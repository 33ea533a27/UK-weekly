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B4EE492F-8E7C-4DAD-8975-95581A03E534}" xr6:coauthVersionLast="47" xr6:coauthVersionMax="47" xr10:uidLastSave="{00000000-0000-0000-0000-000000000000}"/>
  <bookViews>
    <workbookView xWindow="-120" yWindow="-120" windowWidth="29040" windowHeight="15720" activeTab="1" xr2:uid="{B1209114-371A-48BC-AB74-B078F26BDCA5}"/>
  </bookViews>
  <sheets>
    <sheet name="Chart - GDP and inflation" sheetId="17" r:id="rId1"/>
    <sheet name="Chart Data" sheetId="16" r:id="rId2"/>
    <sheet name="GEM data - Baseline" sheetId="13" r:id="rId3"/>
    <sheet name="GEM data - $100 oil" sheetId="14" r:id="rId4"/>
    <sheet name="GEM data - Worst case" sheetId="15" r:id="rId5"/>
    <sheet name="GMW - Baseline" sheetId="2" r:id="rId6"/>
    <sheet name="GMW - $100 oil" sheetId="6" r:id="rId7"/>
    <sheet name="GMW - worst case" sheetId="10" r:id="rId8"/>
  </sheets>
  <externalReferences>
    <externalReference r:id="rId9"/>
    <externalReference r:id="rId10"/>
  </externalReferences>
  <definedNames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6" l="1"/>
  <c r="D26" i="16"/>
  <c r="D27" i="16"/>
  <c r="C25" i="16"/>
  <c r="C26" i="16"/>
  <c r="C27" i="16"/>
  <c r="B26" i="16"/>
  <c r="B27" i="16"/>
  <c r="B25" i="16"/>
  <c r="C23" i="16"/>
  <c r="C22" i="16"/>
  <c r="C21" i="16"/>
  <c r="C20" i="16"/>
  <c r="D23" i="16"/>
  <c r="D22" i="16"/>
  <c r="D21" i="16"/>
  <c r="D20" i="16"/>
  <c r="B21" i="16"/>
  <c r="B22" i="16"/>
  <c r="B23" i="16"/>
  <c r="B20" i="16"/>
  <c r="M4" i="16"/>
  <c r="N4" i="16"/>
  <c r="M5" i="16"/>
  <c r="N5" i="16"/>
  <c r="M6" i="16"/>
  <c r="N6" i="16"/>
  <c r="M7" i="16"/>
  <c r="N7" i="16"/>
  <c r="M8" i="16"/>
  <c r="N8" i="16"/>
  <c r="M9" i="16"/>
  <c r="N9" i="16"/>
  <c r="M10" i="16"/>
  <c r="N10" i="16"/>
  <c r="M11" i="16"/>
  <c r="N11" i="16"/>
  <c r="M12" i="16"/>
  <c r="N12" i="16"/>
  <c r="M13" i="16"/>
  <c r="N13" i="16"/>
  <c r="M14" i="16"/>
  <c r="N14" i="16"/>
  <c r="M15" i="16"/>
  <c r="N15" i="16"/>
  <c r="M16" i="16"/>
  <c r="N16" i="16"/>
  <c r="M17" i="16"/>
  <c r="N17" i="16"/>
  <c r="M18" i="16"/>
  <c r="N18" i="16"/>
  <c r="N3" i="16"/>
  <c r="M3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3" i="16"/>
  <c r="B15" i="16" l="1"/>
  <c r="C15" i="16"/>
  <c r="D15" i="16"/>
  <c r="G15" i="16"/>
  <c r="H15" i="16"/>
  <c r="I15" i="16"/>
  <c r="B16" i="16"/>
  <c r="C16" i="16"/>
  <c r="D16" i="16"/>
  <c r="G16" i="16"/>
  <c r="H16" i="16"/>
  <c r="I16" i="16"/>
  <c r="B17" i="16"/>
  <c r="C17" i="16"/>
  <c r="D17" i="16"/>
  <c r="G17" i="16"/>
  <c r="H17" i="16"/>
  <c r="I17" i="16"/>
  <c r="B18" i="16"/>
  <c r="C18" i="16"/>
  <c r="D18" i="16"/>
  <c r="G18" i="16"/>
  <c r="H18" i="16"/>
  <c r="I18" i="16"/>
  <c r="I14" i="16"/>
  <c r="H14" i="16"/>
  <c r="G14" i="16"/>
  <c r="I13" i="16"/>
  <c r="H13" i="16"/>
  <c r="G13" i="16"/>
  <c r="I12" i="16"/>
  <c r="H12" i="16"/>
  <c r="G12" i="16"/>
  <c r="I11" i="16"/>
  <c r="H11" i="16"/>
  <c r="G11" i="16"/>
  <c r="I10" i="16"/>
  <c r="H10" i="16"/>
  <c r="G10" i="16"/>
  <c r="I9" i="16"/>
  <c r="H9" i="16"/>
  <c r="G9" i="16"/>
  <c r="I8" i="16"/>
  <c r="H8" i="16"/>
  <c r="G8" i="16"/>
  <c r="I7" i="16"/>
  <c r="H7" i="16"/>
  <c r="G7" i="16"/>
  <c r="I6" i="16"/>
  <c r="H6" i="16"/>
  <c r="G6" i="16"/>
  <c r="I5" i="16"/>
  <c r="H5" i="16"/>
  <c r="G5" i="16"/>
  <c r="I4" i="16"/>
  <c r="H4" i="16"/>
  <c r="G4" i="16"/>
  <c r="I3" i="16"/>
  <c r="H3" i="16"/>
  <c r="G3" i="16"/>
  <c r="B3" i="16"/>
  <c r="C3" i="16"/>
  <c r="D3" i="16"/>
  <c r="B4" i="16"/>
  <c r="C4" i="16"/>
  <c r="D4" i="16"/>
  <c r="B5" i="16"/>
  <c r="C5" i="16"/>
  <c r="D5" i="16"/>
  <c r="B6" i="16"/>
  <c r="C6" i="16"/>
  <c r="D6" i="16"/>
  <c r="B8" i="16"/>
  <c r="C8" i="16"/>
  <c r="D8" i="16"/>
  <c r="B9" i="16"/>
  <c r="C9" i="16"/>
  <c r="D9" i="16"/>
  <c r="B10" i="16"/>
  <c r="C10" i="16"/>
  <c r="D10" i="16"/>
  <c r="B11" i="16"/>
  <c r="C11" i="16"/>
  <c r="D11" i="16"/>
  <c r="B12" i="16"/>
  <c r="C12" i="16"/>
  <c r="D12" i="16"/>
  <c r="B13" i="16"/>
  <c r="C13" i="16"/>
  <c r="D13" i="16"/>
  <c r="B14" i="16"/>
  <c r="C14" i="16"/>
  <c r="D14" i="16"/>
  <c r="D7" i="16"/>
  <c r="C7" i="16"/>
  <c r="B7" i="16"/>
  <c r="L8" i="15" a="1"/>
  <c r="L8" i="15" s="1"/>
  <c r="I8" i="15" a="1"/>
  <c r="I8" i="15" s="1"/>
  <c r="S7" i="15" a="1"/>
  <c r="S7" i="15" s="1"/>
  <c r="R7" i="15" a="1"/>
  <c r="R7" i="15" s="1"/>
  <c r="Q7" i="15" a="1"/>
  <c r="Q7" i="15" s="1"/>
  <c r="P7" i="15" a="1"/>
  <c r="P7" i="15" s="1"/>
  <c r="O7" i="15" a="1"/>
  <c r="O7" i="15" s="1"/>
  <c r="N7" i="15" a="1"/>
  <c r="N7" i="15" s="1"/>
  <c r="M7" i="15" a="1"/>
  <c r="M7" i="15" s="1"/>
  <c r="L7" i="15" a="1"/>
  <c r="L7" i="15" s="1"/>
  <c r="K7" i="15" a="1"/>
  <c r="K7" i="15" s="1"/>
  <c r="J7" i="15" a="1"/>
  <c r="J7" i="15" s="1"/>
  <c r="I7" i="15"/>
  <c r="I7" i="15" a="1"/>
  <c r="H7" i="15" a="1"/>
  <c r="H7" i="15" s="1"/>
  <c r="G7" i="15" a="1"/>
  <c r="G7" i="15" s="1"/>
  <c r="F7" i="15" a="1"/>
  <c r="F7" i="15" s="1"/>
  <c r="F1" i="15"/>
  <c r="K1" i="15" s="1"/>
  <c r="T330" i="14" a="1"/>
  <c r="T330" i="14" s="1"/>
  <c r="S330" i="14" a="1"/>
  <c r="S330" i="14" s="1"/>
  <c r="R330" i="14" a="1"/>
  <c r="R330" i="14" s="1"/>
  <c r="Q330" i="14" a="1"/>
  <c r="Q330" i="14" s="1"/>
  <c r="P330" i="14" a="1"/>
  <c r="P330" i="14" s="1"/>
  <c r="O330" i="14" a="1"/>
  <c r="O330" i="14" s="1"/>
  <c r="N330" i="14" a="1"/>
  <c r="N330" i="14" s="1"/>
  <c r="M330" i="14"/>
  <c r="M330" i="14" a="1"/>
  <c r="L330" i="14" a="1"/>
  <c r="L330" i="14" s="1"/>
  <c r="K330" i="14" a="1"/>
  <c r="K330" i="14" s="1"/>
  <c r="J330" i="14" a="1"/>
  <c r="J330" i="14" s="1"/>
  <c r="I330" i="14" a="1"/>
  <c r="I330" i="14" s="1"/>
  <c r="H330" i="14" a="1"/>
  <c r="H330" i="14" s="1"/>
  <c r="G330" i="14" a="1"/>
  <c r="G330" i="14" s="1"/>
  <c r="F330" i="14" a="1"/>
  <c r="F330" i="14" s="1"/>
  <c r="T329" i="14" a="1"/>
  <c r="T329" i="14" s="1"/>
  <c r="S329" i="14" a="1"/>
  <c r="S329" i="14" s="1"/>
  <c r="R329" i="14" a="1"/>
  <c r="R329" i="14" s="1"/>
  <c r="Q329" i="14" a="1"/>
  <c r="Q329" i="14" s="1"/>
  <c r="P329" i="14" a="1"/>
  <c r="P329" i="14" s="1"/>
  <c r="O329" i="14" a="1"/>
  <c r="O329" i="14" s="1"/>
  <c r="N329" i="14" a="1"/>
  <c r="N329" i="14" s="1"/>
  <c r="M329" i="14" a="1"/>
  <c r="M329" i="14" s="1"/>
  <c r="L329" i="14" a="1"/>
  <c r="L329" i="14" s="1"/>
  <c r="K329" i="14" a="1"/>
  <c r="K329" i="14" s="1"/>
  <c r="J329" i="14" a="1"/>
  <c r="J329" i="14" s="1"/>
  <c r="I329" i="14" a="1"/>
  <c r="I329" i="14" s="1"/>
  <c r="H329" i="14" a="1"/>
  <c r="H329" i="14" s="1"/>
  <c r="G329" i="14" a="1"/>
  <c r="G329" i="14" s="1"/>
  <c r="F329" i="14" a="1"/>
  <c r="F329" i="14" s="1"/>
  <c r="T328" i="14" a="1"/>
  <c r="T328" i="14" s="1"/>
  <c r="S328" i="14" a="1"/>
  <c r="S328" i="14" s="1"/>
  <c r="R328" i="14" a="1"/>
  <c r="R328" i="14" s="1"/>
  <c r="Q328" i="14" a="1"/>
  <c r="Q328" i="14" s="1"/>
  <c r="P328" i="14" a="1"/>
  <c r="P328" i="14" s="1"/>
  <c r="O328" i="14" a="1"/>
  <c r="O328" i="14" s="1"/>
  <c r="N328" i="14"/>
  <c r="N328" i="14" a="1"/>
  <c r="M328" i="14" a="1"/>
  <c r="M328" i="14" s="1"/>
  <c r="L328" i="14"/>
  <c r="L328" i="14" a="1"/>
  <c r="K328" i="14" a="1"/>
  <c r="K328" i="14" s="1"/>
  <c r="J328" i="14" a="1"/>
  <c r="J328" i="14" s="1"/>
  <c r="I328" i="14" a="1"/>
  <c r="I328" i="14" s="1"/>
  <c r="H328" i="14" a="1"/>
  <c r="H328" i="14" s="1"/>
  <c r="G328" i="14" a="1"/>
  <c r="G328" i="14" s="1"/>
  <c r="F328" i="14" a="1"/>
  <c r="F328" i="14" s="1"/>
  <c r="T327" i="14" a="1"/>
  <c r="T327" i="14" s="1"/>
  <c r="S327" i="14" a="1"/>
  <c r="S327" i="14" s="1"/>
  <c r="R327" i="14" a="1"/>
  <c r="R327" i="14" s="1"/>
  <c r="Q327" i="14" a="1"/>
  <c r="Q327" i="14" s="1"/>
  <c r="P327" i="14" a="1"/>
  <c r="P327" i="14" s="1"/>
  <c r="O327" i="14" a="1"/>
  <c r="O327" i="14" s="1"/>
  <c r="N327" i="14" a="1"/>
  <c r="N327" i="14" s="1"/>
  <c r="M327" i="14"/>
  <c r="M327" i="14" a="1"/>
  <c r="L327" i="14" a="1"/>
  <c r="L327" i="14" s="1"/>
  <c r="K327" i="14" a="1"/>
  <c r="K327" i="14" s="1"/>
  <c r="J327" i="14" a="1"/>
  <c r="J327" i="14" s="1"/>
  <c r="I327" i="14" a="1"/>
  <c r="I327" i="14" s="1"/>
  <c r="H327" i="14" a="1"/>
  <c r="H327" i="14" s="1"/>
  <c r="G327" i="14" a="1"/>
  <c r="G327" i="14" s="1"/>
  <c r="F327" i="14" a="1"/>
  <c r="F327" i="14" s="1"/>
  <c r="T326" i="14" a="1"/>
  <c r="T326" i="14" s="1"/>
  <c r="S326" i="14"/>
  <c r="S326" i="14" a="1"/>
  <c r="R326" i="14" a="1"/>
  <c r="R326" i="14" s="1"/>
  <c r="Q326" i="14" a="1"/>
  <c r="Q326" i="14" s="1"/>
  <c r="P326" i="14" a="1"/>
  <c r="P326" i="14" s="1"/>
  <c r="O326" i="14" a="1"/>
  <c r="O326" i="14" s="1"/>
  <c r="N326" i="14" a="1"/>
  <c r="N326" i="14" s="1"/>
  <c r="M326" i="14" a="1"/>
  <c r="M326" i="14" s="1"/>
  <c r="L326" i="14" a="1"/>
  <c r="L326" i="14" s="1"/>
  <c r="K326" i="14" a="1"/>
  <c r="K326" i="14" s="1"/>
  <c r="J326" i="14" a="1"/>
  <c r="J326" i="14" s="1"/>
  <c r="I326" i="14" a="1"/>
  <c r="I326" i="14" s="1"/>
  <c r="H326" i="14" a="1"/>
  <c r="H326" i="14" s="1"/>
  <c r="G326" i="14" a="1"/>
  <c r="G326" i="14" s="1"/>
  <c r="F326" i="14" a="1"/>
  <c r="F326" i="14" s="1"/>
  <c r="T325" i="14" a="1"/>
  <c r="T325" i="14" s="1"/>
  <c r="S325" i="14" a="1"/>
  <c r="S325" i="14" s="1"/>
  <c r="R325" i="14" a="1"/>
  <c r="R325" i="14" s="1"/>
  <c r="Q325" i="14" a="1"/>
  <c r="Q325" i="14" s="1"/>
  <c r="P325" i="14" a="1"/>
  <c r="P325" i="14" s="1"/>
  <c r="O325" i="14" a="1"/>
  <c r="O325" i="14" s="1"/>
  <c r="N325" i="14" a="1"/>
  <c r="N325" i="14" s="1"/>
  <c r="M325" i="14" a="1"/>
  <c r="M325" i="14" s="1"/>
  <c r="L325" i="14" a="1"/>
  <c r="L325" i="14" s="1"/>
  <c r="K325" i="14" a="1"/>
  <c r="K325" i="14" s="1"/>
  <c r="J325" i="14" a="1"/>
  <c r="J325" i="14" s="1"/>
  <c r="I325" i="14" a="1"/>
  <c r="I325" i="14" s="1"/>
  <c r="H325" i="14" a="1"/>
  <c r="H325" i="14" s="1"/>
  <c r="G325" i="14" a="1"/>
  <c r="G325" i="14" s="1"/>
  <c r="F325" i="14" a="1"/>
  <c r="F325" i="14" s="1"/>
  <c r="T324" i="14" a="1"/>
  <c r="T324" i="14" s="1"/>
  <c r="S324" i="14" a="1"/>
  <c r="S324" i="14" s="1"/>
  <c r="R324" i="14"/>
  <c r="R324" i="14" a="1"/>
  <c r="Q324" i="14" a="1"/>
  <c r="Q324" i="14" s="1"/>
  <c r="P324" i="14" a="1"/>
  <c r="P324" i="14" s="1"/>
  <c r="O324" i="14"/>
  <c r="O324" i="14" a="1"/>
  <c r="N324" i="14" a="1"/>
  <c r="N324" i="14" s="1"/>
  <c r="M324" i="14" a="1"/>
  <c r="M324" i="14" s="1"/>
  <c r="L324" i="14" a="1"/>
  <c r="L324" i="14" s="1"/>
  <c r="K324" i="14" a="1"/>
  <c r="K324" i="14" s="1"/>
  <c r="J324" i="14"/>
  <c r="J324" i="14" a="1"/>
  <c r="I324" i="14" a="1"/>
  <c r="I324" i="14" s="1"/>
  <c r="H324" i="14" a="1"/>
  <c r="H324" i="14" s="1"/>
  <c r="G324" i="14" a="1"/>
  <c r="G324" i="14" s="1"/>
  <c r="F324" i="14" a="1"/>
  <c r="F324" i="14" s="1"/>
  <c r="T323" i="14" a="1"/>
  <c r="T323" i="14" s="1"/>
  <c r="S323" i="14" a="1"/>
  <c r="S323" i="14" s="1"/>
  <c r="R323" i="14" a="1"/>
  <c r="R323" i="14" s="1"/>
  <c r="Q323" i="14" a="1"/>
  <c r="Q323" i="14" s="1"/>
  <c r="P323" i="14"/>
  <c r="P323" i="14" a="1"/>
  <c r="O323" i="14" a="1"/>
  <c r="O323" i="14" s="1"/>
  <c r="N323" i="14" a="1"/>
  <c r="N323" i="14" s="1"/>
  <c r="M323" i="14" a="1"/>
  <c r="M323" i="14" s="1"/>
  <c r="L323" i="14" a="1"/>
  <c r="L323" i="14" s="1"/>
  <c r="K323" i="14" a="1"/>
  <c r="K323" i="14" s="1"/>
  <c r="J323" i="14" a="1"/>
  <c r="J323" i="14" s="1"/>
  <c r="I323" i="14" a="1"/>
  <c r="I323" i="14" s="1"/>
  <c r="H323" i="14" a="1"/>
  <c r="H323" i="14" s="1"/>
  <c r="G323" i="14" a="1"/>
  <c r="G323" i="14" s="1"/>
  <c r="F323" i="14" a="1"/>
  <c r="F323" i="14" s="1"/>
  <c r="T322" i="14" a="1"/>
  <c r="T322" i="14" s="1"/>
  <c r="S322" i="14" a="1"/>
  <c r="S322" i="14" s="1"/>
  <c r="R322" i="14" a="1"/>
  <c r="R322" i="14" s="1"/>
  <c r="Q322" i="14" a="1"/>
  <c r="Q322" i="14" s="1"/>
  <c r="P322" i="14" a="1"/>
  <c r="P322" i="14" s="1"/>
  <c r="O322" i="14" a="1"/>
  <c r="O322" i="14" s="1"/>
  <c r="N322" i="14" a="1"/>
  <c r="N322" i="14" s="1"/>
  <c r="M322" i="14"/>
  <c r="M322" i="14" a="1"/>
  <c r="L322" i="14" a="1"/>
  <c r="L322" i="14" s="1"/>
  <c r="K322" i="14" a="1"/>
  <c r="K322" i="14" s="1"/>
  <c r="J322" i="14" a="1"/>
  <c r="J322" i="14" s="1"/>
  <c r="I322" i="14" a="1"/>
  <c r="I322" i="14" s="1"/>
  <c r="H322" i="14" a="1"/>
  <c r="H322" i="14" s="1"/>
  <c r="G322" i="14" a="1"/>
  <c r="G322" i="14" s="1"/>
  <c r="F322" i="14"/>
  <c r="F322" i="14" a="1"/>
  <c r="T321" i="14" a="1"/>
  <c r="T321" i="14" s="1"/>
  <c r="S321" i="14" a="1"/>
  <c r="S321" i="14" s="1"/>
  <c r="R321" i="14" a="1"/>
  <c r="R321" i="14" s="1"/>
  <c r="Q321" i="14" a="1"/>
  <c r="Q321" i="14" s="1"/>
  <c r="P321" i="14" a="1"/>
  <c r="P321" i="14" s="1"/>
  <c r="O321" i="14" a="1"/>
  <c r="O321" i="14" s="1"/>
  <c r="N321" i="14"/>
  <c r="N321" i="14" a="1"/>
  <c r="M321" i="14" a="1"/>
  <c r="M321" i="14" s="1"/>
  <c r="L321" i="14" a="1"/>
  <c r="L321" i="14" s="1"/>
  <c r="K321" i="14" a="1"/>
  <c r="K321" i="14" s="1"/>
  <c r="J321" i="14" a="1"/>
  <c r="J321" i="14" s="1"/>
  <c r="I321" i="14" a="1"/>
  <c r="I321" i="14" s="1"/>
  <c r="H321" i="14" a="1"/>
  <c r="H321" i="14" s="1"/>
  <c r="G321" i="14" a="1"/>
  <c r="G321" i="14" s="1"/>
  <c r="F321" i="14" a="1"/>
  <c r="F321" i="14" s="1"/>
  <c r="T320" i="14" a="1"/>
  <c r="T320" i="14" s="1"/>
  <c r="S320" i="14" a="1"/>
  <c r="S320" i="14" s="1"/>
  <c r="R320" i="14" a="1"/>
  <c r="R320" i="14" s="1"/>
  <c r="Q320" i="14" a="1"/>
  <c r="Q320" i="14" s="1"/>
  <c r="P320" i="14" a="1"/>
  <c r="P320" i="14" s="1"/>
  <c r="O320" i="14" a="1"/>
  <c r="O320" i="14" s="1"/>
  <c r="N320" i="14"/>
  <c r="N320" i="14" a="1"/>
  <c r="M320" i="14" a="1"/>
  <c r="M320" i="14" s="1"/>
  <c r="L320" i="14" a="1"/>
  <c r="L320" i="14" s="1"/>
  <c r="K320" i="14" a="1"/>
  <c r="K320" i="14" s="1"/>
  <c r="J320" i="14" a="1"/>
  <c r="J320" i="14" s="1"/>
  <c r="I320" i="14" a="1"/>
  <c r="I320" i="14" s="1"/>
  <c r="H320" i="14" a="1"/>
  <c r="H320" i="14" s="1"/>
  <c r="G320" i="14" a="1"/>
  <c r="G320" i="14" s="1"/>
  <c r="F320" i="14" a="1"/>
  <c r="F320" i="14" s="1"/>
  <c r="T319" i="14" a="1"/>
  <c r="T319" i="14" s="1"/>
  <c r="S319" i="14" a="1"/>
  <c r="S319" i="14" s="1"/>
  <c r="R319" i="14" a="1"/>
  <c r="R319" i="14" s="1"/>
  <c r="Q319" i="14" a="1"/>
  <c r="Q319" i="14" s="1"/>
  <c r="P319" i="14" a="1"/>
  <c r="P319" i="14" s="1"/>
  <c r="O319" i="14" a="1"/>
  <c r="O319" i="14" s="1"/>
  <c r="N319" i="14" a="1"/>
  <c r="N319" i="14" s="1"/>
  <c r="M319" i="14" a="1"/>
  <c r="M319" i="14" s="1"/>
  <c r="L319" i="14" a="1"/>
  <c r="L319" i="14" s="1"/>
  <c r="K319" i="14" a="1"/>
  <c r="K319" i="14" s="1"/>
  <c r="J319" i="14" a="1"/>
  <c r="J319" i="14" s="1"/>
  <c r="I319" i="14" a="1"/>
  <c r="I319" i="14" s="1"/>
  <c r="H319" i="14" a="1"/>
  <c r="H319" i="14" s="1"/>
  <c r="G319" i="14" a="1"/>
  <c r="G319" i="14" s="1"/>
  <c r="F319" i="14" a="1"/>
  <c r="F319" i="14" s="1"/>
  <c r="T318" i="14" a="1"/>
  <c r="T318" i="14" s="1"/>
  <c r="S318" i="14" a="1"/>
  <c r="S318" i="14" s="1"/>
  <c r="R318" i="14" a="1"/>
  <c r="R318" i="14" s="1"/>
  <c r="Q318" i="14"/>
  <c r="Q318" i="14" a="1"/>
  <c r="P318" i="14" a="1"/>
  <c r="P318" i="14" s="1"/>
  <c r="O318" i="14" a="1"/>
  <c r="O318" i="14" s="1"/>
  <c r="N318" i="14" a="1"/>
  <c r="N318" i="14" s="1"/>
  <c r="M318" i="14" a="1"/>
  <c r="M318" i="14" s="1"/>
  <c r="L318" i="14" a="1"/>
  <c r="L318" i="14" s="1"/>
  <c r="K318" i="14" a="1"/>
  <c r="K318" i="14" s="1"/>
  <c r="J318" i="14"/>
  <c r="J318" i="14" a="1"/>
  <c r="I318" i="14" a="1"/>
  <c r="I318" i="14" s="1"/>
  <c r="H318" i="14" a="1"/>
  <c r="H318" i="14" s="1"/>
  <c r="G318" i="14" a="1"/>
  <c r="G318" i="14" s="1"/>
  <c r="F318" i="14" a="1"/>
  <c r="F318" i="14" s="1"/>
  <c r="T317" i="14" a="1"/>
  <c r="T317" i="14" s="1"/>
  <c r="S317" i="14" a="1"/>
  <c r="S317" i="14" s="1"/>
  <c r="R317" i="14" a="1"/>
  <c r="R317" i="14" s="1"/>
  <c r="Q317" i="14" a="1"/>
  <c r="Q317" i="14" s="1"/>
  <c r="P317" i="14" a="1"/>
  <c r="P317" i="14" s="1"/>
  <c r="O317" i="14" a="1"/>
  <c r="O317" i="14" s="1"/>
  <c r="N317" i="14" a="1"/>
  <c r="N317" i="14" s="1"/>
  <c r="M317" i="14" a="1"/>
  <c r="M317" i="14" s="1"/>
  <c r="L317" i="14" a="1"/>
  <c r="L317" i="14" s="1"/>
  <c r="K317" i="14" a="1"/>
  <c r="K317" i="14" s="1"/>
  <c r="J317" i="14" a="1"/>
  <c r="J317" i="14" s="1"/>
  <c r="I317" i="14" a="1"/>
  <c r="I317" i="14" s="1"/>
  <c r="H317" i="14" a="1"/>
  <c r="H317" i="14" s="1"/>
  <c r="G317" i="14" a="1"/>
  <c r="G317" i="14" s="1"/>
  <c r="F317" i="14" a="1"/>
  <c r="F317" i="14" s="1"/>
  <c r="T316" i="14" a="1"/>
  <c r="T316" i="14" s="1"/>
  <c r="S316" i="14" a="1"/>
  <c r="S316" i="14" s="1"/>
  <c r="R316" i="14" a="1"/>
  <c r="R316" i="14" s="1"/>
  <c r="Q316" i="14" a="1"/>
  <c r="Q316" i="14" s="1"/>
  <c r="P316" i="14" a="1"/>
  <c r="P316" i="14" s="1"/>
  <c r="O316" i="14" a="1"/>
  <c r="O316" i="14" s="1"/>
  <c r="N316" i="14" a="1"/>
  <c r="N316" i="14" s="1"/>
  <c r="M316" i="14" a="1"/>
  <c r="M316" i="14" s="1"/>
  <c r="L316" i="14" a="1"/>
  <c r="L316" i="14" s="1"/>
  <c r="K316" i="14" a="1"/>
  <c r="K316" i="14" s="1"/>
  <c r="J316" i="14" a="1"/>
  <c r="J316" i="14" s="1"/>
  <c r="I316" i="14" a="1"/>
  <c r="I316" i="14" s="1"/>
  <c r="H316" i="14" a="1"/>
  <c r="H316" i="14" s="1"/>
  <c r="G316" i="14" a="1"/>
  <c r="G316" i="14" s="1"/>
  <c r="F316" i="14" a="1"/>
  <c r="F316" i="14" s="1"/>
  <c r="T315" i="14" a="1"/>
  <c r="T315" i="14" s="1"/>
  <c r="S315" i="14" a="1"/>
  <c r="S315" i="14" s="1"/>
  <c r="R315" i="14" a="1"/>
  <c r="R315" i="14" s="1"/>
  <c r="Q315" i="14" a="1"/>
  <c r="Q315" i="14" s="1"/>
  <c r="P315" i="14" a="1"/>
  <c r="P315" i="14" s="1"/>
  <c r="O315" i="14"/>
  <c r="O315" i="14" a="1"/>
  <c r="N315" i="14" a="1"/>
  <c r="N315" i="14" s="1"/>
  <c r="M315" i="14" a="1"/>
  <c r="M315" i="14" s="1"/>
  <c r="L315" i="14" a="1"/>
  <c r="L315" i="14" s="1"/>
  <c r="K315" i="14" a="1"/>
  <c r="K315" i="14" s="1"/>
  <c r="J315" i="14" a="1"/>
  <c r="J315" i="14" s="1"/>
  <c r="I315" i="14" a="1"/>
  <c r="I315" i="14" s="1"/>
  <c r="H315" i="14"/>
  <c r="H315" i="14" a="1"/>
  <c r="G315" i="14" a="1"/>
  <c r="G315" i="14" s="1"/>
  <c r="F315" i="14" a="1"/>
  <c r="F315" i="14" s="1"/>
  <c r="T314" i="14" a="1"/>
  <c r="T314" i="14" s="1"/>
  <c r="S314" i="14" a="1"/>
  <c r="S314" i="14" s="1"/>
  <c r="R314" i="14" a="1"/>
  <c r="R314" i="14" s="1"/>
  <c r="Q314" i="14" a="1"/>
  <c r="Q314" i="14" s="1"/>
  <c r="P314" i="14" a="1"/>
  <c r="P314" i="14" s="1"/>
  <c r="O314" i="14" a="1"/>
  <c r="O314" i="14" s="1"/>
  <c r="N314" i="14" a="1"/>
  <c r="N314" i="14" s="1"/>
  <c r="M314" i="14" a="1"/>
  <c r="M314" i="14" s="1"/>
  <c r="L314" i="14" a="1"/>
  <c r="L314" i="14" s="1"/>
  <c r="K314" i="14" a="1"/>
  <c r="K314" i="14" s="1"/>
  <c r="J314" i="14" a="1"/>
  <c r="J314" i="14" s="1"/>
  <c r="I314" i="14" a="1"/>
  <c r="I314" i="14" s="1"/>
  <c r="H314" i="14" a="1"/>
  <c r="H314" i="14" s="1"/>
  <c r="G314" i="14" a="1"/>
  <c r="G314" i="14" s="1"/>
  <c r="F314" i="14" a="1"/>
  <c r="F314" i="14" s="1"/>
  <c r="T313" i="14" a="1"/>
  <c r="T313" i="14" s="1"/>
  <c r="S313" i="14" a="1"/>
  <c r="S313" i="14" s="1"/>
  <c r="R313" i="14" a="1"/>
  <c r="R313" i="14" s="1"/>
  <c r="Q313" i="14" a="1"/>
  <c r="Q313" i="14" s="1"/>
  <c r="P313" i="14" a="1"/>
  <c r="P313" i="14" s="1"/>
  <c r="O313" i="14" a="1"/>
  <c r="O313" i="14" s="1"/>
  <c r="N313" i="14" a="1"/>
  <c r="N313" i="14" s="1"/>
  <c r="M313" i="14" a="1"/>
  <c r="M313" i="14" s="1"/>
  <c r="L313" i="14" a="1"/>
  <c r="L313" i="14" s="1"/>
  <c r="K313" i="14" a="1"/>
  <c r="K313" i="14" s="1"/>
  <c r="J313" i="14" a="1"/>
  <c r="J313" i="14" s="1"/>
  <c r="I313" i="14" a="1"/>
  <c r="I313" i="14" s="1"/>
  <c r="H313" i="14" a="1"/>
  <c r="H313" i="14" s="1"/>
  <c r="G313" i="14" a="1"/>
  <c r="G313" i="14" s="1"/>
  <c r="F313" i="14"/>
  <c r="F313" i="14" a="1"/>
  <c r="T312" i="14" a="1"/>
  <c r="T312" i="14" s="1"/>
  <c r="S312" i="14" a="1"/>
  <c r="S312" i="14" s="1"/>
  <c r="R312" i="14" a="1"/>
  <c r="R312" i="14" s="1"/>
  <c r="Q312" i="14" a="1"/>
  <c r="Q312" i="14" s="1"/>
  <c r="P312" i="14" a="1"/>
  <c r="P312" i="14" s="1"/>
  <c r="O312" i="14" a="1"/>
  <c r="O312" i="14" s="1"/>
  <c r="N312" i="14" a="1"/>
  <c r="N312" i="14" s="1"/>
  <c r="M312" i="14" a="1"/>
  <c r="M312" i="14" s="1"/>
  <c r="L312" i="14" a="1"/>
  <c r="L312" i="14" s="1"/>
  <c r="K312" i="14" a="1"/>
  <c r="K312" i="14" s="1"/>
  <c r="J312" i="14" a="1"/>
  <c r="J312" i="14" s="1"/>
  <c r="I312" i="14" a="1"/>
  <c r="I312" i="14" s="1"/>
  <c r="H312" i="14" a="1"/>
  <c r="H312" i="14" s="1"/>
  <c r="G312" i="14" a="1"/>
  <c r="G312" i="14" s="1"/>
  <c r="F312" i="14" a="1"/>
  <c r="F312" i="14" s="1"/>
  <c r="T311" i="14" a="1"/>
  <c r="T311" i="14" s="1"/>
  <c r="S311" i="14" a="1"/>
  <c r="S311" i="14" s="1"/>
  <c r="R311" i="14" a="1"/>
  <c r="R311" i="14" s="1"/>
  <c r="Q311" i="14" a="1"/>
  <c r="Q311" i="14" s="1"/>
  <c r="P311" i="14" a="1"/>
  <c r="P311" i="14" s="1"/>
  <c r="O311" i="14" a="1"/>
  <c r="O311" i="14" s="1"/>
  <c r="N311" i="14" a="1"/>
  <c r="N311" i="14" s="1"/>
  <c r="M311" i="14" a="1"/>
  <c r="M311" i="14" s="1"/>
  <c r="L311" i="14" a="1"/>
  <c r="L311" i="14" s="1"/>
  <c r="K311" i="14" a="1"/>
  <c r="K311" i="14" s="1"/>
  <c r="J311" i="14"/>
  <c r="J311" i="14" a="1"/>
  <c r="I311" i="14" a="1"/>
  <c r="I311" i="14" s="1"/>
  <c r="H311" i="14" a="1"/>
  <c r="H311" i="14" s="1"/>
  <c r="G311" i="14" a="1"/>
  <c r="G311" i="14" s="1"/>
  <c r="F311" i="14" a="1"/>
  <c r="F311" i="14" s="1"/>
  <c r="T310" i="14" a="1"/>
  <c r="T310" i="14" s="1"/>
  <c r="S310" i="14" a="1"/>
  <c r="S310" i="14" s="1"/>
  <c r="R310" i="14" a="1"/>
  <c r="R310" i="14" s="1"/>
  <c r="Q310" i="14" a="1"/>
  <c r="Q310" i="14" s="1"/>
  <c r="P310" i="14" a="1"/>
  <c r="P310" i="14" s="1"/>
  <c r="O310" i="14" a="1"/>
  <c r="O310" i="14" s="1"/>
  <c r="N310" i="14" a="1"/>
  <c r="N310" i="14" s="1"/>
  <c r="M310" i="14" a="1"/>
  <c r="M310" i="14" s="1"/>
  <c r="L310" i="14"/>
  <c r="L310" i="14" a="1"/>
  <c r="K310" i="14"/>
  <c r="K310" i="14" a="1"/>
  <c r="J310" i="14" a="1"/>
  <c r="J310" i="14" s="1"/>
  <c r="I310" i="14" a="1"/>
  <c r="I310" i="14" s="1"/>
  <c r="H310" i="14" a="1"/>
  <c r="H310" i="14" s="1"/>
  <c r="G310" i="14" a="1"/>
  <c r="G310" i="14" s="1"/>
  <c r="F310" i="14" a="1"/>
  <c r="F310" i="14" s="1"/>
  <c r="T309" i="14" a="1"/>
  <c r="T309" i="14" s="1"/>
  <c r="S309" i="14" a="1"/>
  <c r="S309" i="14" s="1"/>
  <c r="R309" i="14" a="1"/>
  <c r="R309" i="14" s="1"/>
  <c r="Q309" i="14" a="1"/>
  <c r="Q309" i="14" s="1"/>
  <c r="P309" i="14" a="1"/>
  <c r="P309" i="14" s="1"/>
  <c r="O309" i="14" a="1"/>
  <c r="O309" i="14" s="1"/>
  <c r="N309" i="14" a="1"/>
  <c r="N309" i="14" s="1"/>
  <c r="M309" i="14" a="1"/>
  <c r="M309" i="14" s="1"/>
  <c r="L309" i="14" a="1"/>
  <c r="L309" i="14" s="1"/>
  <c r="K309" i="14" a="1"/>
  <c r="K309" i="14" s="1"/>
  <c r="J309" i="14" a="1"/>
  <c r="J309" i="14" s="1"/>
  <c r="I309" i="14" a="1"/>
  <c r="I309" i="14" s="1"/>
  <c r="H309" i="14" a="1"/>
  <c r="H309" i="14" s="1"/>
  <c r="G309" i="14" a="1"/>
  <c r="G309" i="14" s="1"/>
  <c r="F309" i="14" a="1"/>
  <c r="F309" i="14" s="1"/>
  <c r="T308" i="14" a="1"/>
  <c r="T308" i="14" s="1"/>
  <c r="S308" i="14" a="1"/>
  <c r="S308" i="14" s="1"/>
  <c r="R308" i="14" a="1"/>
  <c r="R308" i="14" s="1"/>
  <c r="Q308" i="14" a="1"/>
  <c r="Q308" i="14" s="1"/>
  <c r="P308" i="14" a="1"/>
  <c r="P308" i="14" s="1"/>
  <c r="O308" i="14" a="1"/>
  <c r="O308" i="14" s="1"/>
  <c r="N308" i="14" a="1"/>
  <c r="N308" i="14" s="1"/>
  <c r="M308" i="14" a="1"/>
  <c r="M308" i="14" s="1"/>
  <c r="L308" i="14" a="1"/>
  <c r="L308" i="14" s="1"/>
  <c r="K308" i="14" a="1"/>
  <c r="K308" i="14" s="1"/>
  <c r="J308" i="14" a="1"/>
  <c r="J308" i="14" s="1"/>
  <c r="I308" i="14"/>
  <c r="I308" i="14" a="1"/>
  <c r="H308" i="14" a="1"/>
  <c r="H308" i="14" s="1"/>
  <c r="G308" i="14" a="1"/>
  <c r="G308" i="14" s="1"/>
  <c r="F308" i="14" a="1"/>
  <c r="F308" i="14" s="1"/>
  <c r="T307" i="14" a="1"/>
  <c r="T307" i="14" s="1"/>
  <c r="S307" i="14" a="1"/>
  <c r="S307" i="14" s="1"/>
  <c r="R307" i="14" a="1"/>
  <c r="R307" i="14" s="1"/>
  <c r="Q307" i="14" a="1"/>
  <c r="Q307" i="14" s="1"/>
  <c r="P307" i="14"/>
  <c r="P307" i="14" a="1"/>
  <c r="O307" i="14" a="1"/>
  <c r="O307" i="14" s="1"/>
  <c r="N307" i="14" a="1"/>
  <c r="N307" i="14" s="1"/>
  <c r="M307" i="14" a="1"/>
  <c r="M307" i="14" s="1"/>
  <c r="L307" i="14" a="1"/>
  <c r="L307" i="14" s="1"/>
  <c r="K307" i="14" a="1"/>
  <c r="K307" i="14" s="1"/>
  <c r="J307" i="14" a="1"/>
  <c r="J307" i="14" s="1"/>
  <c r="I307" i="14" a="1"/>
  <c r="I307" i="14" s="1"/>
  <c r="H307" i="14" a="1"/>
  <c r="H307" i="14" s="1"/>
  <c r="G307" i="14" a="1"/>
  <c r="G307" i="14" s="1"/>
  <c r="F307" i="14" a="1"/>
  <c r="F307" i="14" s="1"/>
  <c r="T306" i="14" a="1"/>
  <c r="T306" i="14" s="1"/>
  <c r="S306" i="14" a="1"/>
  <c r="S306" i="14" s="1"/>
  <c r="R306" i="14" a="1"/>
  <c r="R306" i="14" s="1"/>
  <c r="Q306" i="14" a="1"/>
  <c r="Q306" i="14" s="1"/>
  <c r="P306" i="14" a="1"/>
  <c r="P306" i="14" s="1"/>
  <c r="O306" i="14" a="1"/>
  <c r="O306" i="14" s="1"/>
  <c r="N306" i="14" a="1"/>
  <c r="N306" i="14" s="1"/>
  <c r="M306" i="14" a="1"/>
  <c r="M306" i="14" s="1"/>
  <c r="L306" i="14" a="1"/>
  <c r="L306" i="14" s="1"/>
  <c r="K306" i="14" a="1"/>
  <c r="K306" i="14" s="1"/>
  <c r="J306" i="14" a="1"/>
  <c r="J306" i="14" s="1"/>
  <c r="I306" i="14" a="1"/>
  <c r="I306" i="14" s="1"/>
  <c r="H306" i="14" a="1"/>
  <c r="H306" i="14" s="1"/>
  <c r="G306" i="14" a="1"/>
  <c r="G306" i="14" s="1"/>
  <c r="F306" i="14" a="1"/>
  <c r="F306" i="14" s="1"/>
  <c r="T305" i="14" a="1"/>
  <c r="T305" i="14" s="1"/>
  <c r="S305" i="14" a="1"/>
  <c r="S305" i="14" s="1"/>
  <c r="R305" i="14" a="1"/>
  <c r="R305" i="14" s="1"/>
  <c r="Q305" i="14" a="1"/>
  <c r="Q305" i="14" s="1"/>
  <c r="P305" i="14" a="1"/>
  <c r="P305" i="14" s="1"/>
  <c r="O305" i="14" a="1"/>
  <c r="O305" i="14" s="1"/>
  <c r="N305" i="14" a="1"/>
  <c r="N305" i="14" s="1"/>
  <c r="M305" i="14" a="1"/>
  <c r="M305" i="14" s="1"/>
  <c r="L305" i="14" a="1"/>
  <c r="L305" i="14" s="1"/>
  <c r="K305" i="14" a="1"/>
  <c r="K305" i="14" s="1"/>
  <c r="J305" i="14" a="1"/>
  <c r="J305" i="14" s="1"/>
  <c r="I305" i="14" a="1"/>
  <c r="I305" i="14" s="1"/>
  <c r="H305" i="14" a="1"/>
  <c r="H305" i="14" s="1"/>
  <c r="G305" i="14" a="1"/>
  <c r="G305" i="14" s="1"/>
  <c r="F305" i="14" a="1"/>
  <c r="F305" i="14" s="1"/>
  <c r="T304" i="14" a="1"/>
  <c r="T304" i="14" s="1"/>
  <c r="S304" i="14" a="1"/>
  <c r="S304" i="14" s="1"/>
  <c r="R304" i="14" a="1"/>
  <c r="R304" i="14" s="1"/>
  <c r="Q304" i="14" a="1"/>
  <c r="Q304" i="14" s="1"/>
  <c r="P304" i="14" a="1"/>
  <c r="P304" i="14" s="1"/>
  <c r="O304" i="14" a="1"/>
  <c r="O304" i="14" s="1"/>
  <c r="N304" i="14" a="1"/>
  <c r="N304" i="14" s="1"/>
  <c r="M304" i="14" a="1"/>
  <c r="M304" i="14" s="1"/>
  <c r="L304" i="14" a="1"/>
  <c r="L304" i="14" s="1"/>
  <c r="K304" i="14" a="1"/>
  <c r="K304" i="14" s="1"/>
  <c r="J304" i="14" a="1"/>
  <c r="J304" i="14" s="1"/>
  <c r="I304" i="14" a="1"/>
  <c r="I304" i="14" s="1"/>
  <c r="H304" i="14" a="1"/>
  <c r="H304" i="14" s="1"/>
  <c r="G304" i="14" a="1"/>
  <c r="G304" i="14" s="1"/>
  <c r="F304" i="14" a="1"/>
  <c r="F304" i="14" s="1"/>
  <c r="T303" i="14" a="1"/>
  <c r="T303" i="14" s="1"/>
  <c r="S303" i="14" a="1"/>
  <c r="S303" i="14" s="1"/>
  <c r="R303" i="14" a="1"/>
  <c r="R303" i="14" s="1"/>
  <c r="Q303" i="14" a="1"/>
  <c r="Q303" i="14" s="1"/>
  <c r="P303" i="14" a="1"/>
  <c r="P303" i="14" s="1"/>
  <c r="O303" i="14" a="1"/>
  <c r="O303" i="14" s="1"/>
  <c r="N303" i="14" a="1"/>
  <c r="N303" i="14" s="1"/>
  <c r="M303" i="14"/>
  <c r="M303" i="14" a="1"/>
  <c r="L303" i="14" a="1"/>
  <c r="L303" i="14" s="1"/>
  <c r="K303" i="14" a="1"/>
  <c r="K303" i="14" s="1"/>
  <c r="J303" i="14" a="1"/>
  <c r="J303" i="14" s="1"/>
  <c r="I303" i="14" a="1"/>
  <c r="I303" i="14" s="1"/>
  <c r="H303" i="14" a="1"/>
  <c r="H303" i="14" s="1"/>
  <c r="G303" i="14" a="1"/>
  <c r="G303" i="14" s="1"/>
  <c r="F303" i="14" a="1"/>
  <c r="F303" i="14" s="1"/>
  <c r="T302" i="14" a="1"/>
  <c r="T302" i="14" s="1"/>
  <c r="S302" i="14" a="1"/>
  <c r="S302" i="14" s="1"/>
  <c r="R302" i="14" a="1"/>
  <c r="R302" i="14" s="1"/>
  <c r="Q302" i="14" a="1"/>
  <c r="Q302" i="14" s="1"/>
  <c r="P302" i="14" a="1"/>
  <c r="P302" i="14" s="1"/>
  <c r="O302" i="14" a="1"/>
  <c r="O302" i="14" s="1"/>
  <c r="N302" i="14" a="1"/>
  <c r="N302" i="14" s="1"/>
  <c r="M302" i="14" a="1"/>
  <c r="M302" i="14" s="1"/>
  <c r="L302" i="14" a="1"/>
  <c r="L302" i="14" s="1"/>
  <c r="K302" i="14"/>
  <c r="K302" i="14" a="1"/>
  <c r="J302" i="14" a="1"/>
  <c r="J302" i="14" s="1"/>
  <c r="I302" i="14" a="1"/>
  <c r="I302" i="14" s="1"/>
  <c r="H302" i="14" a="1"/>
  <c r="H302" i="14" s="1"/>
  <c r="G302" i="14" a="1"/>
  <c r="G302" i="14" s="1"/>
  <c r="F302" i="14" a="1"/>
  <c r="F302" i="14" s="1"/>
  <c r="T301" i="14" a="1"/>
  <c r="T301" i="14" s="1"/>
  <c r="S301" i="14"/>
  <c r="S301" i="14" a="1"/>
  <c r="R301" i="14"/>
  <c r="R301" i="14" a="1"/>
  <c r="Q301" i="14" a="1"/>
  <c r="Q301" i="14" s="1"/>
  <c r="P301" i="14" a="1"/>
  <c r="P301" i="14" s="1"/>
  <c r="O301" i="14" a="1"/>
  <c r="O301" i="14" s="1"/>
  <c r="N301" i="14" a="1"/>
  <c r="N301" i="14" s="1"/>
  <c r="M301" i="14" a="1"/>
  <c r="M301" i="14" s="1"/>
  <c r="L301" i="14" a="1"/>
  <c r="L301" i="14" s="1"/>
  <c r="K301" i="14" a="1"/>
  <c r="K301" i="14" s="1"/>
  <c r="J301" i="14" a="1"/>
  <c r="J301" i="14" s="1"/>
  <c r="I301" i="14"/>
  <c r="I301" i="14" a="1"/>
  <c r="H301" i="14" a="1"/>
  <c r="H301" i="14" s="1"/>
  <c r="G301" i="14" a="1"/>
  <c r="G301" i="14" s="1"/>
  <c r="F301" i="14" a="1"/>
  <c r="F301" i="14" s="1"/>
  <c r="T300" i="14" a="1"/>
  <c r="T300" i="14" s="1"/>
  <c r="S300" i="14" a="1"/>
  <c r="S300" i="14" s="1"/>
  <c r="R300" i="14" a="1"/>
  <c r="R300" i="14" s="1"/>
  <c r="Q300" i="14" a="1"/>
  <c r="Q300" i="14" s="1"/>
  <c r="P300" i="14"/>
  <c r="P300" i="14" a="1"/>
  <c r="O300" i="14" a="1"/>
  <c r="O300" i="14" s="1"/>
  <c r="N300" i="14" a="1"/>
  <c r="N300" i="14" s="1"/>
  <c r="M300" i="14" a="1"/>
  <c r="M300" i="14" s="1"/>
  <c r="L300" i="14" a="1"/>
  <c r="L300" i="14" s="1"/>
  <c r="K300" i="14" a="1"/>
  <c r="K300" i="14" s="1"/>
  <c r="J300" i="14" a="1"/>
  <c r="J300" i="14" s="1"/>
  <c r="I300" i="14" a="1"/>
  <c r="I300" i="14" s="1"/>
  <c r="H300" i="14" a="1"/>
  <c r="H300" i="14" s="1"/>
  <c r="G300" i="14" a="1"/>
  <c r="G300" i="14" s="1"/>
  <c r="F300" i="14" a="1"/>
  <c r="F300" i="14" s="1"/>
  <c r="T299" i="14" a="1"/>
  <c r="T299" i="14" s="1"/>
  <c r="S299" i="14" a="1"/>
  <c r="S299" i="14" s="1"/>
  <c r="R299" i="14" a="1"/>
  <c r="R299" i="14" s="1"/>
  <c r="Q299" i="14" a="1"/>
  <c r="Q299" i="14" s="1"/>
  <c r="P299" i="14" a="1"/>
  <c r="P299" i="14" s="1"/>
  <c r="O299" i="14" a="1"/>
  <c r="O299" i="14" s="1"/>
  <c r="N299" i="14"/>
  <c r="N299" i="14" a="1"/>
  <c r="M299" i="14" a="1"/>
  <c r="M299" i="14" s="1"/>
  <c r="L299" i="14" a="1"/>
  <c r="L299" i="14" s="1"/>
  <c r="K299" i="14" a="1"/>
  <c r="K299" i="14" s="1"/>
  <c r="J299" i="14" a="1"/>
  <c r="J299" i="14" s="1"/>
  <c r="I299" i="14" a="1"/>
  <c r="I299" i="14" s="1"/>
  <c r="H299" i="14" a="1"/>
  <c r="H299" i="14" s="1"/>
  <c r="G299" i="14" a="1"/>
  <c r="G299" i="14" s="1"/>
  <c r="F299" i="14" a="1"/>
  <c r="F299" i="14" s="1"/>
  <c r="T298" i="14" a="1"/>
  <c r="T298" i="14" s="1"/>
  <c r="S298" i="14" a="1"/>
  <c r="S298" i="14" s="1"/>
  <c r="R298" i="14" a="1"/>
  <c r="R298" i="14" s="1"/>
  <c r="Q298" i="14" a="1"/>
  <c r="Q298" i="14" s="1"/>
  <c r="P298" i="14" a="1"/>
  <c r="P298" i="14" s="1"/>
  <c r="O298" i="14" a="1"/>
  <c r="O298" i="14" s="1"/>
  <c r="N298" i="14" a="1"/>
  <c r="N298" i="14" s="1"/>
  <c r="M298" i="14" a="1"/>
  <c r="M298" i="14" s="1"/>
  <c r="L298" i="14" a="1"/>
  <c r="L298" i="14" s="1"/>
  <c r="K298" i="14" a="1"/>
  <c r="K298" i="14" s="1"/>
  <c r="J298" i="14" a="1"/>
  <c r="J298" i="14" s="1"/>
  <c r="I298" i="14" a="1"/>
  <c r="I298" i="14" s="1"/>
  <c r="H298" i="14" a="1"/>
  <c r="H298" i="14" s="1"/>
  <c r="G298" i="14" a="1"/>
  <c r="G298" i="14" s="1"/>
  <c r="F298" i="14" a="1"/>
  <c r="F298" i="14" s="1"/>
  <c r="T297" i="14" a="1"/>
  <c r="T297" i="14" s="1"/>
  <c r="S297" i="14" a="1"/>
  <c r="S297" i="14" s="1"/>
  <c r="R297" i="14" a="1"/>
  <c r="R297" i="14" s="1"/>
  <c r="Q297" i="14" a="1"/>
  <c r="Q297" i="14" s="1"/>
  <c r="P297" i="14" a="1"/>
  <c r="P297" i="14" s="1"/>
  <c r="O297" i="14" a="1"/>
  <c r="O297" i="14" s="1"/>
  <c r="N297" i="14"/>
  <c r="N297" i="14" a="1"/>
  <c r="M297" i="14" a="1"/>
  <c r="M297" i="14" s="1"/>
  <c r="L297" i="14" a="1"/>
  <c r="L297" i="14" s="1"/>
  <c r="K297" i="14" a="1"/>
  <c r="K297" i="14" s="1"/>
  <c r="J297" i="14" a="1"/>
  <c r="J297" i="14" s="1"/>
  <c r="I297" i="14" a="1"/>
  <c r="I297" i="14" s="1"/>
  <c r="H297" i="14" a="1"/>
  <c r="H297" i="14" s="1"/>
  <c r="G297" i="14"/>
  <c r="G297" i="14" a="1"/>
  <c r="F297" i="14" a="1"/>
  <c r="F297" i="14" s="1"/>
  <c r="T296" i="14" a="1"/>
  <c r="T296" i="14" s="1"/>
  <c r="S296" i="14" a="1"/>
  <c r="S296" i="14" s="1"/>
  <c r="R296" i="14" a="1"/>
  <c r="R296" i="14" s="1"/>
  <c r="Q296" i="14" a="1"/>
  <c r="Q296" i="14" s="1"/>
  <c r="P296" i="14" a="1"/>
  <c r="P296" i="14" s="1"/>
  <c r="O296" i="14" a="1"/>
  <c r="O296" i="14" s="1"/>
  <c r="N296" i="14" a="1"/>
  <c r="N296" i="14" s="1"/>
  <c r="M296" i="14" a="1"/>
  <c r="M296" i="14" s="1"/>
  <c r="L296" i="14" a="1"/>
  <c r="L296" i="14" s="1"/>
  <c r="K296" i="14" a="1"/>
  <c r="K296" i="14" s="1"/>
  <c r="J296" i="14" a="1"/>
  <c r="J296" i="14" s="1"/>
  <c r="I296" i="14" a="1"/>
  <c r="I296" i="14" s="1"/>
  <c r="H296" i="14" a="1"/>
  <c r="H296" i="14" s="1"/>
  <c r="G296" i="14" a="1"/>
  <c r="G296" i="14" s="1"/>
  <c r="F296" i="14" a="1"/>
  <c r="F296" i="14" s="1"/>
  <c r="T295" i="14" a="1"/>
  <c r="T295" i="14" s="1"/>
  <c r="S295" i="14" a="1"/>
  <c r="S295" i="14" s="1"/>
  <c r="R295" i="14" a="1"/>
  <c r="R295" i="14" s="1"/>
  <c r="Q295" i="14" a="1"/>
  <c r="Q295" i="14" s="1"/>
  <c r="P295" i="14" a="1"/>
  <c r="P295" i="14" s="1"/>
  <c r="O295" i="14" a="1"/>
  <c r="O295" i="14" s="1"/>
  <c r="N295" i="14" a="1"/>
  <c r="N295" i="14" s="1"/>
  <c r="M295" i="14" a="1"/>
  <c r="M295" i="14" s="1"/>
  <c r="L295" i="14" a="1"/>
  <c r="L295" i="14" s="1"/>
  <c r="K295" i="14" a="1"/>
  <c r="K295" i="14" s="1"/>
  <c r="J295" i="14" a="1"/>
  <c r="J295" i="14" s="1"/>
  <c r="I295" i="14" a="1"/>
  <c r="I295" i="14" s="1"/>
  <c r="H295" i="14" a="1"/>
  <c r="H295" i="14" s="1"/>
  <c r="G295" i="14" a="1"/>
  <c r="G295" i="14" s="1"/>
  <c r="F295" i="14" a="1"/>
  <c r="F295" i="14" s="1"/>
  <c r="T294" i="14" a="1"/>
  <c r="T294" i="14" s="1"/>
  <c r="S294" i="14" a="1"/>
  <c r="S294" i="14" s="1"/>
  <c r="R294" i="14" a="1"/>
  <c r="R294" i="14" s="1"/>
  <c r="Q294" i="14" a="1"/>
  <c r="Q294" i="14" s="1"/>
  <c r="P294" i="14" a="1"/>
  <c r="P294" i="14" s="1"/>
  <c r="O294" i="14" a="1"/>
  <c r="O294" i="14" s="1"/>
  <c r="N294" i="14" a="1"/>
  <c r="N294" i="14" s="1"/>
  <c r="M294" i="14" a="1"/>
  <c r="M294" i="14" s="1"/>
  <c r="L294" i="14" a="1"/>
  <c r="L294" i="14" s="1"/>
  <c r="K294" i="14" a="1"/>
  <c r="K294" i="14" s="1"/>
  <c r="J294" i="14" a="1"/>
  <c r="J294" i="14" s="1"/>
  <c r="I294" i="14"/>
  <c r="I294" i="14" a="1"/>
  <c r="H294" i="14" a="1"/>
  <c r="H294" i="14" s="1"/>
  <c r="G294" i="14" a="1"/>
  <c r="G294" i="14" s="1"/>
  <c r="F294" i="14" a="1"/>
  <c r="F294" i="14" s="1"/>
  <c r="T293" i="14" a="1"/>
  <c r="T293" i="14" s="1"/>
  <c r="S293" i="14" a="1"/>
  <c r="S293" i="14" s="1"/>
  <c r="R293" i="14" a="1"/>
  <c r="R293" i="14" s="1"/>
  <c r="Q293" i="14" a="1"/>
  <c r="Q293" i="14" s="1"/>
  <c r="P293" i="14" a="1"/>
  <c r="P293" i="14" s="1"/>
  <c r="O293" i="14" a="1"/>
  <c r="O293" i="14" s="1"/>
  <c r="N293" i="14" a="1"/>
  <c r="N293" i="14" s="1"/>
  <c r="M293" i="14" a="1"/>
  <c r="M293" i="14" s="1"/>
  <c r="L293" i="14" a="1"/>
  <c r="L293" i="14" s="1"/>
  <c r="K293" i="14" a="1"/>
  <c r="K293" i="14" s="1"/>
  <c r="J293" i="14"/>
  <c r="J293" i="14" a="1"/>
  <c r="I293" i="14" a="1"/>
  <c r="I293" i="14" s="1"/>
  <c r="H293" i="14" a="1"/>
  <c r="H293" i="14" s="1"/>
  <c r="G293" i="14" a="1"/>
  <c r="G293" i="14" s="1"/>
  <c r="F293" i="14" a="1"/>
  <c r="F293" i="14" s="1"/>
  <c r="T292" i="14" a="1"/>
  <c r="T292" i="14" s="1"/>
  <c r="S292" i="14" a="1"/>
  <c r="S292" i="14" s="1"/>
  <c r="R292" i="14" a="1"/>
  <c r="R292" i="14" s="1"/>
  <c r="Q292" i="14" a="1"/>
  <c r="Q292" i="14" s="1"/>
  <c r="P292" i="14" a="1"/>
  <c r="P292" i="14" s="1"/>
  <c r="O292" i="14" a="1"/>
  <c r="O292" i="14" s="1"/>
  <c r="N292" i="14" a="1"/>
  <c r="N292" i="14" s="1"/>
  <c r="M292" i="14" a="1"/>
  <c r="M292" i="14" s="1"/>
  <c r="L292" i="14" a="1"/>
  <c r="L292" i="14" s="1"/>
  <c r="K292" i="14" a="1"/>
  <c r="K292" i="14" s="1"/>
  <c r="J292" i="14" a="1"/>
  <c r="J292" i="14" s="1"/>
  <c r="I292" i="14" a="1"/>
  <c r="I292" i="14" s="1"/>
  <c r="H292" i="14" a="1"/>
  <c r="H292" i="14" s="1"/>
  <c r="G292" i="14" a="1"/>
  <c r="G292" i="14" s="1"/>
  <c r="F292" i="14" a="1"/>
  <c r="F292" i="14" s="1"/>
  <c r="T291" i="14" a="1"/>
  <c r="T291" i="14" s="1"/>
  <c r="S291" i="14" a="1"/>
  <c r="S291" i="14" s="1"/>
  <c r="R291" i="14" a="1"/>
  <c r="R291" i="14" s="1"/>
  <c r="Q291" i="14" a="1"/>
  <c r="Q291" i="14" s="1"/>
  <c r="P291" i="14" a="1"/>
  <c r="P291" i="14" s="1"/>
  <c r="O291" i="14" a="1"/>
  <c r="O291" i="14" s="1"/>
  <c r="N291" i="14" a="1"/>
  <c r="N291" i="14" s="1"/>
  <c r="M291" i="14" a="1"/>
  <c r="M291" i="14" s="1"/>
  <c r="L291" i="14" a="1"/>
  <c r="L291" i="14" s="1"/>
  <c r="K291" i="14" a="1"/>
  <c r="K291" i="14" s="1"/>
  <c r="J291" i="14" a="1"/>
  <c r="J291" i="14" s="1"/>
  <c r="I291" i="14" a="1"/>
  <c r="I291" i="14" s="1"/>
  <c r="H291" i="14" a="1"/>
  <c r="H291" i="14" s="1"/>
  <c r="G291" i="14" a="1"/>
  <c r="G291" i="14" s="1"/>
  <c r="F291" i="14" a="1"/>
  <c r="F291" i="14" s="1"/>
  <c r="T290" i="14" a="1"/>
  <c r="T290" i="14" s="1"/>
  <c r="S290" i="14" a="1"/>
  <c r="S290" i="14" s="1"/>
  <c r="R290" i="14" a="1"/>
  <c r="R290" i="14" s="1"/>
  <c r="Q290" i="14" a="1"/>
  <c r="Q290" i="14" s="1"/>
  <c r="P290" i="14" a="1"/>
  <c r="P290" i="14" s="1"/>
  <c r="O290" i="14" a="1"/>
  <c r="O290" i="14" s="1"/>
  <c r="N290" i="14" a="1"/>
  <c r="N290" i="14" s="1"/>
  <c r="M290" i="14" a="1"/>
  <c r="M290" i="14" s="1"/>
  <c r="L290" i="14" a="1"/>
  <c r="L290" i="14" s="1"/>
  <c r="K290" i="14" a="1"/>
  <c r="K290" i="14" s="1"/>
  <c r="J290" i="14" a="1"/>
  <c r="J290" i="14" s="1"/>
  <c r="I290" i="14" a="1"/>
  <c r="I290" i="14" s="1"/>
  <c r="H290" i="14"/>
  <c r="H290" i="14" a="1"/>
  <c r="G290" i="14" a="1"/>
  <c r="G290" i="14" s="1"/>
  <c r="F290" i="14" a="1"/>
  <c r="F290" i="14" s="1"/>
  <c r="T289" i="14" a="1"/>
  <c r="T289" i="14" s="1"/>
  <c r="S289" i="14" a="1"/>
  <c r="S289" i="14" s="1"/>
  <c r="R289" i="14" a="1"/>
  <c r="R289" i="14" s="1"/>
  <c r="Q289" i="14" a="1"/>
  <c r="Q289" i="14" s="1"/>
  <c r="P289" i="14" a="1"/>
  <c r="P289" i="14" s="1"/>
  <c r="O289" i="14" a="1"/>
  <c r="O289" i="14" s="1"/>
  <c r="N289" i="14" a="1"/>
  <c r="N289" i="14" s="1"/>
  <c r="M289" i="14" a="1"/>
  <c r="M289" i="14" s="1"/>
  <c r="L289" i="14" a="1"/>
  <c r="L289" i="14" s="1"/>
  <c r="K289" i="14" a="1"/>
  <c r="K289" i="14" s="1"/>
  <c r="J289" i="14" a="1"/>
  <c r="J289" i="14" s="1"/>
  <c r="I289" i="14" a="1"/>
  <c r="I289" i="14" s="1"/>
  <c r="H289" i="14" a="1"/>
  <c r="H289" i="14" s="1"/>
  <c r="G289" i="14" a="1"/>
  <c r="G289" i="14" s="1"/>
  <c r="F289" i="14" a="1"/>
  <c r="F289" i="14" s="1"/>
  <c r="T288" i="14" a="1"/>
  <c r="T288" i="14" s="1"/>
  <c r="S288" i="14" a="1"/>
  <c r="S288" i="14" s="1"/>
  <c r="R288" i="14" a="1"/>
  <c r="R288" i="14" s="1"/>
  <c r="Q288" i="14" a="1"/>
  <c r="Q288" i="14" s="1"/>
  <c r="P288" i="14" a="1"/>
  <c r="P288" i="14" s="1"/>
  <c r="O288" i="14" a="1"/>
  <c r="O288" i="14" s="1"/>
  <c r="N288" i="14" a="1"/>
  <c r="N288" i="14" s="1"/>
  <c r="M288" i="14" a="1"/>
  <c r="M288" i="14" s="1"/>
  <c r="L288" i="14" a="1"/>
  <c r="L288" i="14" s="1"/>
  <c r="K288" i="14"/>
  <c r="K288" i="14" a="1"/>
  <c r="J288" i="14" a="1"/>
  <c r="J288" i="14" s="1"/>
  <c r="I288" i="14" a="1"/>
  <c r="I288" i="14" s="1"/>
  <c r="H288" i="14" a="1"/>
  <c r="H288" i="14" s="1"/>
  <c r="G288" i="14" a="1"/>
  <c r="G288" i="14" s="1"/>
  <c r="F288" i="14" a="1"/>
  <c r="F288" i="14" s="1"/>
  <c r="T287" i="14" a="1"/>
  <c r="T287" i="14" s="1"/>
  <c r="S287" i="14" a="1"/>
  <c r="S287" i="14" s="1"/>
  <c r="R287" i="14" a="1"/>
  <c r="R287" i="14" s="1"/>
  <c r="Q287" i="14" a="1"/>
  <c r="Q287" i="14" s="1"/>
  <c r="P287" i="14" a="1"/>
  <c r="P287" i="14" s="1"/>
  <c r="O287" i="14" a="1"/>
  <c r="O287" i="14" s="1"/>
  <c r="N287" i="14" a="1"/>
  <c r="N287" i="14" s="1"/>
  <c r="M287" i="14" a="1"/>
  <c r="M287" i="14" s="1"/>
  <c r="L287" i="14"/>
  <c r="L287" i="14" a="1"/>
  <c r="K287" i="14" a="1"/>
  <c r="K287" i="14" s="1"/>
  <c r="J287" i="14" a="1"/>
  <c r="J287" i="14" s="1"/>
  <c r="I287" i="14" a="1"/>
  <c r="I287" i="14" s="1"/>
  <c r="H287" i="14" a="1"/>
  <c r="H287" i="14" s="1"/>
  <c r="G287" i="14" a="1"/>
  <c r="G287" i="14" s="1"/>
  <c r="F287" i="14" a="1"/>
  <c r="F287" i="14" s="1"/>
  <c r="T286" i="14"/>
  <c r="T286" i="14" a="1"/>
  <c r="S286" i="14" a="1"/>
  <c r="S286" i="14" s="1"/>
  <c r="R286" i="14" a="1"/>
  <c r="R286" i="14" s="1"/>
  <c r="Q286" i="14" a="1"/>
  <c r="Q286" i="14" s="1"/>
  <c r="P286" i="14" a="1"/>
  <c r="P286" i="14" s="1"/>
  <c r="O286" i="14" a="1"/>
  <c r="O286" i="14" s="1"/>
  <c r="N286" i="14" a="1"/>
  <c r="N286" i="14" s="1"/>
  <c r="M286" i="14" a="1"/>
  <c r="M286" i="14" s="1"/>
  <c r="L286" i="14" a="1"/>
  <c r="L286" i="14" s="1"/>
  <c r="K286" i="14" a="1"/>
  <c r="K286" i="14" s="1"/>
  <c r="J286" i="14"/>
  <c r="J286" i="14" a="1"/>
  <c r="I286" i="14" a="1"/>
  <c r="I286" i="14" s="1"/>
  <c r="H286" i="14" a="1"/>
  <c r="H286" i="14" s="1"/>
  <c r="G286" i="14" a="1"/>
  <c r="G286" i="14" s="1"/>
  <c r="F286" i="14" a="1"/>
  <c r="F286" i="14" s="1"/>
  <c r="T285" i="14" a="1"/>
  <c r="T285" i="14" s="1"/>
  <c r="S285" i="14" a="1"/>
  <c r="S285" i="14" s="1"/>
  <c r="R285" i="14" a="1"/>
  <c r="R285" i="14" s="1"/>
  <c r="Q285" i="14" a="1"/>
  <c r="Q285" i="14" s="1"/>
  <c r="P285" i="14"/>
  <c r="P285" i="14" a="1"/>
  <c r="O285" i="14" a="1"/>
  <c r="O285" i="14" s="1"/>
  <c r="N285" i="14" a="1"/>
  <c r="N285" i="14" s="1"/>
  <c r="M285" i="14" a="1"/>
  <c r="M285" i="14" s="1"/>
  <c r="L285" i="14" a="1"/>
  <c r="L285" i="14" s="1"/>
  <c r="K285" i="14" a="1"/>
  <c r="K285" i="14" s="1"/>
  <c r="J285" i="14" a="1"/>
  <c r="J285" i="14" s="1"/>
  <c r="I285" i="14" a="1"/>
  <c r="I285" i="14" s="1"/>
  <c r="H285" i="14"/>
  <c r="H285" i="14" a="1"/>
  <c r="G285" i="14" a="1"/>
  <c r="G285" i="14" s="1"/>
  <c r="F285" i="14" a="1"/>
  <c r="F285" i="14" s="1"/>
  <c r="T284" i="14" a="1"/>
  <c r="T284" i="14" s="1"/>
  <c r="S284" i="14" a="1"/>
  <c r="S284" i="14" s="1"/>
  <c r="R284" i="14"/>
  <c r="R284" i="14" a="1"/>
  <c r="Q284" i="14" a="1"/>
  <c r="Q284" i="14" s="1"/>
  <c r="P284" i="14" a="1"/>
  <c r="P284" i="14" s="1"/>
  <c r="O284" i="14" a="1"/>
  <c r="O284" i="14" s="1"/>
  <c r="N284" i="14" a="1"/>
  <c r="N284" i="14" s="1"/>
  <c r="M284" i="14"/>
  <c r="M284" i="14" a="1"/>
  <c r="L284" i="14" a="1"/>
  <c r="L284" i="14" s="1"/>
  <c r="K284" i="14" a="1"/>
  <c r="K284" i="14" s="1"/>
  <c r="J284" i="14" a="1"/>
  <c r="J284" i="14" s="1"/>
  <c r="I284" i="14" a="1"/>
  <c r="I284" i="14" s="1"/>
  <c r="H284" i="14" a="1"/>
  <c r="H284" i="14" s="1"/>
  <c r="G284" i="14"/>
  <c r="G284" i="14" a="1"/>
  <c r="F284" i="14" a="1"/>
  <c r="F284" i="14" s="1"/>
  <c r="T283" i="14" a="1"/>
  <c r="T283" i="14" s="1"/>
  <c r="S283" i="14" a="1"/>
  <c r="S283" i="14" s="1"/>
  <c r="R283" i="14" a="1"/>
  <c r="R283" i="14" s="1"/>
  <c r="Q283" i="14" a="1"/>
  <c r="Q283" i="14" s="1"/>
  <c r="P283" i="14" a="1"/>
  <c r="P283" i="14" s="1"/>
  <c r="O283" i="14" a="1"/>
  <c r="O283" i="14" s="1"/>
  <c r="N283" i="14" a="1"/>
  <c r="N283" i="14" s="1"/>
  <c r="M283" i="14" a="1"/>
  <c r="M283" i="14" s="1"/>
  <c r="L283" i="14"/>
  <c r="L283" i="14" a="1"/>
  <c r="K283" i="14" a="1"/>
  <c r="K283" i="14" s="1"/>
  <c r="J283" i="14" a="1"/>
  <c r="J283" i="14" s="1"/>
  <c r="I283" i="14" a="1"/>
  <c r="I283" i="14" s="1"/>
  <c r="H283" i="14" a="1"/>
  <c r="H283" i="14" s="1"/>
  <c r="G283" i="14" a="1"/>
  <c r="G283" i="14" s="1"/>
  <c r="F283" i="14" a="1"/>
  <c r="F283" i="14" s="1"/>
  <c r="T282" i="14" a="1"/>
  <c r="T282" i="14" s="1"/>
  <c r="S282" i="14" a="1"/>
  <c r="S282" i="14" s="1"/>
  <c r="R282" i="14" a="1"/>
  <c r="R282" i="14" s="1"/>
  <c r="Q282" i="14" a="1"/>
  <c r="Q282" i="14" s="1"/>
  <c r="P282" i="14" a="1"/>
  <c r="P282" i="14" s="1"/>
  <c r="O282" i="14" a="1"/>
  <c r="O282" i="14" s="1"/>
  <c r="N282" i="14" a="1"/>
  <c r="N282" i="14" s="1"/>
  <c r="M282" i="14"/>
  <c r="M282" i="14" a="1"/>
  <c r="L282" i="14" a="1"/>
  <c r="L282" i="14" s="1"/>
  <c r="K282" i="14" a="1"/>
  <c r="K282" i="14" s="1"/>
  <c r="J282" i="14" a="1"/>
  <c r="J282" i="14" s="1"/>
  <c r="I282" i="14" a="1"/>
  <c r="I282" i="14" s="1"/>
  <c r="H282" i="14" a="1"/>
  <c r="H282" i="14" s="1"/>
  <c r="G282" i="14" a="1"/>
  <c r="G282" i="14" s="1"/>
  <c r="F282" i="14" a="1"/>
  <c r="F282" i="14" s="1"/>
  <c r="T281" i="14" a="1"/>
  <c r="T281" i="14" s="1"/>
  <c r="S281" i="14"/>
  <c r="S281" i="14" a="1"/>
  <c r="R281" i="14" a="1"/>
  <c r="R281" i="14" s="1"/>
  <c r="Q281" i="14" a="1"/>
  <c r="Q281" i="14" s="1"/>
  <c r="P281" i="14" a="1"/>
  <c r="P281" i="14" s="1"/>
  <c r="O281" i="14"/>
  <c r="O281" i="14" a="1"/>
  <c r="N281" i="14" a="1"/>
  <c r="N281" i="14" s="1"/>
  <c r="M281" i="14" a="1"/>
  <c r="M281" i="14" s="1"/>
  <c r="L281" i="14" a="1"/>
  <c r="L281" i="14" s="1"/>
  <c r="K281" i="14" a="1"/>
  <c r="K281" i="14" s="1"/>
  <c r="J281" i="14" a="1"/>
  <c r="J281" i="14" s="1"/>
  <c r="I281" i="14" a="1"/>
  <c r="I281" i="14" s="1"/>
  <c r="H281" i="14" a="1"/>
  <c r="H281" i="14" s="1"/>
  <c r="G281" i="14" a="1"/>
  <c r="G281" i="14" s="1"/>
  <c r="F281" i="14" a="1"/>
  <c r="F281" i="14" s="1"/>
  <c r="T280" i="14" a="1"/>
  <c r="T280" i="14" s="1"/>
  <c r="S280" i="14"/>
  <c r="S280" i="14" a="1"/>
  <c r="R280" i="14"/>
  <c r="R280" i="14" a="1"/>
  <c r="Q280" i="14" a="1"/>
  <c r="Q280" i="14" s="1"/>
  <c r="P280" i="14" a="1"/>
  <c r="P280" i="14" s="1"/>
  <c r="O280" i="14" a="1"/>
  <c r="O280" i="14" s="1"/>
  <c r="N280" i="14"/>
  <c r="N280" i="14" a="1"/>
  <c r="M280" i="14" a="1"/>
  <c r="M280" i="14" s="1"/>
  <c r="L280" i="14" a="1"/>
  <c r="L280" i="14" s="1"/>
  <c r="K280" i="14" a="1"/>
  <c r="K280" i="14" s="1"/>
  <c r="J280" i="14" a="1"/>
  <c r="J280" i="14" s="1"/>
  <c r="I280" i="14" a="1"/>
  <c r="I280" i="14" s="1"/>
  <c r="H280" i="14" a="1"/>
  <c r="H280" i="14" s="1"/>
  <c r="G280" i="14" a="1"/>
  <c r="G280" i="14" s="1"/>
  <c r="F280" i="14" a="1"/>
  <c r="F280" i="14" s="1"/>
  <c r="T279" i="14" a="1"/>
  <c r="T279" i="14" s="1"/>
  <c r="S279" i="14"/>
  <c r="S279" i="14" a="1"/>
  <c r="R279" i="14" a="1"/>
  <c r="R279" i="14" s="1"/>
  <c r="Q279" i="14" a="1"/>
  <c r="Q279" i="14" s="1"/>
  <c r="P279" i="14"/>
  <c r="P279" i="14" a="1"/>
  <c r="O279" i="14" a="1"/>
  <c r="O279" i="14" s="1"/>
  <c r="N279" i="14" a="1"/>
  <c r="N279" i="14" s="1"/>
  <c r="M279" i="14" a="1"/>
  <c r="M279" i="14" s="1"/>
  <c r="L279" i="14" a="1"/>
  <c r="L279" i="14" s="1"/>
  <c r="K279" i="14"/>
  <c r="K279" i="14" a="1"/>
  <c r="J279" i="14" a="1"/>
  <c r="J279" i="14" s="1"/>
  <c r="I279" i="14" a="1"/>
  <c r="I279" i="14" s="1"/>
  <c r="H279" i="14" a="1"/>
  <c r="H279" i="14" s="1"/>
  <c r="G279" i="14" a="1"/>
  <c r="G279" i="14" s="1"/>
  <c r="F279" i="14" a="1"/>
  <c r="F279" i="14" s="1"/>
  <c r="T278" i="14" a="1"/>
  <c r="T278" i="14" s="1"/>
  <c r="S278" i="14" a="1"/>
  <c r="S278" i="14" s="1"/>
  <c r="R278" i="14" a="1"/>
  <c r="R278" i="14" s="1"/>
  <c r="Q278" i="14" a="1"/>
  <c r="Q278" i="14" s="1"/>
  <c r="P278" i="14" a="1"/>
  <c r="P278" i="14" s="1"/>
  <c r="O278" i="14"/>
  <c r="O278" i="14" a="1"/>
  <c r="N278" i="14" a="1"/>
  <c r="N278" i="14" s="1"/>
  <c r="M278" i="14" a="1"/>
  <c r="M278" i="14" s="1"/>
  <c r="L278" i="14" a="1"/>
  <c r="L278" i="14" s="1"/>
  <c r="K278" i="14" a="1"/>
  <c r="K278" i="14" s="1"/>
  <c r="J278" i="14" a="1"/>
  <c r="J278" i="14" s="1"/>
  <c r="I278" i="14" a="1"/>
  <c r="I278" i="14" s="1"/>
  <c r="H278" i="14" a="1"/>
  <c r="H278" i="14" s="1"/>
  <c r="G278" i="14" a="1"/>
  <c r="G278" i="14" s="1"/>
  <c r="F278" i="14" a="1"/>
  <c r="F278" i="14" s="1"/>
  <c r="T277" i="14" a="1"/>
  <c r="T277" i="14" s="1"/>
  <c r="S277" i="14" a="1"/>
  <c r="S277" i="14" s="1"/>
  <c r="R277" i="14" a="1"/>
  <c r="R277" i="14" s="1"/>
  <c r="Q277" i="14"/>
  <c r="Q277" i="14" a="1"/>
  <c r="P277" i="14"/>
  <c r="P277" i="14" a="1"/>
  <c r="O277" i="14"/>
  <c r="O277" i="14" a="1"/>
  <c r="N277" i="14" a="1"/>
  <c r="N277" i="14" s="1"/>
  <c r="M277" i="14" a="1"/>
  <c r="M277" i="14" s="1"/>
  <c r="L277" i="14" a="1"/>
  <c r="L277" i="14" s="1"/>
  <c r="K277" i="14"/>
  <c r="K277" i="14" a="1"/>
  <c r="J277" i="14" a="1"/>
  <c r="J277" i="14" s="1"/>
  <c r="I277" i="14"/>
  <c r="I277" i="14" a="1"/>
  <c r="H277" i="14" a="1"/>
  <c r="H277" i="14" s="1"/>
  <c r="G277" i="14"/>
  <c r="G277" i="14" a="1"/>
  <c r="F277" i="14" a="1"/>
  <c r="F277" i="14" s="1"/>
  <c r="T276" i="14" a="1"/>
  <c r="T276" i="14" s="1"/>
  <c r="S276" i="14" a="1"/>
  <c r="S276" i="14" s="1"/>
  <c r="R276" i="14" a="1"/>
  <c r="R276" i="14" s="1"/>
  <c r="Q276" i="14" a="1"/>
  <c r="Q276" i="14" s="1"/>
  <c r="P276" i="14"/>
  <c r="P276" i="14" a="1"/>
  <c r="O276" i="14" a="1"/>
  <c r="O276" i="14" s="1"/>
  <c r="N276" i="14" a="1"/>
  <c r="N276" i="14" s="1"/>
  <c r="M276" i="14" a="1"/>
  <c r="M276" i="14" s="1"/>
  <c r="L276" i="14" a="1"/>
  <c r="L276" i="14" s="1"/>
  <c r="K276" i="14" a="1"/>
  <c r="K276" i="14" s="1"/>
  <c r="J276" i="14"/>
  <c r="J276" i="14" a="1"/>
  <c r="I276" i="14" a="1"/>
  <c r="I276" i="14" s="1"/>
  <c r="H276" i="14" a="1"/>
  <c r="H276" i="14" s="1"/>
  <c r="G276" i="14" a="1"/>
  <c r="G276" i="14" s="1"/>
  <c r="F276" i="14" a="1"/>
  <c r="F276" i="14" s="1"/>
  <c r="T275" i="14"/>
  <c r="T275" i="14" a="1"/>
  <c r="S275" i="14" a="1"/>
  <c r="S275" i="14" s="1"/>
  <c r="R275" i="14"/>
  <c r="R275" i="14" a="1"/>
  <c r="Q275" i="14" a="1"/>
  <c r="Q275" i="14" s="1"/>
  <c r="P275" i="14" a="1"/>
  <c r="P275" i="14" s="1"/>
  <c r="O275" i="14" a="1"/>
  <c r="O275" i="14" s="1"/>
  <c r="N275" i="14"/>
  <c r="N275" i="14" a="1"/>
  <c r="M275" i="14"/>
  <c r="M275" i="14" a="1"/>
  <c r="L275" i="14"/>
  <c r="L275" i="14" a="1"/>
  <c r="K275" i="14" a="1"/>
  <c r="K275" i="14" s="1"/>
  <c r="J275" i="14" a="1"/>
  <c r="J275" i="14" s="1"/>
  <c r="I275" i="14" a="1"/>
  <c r="I275" i="14" s="1"/>
  <c r="H275" i="14" a="1"/>
  <c r="H275" i="14" s="1"/>
  <c r="G275" i="14" a="1"/>
  <c r="G275" i="14" s="1"/>
  <c r="F275" i="14" a="1"/>
  <c r="F275" i="14" s="1"/>
  <c r="T274" i="14" a="1"/>
  <c r="T274" i="14" s="1"/>
  <c r="S274" i="14" a="1"/>
  <c r="S274" i="14" s="1"/>
  <c r="R274" i="14" a="1"/>
  <c r="R274" i="14" s="1"/>
  <c r="Q274" i="14" a="1"/>
  <c r="Q274" i="14" s="1"/>
  <c r="P274" i="14" a="1"/>
  <c r="P274" i="14" s="1"/>
  <c r="O274" i="14" a="1"/>
  <c r="O274" i="14" s="1"/>
  <c r="N274" i="14" a="1"/>
  <c r="N274" i="14" s="1"/>
  <c r="M274" i="14" a="1"/>
  <c r="M274" i="14" s="1"/>
  <c r="L274" i="14" a="1"/>
  <c r="L274" i="14" s="1"/>
  <c r="K274" i="14" a="1"/>
  <c r="K274" i="14" s="1"/>
  <c r="J274" i="14" a="1"/>
  <c r="J274" i="14" s="1"/>
  <c r="I274" i="14" a="1"/>
  <c r="I274" i="14" s="1"/>
  <c r="H274" i="14" a="1"/>
  <c r="H274" i="14" s="1"/>
  <c r="G274" i="14" a="1"/>
  <c r="G274" i="14" s="1"/>
  <c r="F274" i="14" a="1"/>
  <c r="F274" i="14" s="1"/>
  <c r="T273" i="14" a="1"/>
  <c r="T273" i="14" s="1"/>
  <c r="S273" i="14" a="1"/>
  <c r="S273" i="14" s="1"/>
  <c r="R273" i="14" a="1"/>
  <c r="R273" i="14" s="1"/>
  <c r="Q273" i="14" a="1"/>
  <c r="Q273" i="14" s="1"/>
  <c r="P273" i="14" a="1"/>
  <c r="P273" i="14" s="1"/>
  <c r="O273" i="14" a="1"/>
  <c r="O273" i="14" s="1"/>
  <c r="N273" i="14" a="1"/>
  <c r="N273" i="14" s="1"/>
  <c r="M273" i="14"/>
  <c r="M273" i="14" a="1"/>
  <c r="L273" i="14" a="1"/>
  <c r="L273" i="14" s="1"/>
  <c r="K273" i="14" a="1"/>
  <c r="K273" i="14" s="1"/>
  <c r="J273" i="14" a="1"/>
  <c r="J273" i="14" s="1"/>
  <c r="I273" i="14" a="1"/>
  <c r="I273" i="14" s="1"/>
  <c r="H273" i="14" a="1"/>
  <c r="H273" i="14" s="1"/>
  <c r="G273" i="14"/>
  <c r="G273" i="14" a="1"/>
  <c r="F273" i="14" a="1"/>
  <c r="F273" i="14" s="1"/>
  <c r="T272" i="14"/>
  <c r="T272" i="14" a="1"/>
  <c r="S272" i="14"/>
  <c r="S272" i="14" a="1"/>
  <c r="R272" i="14" a="1"/>
  <c r="R272" i="14" s="1"/>
  <c r="Q272" i="14"/>
  <c r="Q272" i="14" a="1"/>
  <c r="P272" i="14" a="1"/>
  <c r="P272" i="14" s="1"/>
  <c r="O272" i="14" a="1"/>
  <c r="O272" i="14" s="1"/>
  <c r="N272" i="14" a="1"/>
  <c r="N272" i="14" s="1"/>
  <c r="M272" i="14" a="1"/>
  <c r="M272" i="14" s="1"/>
  <c r="L272" i="14" a="1"/>
  <c r="L272" i="14" s="1"/>
  <c r="K272" i="14"/>
  <c r="K272" i="14" a="1"/>
  <c r="J272" i="14"/>
  <c r="J272" i="14" a="1"/>
  <c r="I272" i="14" a="1"/>
  <c r="I272" i="14" s="1"/>
  <c r="H272" i="14" a="1"/>
  <c r="H272" i="14" s="1"/>
  <c r="G272" i="14" a="1"/>
  <c r="G272" i="14" s="1"/>
  <c r="F272" i="14" a="1"/>
  <c r="F272" i="14" s="1"/>
  <c r="T271" i="14" a="1"/>
  <c r="T271" i="14" s="1"/>
  <c r="S271" i="14" a="1"/>
  <c r="S271" i="14" s="1"/>
  <c r="R271" i="14" a="1"/>
  <c r="R271" i="14" s="1"/>
  <c r="Q271" i="14" a="1"/>
  <c r="Q271" i="14" s="1"/>
  <c r="P271" i="14" a="1"/>
  <c r="P271" i="14" s="1"/>
  <c r="O271" i="14" a="1"/>
  <c r="O271" i="14" s="1"/>
  <c r="N271" i="14"/>
  <c r="N271" i="14" a="1"/>
  <c r="M271" i="14" a="1"/>
  <c r="M271" i="14" s="1"/>
  <c r="L271" i="14" a="1"/>
  <c r="L271" i="14" s="1"/>
  <c r="K271" i="14" a="1"/>
  <c r="K271" i="14" s="1"/>
  <c r="J271" i="14" a="1"/>
  <c r="J271" i="14" s="1"/>
  <c r="I271" i="14" a="1"/>
  <c r="I271" i="14" s="1"/>
  <c r="H271" i="14"/>
  <c r="H271" i="14" a="1"/>
  <c r="G271" i="14" a="1"/>
  <c r="G271" i="14" s="1"/>
  <c r="F271" i="14" a="1"/>
  <c r="F271" i="14" s="1"/>
  <c r="T270" i="14" a="1"/>
  <c r="T270" i="14" s="1"/>
  <c r="S270" i="14" a="1"/>
  <c r="S270" i="14" s="1"/>
  <c r="R270" i="14"/>
  <c r="R270" i="14" a="1"/>
  <c r="Q270" i="14" a="1"/>
  <c r="Q270" i="14" s="1"/>
  <c r="P270" i="14" a="1"/>
  <c r="P270" i="14" s="1"/>
  <c r="O270" i="14"/>
  <c r="O270" i="14" a="1"/>
  <c r="N270" i="14" a="1"/>
  <c r="N270" i="14" s="1"/>
  <c r="M270" i="14" a="1"/>
  <c r="M270" i="14" s="1"/>
  <c r="L270" i="14" a="1"/>
  <c r="L270" i="14" s="1"/>
  <c r="K270" i="14" a="1"/>
  <c r="K270" i="14" s="1"/>
  <c r="J270" i="14" a="1"/>
  <c r="J270" i="14" s="1"/>
  <c r="I270" i="14" a="1"/>
  <c r="I270" i="14" s="1"/>
  <c r="H270" i="14" a="1"/>
  <c r="H270" i="14" s="1"/>
  <c r="G270" i="14" a="1"/>
  <c r="G270" i="14" s="1"/>
  <c r="F270" i="14" a="1"/>
  <c r="F270" i="14" s="1"/>
  <c r="T269" i="14" a="1"/>
  <c r="T269" i="14" s="1"/>
  <c r="S269" i="14" a="1"/>
  <c r="S269" i="14" s="1"/>
  <c r="R269" i="14" a="1"/>
  <c r="R269" i="14" s="1"/>
  <c r="Q269" i="14"/>
  <c r="Q269" i="14" a="1"/>
  <c r="P269" i="14" a="1"/>
  <c r="P269" i="14" s="1"/>
  <c r="O269" i="14" a="1"/>
  <c r="O269" i="14" s="1"/>
  <c r="N269" i="14" a="1"/>
  <c r="N269" i="14" s="1"/>
  <c r="M269" i="14" a="1"/>
  <c r="M269" i="14" s="1"/>
  <c r="L269" i="14" a="1"/>
  <c r="L269" i="14" s="1"/>
  <c r="K269" i="14" a="1"/>
  <c r="K269" i="14" s="1"/>
  <c r="J269" i="14" a="1"/>
  <c r="J269" i="14" s="1"/>
  <c r="I269" i="14" a="1"/>
  <c r="I269" i="14" s="1"/>
  <c r="H269" i="14" a="1"/>
  <c r="H269" i="14" s="1"/>
  <c r="G269" i="14"/>
  <c r="G269" i="14" a="1"/>
  <c r="F269" i="14" a="1"/>
  <c r="F269" i="14" s="1"/>
  <c r="T268" i="14" a="1"/>
  <c r="T268" i="14" s="1"/>
  <c r="S268" i="14" a="1"/>
  <c r="S268" i="14" s="1"/>
  <c r="R268" i="14" a="1"/>
  <c r="R268" i="14" s="1"/>
  <c r="Q268" i="14" a="1"/>
  <c r="Q268" i="14" s="1"/>
  <c r="P268" i="14"/>
  <c r="P268" i="14" a="1"/>
  <c r="O268" i="14" a="1"/>
  <c r="O268" i="14" s="1"/>
  <c r="N268" i="14" a="1"/>
  <c r="N268" i="14" s="1"/>
  <c r="M268" i="14"/>
  <c r="M268" i="14" a="1"/>
  <c r="L268" i="14" a="1"/>
  <c r="L268" i="14" s="1"/>
  <c r="K268" i="14" a="1"/>
  <c r="K268" i="14" s="1"/>
  <c r="J268" i="14" a="1"/>
  <c r="J268" i="14" s="1"/>
  <c r="I268" i="14" a="1"/>
  <c r="I268" i="14" s="1"/>
  <c r="H268" i="14"/>
  <c r="H268" i="14" a="1"/>
  <c r="G268" i="14" a="1"/>
  <c r="G268" i="14" s="1"/>
  <c r="F268" i="14"/>
  <c r="F268" i="14" a="1"/>
  <c r="T267" i="14"/>
  <c r="T267" i="14" a="1"/>
  <c r="S267" i="14" a="1"/>
  <c r="S267" i="14" s="1"/>
  <c r="R267" i="14" a="1"/>
  <c r="R267" i="14" s="1"/>
  <c r="Q267" i="14" a="1"/>
  <c r="Q267" i="14" s="1"/>
  <c r="P267" i="14" a="1"/>
  <c r="P267" i="14" s="1"/>
  <c r="O267" i="14" a="1"/>
  <c r="O267" i="14" s="1"/>
  <c r="N267" i="14"/>
  <c r="N267" i="14" a="1"/>
  <c r="M267" i="14"/>
  <c r="M267" i="14" a="1"/>
  <c r="L267" i="14" a="1"/>
  <c r="L267" i="14" s="1"/>
  <c r="K267" i="14" a="1"/>
  <c r="K267" i="14" s="1"/>
  <c r="J267" i="14" a="1"/>
  <c r="J267" i="14" s="1"/>
  <c r="I267" i="14" a="1"/>
  <c r="I267" i="14" s="1"/>
  <c r="H267" i="14" a="1"/>
  <c r="H267" i="14" s="1"/>
  <c r="G267" i="14" a="1"/>
  <c r="G267" i="14" s="1"/>
  <c r="F267" i="14"/>
  <c r="F267" i="14" a="1"/>
  <c r="T266" i="14"/>
  <c r="T266" i="14" a="1"/>
  <c r="S266" i="14"/>
  <c r="S266" i="14" a="1"/>
  <c r="R266" i="14" a="1"/>
  <c r="R266" i="14" s="1"/>
  <c r="Q266" i="14" a="1"/>
  <c r="Q266" i="14" s="1"/>
  <c r="P266" i="14" a="1"/>
  <c r="P266" i="14" s="1"/>
  <c r="O266" i="14" a="1"/>
  <c r="O266" i="14" s="1"/>
  <c r="N266" i="14" a="1"/>
  <c r="N266" i="14" s="1"/>
  <c r="M266" i="14" a="1"/>
  <c r="M266" i="14" s="1"/>
  <c r="L266" i="14" a="1"/>
  <c r="L266" i="14" s="1"/>
  <c r="K266" i="14" a="1"/>
  <c r="K266" i="14" s="1"/>
  <c r="J266" i="14" a="1"/>
  <c r="J266" i="14" s="1"/>
  <c r="I266" i="14" a="1"/>
  <c r="I266" i="14" s="1"/>
  <c r="H266" i="14" a="1"/>
  <c r="H266" i="14" s="1"/>
  <c r="G266" i="14" a="1"/>
  <c r="G266" i="14" s="1"/>
  <c r="F266" i="14"/>
  <c r="F266" i="14" a="1"/>
  <c r="T265" i="14"/>
  <c r="T265" i="14" a="1"/>
  <c r="S265" i="14" a="1"/>
  <c r="S265" i="14" s="1"/>
  <c r="R265" i="14" a="1"/>
  <c r="R265" i="14" s="1"/>
  <c r="Q265" i="14" a="1"/>
  <c r="Q265" i="14" s="1"/>
  <c r="P265" i="14" a="1"/>
  <c r="P265" i="14" s="1"/>
  <c r="O265" i="14" a="1"/>
  <c r="O265" i="14" s="1"/>
  <c r="N265" i="14" a="1"/>
  <c r="N265" i="14" s="1"/>
  <c r="M265" i="14" a="1"/>
  <c r="M265" i="14" s="1"/>
  <c r="L265" i="14"/>
  <c r="L265" i="14" a="1"/>
  <c r="K265" i="14"/>
  <c r="K265" i="14" a="1"/>
  <c r="J265" i="14" a="1"/>
  <c r="J265" i="14" s="1"/>
  <c r="I265" i="14" a="1"/>
  <c r="I265" i="14" s="1"/>
  <c r="H265" i="14" a="1"/>
  <c r="H265" i="14" s="1"/>
  <c r="G265" i="14" a="1"/>
  <c r="G265" i="14" s="1"/>
  <c r="F265" i="14" a="1"/>
  <c r="F265" i="14" s="1"/>
  <c r="T264" i="14" a="1"/>
  <c r="T264" i="14" s="1"/>
  <c r="S264" i="14" a="1"/>
  <c r="S264" i="14" s="1"/>
  <c r="R264" i="14" a="1"/>
  <c r="R264" i="14" s="1"/>
  <c r="Q264" i="14" a="1"/>
  <c r="Q264" i="14" s="1"/>
  <c r="P264" i="14" a="1"/>
  <c r="P264" i="14" s="1"/>
  <c r="O264" i="14" a="1"/>
  <c r="O264" i="14" s="1"/>
  <c r="N264" i="14"/>
  <c r="N264" i="14" a="1"/>
  <c r="M264" i="14" a="1"/>
  <c r="M264" i="14" s="1"/>
  <c r="L264" i="14" a="1"/>
  <c r="L264" i="14" s="1"/>
  <c r="K264" i="14"/>
  <c r="K264" i="14" a="1"/>
  <c r="J264" i="14" a="1"/>
  <c r="J264" i="14" s="1"/>
  <c r="I264" i="14" a="1"/>
  <c r="I264" i="14" s="1"/>
  <c r="H264" i="14" a="1"/>
  <c r="H264" i="14" s="1"/>
  <c r="G264" i="14" a="1"/>
  <c r="G264" i="14" s="1"/>
  <c r="F264" i="14" a="1"/>
  <c r="F264" i="14" s="1"/>
  <c r="T263" i="14" a="1"/>
  <c r="T263" i="14" s="1"/>
  <c r="S263" i="14" a="1"/>
  <c r="S263" i="14" s="1"/>
  <c r="R263" i="14" a="1"/>
  <c r="R263" i="14" s="1"/>
  <c r="Q263" i="14"/>
  <c r="Q263" i="14" a="1"/>
  <c r="P263" i="14" a="1"/>
  <c r="P263" i="14" s="1"/>
  <c r="O263" i="14" a="1"/>
  <c r="O263" i="14" s="1"/>
  <c r="N263" i="14" a="1"/>
  <c r="N263" i="14" s="1"/>
  <c r="M263" i="14" a="1"/>
  <c r="M263" i="14" s="1"/>
  <c r="L263" i="14" a="1"/>
  <c r="L263" i="14" s="1"/>
  <c r="K263" i="14" a="1"/>
  <c r="K263" i="14" s="1"/>
  <c r="J263" i="14" a="1"/>
  <c r="J263" i="14" s="1"/>
  <c r="I263" i="14"/>
  <c r="I263" i="14" a="1"/>
  <c r="H263" i="14" a="1"/>
  <c r="H263" i="14" s="1"/>
  <c r="G263" i="14" a="1"/>
  <c r="G263" i="14" s="1"/>
  <c r="F263" i="14" a="1"/>
  <c r="F263" i="14" s="1"/>
  <c r="T262" i="14" a="1"/>
  <c r="T262" i="14" s="1"/>
  <c r="S262" i="14"/>
  <c r="S262" i="14" a="1"/>
  <c r="R262" i="14" a="1"/>
  <c r="R262" i="14" s="1"/>
  <c r="Q262" i="14"/>
  <c r="Q262" i="14" a="1"/>
  <c r="P262" i="14" a="1"/>
  <c r="P262" i="14" s="1"/>
  <c r="O262" i="14" a="1"/>
  <c r="O262" i="14" s="1"/>
  <c r="N262" i="14" a="1"/>
  <c r="N262" i="14" s="1"/>
  <c r="M262" i="14" a="1"/>
  <c r="M262" i="14" s="1"/>
  <c r="L262" i="14" a="1"/>
  <c r="L262" i="14" s="1"/>
  <c r="K262" i="14" a="1"/>
  <c r="K262" i="14" s="1"/>
  <c r="J262" i="14" a="1"/>
  <c r="J262" i="14" s="1"/>
  <c r="I262" i="14"/>
  <c r="I262" i="14" a="1"/>
  <c r="H262" i="14" a="1"/>
  <c r="H262" i="14" s="1"/>
  <c r="G262" i="14"/>
  <c r="G262" i="14" a="1"/>
  <c r="F262" i="14" a="1"/>
  <c r="F262" i="14" s="1"/>
  <c r="T261" i="14" a="1"/>
  <c r="T261" i="14" s="1"/>
  <c r="S261" i="14" a="1"/>
  <c r="S261" i="14" s="1"/>
  <c r="R261" i="14" a="1"/>
  <c r="R261" i="14" s="1"/>
  <c r="Q261" i="14" a="1"/>
  <c r="Q261" i="14" s="1"/>
  <c r="P261" i="14" a="1"/>
  <c r="P261" i="14" s="1"/>
  <c r="O261" i="14" a="1"/>
  <c r="O261" i="14" s="1"/>
  <c r="N261" i="14" a="1"/>
  <c r="N261" i="14" s="1"/>
  <c r="M261" i="14" a="1"/>
  <c r="M261" i="14" s="1"/>
  <c r="L261" i="14"/>
  <c r="L261" i="14" a="1"/>
  <c r="K261" i="14" a="1"/>
  <c r="K261" i="14" s="1"/>
  <c r="J261" i="14" a="1"/>
  <c r="J261" i="14" s="1"/>
  <c r="I261" i="14" a="1"/>
  <c r="I261" i="14" s="1"/>
  <c r="H261" i="14" a="1"/>
  <c r="H261" i="14" s="1"/>
  <c r="G261" i="14" a="1"/>
  <c r="G261" i="14" s="1"/>
  <c r="F261" i="14"/>
  <c r="F261" i="14" a="1"/>
  <c r="T260" i="14" a="1"/>
  <c r="T260" i="14" s="1"/>
  <c r="S260" i="14" a="1"/>
  <c r="S260" i="14" s="1"/>
  <c r="R260" i="14" a="1"/>
  <c r="R260" i="14" s="1"/>
  <c r="Q260" i="14" a="1"/>
  <c r="Q260" i="14" s="1"/>
  <c r="P260" i="14" a="1"/>
  <c r="P260" i="14" s="1"/>
  <c r="O260" i="14" a="1"/>
  <c r="O260" i="14" s="1"/>
  <c r="N260" i="14" a="1"/>
  <c r="N260" i="14" s="1"/>
  <c r="M260" i="14"/>
  <c r="M260" i="14" a="1"/>
  <c r="L260" i="14" a="1"/>
  <c r="L260" i="14" s="1"/>
  <c r="K260" i="14"/>
  <c r="K260" i="14" a="1"/>
  <c r="J260" i="14"/>
  <c r="J260" i="14" a="1"/>
  <c r="I260" i="14" a="1"/>
  <c r="I260" i="14" s="1"/>
  <c r="H260" i="14" a="1"/>
  <c r="H260" i="14" s="1"/>
  <c r="G260" i="14"/>
  <c r="G260" i="14" a="1"/>
  <c r="F260" i="14" a="1"/>
  <c r="F260" i="14" s="1"/>
  <c r="T259" i="14" a="1"/>
  <c r="T259" i="14" s="1"/>
  <c r="S259" i="14" a="1"/>
  <c r="S259" i="14" s="1"/>
  <c r="R259" i="14" a="1"/>
  <c r="R259" i="14" s="1"/>
  <c r="Q259" i="14" a="1"/>
  <c r="Q259" i="14" s="1"/>
  <c r="P259" i="14" a="1"/>
  <c r="P259" i="14" s="1"/>
  <c r="O259" i="14" a="1"/>
  <c r="O259" i="14" s="1"/>
  <c r="N259" i="14"/>
  <c r="N259" i="14" a="1"/>
  <c r="M259" i="14" a="1"/>
  <c r="M259" i="14" s="1"/>
  <c r="L259" i="14"/>
  <c r="L259" i="14" a="1"/>
  <c r="K259" i="14" a="1"/>
  <c r="K259" i="14" s="1"/>
  <c r="J259" i="14"/>
  <c r="J259" i="14" a="1"/>
  <c r="I259" i="14" a="1"/>
  <c r="I259" i="14" s="1"/>
  <c r="H259" i="14" a="1"/>
  <c r="H259" i="14" s="1"/>
  <c r="G259" i="14" a="1"/>
  <c r="G259" i="14" s="1"/>
  <c r="F259" i="14" a="1"/>
  <c r="F259" i="14" s="1"/>
  <c r="T258" i="14"/>
  <c r="T258" i="14" a="1"/>
  <c r="S258" i="14" a="1"/>
  <c r="S258" i="14" s="1"/>
  <c r="R258" i="14" a="1"/>
  <c r="R258" i="14" s="1"/>
  <c r="Q258" i="14"/>
  <c r="Q258" i="14" a="1"/>
  <c r="P258" i="14" a="1"/>
  <c r="P258" i="14" s="1"/>
  <c r="O258" i="14" a="1"/>
  <c r="O258" i="14" s="1"/>
  <c r="N258" i="14" a="1"/>
  <c r="N258" i="14" s="1"/>
  <c r="M258" i="14" a="1"/>
  <c r="M258" i="14" s="1"/>
  <c r="L258" i="14" a="1"/>
  <c r="L258" i="14" s="1"/>
  <c r="K258" i="14" a="1"/>
  <c r="K258" i="14" s="1"/>
  <c r="J258" i="14" a="1"/>
  <c r="J258" i="14" s="1"/>
  <c r="I258" i="14" a="1"/>
  <c r="I258" i="14" s="1"/>
  <c r="H258" i="14" a="1"/>
  <c r="H258" i="14" s="1"/>
  <c r="G258" i="14"/>
  <c r="G258" i="14" a="1"/>
  <c r="F258" i="14" a="1"/>
  <c r="F258" i="14" s="1"/>
  <c r="T257" i="14" a="1"/>
  <c r="T257" i="14" s="1"/>
  <c r="S257" i="14"/>
  <c r="S257" i="14" a="1"/>
  <c r="R257" i="14" a="1"/>
  <c r="R257" i="14" s="1"/>
  <c r="Q257" i="14" a="1"/>
  <c r="Q257" i="14" s="1"/>
  <c r="P257" i="14" a="1"/>
  <c r="P257" i="14" s="1"/>
  <c r="O257" i="14" a="1"/>
  <c r="O257" i="14" s="1"/>
  <c r="N257" i="14" a="1"/>
  <c r="N257" i="14" s="1"/>
  <c r="M257" i="14" a="1"/>
  <c r="M257" i="14" s="1"/>
  <c r="L257" i="14" a="1"/>
  <c r="L257" i="14" s="1"/>
  <c r="K257" i="14" a="1"/>
  <c r="K257" i="14" s="1"/>
  <c r="J257" i="14" a="1"/>
  <c r="J257" i="14" s="1"/>
  <c r="I257" i="14" a="1"/>
  <c r="I257" i="14" s="1"/>
  <c r="H257" i="14" a="1"/>
  <c r="H257" i="14" s="1"/>
  <c r="G257" i="14" a="1"/>
  <c r="G257" i="14" s="1"/>
  <c r="F257" i="14"/>
  <c r="F257" i="14" a="1"/>
  <c r="T256" i="14"/>
  <c r="T256" i="14" a="1"/>
  <c r="S256" i="14" a="1"/>
  <c r="S256" i="14" s="1"/>
  <c r="R256" i="14" a="1"/>
  <c r="R256" i="14" s="1"/>
  <c r="Q256" i="14" a="1"/>
  <c r="Q256" i="14" s="1"/>
  <c r="P256" i="14" a="1"/>
  <c r="P256" i="14" s="1"/>
  <c r="O256" i="14" a="1"/>
  <c r="O256" i="14" s="1"/>
  <c r="N256" i="14"/>
  <c r="N256" i="14" a="1"/>
  <c r="M256" i="14" a="1"/>
  <c r="M256" i="14" s="1"/>
  <c r="L256" i="14" a="1"/>
  <c r="L256" i="14" s="1"/>
  <c r="K256" i="14" a="1"/>
  <c r="K256" i="14" s="1"/>
  <c r="J256" i="14" a="1"/>
  <c r="J256" i="14" s="1"/>
  <c r="I256" i="14" a="1"/>
  <c r="I256" i="14" s="1"/>
  <c r="H256" i="14" a="1"/>
  <c r="H256" i="14" s="1"/>
  <c r="G256" i="14" a="1"/>
  <c r="G256" i="14" s="1"/>
  <c r="F256" i="14" a="1"/>
  <c r="F256" i="14" s="1"/>
  <c r="T255" i="14" a="1"/>
  <c r="T255" i="14" s="1"/>
  <c r="S255" i="14" a="1"/>
  <c r="S255" i="14" s="1"/>
  <c r="R255" i="14" a="1"/>
  <c r="R255" i="14" s="1"/>
  <c r="Q255" i="14"/>
  <c r="Q255" i="14" a="1"/>
  <c r="P255" i="14" a="1"/>
  <c r="P255" i="14" s="1"/>
  <c r="O255" i="14" a="1"/>
  <c r="O255" i="14" s="1"/>
  <c r="N255" i="14" a="1"/>
  <c r="N255" i="14" s="1"/>
  <c r="M255" i="14"/>
  <c r="M255" i="14" a="1"/>
  <c r="L255" i="14" a="1"/>
  <c r="L255" i="14" s="1"/>
  <c r="K255" i="14" a="1"/>
  <c r="K255" i="14" s="1"/>
  <c r="J255" i="14" a="1"/>
  <c r="J255" i="14" s="1"/>
  <c r="I255" i="14" a="1"/>
  <c r="I255" i="14" s="1"/>
  <c r="H255" i="14" a="1"/>
  <c r="H255" i="14" s="1"/>
  <c r="G255" i="14" a="1"/>
  <c r="G255" i="14" s="1"/>
  <c r="F255" i="14" a="1"/>
  <c r="F255" i="14" s="1"/>
  <c r="T254" i="14" a="1"/>
  <c r="T254" i="14" s="1"/>
  <c r="S254" i="14" a="1"/>
  <c r="S254" i="14" s="1"/>
  <c r="R254" i="14"/>
  <c r="R254" i="14" a="1"/>
  <c r="Q254" i="14" a="1"/>
  <c r="Q254" i="14" s="1"/>
  <c r="P254" i="14"/>
  <c r="P254" i="14" a="1"/>
  <c r="O254" i="14"/>
  <c r="O254" i="14" a="1"/>
  <c r="N254" i="14" a="1"/>
  <c r="N254" i="14" s="1"/>
  <c r="M254" i="14" a="1"/>
  <c r="M254" i="14" s="1"/>
  <c r="L254" i="14" a="1"/>
  <c r="L254" i="14" s="1"/>
  <c r="K254" i="14"/>
  <c r="K254" i="14" a="1"/>
  <c r="J254" i="14" a="1"/>
  <c r="J254" i="14" s="1"/>
  <c r="I254" i="14" a="1"/>
  <c r="I254" i="14" s="1"/>
  <c r="H254" i="14" a="1"/>
  <c r="H254" i="14" s="1"/>
  <c r="G254" i="14" a="1"/>
  <c r="G254" i="14" s="1"/>
  <c r="F254" i="14" a="1"/>
  <c r="F254" i="14" s="1"/>
  <c r="T253" i="14" a="1"/>
  <c r="T253" i="14" s="1"/>
  <c r="S253" i="14"/>
  <c r="S253" i="14" a="1"/>
  <c r="R253" i="14" a="1"/>
  <c r="R253" i="14" s="1"/>
  <c r="Q253" i="14" a="1"/>
  <c r="Q253" i="14" s="1"/>
  <c r="P253" i="14" a="1"/>
  <c r="P253" i="14" s="1"/>
  <c r="O253" i="14" a="1"/>
  <c r="O253" i="14" s="1"/>
  <c r="N253" i="14" a="1"/>
  <c r="N253" i="14" s="1"/>
  <c r="M253" i="14" a="1"/>
  <c r="M253" i="14" s="1"/>
  <c r="L253" i="14" a="1"/>
  <c r="L253" i="14" s="1"/>
  <c r="K253" i="14" a="1"/>
  <c r="K253" i="14" s="1"/>
  <c r="J253" i="14"/>
  <c r="J253" i="14" a="1"/>
  <c r="I253" i="14" a="1"/>
  <c r="I253" i="14" s="1"/>
  <c r="H253" i="14" a="1"/>
  <c r="H253" i="14" s="1"/>
  <c r="G253" i="14" a="1"/>
  <c r="G253" i="14" s="1"/>
  <c r="F253" i="14" a="1"/>
  <c r="F253" i="14" s="1"/>
  <c r="T252" i="14" a="1"/>
  <c r="T252" i="14" s="1"/>
  <c r="S252" i="14" a="1"/>
  <c r="S252" i="14" s="1"/>
  <c r="R252" i="14" a="1"/>
  <c r="R252" i="14" s="1"/>
  <c r="Q252" i="14" a="1"/>
  <c r="Q252" i="14" s="1"/>
  <c r="P252" i="14"/>
  <c r="P252" i="14" a="1"/>
  <c r="O252" i="14" a="1"/>
  <c r="O252" i="14" s="1"/>
  <c r="N252" i="14" a="1"/>
  <c r="N252" i="14" s="1"/>
  <c r="M252" i="14"/>
  <c r="M252" i="14" a="1"/>
  <c r="L252" i="14" a="1"/>
  <c r="L252" i="14" s="1"/>
  <c r="K252" i="14" a="1"/>
  <c r="K252" i="14" s="1"/>
  <c r="J252" i="14" a="1"/>
  <c r="J252" i="14" s="1"/>
  <c r="I252" i="14" a="1"/>
  <c r="I252" i="14" s="1"/>
  <c r="H252" i="14" a="1"/>
  <c r="H252" i="14" s="1"/>
  <c r="G252" i="14" a="1"/>
  <c r="G252" i="14" s="1"/>
  <c r="F252" i="14" a="1"/>
  <c r="F252" i="14" s="1"/>
  <c r="T251" i="14" a="1"/>
  <c r="T251" i="14" s="1"/>
  <c r="S251" i="14" a="1"/>
  <c r="S251" i="14" s="1"/>
  <c r="R251" i="14"/>
  <c r="R251" i="14" a="1"/>
  <c r="Q251" i="14"/>
  <c r="Q251" i="14" a="1"/>
  <c r="P251" i="14"/>
  <c r="P251" i="14" a="1"/>
  <c r="O251" i="14" a="1"/>
  <c r="O251" i="14" s="1"/>
  <c r="N251" i="14"/>
  <c r="N251" i="14" a="1"/>
  <c r="M251" i="14"/>
  <c r="M251" i="14" a="1"/>
  <c r="L251" i="14" a="1"/>
  <c r="L251" i="14" s="1"/>
  <c r="K251" i="14" a="1"/>
  <c r="K251" i="14" s="1"/>
  <c r="J251" i="14" a="1"/>
  <c r="J251" i="14" s="1"/>
  <c r="I251" i="14" a="1"/>
  <c r="I251" i="14" s="1"/>
  <c r="H251" i="14" a="1"/>
  <c r="H251" i="14" s="1"/>
  <c r="G251" i="14"/>
  <c r="G251" i="14" a="1"/>
  <c r="F251" i="14" a="1"/>
  <c r="F251" i="14" s="1"/>
  <c r="T250" i="14" a="1"/>
  <c r="T250" i="14" s="1"/>
  <c r="S250" i="14"/>
  <c r="S250" i="14" a="1"/>
  <c r="R250" i="14" a="1"/>
  <c r="R250" i="14" s="1"/>
  <c r="Q250" i="14" a="1"/>
  <c r="Q250" i="14" s="1"/>
  <c r="P250" i="14"/>
  <c r="P250" i="14" a="1"/>
  <c r="O250" i="14" a="1"/>
  <c r="O250" i="14" s="1"/>
  <c r="N250" i="14" a="1"/>
  <c r="N250" i="14" s="1"/>
  <c r="M250" i="14" a="1"/>
  <c r="M250" i="14" s="1"/>
  <c r="L250" i="14" a="1"/>
  <c r="L250" i="14" s="1"/>
  <c r="K250" i="14"/>
  <c r="K250" i="14" a="1"/>
  <c r="J250" i="14" a="1"/>
  <c r="J250" i="14" s="1"/>
  <c r="I250" i="14"/>
  <c r="I250" i="14" a="1"/>
  <c r="H250" i="14" a="1"/>
  <c r="H250" i="14" s="1"/>
  <c r="G250" i="14" a="1"/>
  <c r="G250" i="14" s="1"/>
  <c r="F250" i="14" a="1"/>
  <c r="F250" i="14" s="1"/>
  <c r="T249" i="14" a="1"/>
  <c r="T249" i="14" s="1"/>
  <c r="S249" i="14" a="1"/>
  <c r="S249" i="14" s="1"/>
  <c r="R249" i="14" a="1"/>
  <c r="R249" i="14" s="1"/>
  <c r="Q249" i="14" a="1"/>
  <c r="Q249" i="14" s="1"/>
  <c r="P249" i="14" a="1"/>
  <c r="P249" i="14" s="1"/>
  <c r="O249" i="14"/>
  <c r="O249" i="14" a="1"/>
  <c r="N249" i="14"/>
  <c r="N249" i="14" a="1"/>
  <c r="M249" i="14"/>
  <c r="M249" i="14" a="1"/>
  <c r="L249" i="14" a="1"/>
  <c r="L249" i="14" s="1"/>
  <c r="K249" i="14" a="1"/>
  <c r="K249" i="14" s="1"/>
  <c r="J249" i="14" a="1"/>
  <c r="J249" i="14" s="1"/>
  <c r="I249" i="14" a="1"/>
  <c r="I249" i="14" s="1"/>
  <c r="H249" i="14" a="1"/>
  <c r="H249" i="14" s="1"/>
  <c r="G249" i="14" a="1"/>
  <c r="G249" i="14" s="1"/>
  <c r="F249" i="14" a="1"/>
  <c r="F249" i="14" s="1"/>
  <c r="T248" i="14" a="1"/>
  <c r="T248" i="14" s="1"/>
  <c r="S248" i="14" a="1"/>
  <c r="S248" i="14" s="1"/>
  <c r="R248" i="14" a="1"/>
  <c r="R248" i="14" s="1"/>
  <c r="Q248" i="14" a="1"/>
  <c r="Q248" i="14" s="1"/>
  <c r="P248" i="14" a="1"/>
  <c r="P248" i="14" s="1"/>
  <c r="O248" i="14" a="1"/>
  <c r="O248" i="14" s="1"/>
  <c r="N248" i="14" a="1"/>
  <c r="N248" i="14" s="1"/>
  <c r="M248" i="14"/>
  <c r="M248" i="14" a="1"/>
  <c r="L248" i="14"/>
  <c r="L248" i="14" a="1"/>
  <c r="K248" i="14" a="1"/>
  <c r="K248" i="14" s="1"/>
  <c r="J248" i="14" a="1"/>
  <c r="J248" i="14" s="1"/>
  <c r="I248" i="14" a="1"/>
  <c r="I248" i="14" s="1"/>
  <c r="H248" i="14" a="1"/>
  <c r="H248" i="14" s="1"/>
  <c r="G248" i="14" a="1"/>
  <c r="G248" i="14" s="1"/>
  <c r="F248" i="14" a="1"/>
  <c r="F248" i="14" s="1"/>
  <c r="T247" i="14"/>
  <c r="T247" i="14" a="1"/>
  <c r="S247" i="14" a="1"/>
  <c r="S247" i="14" s="1"/>
  <c r="R247" i="14" a="1"/>
  <c r="R247" i="14" s="1"/>
  <c r="Q247" i="14" a="1"/>
  <c r="Q247" i="14" s="1"/>
  <c r="P247" i="14"/>
  <c r="P247" i="14" a="1"/>
  <c r="O247" i="14" a="1"/>
  <c r="O247" i="14" s="1"/>
  <c r="N247" i="14" a="1"/>
  <c r="N247" i="14" s="1"/>
  <c r="M247" i="14" a="1"/>
  <c r="M247" i="14" s="1"/>
  <c r="L247" i="14" a="1"/>
  <c r="L247" i="14" s="1"/>
  <c r="K247" i="14" a="1"/>
  <c r="K247" i="14" s="1"/>
  <c r="J247" i="14" a="1"/>
  <c r="J247" i="14" s="1"/>
  <c r="I247" i="14" a="1"/>
  <c r="I247" i="14" s="1"/>
  <c r="H247" i="14"/>
  <c r="H247" i="14" a="1"/>
  <c r="G247" i="14" a="1"/>
  <c r="G247" i="14" s="1"/>
  <c r="F247" i="14" a="1"/>
  <c r="F247" i="14" s="1"/>
  <c r="T246" i="14"/>
  <c r="T246" i="14" a="1"/>
  <c r="S246" i="14" a="1"/>
  <c r="S246" i="14" s="1"/>
  <c r="R246" i="14" a="1"/>
  <c r="R246" i="14" s="1"/>
  <c r="Q246" i="14" a="1"/>
  <c r="Q246" i="14" s="1"/>
  <c r="P246" i="14" a="1"/>
  <c r="P246" i="14" s="1"/>
  <c r="O246" i="14" a="1"/>
  <c r="O246" i="14" s="1"/>
  <c r="N246" i="14" a="1"/>
  <c r="N246" i="14" s="1"/>
  <c r="M246" i="14" a="1"/>
  <c r="M246" i="14" s="1"/>
  <c r="L246" i="14" a="1"/>
  <c r="L246" i="14" s="1"/>
  <c r="K246" i="14" a="1"/>
  <c r="K246" i="14" s="1"/>
  <c r="J246" i="14"/>
  <c r="J246" i="14" a="1"/>
  <c r="I246" i="14"/>
  <c r="I246" i="14" a="1"/>
  <c r="H246" i="14" a="1"/>
  <c r="H246" i="14" s="1"/>
  <c r="G246" i="14" a="1"/>
  <c r="G246" i="14" s="1"/>
  <c r="F246" i="14" a="1"/>
  <c r="F246" i="14" s="1"/>
  <c r="T245" i="14" a="1"/>
  <c r="T245" i="14" s="1"/>
  <c r="S245" i="14" a="1"/>
  <c r="S245" i="14" s="1"/>
  <c r="R245" i="14" a="1"/>
  <c r="R245" i="14" s="1"/>
  <c r="Q245" i="14" a="1"/>
  <c r="Q245" i="14" s="1"/>
  <c r="P245" i="14" a="1"/>
  <c r="P245" i="14" s="1"/>
  <c r="O245" i="14" a="1"/>
  <c r="O245" i="14" s="1"/>
  <c r="N245" i="14" a="1"/>
  <c r="N245" i="14" s="1"/>
  <c r="M245" i="14" a="1"/>
  <c r="M245" i="14" s="1"/>
  <c r="L245" i="14" a="1"/>
  <c r="L245" i="14" s="1"/>
  <c r="K245" i="14"/>
  <c r="K245" i="14" a="1"/>
  <c r="J245" i="14" a="1"/>
  <c r="J245" i="14" s="1"/>
  <c r="I245" i="14" a="1"/>
  <c r="I245" i="14" s="1"/>
  <c r="H245" i="14" a="1"/>
  <c r="H245" i="14" s="1"/>
  <c r="G245" i="14" a="1"/>
  <c r="G245" i="14" s="1"/>
  <c r="F245" i="14" a="1"/>
  <c r="F245" i="14" s="1"/>
  <c r="T244" i="14" a="1"/>
  <c r="T244" i="14" s="1"/>
  <c r="S244" i="14" a="1"/>
  <c r="S244" i="14" s="1"/>
  <c r="R244" i="14" a="1"/>
  <c r="R244" i="14" s="1"/>
  <c r="Q244" i="14" a="1"/>
  <c r="Q244" i="14" s="1"/>
  <c r="P244" i="14"/>
  <c r="P244" i="14" a="1"/>
  <c r="O244" i="14" a="1"/>
  <c r="O244" i="14" s="1"/>
  <c r="N244" i="14"/>
  <c r="N244" i="14" a="1"/>
  <c r="M244" i="14" a="1"/>
  <c r="M244" i="14" s="1"/>
  <c r="L244" i="14" a="1"/>
  <c r="L244" i="14" s="1"/>
  <c r="K244" i="14" a="1"/>
  <c r="K244" i="14" s="1"/>
  <c r="J244" i="14" a="1"/>
  <c r="J244" i="14" s="1"/>
  <c r="I244" i="14"/>
  <c r="I244" i="14" a="1"/>
  <c r="H244" i="14" a="1"/>
  <c r="H244" i="14" s="1"/>
  <c r="G244" i="14" a="1"/>
  <c r="G244" i="14" s="1"/>
  <c r="F244" i="14"/>
  <c r="F244" i="14" a="1"/>
  <c r="T243" i="14" a="1"/>
  <c r="T243" i="14" s="1"/>
  <c r="S243" i="14" a="1"/>
  <c r="S243" i="14" s="1"/>
  <c r="R243" i="14" a="1"/>
  <c r="R243" i="14" s="1"/>
  <c r="Q243" i="14"/>
  <c r="Q243" i="14" a="1"/>
  <c r="P243" i="14" a="1"/>
  <c r="P243" i="14" s="1"/>
  <c r="O243" i="14" a="1"/>
  <c r="O243" i="14" s="1"/>
  <c r="N243" i="14" a="1"/>
  <c r="N243" i="14" s="1"/>
  <c r="M243" i="14"/>
  <c r="M243" i="14" a="1"/>
  <c r="L243" i="14" a="1"/>
  <c r="L243" i="14" s="1"/>
  <c r="K243" i="14" a="1"/>
  <c r="K243" i="14" s="1"/>
  <c r="J243" i="14" a="1"/>
  <c r="J243" i="14" s="1"/>
  <c r="I243" i="14"/>
  <c r="I243" i="14" a="1"/>
  <c r="H243" i="14" a="1"/>
  <c r="H243" i="14" s="1"/>
  <c r="G243" i="14" a="1"/>
  <c r="G243" i="14" s="1"/>
  <c r="F243" i="14" a="1"/>
  <c r="F243" i="14" s="1"/>
  <c r="T242" i="14"/>
  <c r="T242" i="14" a="1"/>
  <c r="S242" i="14" a="1"/>
  <c r="S242" i="14" s="1"/>
  <c r="R242" i="14" a="1"/>
  <c r="R242" i="14" s="1"/>
  <c r="Q242" i="14" a="1"/>
  <c r="Q242" i="14" s="1"/>
  <c r="P242" i="14" a="1"/>
  <c r="P242" i="14" s="1"/>
  <c r="O242" i="14" a="1"/>
  <c r="O242" i="14" s="1"/>
  <c r="N242" i="14" a="1"/>
  <c r="N242" i="14" s="1"/>
  <c r="M242" i="14" a="1"/>
  <c r="M242" i="14" s="1"/>
  <c r="L242" i="14"/>
  <c r="L242" i="14" a="1"/>
  <c r="K242" i="14" a="1"/>
  <c r="K242" i="14" s="1"/>
  <c r="J242" i="14" a="1"/>
  <c r="J242" i="14" s="1"/>
  <c r="I242" i="14" a="1"/>
  <c r="I242" i="14" s="1"/>
  <c r="H242" i="14" a="1"/>
  <c r="H242" i="14" s="1"/>
  <c r="G242" i="14"/>
  <c r="G242" i="14" a="1"/>
  <c r="F242" i="14" a="1"/>
  <c r="F242" i="14" s="1"/>
  <c r="T241" i="14" a="1"/>
  <c r="T241" i="14" s="1"/>
  <c r="S241" i="14" a="1"/>
  <c r="S241" i="14" s="1"/>
  <c r="R241" i="14" a="1"/>
  <c r="R241" i="14" s="1"/>
  <c r="Q241" i="14" a="1"/>
  <c r="Q241" i="14" s="1"/>
  <c r="P241" i="14" a="1"/>
  <c r="P241" i="14" s="1"/>
  <c r="O241" i="14" a="1"/>
  <c r="O241" i="14" s="1"/>
  <c r="N241" i="14"/>
  <c r="N241" i="14" a="1"/>
  <c r="M241" i="14"/>
  <c r="M241" i="14" a="1"/>
  <c r="L241" i="14"/>
  <c r="L241" i="14" a="1"/>
  <c r="K241" i="14" a="1"/>
  <c r="K241" i="14" s="1"/>
  <c r="J241" i="14" a="1"/>
  <c r="J241" i="14" s="1"/>
  <c r="I241" i="14" a="1"/>
  <c r="I241" i="14" s="1"/>
  <c r="H241" i="14" a="1"/>
  <c r="H241" i="14" s="1"/>
  <c r="G241" i="14" a="1"/>
  <c r="G241" i="14" s="1"/>
  <c r="F241" i="14" a="1"/>
  <c r="F241" i="14" s="1"/>
  <c r="T240" i="14" a="1"/>
  <c r="T240" i="14" s="1"/>
  <c r="S240" i="14" a="1"/>
  <c r="S240" i="14" s="1"/>
  <c r="R240" i="14" a="1"/>
  <c r="R240" i="14" s="1"/>
  <c r="Q240" i="14" a="1"/>
  <c r="Q240" i="14" s="1"/>
  <c r="P240" i="14" a="1"/>
  <c r="P240" i="14" s="1"/>
  <c r="O240" i="14" a="1"/>
  <c r="O240" i="14" s="1"/>
  <c r="N240" i="14" a="1"/>
  <c r="N240" i="14" s="1"/>
  <c r="M240" i="14"/>
  <c r="M240" i="14" a="1"/>
  <c r="L240" i="14"/>
  <c r="L240" i="14" a="1"/>
  <c r="K240" i="14" a="1"/>
  <c r="K240" i="14" s="1"/>
  <c r="J240" i="14" a="1"/>
  <c r="J240" i="14" s="1"/>
  <c r="I240" i="14" a="1"/>
  <c r="I240" i="14" s="1"/>
  <c r="H240" i="14" a="1"/>
  <c r="H240" i="14" s="1"/>
  <c r="G240" i="14" a="1"/>
  <c r="G240" i="14" s="1"/>
  <c r="F240" i="14" a="1"/>
  <c r="F240" i="14" s="1"/>
  <c r="T239" i="14" a="1"/>
  <c r="T239" i="14" s="1"/>
  <c r="S239" i="14" a="1"/>
  <c r="S239" i="14" s="1"/>
  <c r="R239" i="14" a="1"/>
  <c r="R239" i="14" s="1"/>
  <c r="Q239" i="14" a="1"/>
  <c r="Q239" i="14" s="1"/>
  <c r="P239" i="14" a="1"/>
  <c r="P239" i="14" s="1"/>
  <c r="O239" i="14" a="1"/>
  <c r="O239" i="14" s="1"/>
  <c r="N239" i="14" a="1"/>
  <c r="N239" i="14" s="1"/>
  <c r="M239" i="14"/>
  <c r="M239" i="14" a="1"/>
  <c r="L239" i="14" a="1"/>
  <c r="L239" i="14" s="1"/>
  <c r="K239" i="14" a="1"/>
  <c r="K239" i="14" s="1"/>
  <c r="J239" i="14" a="1"/>
  <c r="J239" i="14" s="1"/>
  <c r="I239" i="14"/>
  <c r="I239" i="14" a="1"/>
  <c r="H239" i="14" a="1"/>
  <c r="H239" i="14" s="1"/>
  <c r="G239" i="14" a="1"/>
  <c r="G239" i="14" s="1"/>
  <c r="F239" i="14" a="1"/>
  <c r="F239" i="14" s="1"/>
  <c r="T238" i="14" a="1"/>
  <c r="T238" i="14" s="1"/>
  <c r="S238" i="14" a="1"/>
  <c r="S238" i="14" s="1"/>
  <c r="R238" i="14" a="1"/>
  <c r="R238" i="14" s="1"/>
  <c r="Q238" i="14"/>
  <c r="Q238" i="14" a="1"/>
  <c r="P238" i="14"/>
  <c r="P238" i="14" a="1"/>
  <c r="O238" i="14" a="1"/>
  <c r="O238" i="14" s="1"/>
  <c r="N238" i="14" a="1"/>
  <c r="N238" i="14" s="1"/>
  <c r="M238" i="14" a="1"/>
  <c r="M238" i="14" s="1"/>
  <c r="L238" i="14"/>
  <c r="L238" i="14" a="1"/>
  <c r="K238" i="14" a="1"/>
  <c r="K238" i="14" s="1"/>
  <c r="J238" i="14"/>
  <c r="J238" i="14" a="1"/>
  <c r="I238" i="14" a="1"/>
  <c r="I238" i="14" s="1"/>
  <c r="H238" i="14" a="1"/>
  <c r="H238" i="14" s="1"/>
  <c r="G238" i="14" a="1"/>
  <c r="G238" i="14" s="1"/>
  <c r="F238" i="14" a="1"/>
  <c r="F238" i="14" s="1"/>
  <c r="T237" i="14" a="1"/>
  <c r="T237" i="14" s="1"/>
  <c r="S237" i="14" a="1"/>
  <c r="S237" i="14" s="1"/>
  <c r="R237" i="14" a="1"/>
  <c r="R237" i="14" s="1"/>
  <c r="Q237" i="14" a="1"/>
  <c r="Q237" i="14" s="1"/>
  <c r="P237" i="14" a="1"/>
  <c r="P237" i="14" s="1"/>
  <c r="O237" i="14" a="1"/>
  <c r="O237" i="14" s="1"/>
  <c r="N237" i="14" a="1"/>
  <c r="N237" i="14" s="1"/>
  <c r="M237" i="14" a="1"/>
  <c r="M237" i="14" s="1"/>
  <c r="L237" i="14" a="1"/>
  <c r="L237" i="14" s="1"/>
  <c r="K237" i="14"/>
  <c r="K237" i="14" a="1"/>
  <c r="J237" i="14" a="1"/>
  <c r="J237" i="14" s="1"/>
  <c r="I237" i="14"/>
  <c r="I237" i="14" a="1"/>
  <c r="H237" i="14" a="1"/>
  <c r="H237" i="14" s="1"/>
  <c r="G237" i="14" a="1"/>
  <c r="G237" i="14" s="1"/>
  <c r="F237" i="14" a="1"/>
  <c r="F237" i="14" s="1"/>
  <c r="T236" i="14" a="1"/>
  <c r="T236" i="14" s="1"/>
  <c r="S236" i="14" a="1"/>
  <c r="S236" i="14" s="1"/>
  <c r="R236" i="14" a="1"/>
  <c r="R236" i="14" s="1"/>
  <c r="Q236" i="14" a="1"/>
  <c r="Q236" i="14" s="1"/>
  <c r="P236" i="14"/>
  <c r="P236" i="14" a="1"/>
  <c r="O236" i="14" a="1"/>
  <c r="O236" i="14" s="1"/>
  <c r="N236" i="14" a="1"/>
  <c r="N236" i="14" s="1"/>
  <c r="M236" i="14" a="1"/>
  <c r="M236" i="14" s="1"/>
  <c r="L236" i="14" a="1"/>
  <c r="L236" i="14" s="1"/>
  <c r="K236" i="14" a="1"/>
  <c r="K236" i="14" s="1"/>
  <c r="J236" i="14"/>
  <c r="J236" i="14" a="1"/>
  <c r="I236" i="14" a="1"/>
  <c r="I236" i="14" s="1"/>
  <c r="H236" i="14" a="1"/>
  <c r="H236" i="14" s="1"/>
  <c r="G236" i="14" a="1"/>
  <c r="G236" i="14" s="1"/>
  <c r="F236" i="14" a="1"/>
  <c r="F236" i="14" s="1"/>
  <c r="T235" i="14" a="1"/>
  <c r="T235" i="14" s="1"/>
  <c r="S235" i="14" a="1"/>
  <c r="S235" i="14" s="1"/>
  <c r="R235" i="14" a="1"/>
  <c r="R235" i="14" s="1"/>
  <c r="Q235" i="14"/>
  <c r="Q235" i="14" a="1"/>
  <c r="P235" i="14" a="1"/>
  <c r="P235" i="14" s="1"/>
  <c r="O235" i="14" a="1"/>
  <c r="O235" i="14" s="1"/>
  <c r="N235" i="14" a="1"/>
  <c r="N235" i="14" s="1"/>
  <c r="M235" i="14" a="1"/>
  <c r="M235" i="14" s="1"/>
  <c r="L235" i="14" a="1"/>
  <c r="L235" i="14" s="1"/>
  <c r="K235" i="14" a="1"/>
  <c r="K235" i="14" s="1"/>
  <c r="J235" i="14" a="1"/>
  <c r="J235" i="14" s="1"/>
  <c r="I235" i="14"/>
  <c r="I235" i="14" a="1"/>
  <c r="H235" i="14" a="1"/>
  <c r="H235" i="14" s="1"/>
  <c r="G235" i="14" a="1"/>
  <c r="G235" i="14" s="1"/>
  <c r="F235" i="14" a="1"/>
  <c r="F235" i="14" s="1"/>
  <c r="T234" i="14"/>
  <c r="T234" i="14" a="1"/>
  <c r="S234" i="14" a="1"/>
  <c r="S234" i="14" s="1"/>
  <c r="R234" i="14" a="1"/>
  <c r="R234" i="14" s="1"/>
  <c r="Q234" i="14" a="1"/>
  <c r="Q234" i="14" s="1"/>
  <c r="P234" i="14"/>
  <c r="P234" i="14" a="1"/>
  <c r="O234" i="14" a="1"/>
  <c r="O234" i="14" s="1"/>
  <c r="N234" i="14" a="1"/>
  <c r="N234" i="14" s="1"/>
  <c r="M234" i="14" a="1"/>
  <c r="M234" i="14" s="1"/>
  <c r="L234" i="14" a="1"/>
  <c r="L234" i="14" s="1"/>
  <c r="K234" i="14" a="1"/>
  <c r="K234" i="14" s="1"/>
  <c r="J234" i="14" a="1"/>
  <c r="J234" i="14" s="1"/>
  <c r="I234" i="14" a="1"/>
  <c r="I234" i="14" s="1"/>
  <c r="H234" i="14" a="1"/>
  <c r="H234" i="14" s="1"/>
  <c r="G234" i="14"/>
  <c r="G234" i="14" a="1"/>
  <c r="F234" i="14" a="1"/>
  <c r="F234" i="14" s="1"/>
  <c r="T233" i="14"/>
  <c r="T233" i="14" a="1"/>
  <c r="S233" i="14" a="1"/>
  <c r="S233" i="14" s="1"/>
  <c r="R233" i="14" a="1"/>
  <c r="R233" i="14" s="1"/>
  <c r="Q233" i="14" a="1"/>
  <c r="Q233" i="14" s="1"/>
  <c r="P233" i="14" a="1"/>
  <c r="P233" i="14" s="1"/>
  <c r="O233" i="14" a="1"/>
  <c r="O233" i="14" s="1"/>
  <c r="N233" i="14" a="1"/>
  <c r="N233" i="14" s="1"/>
  <c r="M233" i="14" a="1"/>
  <c r="M233" i="14" s="1"/>
  <c r="L233" i="14" a="1"/>
  <c r="L233" i="14" s="1"/>
  <c r="K233" i="14" a="1"/>
  <c r="K233" i="14" s="1"/>
  <c r="J233" i="14" a="1"/>
  <c r="J233" i="14" s="1"/>
  <c r="I233" i="14" a="1"/>
  <c r="I233" i="14" s="1"/>
  <c r="H233" i="14" a="1"/>
  <c r="H233" i="14" s="1"/>
  <c r="G233" i="14" a="1"/>
  <c r="G233" i="14" s="1"/>
  <c r="F233" i="14" a="1"/>
  <c r="F233" i="14" s="1"/>
  <c r="T232" i="14" a="1"/>
  <c r="T232" i="14" s="1"/>
  <c r="S232" i="14"/>
  <c r="S232" i="14" a="1"/>
  <c r="R232" i="14"/>
  <c r="R232" i="14" a="1"/>
  <c r="Q232" i="14" a="1"/>
  <c r="Q232" i="14" s="1"/>
  <c r="P232" i="14" a="1"/>
  <c r="P232" i="14" s="1"/>
  <c r="O232" i="14" a="1"/>
  <c r="O232" i="14" s="1"/>
  <c r="N232" i="14" a="1"/>
  <c r="N232" i="14" s="1"/>
  <c r="M232" i="14"/>
  <c r="M232" i="14" a="1"/>
  <c r="L232" i="14"/>
  <c r="L232" i="14" a="1"/>
  <c r="K232" i="14" a="1"/>
  <c r="K232" i="14" s="1"/>
  <c r="J232" i="14"/>
  <c r="J232" i="14" a="1"/>
  <c r="I232" i="14" a="1"/>
  <c r="I232" i="14" s="1"/>
  <c r="H232" i="14" a="1"/>
  <c r="H232" i="14" s="1"/>
  <c r="G232" i="14" a="1"/>
  <c r="G232" i="14" s="1"/>
  <c r="F232" i="14" a="1"/>
  <c r="F232" i="14" s="1"/>
  <c r="T231" i="14" a="1"/>
  <c r="T231" i="14" s="1"/>
  <c r="S231" i="14" a="1"/>
  <c r="S231" i="14" s="1"/>
  <c r="R231" i="14" a="1"/>
  <c r="R231" i="14" s="1"/>
  <c r="Q231" i="14"/>
  <c r="Q231" i="14" a="1"/>
  <c r="P231" i="14" a="1"/>
  <c r="P231" i="14" s="1"/>
  <c r="O231" i="14" a="1"/>
  <c r="O231" i="14" s="1"/>
  <c r="N231" i="14" a="1"/>
  <c r="N231" i="14" s="1"/>
  <c r="M231" i="14"/>
  <c r="M231" i="14" a="1"/>
  <c r="L231" i="14"/>
  <c r="L231" i="14" a="1"/>
  <c r="K231" i="14" a="1"/>
  <c r="K231" i="14" s="1"/>
  <c r="J231" i="14" a="1"/>
  <c r="J231" i="14" s="1"/>
  <c r="I231" i="14" a="1"/>
  <c r="I231" i="14" s="1"/>
  <c r="H231" i="14" a="1"/>
  <c r="H231" i="14" s="1"/>
  <c r="G231" i="14" a="1"/>
  <c r="G231" i="14" s="1"/>
  <c r="F231" i="14" a="1"/>
  <c r="F231" i="14" s="1"/>
  <c r="T230" i="14" a="1"/>
  <c r="T230" i="14" s="1"/>
  <c r="S230" i="14" a="1"/>
  <c r="S230" i="14" s="1"/>
  <c r="R230" i="14"/>
  <c r="R230" i="14" a="1"/>
  <c r="Q230" i="14" a="1"/>
  <c r="Q230" i="14" s="1"/>
  <c r="P230" i="14"/>
  <c r="P230" i="14" a="1"/>
  <c r="O230" i="14" a="1"/>
  <c r="O230" i="14" s="1"/>
  <c r="N230" i="14" a="1"/>
  <c r="N230" i="14" s="1"/>
  <c r="M230" i="14" a="1"/>
  <c r="M230" i="14" s="1"/>
  <c r="L230" i="14"/>
  <c r="L230" i="14" a="1"/>
  <c r="K230" i="14" a="1"/>
  <c r="K230" i="14" s="1"/>
  <c r="J230" i="14" a="1"/>
  <c r="J230" i="14" s="1"/>
  <c r="I230" i="14" a="1"/>
  <c r="I230" i="14" s="1"/>
  <c r="H230" i="14"/>
  <c r="H230" i="14" a="1"/>
  <c r="G230" i="14" a="1"/>
  <c r="G230" i="14" s="1"/>
  <c r="F230" i="14" a="1"/>
  <c r="F230" i="14" s="1"/>
  <c r="T229" i="14" a="1"/>
  <c r="T229" i="14" s="1"/>
  <c r="S229" i="14"/>
  <c r="S229" i="14" a="1"/>
  <c r="R229" i="14" a="1"/>
  <c r="R229" i="14" s="1"/>
  <c r="Q229" i="14" a="1"/>
  <c r="Q229" i="14" s="1"/>
  <c r="P229" i="14" a="1"/>
  <c r="P229" i="14" s="1"/>
  <c r="O229" i="14" a="1"/>
  <c r="O229" i="14" s="1"/>
  <c r="N229" i="14" a="1"/>
  <c r="N229" i="14" s="1"/>
  <c r="M229" i="14" a="1"/>
  <c r="M229" i="14" s="1"/>
  <c r="L229" i="14" a="1"/>
  <c r="L229" i="14" s="1"/>
  <c r="K229" i="14" a="1"/>
  <c r="K229" i="14" s="1"/>
  <c r="J229" i="14" a="1"/>
  <c r="J229" i="14" s="1"/>
  <c r="I229" i="14" a="1"/>
  <c r="I229" i="14" s="1"/>
  <c r="H229" i="14" a="1"/>
  <c r="H229" i="14" s="1"/>
  <c r="G229" i="14" a="1"/>
  <c r="G229" i="14" s="1"/>
  <c r="F229" i="14" a="1"/>
  <c r="F229" i="14" s="1"/>
  <c r="T228" i="14" a="1"/>
  <c r="T228" i="14" s="1"/>
  <c r="S228" i="14" a="1"/>
  <c r="S228" i="14" s="1"/>
  <c r="R228" i="14"/>
  <c r="R228" i="14" a="1"/>
  <c r="Q228" i="14" a="1"/>
  <c r="Q228" i="14" s="1"/>
  <c r="P228" i="14"/>
  <c r="P228" i="14" a="1"/>
  <c r="O228" i="14" a="1"/>
  <c r="O228" i="14" s="1"/>
  <c r="N228" i="14" a="1"/>
  <c r="N228" i="14" s="1"/>
  <c r="M228" i="14" a="1"/>
  <c r="M228" i="14" s="1"/>
  <c r="L228" i="14" a="1"/>
  <c r="L228" i="14" s="1"/>
  <c r="K228" i="14" a="1"/>
  <c r="K228" i="14" s="1"/>
  <c r="J228" i="14" a="1"/>
  <c r="J228" i="14" s="1"/>
  <c r="I228" i="14" a="1"/>
  <c r="I228" i="14" s="1"/>
  <c r="H228" i="14" a="1"/>
  <c r="H228" i="14" s="1"/>
  <c r="G228" i="14" a="1"/>
  <c r="G228" i="14" s="1"/>
  <c r="F228" i="14" a="1"/>
  <c r="F228" i="14" s="1"/>
  <c r="T227" i="14" a="1"/>
  <c r="T227" i="14" s="1"/>
  <c r="S227" i="14" a="1"/>
  <c r="S227" i="14" s="1"/>
  <c r="R227" i="14" a="1"/>
  <c r="R227" i="14" s="1"/>
  <c r="Q227" i="14" a="1"/>
  <c r="Q227" i="14" s="1"/>
  <c r="P227" i="14" a="1"/>
  <c r="P227" i="14" s="1"/>
  <c r="O227" i="14" a="1"/>
  <c r="O227" i="14" s="1"/>
  <c r="N227" i="14" a="1"/>
  <c r="N227" i="14" s="1"/>
  <c r="M227" i="14" a="1"/>
  <c r="M227" i="14" s="1"/>
  <c r="L227" i="14" a="1"/>
  <c r="L227" i="14" s="1"/>
  <c r="K227" i="14" a="1"/>
  <c r="K227" i="14" s="1"/>
  <c r="J227" i="14" a="1"/>
  <c r="J227" i="14" s="1"/>
  <c r="I227" i="14"/>
  <c r="I227" i="14" a="1"/>
  <c r="H227" i="14" a="1"/>
  <c r="H227" i="14" s="1"/>
  <c r="G227" i="14"/>
  <c r="G227" i="14" a="1"/>
  <c r="F227" i="14" a="1"/>
  <c r="F227" i="14" s="1"/>
  <c r="T226" i="14"/>
  <c r="T226" i="14" a="1"/>
  <c r="S226" i="14" a="1"/>
  <c r="S226" i="14" s="1"/>
  <c r="R226" i="14" a="1"/>
  <c r="R226" i="14" s="1"/>
  <c r="Q226" i="14" a="1"/>
  <c r="Q226" i="14" s="1"/>
  <c r="P226" i="14"/>
  <c r="P226" i="14" a="1"/>
  <c r="O226" i="14"/>
  <c r="O226" i="14" a="1"/>
  <c r="N226" i="14" a="1"/>
  <c r="N226" i="14" s="1"/>
  <c r="M226" i="14"/>
  <c r="M226" i="14" a="1"/>
  <c r="L226" i="14" a="1"/>
  <c r="L226" i="14" s="1"/>
  <c r="K226" i="14" a="1"/>
  <c r="K226" i="14" s="1"/>
  <c r="J226" i="14" a="1"/>
  <c r="J226" i="14" s="1"/>
  <c r="I226" i="14" a="1"/>
  <c r="I226" i="14" s="1"/>
  <c r="H226" i="14"/>
  <c r="H226" i="14" a="1"/>
  <c r="G226" i="14" a="1"/>
  <c r="G226" i="14" s="1"/>
  <c r="F226" i="14" a="1"/>
  <c r="F226" i="14" s="1"/>
  <c r="T225" i="14" a="1"/>
  <c r="T225" i="14" s="1"/>
  <c r="S225" i="14"/>
  <c r="S225" i="14" a="1"/>
  <c r="R225" i="14" a="1"/>
  <c r="R225" i="14" s="1"/>
  <c r="Q225" i="14" a="1"/>
  <c r="Q225" i="14" s="1"/>
  <c r="P225" i="14" a="1"/>
  <c r="P225" i="14" s="1"/>
  <c r="O225" i="14" a="1"/>
  <c r="O225" i="14" s="1"/>
  <c r="N225" i="14" a="1"/>
  <c r="N225" i="14" s="1"/>
  <c r="M225" i="14" a="1"/>
  <c r="M225" i="14" s="1"/>
  <c r="L225" i="14" a="1"/>
  <c r="L225" i="14" s="1"/>
  <c r="K225" i="14" a="1"/>
  <c r="K225" i="14" s="1"/>
  <c r="J225" i="14" a="1"/>
  <c r="J225" i="14" s="1"/>
  <c r="I225" i="14" a="1"/>
  <c r="I225" i="14" s="1"/>
  <c r="H225" i="14" a="1"/>
  <c r="H225" i="14" s="1"/>
  <c r="G225" i="14" a="1"/>
  <c r="G225" i="14" s="1"/>
  <c r="F225" i="14" a="1"/>
  <c r="F225" i="14" s="1"/>
  <c r="T224" i="14" a="1"/>
  <c r="T224" i="14" s="1"/>
  <c r="S224" i="14"/>
  <c r="S224" i="14" a="1"/>
  <c r="R224" i="14"/>
  <c r="R224" i="14" a="1"/>
  <c r="Q224" i="14" a="1"/>
  <c r="Q224" i="14" s="1"/>
  <c r="P224" i="14" a="1"/>
  <c r="P224" i="14" s="1"/>
  <c r="O224" i="14" a="1"/>
  <c r="O224" i="14" s="1"/>
  <c r="N224" i="14" a="1"/>
  <c r="N224" i="14" s="1"/>
  <c r="M224" i="14" a="1"/>
  <c r="M224" i="14" s="1"/>
  <c r="L224" i="14" a="1"/>
  <c r="L224" i="14" s="1"/>
  <c r="K224" i="14" a="1"/>
  <c r="K224" i="14" s="1"/>
  <c r="J224" i="14"/>
  <c r="J224" i="14" a="1"/>
  <c r="I224" i="14" a="1"/>
  <c r="I224" i="14" s="1"/>
  <c r="H224" i="14" a="1"/>
  <c r="H224" i="14" s="1"/>
  <c r="G224" i="14" a="1"/>
  <c r="G224" i="14" s="1"/>
  <c r="F224" i="14" a="1"/>
  <c r="F224" i="14" s="1"/>
  <c r="T223" i="14" a="1"/>
  <c r="T223" i="14" s="1"/>
  <c r="S223" i="14" a="1"/>
  <c r="S223" i="14" s="1"/>
  <c r="R223" i="14" a="1"/>
  <c r="R223" i="14" s="1"/>
  <c r="Q223" i="14" a="1"/>
  <c r="Q223" i="14" s="1"/>
  <c r="P223" i="14" a="1"/>
  <c r="P223" i="14" s="1"/>
  <c r="O223" i="14" a="1"/>
  <c r="O223" i="14" s="1"/>
  <c r="N223" i="14" a="1"/>
  <c r="N223" i="14" s="1"/>
  <c r="M223" i="14" a="1"/>
  <c r="M223" i="14" s="1"/>
  <c r="L223" i="14"/>
  <c r="L223" i="14" a="1"/>
  <c r="K223" i="14"/>
  <c r="K223" i="14" a="1"/>
  <c r="J223" i="14" a="1"/>
  <c r="J223" i="14" s="1"/>
  <c r="I223" i="14" a="1"/>
  <c r="I223" i="14" s="1"/>
  <c r="H223" i="14" a="1"/>
  <c r="H223" i="14" s="1"/>
  <c r="G223" i="14" a="1"/>
  <c r="G223" i="14" s="1"/>
  <c r="F223" i="14" a="1"/>
  <c r="F223" i="14" s="1"/>
  <c r="T222" i="14" a="1"/>
  <c r="T222" i="14" s="1"/>
  <c r="S222" i="14"/>
  <c r="S222" i="14" a="1"/>
  <c r="R222" i="14" a="1"/>
  <c r="R222" i="14" s="1"/>
  <c r="Q222" i="14" a="1"/>
  <c r="Q222" i="14" s="1"/>
  <c r="P222" i="14" a="1"/>
  <c r="P222" i="14" s="1"/>
  <c r="O222" i="14" a="1"/>
  <c r="O222" i="14" s="1"/>
  <c r="N222" i="14" a="1"/>
  <c r="N222" i="14" s="1"/>
  <c r="M222" i="14" a="1"/>
  <c r="M222" i="14" s="1"/>
  <c r="L222" i="14"/>
  <c r="L222" i="14" a="1"/>
  <c r="K222" i="14" a="1"/>
  <c r="K222" i="14" s="1"/>
  <c r="J222" i="14"/>
  <c r="J222" i="14" a="1"/>
  <c r="I222" i="14" a="1"/>
  <c r="I222" i="14" s="1"/>
  <c r="H222" i="14" a="1"/>
  <c r="H222" i="14" s="1"/>
  <c r="G222" i="14" a="1"/>
  <c r="G222" i="14" s="1"/>
  <c r="F222" i="14" a="1"/>
  <c r="F222" i="14" s="1"/>
  <c r="T221" i="14" a="1"/>
  <c r="T221" i="14" s="1"/>
  <c r="S221" i="14" a="1"/>
  <c r="S221" i="14" s="1"/>
  <c r="R221" i="14" a="1"/>
  <c r="R221" i="14" s="1"/>
  <c r="Q221" i="14"/>
  <c r="Q221" i="14" a="1"/>
  <c r="P221" i="14" a="1"/>
  <c r="P221" i="14" s="1"/>
  <c r="O221" i="14"/>
  <c r="O221" i="14" a="1"/>
  <c r="N221" i="14" a="1"/>
  <c r="N221" i="14" s="1"/>
  <c r="M221" i="14" a="1"/>
  <c r="M221" i="14" s="1"/>
  <c r="L221" i="14" a="1"/>
  <c r="L221" i="14" s="1"/>
  <c r="K221" i="14" a="1"/>
  <c r="K221" i="14" s="1"/>
  <c r="J221" i="14" a="1"/>
  <c r="J221" i="14" s="1"/>
  <c r="I221" i="14" a="1"/>
  <c r="I221" i="14" s="1"/>
  <c r="H221" i="14" a="1"/>
  <c r="H221" i="14" s="1"/>
  <c r="G221" i="14" a="1"/>
  <c r="G221" i="14" s="1"/>
  <c r="F221" i="14" a="1"/>
  <c r="F221" i="14" s="1"/>
  <c r="T220" i="14" a="1"/>
  <c r="T220" i="14" s="1"/>
  <c r="S220" i="14"/>
  <c r="S220" i="14" a="1"/>
  <c r="R220" i="14" a="1"/>
  <c r="R220" i="14" s="1"/>
  <c r="Q220" i="14" a="1"/>
  <c r="Q220" i="14" s="1"/>
  <c r="P220" i="14" a="1"/>
  <c r="P220" i="14" s="1"/>
  <c r="O220" i="14"/>
  <c r="O220" i="14" a="1"/>
  <c r="N220" i="14" a="1"/>
  <c r="N220" i="14" s="1"/>
  <c r="M220" i="14"/>
  <c r="M220" i="14" a="1"/>
  <c r="L220" i="14" a="1"/>
  <c r="L220" i="14" s="1"/>
  <c r="K220" i="14" a="1"/>
  <c r="K220" i="14" s="1"/>
  <c r="J220" i="14" a="1"/>
  <c r="J220" i="14" s="1"/>
  <c r="I220" i="14" a="1"/>
  <c r="I220" i="14" s="1"/>
  <c r="H220" i="14" a="1"/>
  <c r="H220" i="14" s="1"/>
  <c r="G220" i="14" a="1"/>
  <c r="G220" i="14" s="1"/>
  <c r="F220" i="14" a="1"/>
  <c r="F220" i="14" s="1"/>
  <c r="T219" i="14"/>
  <c r="T219" i="14" a="1"/>
  <c r="S219" i="14" a="1"/>
  <c r="S219" i="14" s="1"/>
  <c r="R219" i="14"/>
  <c r="R219" i="14" a="1"/>
  <c r="Q219" i="14" a="1"/>
  <c r="Q219" i="14" s="1"/>
  <c r="P219" i="14" a="1"/>
  <c r="P219" i="14" s="1"/>
  <c r="O219" i="14" a="1"/>
  <c r="O219" i="14" s="1"/>
  <c r="N219" i="14" a="1"/>
  <c r="N219" i="14" s="1"/>
  <c r="M219" i="14" a="1"/>
  <c r="M219" i="14" s="1"/>
  <c r="L219" i="14" a="1"/>
  <c r="L219" i="14" s="1"/>
  <c r="K219" i="14" a="1"/>
  <c r="K219" i="14" s="1"/>
  <c r="J219" i="14"/>
  <c r="J219" i="14" a="1"/>
  <c r="I219" i="14" a="1"/>
  <c r="I219" i="14" s="1"/>
  <c r="H219" i="14" a="1"/>
  <c r="H219" i="14" s="1"/>
  <c r="G219" i="14" a="1"/>
  <c r="G219" i="14" s="1"/>
  <c r="F219" i="14"/>
  <c r="F219" i="14" a="1"/>
  <c r="T218" i="14" a="1"/>
  <c r="T218" i="14" s="1"/>
  <c r="S218" i="14" a="1"/>
  <c r="S218" i="14" s="1"/>
  <c r="R218" i="14" a="1"/>
  <c r="R218" i="14" s="1"/>
  <c r="Q218" i="14" a="1"/>
  <c r="Q218" i="14" s="1"/>
  <c r="P218" i="14" a="1"/>
  <c r="P218" i="14" s="1"/>
  <c r="O218" i="14" a="1"/>
  <c r="O218" i="14" s="1"/>
  <c r="N218" i="14" a="1"/>
  <c r="N218" i="14" s="1"/>
  <c r="M218" i="14" a="1"/>
  <c r="M218" i="14" s="1"/>
  <c r="L218" i="14"/>
  <c r="L218" i="14" a="1"/>
  <c r="K218" i="14"/>
  <c r="K218" i="14" a="1"/>
  <c r="J218" i="14" a="1"/>
  <c r="J218" i="14" s="1"/>
  <c r="I218" i="14" a="1"/>
  <c r="I218" i="14" s="1"/>
  <c r="H218" i="14" a="1"/>
  <c r="H218" i="14" s="1"/>
  <c r="G218" i="14" a="1"/>
  <c r="G218" i="14" s="1"/>
  <c r="F218" i="14" a="1"/>
  <c r="F218" i="14" s="1"/>
  <c r="T217" i="14" a="1"/>
  <c r="T217" i="14" s="1"/>
  <c r="S217" i="14" a="1"/>
  <c r="S217" i="14" s="1"/>
  <c r="R217" i="14" a="1"/>
  <c r="R217" i="14" s="1"/>
  <c r="Q217" i="14" a="1"/>
  <c r="Q217" i="14" s="1"/>
  <c r="P217" i="14" a="1"/>
  <c r="P217" i="14" s="1"/>
  <c r="O217" i="14" a="1"/>
  <c r="O217" i="14" s="1"/>
  <c r="N217" i="14" a="1"/>
  <c r="N217" i="14" s="1"/>
  <c r="M217" i="14" a="1"/>
  <c r="M217" i="14" s="1"/>
  <c r="L217" i="14"/>
  <c r="L217" i="14" a="1"/>
  <c r="K217" i="14" a="1"/>
  <c r="K217" i="14" s="1"/>
  <c r="J217" i="14" a="1"/>
  <c r="J217" i="14" s="1"/>
  <c r="I217" i="14" a="1"/>
  <c r="I217" i="14" s="1"/>
  <c r="H217" i="14" a="1"/>
  <c r="H217" i="14" s="1"/>
  <c r="G217" i="14" a="1"/>
  <c r="G217" i="14" s="1"/>
  <c r="F217" i="14" a="1"/>
  <c r="F217" i="14" s="1"/>
  <c r="T216" i="14" a="1"/>
  <c r="T216" i="14" s="1"/>
  <c r="S216" i="14" a="1"/>
  <c r="S216" i="14" s="1"/>
  <c r="R216" i="14"/>
  <c r="R216" i="14" a="1"/>
  <c r="Q216" i="14" a="1"/>
  <c r="Q216" i="14" s="1"/>
  <c r="P216" i="14" a="1"/>
  <c r="P216" i="14" s="1"/>
  <c r="O216" i="14" a="1"/>
  <c r="O216" i="14" s="1"/>
  <c r="N216" i="14" a="1"/>
  <c r="N216" i="14" s="1"/>
  <c r="M216" i="14" a="1"/>
  <c r="M216" i="14" s="1"/>
  <c r="L216" i="14" a="1"/>
  <c r="L216" i="14" s="1"/>
  <c r="K216" i="14" a="1"/>
  <c r="K216" i="14" s="1"/>
  <c r="J216" i="14"/>
  <c r="J216" i="14" a="1"/>
  <c r="I216" i="14" a="1"/>
  <c r="I216" i="14" s="1"/>
  <c r="H216" i="14" a="1"/>
  <c r="H216" i="14" s="1"/>
  <c r="G216" i="14" a="1"/>
  <c r="G216" i="14" s="1"/>
  <c r="F216" i="14" a="1"/>
  <c r="F216" i="14" s="1"/>
  <c r="T215" i="14" a="1"/>
  <c r="T215" i="14" s="1"/>
  <c r="S215" i="14"/>
  <c r="S215" i="14" a="1"/>
  <c r="R215" i="14" a="1"/>
  <c r="R215" i="14" s="1"/>
  <c r="Q215" i="14"/>
  <c r="Q215" i="14" a="1"/>
  <c r="P215" i="14" a="1"/>
  <c r="P215" i="14" s="1"/>
  <c r="O215" i="14" a="1"/>
  <c r="O215" i="14" s="1"/>
  <c r="N215" i="14" a="1"/>
  <c r="N215" i="14" s="1"/>
  <c r="M215" i="14" a="1"/>
  <c r="M215" i="14" s="1"/>
  <c r="L215" i="14" a="1"/>
  <c r="L215" i="14" s="1"/>
  <c r="K215" i="14" a="1"/>
  <c r="K215" i="14" s="1"/>
  <c r="J215" i="14" a="1"/>
  <c r="J215" i="14" s="1"/>
  <c r="I215" i="14" a="1"/>
  <c r="I215" i="14" s="1"/>
  <c r="H215" i="14" a="1"/>
  <c r="H215" i="14" s="1"/>
  <c r="G215" i="14" a="1"/>
  <c r="G215" i="14" s="1"/>
  <c r="F215" i="14" a="1"/>
  <c r="F215" i="14" s="1"/>
  <c r="T214" i="14"/>
  <c r="T214" i="14" a="1"/>
  <c r="S214" i="14" a="1"/>
  <c r="S214" i="14" s="1"/>
  <c r="R214" i="14" a="1"/>
  <c r="R214" i="14" s="1"/>
  <c r="Q214" i="14" a="1"/>
  <c r="Q214" i="14" s="1"/>
  <c r="P214" i="14"/>
  <c r="P214" i="14" a="1"/>
  <c r="O214" i="14" a="1"/>
  <c r="O214" i="14" s="1"/>
  <c r="N214" i="14" a="1"/>
  <c r="N214" i="14" s="1"/>
  <c r="M214" i="14" a="1"/>
  <c r="M214" i="14" s="1"/>
  <c r="L214" i="14" a="1"/>
  <c r="L214" i="14" s="1"/>
  <c r="K214" i="14" a="1"/>
  <c r="K214" i="14" s="1"/>
  <c r="J214" i="14" a="1"/>
  <c r="J214" i="14" s="1"/>
  <c r="I214" i="14" a="1"/>
  <c r="I214" i="14" s="1"/>
  <c r="H214" i="14"/>
  <c r="H214" i="14" a="1"/>
  <c r="G214" i="14" a="1"/>
  <c r="G214" i="14" s="1"/>
  <c r="F214" i="14" a="1"/>
  <c r="F214" i="14" s="1"/>
  <c r="T213" i="14" a="1"/>
  <c r="T213" i="14" s="1"/>
  <c r="S213" i="14" a="1"/>
  <c r="S213" i="14" s="1"/>
  <c r="R213" i="14" a="1"/>
  <c r="R213" i="14" s="1"/>
  <c r="Q213" i="14"/>
  <c r="Q213" i="14" a="1"/>
  <c r="P213" i="14" a="1"/>
  <c r="P213" i="14" s="1"/>
  <c r="O213" i="14" a="1"/>
  <c r="O213" i="14" s="1"/>
  <c r="N213" i="14" a="1"/>
  <c r="N213" i="14" s="1"/>
  <c r="M213" i="14" a="1"/>
  <c r="M213" i="14" s="1"/>
  <c r="L213" i="14"/>
  <c r="L213" i="14" a="1"/>
  <c r="K213" i="14"/>
  <c r="K213" i="14" a="1"/>
  <c r="J213" i="14" a="1"/>
  <c r="J213" i="14" s="1"/>
  <c r="I213" i="14" a="1"/>
  <c r="I213" i="14" s="1"/>
  <c r="H213" i="14" a="1"/>
  <c r="H213" i="14" s="1"/>
  <c r="G213" i="14" a="1"/>
  <c r="G213" i="14" s="1"/>
  <c r="F213" i="14" a="1"/>
  <c r="F213" i="14" s="1"/>
  <c r="T212" i="14" a="1"/>
  <c r="T212" i="14" s="1"/>
  <c r="S212" i="14"/>
  <c r="S212" i="14" a="1"/>
  <c r="R212" i="14" a="1"/>
  <c r="R212" i="14" s="1"/>
  <c r="Q212" i="14" a="1"/>
  <c r="Q212" i="14" s="1"/>
  <c r="P212" i="14"/>
  <c r="P212" i="14" a="1"/>
  <c r="O212" i="14"/>
  <c r="O212" i="14" a="1"/>
  <c r="N212" i="14" a="1"/>
  <c r="N212" i="14" s="1"/>
  <c r="M212" i="14" a="1"/>
  <c r="M212" i="14" s="1"/>
  <c r="L212" i="14" a="1"/>
  <c r="L212" i="14" s="1"/>
  <c r="K212" i="14" a="1"/>
  <c r="K212" i="14" s="1"/>
  <c r="J212" i="14" a="1"/>
  <c r="J212" i="14" s="1"/>
  <c r="I212" i="14" a="1"/>
  <c r="I212" i="14" s="1"/>
  <c r="H212" i="14" a="1"/>
  <c r="H212" i="14" s="1"/>
  <c r="G212" i="14" a="1"/>
  <c r="G212" i="14" s="1"/>
  <c r="F212" i="14"/>
  <c r="F212" i="14" a="1"/>
  <c r="T211" i="14" a="1"/>
  <c r="T211" i="14" s="1"/>
  <c r="S211" i="14" a="1"/>
  <c r="S211" i="14" s="1"/>
  <c r="R211" i="14"/>
  <c r="R211" i="14" a="1"/>
  <c r="Q211" i="14" a="1"/>
  <c r="Q211" i="14" s="1"/>
  <c r="P211" i="14" a="1"/>
  <c r="P211" i="14" s="1"/>
  <c r="O211" i="14"/>
  <c r="O211" i="14" a="1"/>
  <c r="N211" i="14" a="1"/>
  <c r="N211" i="14" s="1"/>
  <c r="M211" i="14" a="1"/>
  <c r="M211" i="14" s="1"/>
  <c r="L211" i="14" a="1"/>
  <c r="L211" i="14" s="1"/>
  <c r="K211" i="14" a="1"/>
  <c r="K211" i="14" s="1"/>
  <c r="J211" i="14" a="1"/>
  <c r="J211" i="14" s="1"/>
  <c r="I211" i="14" a="1"/>
  <c r="I211" i="14" s="1"/>
  <c r="H211" i="14" a="1"/>
  <c r="H211" i="14" s="1"/>
  <c r="G211" i="14"/>
  <c r="G211" i="14" a="1"/>
  <c r="F211" i="14" a="1"/>
  <c r="F211" i="14" s="1"/>
  <c r="T210" i="14" a="1"/>
  <c r="T210" i="14" s="1"/>
  <c r="S210" i="14"/>
  <c r="S210" i="14" a="1"/>
  <c r="R210" i="14" a="1"/>
  <c r="R210" i="14" s="1"/>
  <c r="Q210" i="14" a="1"/>
  <c r="Q210" i="14" s="1"/>
  <c r="P210" i="14" a="1"/>
  <c r="P210" i="14" s="1"/>
  <c r="O210" i="14" a="1"/>
  <c r="O210" i="14" s="1"/>
  <c r="N210" i="14" a="1"/>
  <c r="N210" i="14" s="1"/>
  <c r="M210" i="14" a="1"/>
  <c r="M210" i="14" s="1"/>
  <c r="L210" i="14" a="1"/>
  <c r="L210" i="14" s="1"/>
  <c r="K210" i="14" a="1"/>
  <c r="K210" i="14" s="1"/>
  <c r="J210" i="14" a="1"/>
  <c r="J210" i="14" s="1"/>
  <c r="I210" i="14" a="1"/>
  <c r="I210" i="14" s="1"/>
  <c r="H210" i="14" a="1"/>
  <c r="H210" i="14" s="1"/>
  <c r="G210" i="14" a="1"/>
  <c r="G210" i="14" s="1"/>
  <c r="F210" i="14" a="1"/>
  <c r="F210" i="14" s="1"/>
  <c r="T209" i="14" a="1"/>
  <c r="T209" i="14" s="1"/>
  <c r="S209" i="14"/>
  <c r="S209" i="14" a="1"/>
  <c r="R209" i="14" a="1"/>
  <c r="R209" i="14" s="1"/>
  <c r="Q209" i="14" a="1"/>
  <c r="Q209" i="14" s="1"/>
  <c r="P209" i="14" a="1"/>
  <c r="P209" i="14" s="1"/>
  <c r="O209" i="14" a="1"/>
  <c r="O209" i="14" s="1"/>
  <c r="N209" i="14" a="1"/>
  <c r="N209" i="14" s="1"/>
  <c r="M209" i="14" a="1"/>
  <c r="M209" i="14" s="1"/>
  <c r="L209" i="14" a="1"/>
  <c r="L209" i="14" s="1"/>
  <c r="K209" i="14" a="1"/>
  <c r="K209" i="14" s="1"/>
  <c r="J209" i="14" a="1"/>
  <c r="J209" i="14" s="1"/>
  <c r="I209" i="14" a="1"/>
  <c r="I209" i="14" s="1"/>
  <c r="H209" i="14" a="1"/>
  <c r="H209" i="14" s="1"/>
  <c r="G209" i="14" a="1"/>
  <c r="G209" i="14" s="1"/>
  <c r="F209" i="14" a="1"/>
  <c r="F209" i="14" s="1"/>
  <c r="T208" i="14" a="1"/>
  <c r="T208" i="14" s="1"/>
  <c r="S208" i="14" a="1"/>
  <c r="S208" i="14" s="1"/>
  <c r="R208" i="14" a="1"/>
  <c r="R208" i="14" s="1"/>
  <c r="Q208" i="14" a="1"/>
  <c r="Q208" i="14" s="1"/>
  <c r="P208" i="14" a="1"/>
  <c r="P208" i="14" s="1"/>
  <c r="O208" i="14" a="1"/>
  <c r="O208" i="14" s="1"/>
  <c r="N208" i="14" a="1"/>
  <c r="N208" i="14" s="1"/>
  <c r="M208" i="14" a="1"/>
  <c r="M208" i="14" s="1"/>
  <c r="L208" i="14"/>
  <c r="L208" i="14" a="1"/>
  <c r="K208" i="14"/>
  <c r="K208" i="14" a="1"/>
  <c r="J208" i="14"/>
  <c r="J208" i="14" a="1"/>
  <c r="I208" i="14" a="1"/>
  <c r="I208" i="14" s="1"/>
  <c r="H208" i="14" a="1"/>
  <c r="H208" i="14" s="1"/>
  <c r="G208" i="14" a="1"/>
  <c r="G208" i="14" s="1"/>
  <c r="F208" i="14" a="1"/>
  <c r="F208" i="14" s="1"/>
  <c r="T207" i="14" a="1"/>
  <c r="T207" i="14" s="1"/>
  <c r="S207" i="14" a="1"/>
  <c r="S207" i="14" s="1"/>
  <c r="R207" i="14" a="1"/>
  <c r="R207" i="14" s="1"/>
  <c r="Q207" i="14" a="1"/>
  <c r="Q207" i="14" s="1"/>
  <c r="P207" i="14"/>
  <c r="P207" i="14" a="1"/>
  <c r="O207" i="14" a="1"/>
  <c r="O207" i="14" s="1"/>
  <c r="N207" i="14" a="1"/>
  <c r="N207" i="14" s="1"/>
  <c r="M207" i="14" a="1"/>
  <c r="M207" i="14" s="1"/>
  <c r="L207" i="14" a="1"/>
  <c r="L207" i="14" s="1"/>
  <c r="K207" i="14"/>
  <c r="K207" i="14" a="1"/>
  <c r="J207" i="14" a="1"/>
  <c r="J207" i="14" s="1"/>
  <c r="I207" i="14"/>
  <c r="I207" i="14" a="1"/>
  <c r="H207" i="14" a="1"/>
  <c r="H207" i="14" s="1"/>
  <c r="G207" i="14" a="1"/>
  <c r="G207" i="14" s="1"/>
  <c r="F207" i="14"/>
  <c r="F207" i="14" a="1"/>
  <c r="T206" i="14"/>
  <c r="T206" i="14" a="1"/>
  <c r="S206" i="14" a="1"/>
  <c r="S206" i="14" s="1"/>
  <c r="R206" i="14" a="1"/>
  <c r="R206" i="14" s="1"/>
  <c r="Q206" i="14" a="1"/>
  <c r="Q206" i="14" s="1"/>
  <c r="P206" i="14" a="1"/>
  <c r="P206" i="14" s="1"/>
  <c r="O206" i="14" a="1"/>
  <c r="O206" i="14" s="1"/>
  <c r="N206" i="14" a="1"/>
  <c r="N206" i="14" s="1"/>
  <c r="M206" i="14" a="1"/>
  <c r="M206" i="14" s="1"/>
  <c r="L206" i="14"/>
  <c r="L206" i="14" a="1"/>
  <c r="K206" i="14" a="1"/>
  <c r="K206" i="14" s="1"/>
  <c r="J206" i="14" a="1"/>
  <c r="J206" i="14" s="1"/>
  <c r="I206" i="14" a="1"/>
  <c r="I206" i="14" s="1"/>
  <c r="H206" i="14" a="1"/>
  <c r="H206" i="14" s="1"/>
  <c r="G206" i="14" a="1"/>
  <c r="G206" i="14" s="1"/>
  <c r="F206" i="14" a="1"/>
  <c r="F206" i="14" s="1"/>
  <c r="T205" i="14" a="1"/>
  <c r="T205" i="14" s="1"/>
  <c r="S205" i="14" a="1"/>
  <c r="S205" i="14" s="1"/>
  <c r="R205" i="14" a="1"/>
  <c r="R205" i="14" s="1"/>
  <c r="Q205" i="14" a="1"/>
  <c r="Q205" i="14" s="1"/>
  <c r="P205" i="14" a="1"/>
  <c r="P205" i="14" s="1"/>
  <c r="O205" i="14"/>
  <c r="O205" i="14" a="1"/>
  <c r="N205" i="14" a="1"/>
  <c r="N205" i="14" s="1"/>
  <c r="M205" i="14" a="1"/>
  <c r="M205" i="14" s="1"/>
  <c r="L205" i="14" a="1"/>
  <c r="L205" i="14" s="1"/>
  <c r="K205" i="14" a="1"/>
  <c r="K205" i="14" s="1"/>
  <c r="J205" i="14" a="1"/>
  <c r="J205" i="14" s="1"/>
  <c r="I205" i="14" a="1"/>
  <c r="I205" i="14" s="1"/>
  <c r="H205" i="14" a="1"/>
  <c r="H205" i="14" s="1"/>
  <c r="G205" i="14" a="1"/>
  <c r="G205" i="14" s="1"/>
  <c r="F205" i="14" a="1"/>
  <c r="F205" i="14" s="1"/>
  <c r="T204" i="14" a="1"/>
  <c r="T204" i="14" s="1"/>
  <c r="S204" i="14"/>
  <c r="S204" i="14" a="1"/>
  <c r="R204" i="14" a="1"/>
  <c r="R204" i="14" s="1"/>
  <c r="Q204" i="14" a="1"/>
  <c r="Q204" i="14" s="1"/>
  <c r="P204" i="14" a="1"/>
  <c r="P204" i="14" s="1"/>
  <c r="O204" i="14" a="1"/>
  <c r="O204" i="14" s="1"/>
  <c r="N204" i="14" a="1"/>
  <c r="N204" i="14" s="1"/>
  <c r="M204" i="14" a="1"/>
  <c r="M204" i="14" s="1"/>
  <c r="L204" i="14" a="1"/>
  <c r="L204" i="14" s="1"/>
  <c r="K204" i="14" a="1"/>
  <c r="K204" i="14" s="1"/>
  <c r="J204" i="14"/>
  <c r="J204" i="14" a="1"/>
  <c r="I204" i="14" a="1"/>
  <c r="I204" i="14" s="1"/>
  <c r="H204" i="14" a="1"/>
  <c r="H204" i="14" s="1"/>
  <c r="G204" i="14" a="1"/>
  <c r="G204" i="14" s="1"/>
  <c r="F204" i="14" a="1"/>
  <c r="F204" i="14" s="1"/>
  <c r="T203" i="14" a="1"/>
  <c r="T203" i="14" s="1"/>
  <c r="S203" i="14" a="1"/>
  <c r="S203" i="14" s="1"/>
  <c r="R203" i="14" a="1"/>
  <c r="R203" i="14" s="1"/>
  <c r="Q203" i="14" a="1"/>
  <c r="Q203" i="14" s="1"/>
  <c r="P203" i="14" a="1"/>
  <c r="P203" i="14" s="1"/>
  <c r="O203" i="14" a="1"/>
  <c r="O203" i="14" s="1"/>
  <c r="N203" i="14" a="1"/>
  <c r="N203" i="14" s="1"/>
  <c r="M203" i="14" a="1"/>
  <c r="M203" i="14" s="1"/>
  <c r="L203" i="14"/>
  <c r="L203" i="14" a="1"/>
  <c r="K203" i="14" a="1"/>
  <c r="K203" i="14" s="1"/>
  <c r="J203" i="14" a="1"/>
  <c r="J203" i="14" s="1"/>
  <c r="I203" i="14" a="1"/>
  <c r="I203" i="14" s="1"/>
  <c r="H203" i="14" a="1"/>
  <c r="H203" i="14" s="1"/>
  <c r="G203" i="14" a="1"/>
  <c r="G203" i="14" s="1"/>
  <c r="F203" i="14" a="1"/>
  <c r="F203" i="14" s="1"/>
  <c r="T202" i="14" a="1"/>
  <c r="T202" i="14" s="1"/>
  <c r="S202" i="14" a="1"/>
  <c r="S202" i="14" s="1"/>
  <c r="R202" i="14" a="1"/>
  <c r="R202" i="14" s="1"/>
  <c r="Q202" i="14" a="1"/>
  <c r="Q202" i="14" s="1"/>
  <c r="P202" i="14" a="1"/>
  <c r="P202" i="14" s="1"/>
  <c r="O202" i="14" a="1"/>
  <c r="O202" i="14" s="1"/>
  <c r="N202" i="14" a="1"/>
  <c r="N202" i="14" s="1"/>
  <c r="M202" i="14" a="1"/>
  <c r="M202" i="14" s="1"/>
  <c r="L202" i="14" a="1"/>
  <c r="L202" i="14" s="1"/>
  <c r="K202" i="14"/>
  <c r="K202" i="14" a="1"/>
  <c r="J202" i="14" a="1"/>
  <c r="J202" i="14" s="1"/>
  <c r="I202" i="14" a="1"/>
  <c r="I202" i="14" s="1"/>
  <c r="H202" i="14"/>
  <c r="H202" i="14" a="1"/>
  <c r="G202" i="14" a="1"/>
  <c r="G202" i="14" s="1"/>
  <c r="F202" i="14" a="1"/>
  <c r="F202" i="14" s="1"/>
  <c r="T201" i="14" a="1"/>
  <c r="T201" i="14" s="1"/>
  <c r="S201" i="14" a="1"/>
  <c r="S201" i="14" s="1"/>
  <c r="R201" i="14" a="1"/>
  <c r="R201" i="14" s="1"/>
  <c r="Q201" i="14" a="1"/>
  <c r="Q201" i="14" s="1"/>
  <c r="P201" i="14" a="1"/>
  <c r="P201" i="14" s="1"/>
  <c r="O201" i="14"/>
  <c r="O201" i="14" a="1"/>
  <c r="N201" i="14" a="1"/>
  <c r="N201" i="14" s="1"/>
  <c r="M201" i="14" a="1"/>
  <c r="M201" i="14" s="1"/>
  <c r="L201" i="14" a="1"/>
  <c r="L201" i="14" s="1"/>
  <c r="K201" i="14"/>
  <c r="K201" i="14" a="1"/>
  <c r="J201" i="14" a="1"/>
  <c r="J201" i="14" s="1"/>
  <c r="I201" i="14" a="1"/>
  <c r="I201" i="14" s="1"/>
  <c r="H201" i="14" a="1"/>
  <c r="H201" i="14" s="1"/>
  <c r="G201" i="14" a="1"/>
  <c r="G201" i="14" s="1"/>
  <c r="F201" i="14" a="1"/>
  <c r="F201" i="14" s="1"/>
  <c r="T200" i="14" a="1"/>
  <c r="T200" i="14" s="1"/>
  <c r="S200" i="14" a="1"/>
  <c r="S200" i="14" s="1"/>
  <c r="R200" i="14" a="1"/>
  <c r="R200" i="14" s="1"/>
  <c r="Q200" i="14" a="1"/>
  <c r="Q200" i="14" s="1"/>
  <c r="P200" i="14" a="1"/>
  <c r="P200" i="14" s="1"/>
  <c r="O200" i="14"/>
  <c r="O200" i="14" a="1"/>
  <c r="N200" i="14" a="1"/>
  <c r="N200" i="14" s="1"/>
  <c r="M200" i="14" a="1"/>
  <c r="M200" i="14" s="1"/>
  <c r="L200" i="14" a="1"/>
  <c r="L200" i="14" s="1"/>
  <c r="K200" i="14" a="1"/>
  <c r="K200" i="14" s="1"/>
  <c r="J200" i="14" a="1"/>
  <c r="J200" i="14" s="1"/>
  <c r="I200" i="14" a="1"/>
  <c r="I200" i="14" s="1"/>
  <c r="H200" i="14" a="1"/>
  <c r="H200" i="14" s="1"/>
  <c r="G200" i="14" a="1"/>
  <c r="G200" i="14" s="1"/>
  <c r="F200" i="14"/>
  <c r="F200" i="14" a="1"/>
  <c r="T199" i="14" a="1"/>
  <c r="T199" i="14" s="1"/>
  <c r="S199" i="14"/>
  <c r="S199" i="14" a="1"/>
  <c r="R199" i="14"/>
  <c r="R199" i="14" a="1"/>
  <c r="Q199" i="14" a="1"/>
  <c r="Q199" i="14" s="1"/>
  <c r="P199" i="14" a="1"/>
  <c r="P199" i="14" s="1"/>
  <c r="O199" i="14" a="1"/>
  <c r="O199" i="14" s="1"/>
  <c r="N199" i="14" a="1"/>
  <c r="N199" i="14" s="1"/>
  <c r="M199" i="14" a="1"/>
  <c r="M199" i="14" s="1"/>
  <c r="L199" i="14" a="1"/>
  <c r="L199" i="14" s="1"/>
  <c r="K199" i="14" a="1"/>
  <c r="K199" i="14" s="1"/>
  <c r="J199" i="14" a="1"/>
  <c r="J199" i="14" s="1"/>
  <c r="I199" i="14" a="1"/>
  <c r="I199" i="14" s="1"/>
  <c r="H199" i="14"/>
  <c r="H199" i="14" a="1"/>
  <c r="G199" i="14" a="1"/>
  <c r="G199" i="14" s="1"/>
  <c r="F199" i="14" a="1"/>
  <c r="F199" i="14" s="1"/>
  <c r="T198" i="14" a="1"/>
  <c r="T198" i="14" s="1"/>
  <c r="S198" i="14" a="1"/>
  <c r="S198" i="14" s="1"/>
  <c r="R198" i="14" a="1"/>
  <c r="R198" i="14" s="1"/>
  <c r="Q198" i="14" a="1"/>
  <c r="Q198" i="14" s="1"/>
  <c r="P198" i="14"/>
  <c r="P198" i="14" a="1"/>
  <c r="O198" i="14" a="1"/>
  <c r="O198" i="14" s="1"/>
  <c r="N198" i="14" a="1"/>
  <c r="N198" i="14" s="1"/>
  <c r="M198" i="14"/>
  <c r="M198" i="14" a="1"/>
  <c r="L198" i="14"/>
  <c r="L198" i="14" a="1"/>
  <c r="K198" i="14" a="1"/>
  <c r="K198" i="14" s="1"/>
  <c r="J198" i="14" a="1"/>
  <c r="J198" i="14" s="1"/>
  <c r="I198" i="14" a="1"/>
  <c r="I198" i="14" s="1"/>
  <c r="H198" i="14" a="1"/>
  <c r="H198" i="14" s="1"/>
  <c r="G198" i="14" a="1"/>
  <c r="G198" i="14" s="1"/>
  <c r="F198" i="14" a="1"/>
  <c r="F198" i="14" s="1"/>
  <c r="T197" i="14" a="1"/>
  <c r="T197" i="14" s="1"/>
  <c r="S197" i="14"/>
  <c r="S197" i="14" a="1"/>
  <c r="R197" i="14" a="1"/>
  <c r="R197" i="14" s="1"/>
  <c r="Q197" i="14" a="1"/>
  <c r="Q197" i="14" s="1"/>
  <c r="P197" i="14" a="1"/>
  <c r="P197" i="14" s="1"/>
  <c r="O197" i="14" a="1"/>
  <c r="O197" i="14" s="1"/>
  <c r="N197" i="14" a="1"/>
  <c r="N197" i="14" s="1"/>
  <c r="M197" i="14" a="1"/>
  <c r="M197" i="14" s="1"/>
  <c r="L197" i="14" a="1"/>
  <c r="L197" i="14" s="1"/>
  <c r="K197" i="14" a="1"/>
  <c r="K197" i="14" s="1"/>
  <c r="J197" i="14" a="1"/>
  <c r="J197" i="14" s="1"/>
  <c r="I197" i="14" a="1"/>
  <c r="I197" i="14" s="1"/>
  <c r="H197" i="14" a="1"/>
  <c r="H197" i="14" s="1"/>
  <c r="G197" i="14" a="1"/>
  <c r="G197" i="14" s="1"/>
  <c r="F197" i="14" a="1"/>
  <c r="F197" i="14" s="1"/>
  <c r="T196" i="14" a="1"/>
  <c r="T196" i="14" s="1"/>
  <c r="S196" i="14" a="1"/>
  <c r="S196" i="14" s="1"/>
  <c r="R196" i="14" a="1"/>
  <c r="R196" i="14" s="1"/>
  <c r="Q196" i="14" a="1"/>
  <c r="Q196" i="14" s="1"/>
  <c r="P196" i="14" a="1"/>
  <c r="P196" i="14" s="1"/>
  <c r="O196" i="14" a="1"/>
  <c r="O196" i="14" s="1"/>
  <c r="N196" i="14" a="1"/>
  <c r="N196" i="14" s="1"/>
  <c r="M196" i="14"/>
  <c r="M196" i="14" a="1"/>
  <c r="L196" i="14" a="1"/>
  <c r="L196" i="14" s="1"/>
  <c r="K196" i="14"/>
  <c r="K196" i="14" a="1"/>
  <c r="J196" i="14" a="1"/>
  <c r="J196" i="14" s="1"/>
  <c r="I196" i="14" a="1"/>
  <c r="I196" i="14" s="1"/>
  <c r="H196" i="14" a="1"/>
  <c r="H196" i="14" s="1"/>
  <c r="G196" i="14" a="1"/>
  <c r="G196" i="14" s="1"/>
  <c r="F196" i="14" a="1"/>
  <c r="F196" i="14" s="1"/>
  <c r="T195" i="14" a="1"/>
  <c r="T195" i="14" s="1"/>
  <c r="S195" i="14" a="1"/>
  <c r="S195" i="14" s="1"/>
  <c r="R195" i="14" a="1"/>
  <c r="R195" i="14" s="1"/>
  <c r="Q195" i="14" a="1"/>
  <c r="Q195" i="14" s="1"/>
  <c r="P195" i="14" a="1"/>
  <c r="P195" i="14" s="1"/>
  <c r="O195" i="14"/>
  <c r="O195" i="14" a="1"/>
  <c r="N195" i="14" a="1"/>
  <c r="N195" i="14" s="1"/>
  <c r="M195" i="14"/>
  <c r="M195" i="14" a="1"/>
  <c r="L195" i="14" a="1"/>
  <c r="L195" i="14" s="1"/>
  <c r="K195" i="14" a="1"/>
  <c r="K195" i="14" s="1"/>
  <c r="J195" i="14" a="1"/>
  <c r="J195" i="14" s="1"/>
  <c r="I195" i="14" a="1"/>
  <c r="I195" i="14" s="1"/>
  <c r="H195" i="14"/>
  <c r="H195" i="14" a="1"/>
  <c r="G195" i="14" a="1"/>
  <c r="G195" i="14" s="1"/>
  <c r="F195" i="14" a="1"/>
  <c r="F195" i="14" s="1"/>
  <c r="T194" i="14" a="1"/>
  <c r="T194" i="14" s="1"/>
  <c r="S194" i="14"/>
  <c r="S194" i="14" a="1"/>
  <c r="R194" i="14"/>
  <c r="R194" i="14" a="1"/>
  <c r="Q194" i="14"/>
  <c r="Q194" i="14" a="1"/>
  <c r="P194" i="14" a="1"/>
  <c r="P194" i="14" s="1"/>
  <c r="O194" i="14"/>
  <c r="O194" i="14" a="1"/>
  <c r="N194" i="14" a="1"/>
  <c r="N194" i="14" s="1"/>
  <c r="M194" i="14"/>
  <c r="M194" i="14" a="1"/>
  <c r="L194" i="14" a="1"/>
  <c r="L194" i="14" s="1"/>
  <c r="K194" i="14" a="1"/>
  <c r="K194" i="14" s="1"/>
  <c r="J194" i="14"/>
  <c r="J194" i="14" a="1"/>
  <c r="I194" i="14" a="1"/>
  <c r="I194" i="14" s="1"/>
  <c r="H194" i="14" a="1"/>
  <c r="H194" i="14" s="1"/>
  <c r="G194" i="14"/>
  <c r="G194" i="14" a="1"/>
  <c r="F194" i="14" a="1"/>
  <c r="F194" i="14" s="1"/>
  <c r="T193" i="14" a="1"/>
  <c r="T193" i="14" s="1"/>
  <c r="S193" i="14" a="1"/>
  <c r="S193" i="14" s="1"/>
  <c r="R193" i="14" a="1"/>
  <c r="R193" i="14" s="1"/>
  <c r="Q193" i="14" a="1"/>
  <c r="Q193" i="14" s="1"/>
  <c r="P193" i="14" a="1"/>
  <c r="P193" i="14" s="1"/>
  <c r="O193" i="14" a="1"/>
  <c r="O193" i="14" s="1"/>
  <c r="N193" i="14"/>
  <c r="N193" i="14" a="1"/>
  <c r="M193" i="14" a="1"/>
  <c r="M193" i="14" s="1"/>
  <c r="L193" i="14" a="1"/>
  <c r="L193" i="14" s="1"/>
  <c r="K193" i="14" a="1"/>
  <c r="K193" i="14" s="1"/>
  <c r="J193" i="14" a="1"/>
  <c r="J193" i="14" s="1"/>
  <c r="I193" i="14" a="1"/>
  <c r="I193" i="14" s="1"/>
  <c r="H193" i="14" a="1"/>
  <c r="H193" i="14" s="1"/>
  <c r="G193" i="14" a="1"/>
  <c r="G193" i="14" s="1"/>
  <c r="F193" i="14" a="1"/>
  <c r="F193" i="14" s="1"/>
  <c r="T192" i="14" a="1"/>
  <c r="T192" i="14" s="1"/>
  <c r="S192" i="14" a="1"/>
  <c r="S192" i="14" s="1"/>
  <c r="R192" i="14" a="1"/>
  <c r="R192" i="14" s="1"/>
  <c r="Q192" i="14"/>
  <c r="Q192" i="14" a="1"/>
  <c r="P192" i="14"/>
  <c r="P192" i="14" a="1"/>
  <c r="O192" i="14"/>
  <c r="O192" i="14" a="1"/>
  <c r="N192" i="14" a="1"/>
  <c r="N192" i="14" s="1"/>
  <c r="M192" i="14" a="1"/>
  <c r="M192" i="14" s="1"/>
  <c r="L192" i="14" a="1"/>
  <c r="L192" i="14" s="1"/>
  <c r="K192" i="14" a="1"/>
  <c r="K192" i="14" s="1"/>
  <c r="J192" i="14" a="1"/>
  <c r="J192" i="14" s="1"/>
  <c r="I192" i="14"/>
  <c r="I192" i="14" a="1"/>
  <c r="H192" i="14" a="1"/>
  <c r="H192" i="14" s="1"/>
  <c r="G192" i="14" a="1"/>
  <c r="G192" i="14" s="1"/>
  <c r="F192" i="14" a="1"/>
  <c r="F192" i="14" s="1"/>
  <c r="T191" i="14"/>
  <c r="T191" i="14" a="1"/>
  <c r="S191" i="14" a="1"/>
  <c r="S191" i="14" s="1"/>
  <c r="R191" i="14"/>
  <c r="R191" i="14" a="1"/>
  <c r="Q191" i="14" a="1"/>
  <c r="Q191" i="14" s="1"/>
  <c r="P191" i="14"/>
  <c r="P191" i="14" a="1"/>
  <c r="O191" i="14" a="1"/>
  <c r="O191" i="14" s="1"/>
  <c r="N191" i="14" a="1"/>
  <c r="N191" i="14" s="1"/>
  <c r="M191" i="14" a="1"/>
  <c r="M191" i="14" s="1"/>
  <c r="L191" i="14" a="1"/>
  <c r="L191" i="14" s="1"/>
  <c r="K191" i="14" a="1"/>
  <c r="K191" i="14" s="1"/>
  <c r="J191" i="14" a="1"/>
  <c r="J191" i="14" s="1"/>
  <c r="I191" i="14" a="1"/>
  <c r="I191" i="14" s="1"/>
  <c r="H191" i="14"/>
  <c r="H191" i="14" a="1"/>
  <c r="G191" i="14"/>
  <c r="G191" i="14" a="1"/>
  <c r="F191" i="14" a="1"/>
  <c r="F191" i="14" s="1"/>
  <c r="T190" i="14" a="1"/>
  <c r="T190" i="14" s="1"/>
  <c r="S190" i="14" a="1"/>
  <c r="S190" i="14" s="1"/>
  <c r="R190" i="14" a="1"/>
  <c r="R190" i="14" s="1"/>
  <c r="Q190" i="14"/>
  <c r="Q190" i="14" a="1"/>
  <c r="P190" i="14" a="1"/>
  <c r="P190" i="14" s="1"/>
  <c r="O190" i="14" a="1"/>
  <c r="O190" i="14" s="1"/>
  <c r="N190" i="14" a="1"/>
  <c r="N190" i="14" s="1"/>
  <c r="M190" i="14" a="1"/>
  <c r="M190" i="14" s="1"/>
  <c r="L190" i="14" a="1"/>
  <c r="L190" i="14" s="1"/>
  <c r="K190" i="14" a="1"/>
  <c r="K190" i="14" s="1"/>
  <c r="J190" i="14" a="1"/>
  <c r="J190" i="14" s="1"/>
  <c r="I190" i="14" a="1"/>
  <c r="I190" i="14" s="1"/>
  <c r="H190" i="14" a="1"/>
  <c r="H190" i="14" s="1"/>
  <c r="G190" i="14" a="1"/>
  <c r="G190" i="14" s="1"/>
  <c r="F190" i="14" a="1"/>
  <c r="F190" i="14" s="1"/>
  <c r="T189" i="14" a="1"/>
  <c r="T189" i="14" s="1"/>
  <c r="S189" i="14" a="1"/>
  <c r="S189" i="14" s="1"/>
  <c r="R189" i="14" a="1"/>
  <c r="R189" i="14" s="1"/>
  <c r="Q189" i="14" a="1"/>
  <c r="Q189" i="14" s="1"/>
  <c r="P189" i="14" a="1"/>
  <c r="P189" i="14" s="1"/>
  <c r="O189" i="14" a="1"/>
  <c r="O189" i="14" s="1"/>
  <c r="N189" i="14"/>
  <c r="N189" i="14" a="1"/>
  <c r="M189" i="14"/>
  <c r="M189" i="14" a="1"/>
  <c r="L189" i="14" a="1"/>
  <c r="L189" i="14" s="1"/>
  <c r="K189" i="14" a="1"/>
  <c r="K189" i="14" s="1"/>
  <c r="J189" i="14" a="1"/>
  <c r="J189" i="14" s="1"/>
  <c r="I189" i="14" a="1"/>
  <c r="I189" i="14" s="1"/>
  <c r="H189" i="14"/>
  <c r="H189" i="14" a="1"/>
  <c r="G189" i="14" a="1"/>
  <c r="G189" i="14" s="1"/>
  <c r="F189" i="14" a="1"/>
  <c r="F189" i="14" s="1"/>
  <c r="T188" i="14" a="1"/>
  <c r="T188" i="14" s="1"/>
  <c r="S188" i="14" a="1"/>
  <c r="S188" i="14" s="1"/>
  <c r="R188" i="14" a="1"/>
  <c r="R188" i="14" s="1"/>
  <c r="Q188" i="14" a="1"/>
  <c r="Q188" i="14" s="1"/>
  <c r="P188" i="14" a="1"/>
  <c r="P188" i="14" s="1"/>
  <c r="O188" i="14"/>
  <c r="O188" i="14" a="1"/>
  <c r="N188" i="14" a="1"/>
  <c r="N188" i="14" s="1"/>
  <c r="M188" i="14"/>
  <c r="M188" i="14" a="1"/>
  <c r="L188" i="14"/>
  <c r="L188" i="14" a="1"/>
  <c r="K188" i="14" a="1"/>
  <c r="K188" i="14" s="1"/>
  <c r="J188" i="14" a="1"/>
  <c r="J188" i="14" s="1"/>
  <c r="I188" i="14"/>
  <c r="I188" i="14" a="1"/>
  <c r="H188" i="14" a="1"/>
  <c r="H188" i="14" s="1"/>
  <c r="G188" i="14" a="1"/>
  <c r="G188" i="14" s="1"/>
  <c r="F188" i="14" a="1"/>
  <c r="F188" i="14" s="1"/>
  <c r="T187" i="14"/>
  <c r="T187" i="14" a="1"/>
  <c r="S187" i="14" a="1"/>
  <c r="S187" i="14" s="1"/>
  <c r="R187" i="14" a="1"/>
  <c r="R187" i="14" s="1"/>
  <c r="Q187" i="14" a="1"/>
  <c r="Q187" i="14" s="1"/>
  <c r="P187" i="14"/>
  <c r="P187" i="14" a="1"/>
  <c r="O187" i="14" a="1"/>
  <c r="O187" i="14" s="1"/>
  <c r="N187" i="14"/>
  <c r="N187" i="14" a="1"/>
  <c r="M187" i="14" a="1"/>
  <c r="M187" i="14" s="1"/>
  <c r="L187" i="14" a="1"/>
  <c r="L187" i="14" s="1"/>
  <c r="K187" i="14" a="1"/>
  <c r="K187" i="14" s="1"/>
  <c r="J187" i="14" a="1"/>
  <c r="J187" i="14" s="1"/>
  <c r="I187" i="14" a="1"/>
  <c r="I187" i="14" s="1"/>
  <c r="H187" i="14" a="1"/>
  <c r="H187" i="14" s="1"/>
  <c r="G187" i="14" a="1"/>
  <c r="G187" i="14" s="1"/>
  <c r="F187" i="14" a="1"/>
  <c r="F187" i="14" s="1"/>
  <c r="T186" i="14" a="1"/>
  <c r="T186" i="14" s="1"/>
  <c r="S186" i="14"/>
  <c r="S186" i="14" a="1"/>
  <c r="R186" i="14" a="1"/>
  <c r="R186" i="14" s="1"/>
  <c r="Q186" i="14" a="1"/>
  <c r="Q186" i="14" s="1"/>
  <c r="P186" i="14" a="1"/>
  <c r="P186" i="14" s="1"/>
  <c r="O186" i="14" a="1"/>
  <c r="O186" i="14" s="1"/>
  <c r="N186" i="14" a="1"/>
  <c r="N186" i="14" s="1"/>
  <c r="M186" i="14"/>
  <c r="M186" i="14" a="1"/>
  <c r="L186" i="14" a="1"/>
  <c r="L186" i="14" s="1"/>
  <c r="K186" i="14"/>
  <c r="K186" i="14" a="1"/>
  <c r="J186" i="14"/>
  <c r="J186" i="14" a="1"/>
  <c r="I186" i="14"/>
  <c r="I186" i="14" a="1"/>
  <c r="H186" i="14" a="1"/>
  <c r="H186" i="14" s="1"/>
  <c r="G186" i="14" a="1"/>
  <c r="G186" i="14" s="1"/>
  <c r="F186" i="14" a="1"/>
  <c r="F186" i="14" s="1"/>
  <c r="T185" i="14" a="1"/>
  <c r="T185" i="14" s="1"/>
  <c r="S185" i="14" a="1"/>
  <c r="S185" i="14" s="1"/>
  <c r="R185" i="14" a="1"/>
  <c r="R185" i="14" s="1"/>
  <c r="Q185" i="14" a="1"/>
  <c r="Q185" i="14" s="1"/>
  <c r="P185" i="14"/>
  <c r="P185" i="14" a="1"/>
  <c r="O185" i="14" a="1"/>
  <c r="O185" i="14" s="1"/>
  <c r="N185" i="14"/>
  <c r="N185" i="14" a="1"/>
  <c r="M185" i="14"/>
  <c r="M185" i="14" a="1"/>
  <c r="L185" i="14" a="1"/>
  <c r="L185" i="14" s="1"/>
  <c r="K185" i="14" a="1"/>
  <c r="K185" i="14" s="1"/>
  <c r="J185" i="14" a="1"/>
  <c r="J185" i="14" s="1"/>
  <c r="I185" i="14" a="1"/>
  <c r="I185" i="14" s="1"/>
  <c r="H185" i="14" a="1"/>
  <c r="H185" i="14" s="1"/>
  <c r="G185" i="14" a="1"/>
  <c r="G185" i="14" s="1"/>
  <c r="F185" i="14" a="1"/>
  <c r="F185" i="14" s="1"/>
  <c r="T184" i="14" a="1"/>
  <c r="T184" i="14" s="1"/>
  <c r="S184" i="14" a="1"/>
  <c r="S184" i="14" s="1"/>
  <c r="R184" i="14" a="1"/>
  <c r="R184" i="14" s="1"/>
  <c r="Q184" i="14"/>
  <c r="Q184" i="14" a="1"/>
  <c r="P184" i="14" a="1"/>
  <c r="P184" i="14" s="1"/>
  <c r="O184" i="14" a="1"/>
  <c r="O184" i="14" s="1"/>
  <c r="N184" i="14" a="1"/>
  <c r="N184" i="14" s="1"/>
  <c r="M184" i="14" a="1"/>
  <c r="M184" i="14" s="1"/>
  <c r="L184" i="14" a="1"/>
  <c r="L184" i="14" s="1"/>
  <c r="K184" i="14"/>
  <c r="K184" i="14" a="1"/>
  <c r="J184" i="14" a="1"/>
  <c r="J184" i="14" s="1"/>
  <c r="I184" i="14" a="1"/>
  <c r="I184" i="14" s="1"/>
  <c r="H184" i="14" a="1"/>
  <c r="H184" i="14" s="1"/>
  <c r="G184" i="14"/>
  <c r="G184" i="14" a="1"/>
  <c r="F184" i="14" a="1"/>
  <c r="F184" i="14" s="1"/>
  <c r="T183" i="14" a="1"/>
  <c r="T183" i="14" s="1"/>
  <c r="S183" i="14" a="1"/>
  <c r="S183" i="14" s="1"/>
  <c r="R183" i="14" a="1"/>
  <c r="R183" i="14" s="1"/>
  <c r="Q183" i="14" a="1"/>
  <c r="Q183" i="14" s="1"/>
  <c r="P183" i="14" a="1"/>
  <c r="P183" i="14" s="1"/>
  <c r="O183" i="14" a="1"/>
  <c r="O183" i="14" s="1"/>
  <c r="N183" i="14"/>
  <c r="N183" i="14" a="1"/>
  <c r="M183" i="14" a="1"/>
  <c r="M183" i="14" s="1"/>
  <c r="L183" i="14" a="1"/>
  <c r="L183" i="14" s="1"/>
  <c r="K183" i="14" a="1"/>
  <c r="K183" i="14" s="1"/>
  <c r="J183" i="14" a="1"/>
  <c r="J183" i="14" s="1"/>
  <c r="I183" i="14" a="1"/>
  <c r="I183" i="14" s="1"/>
  <c r="H183" i="14" a="1"/>
  <c r="H183" i="14" s="1"/>
  <c r="G183" i="14" a="1"/>
  <c r="G183" i="14" s="1"/>
  <c r="F183" i="14" a="1"/>
  <c r="F183" i="14" s="1"/>
  <c r="T182" i="14" a="1"/>
  <c r="T182" i="14" s="1"/>
  <c r="S182" i="14" a="1"/>
  <c r="S182" i="14" s="1"/>
  <c r="R182" i="14" a="1"/>
  <c r="R182" i="14" s="1"/>
  <c r="Q182" i="14" a="1"/>
  <c r="Q182" i="14" s="1"/>
  <c r="P182" i="14" a="1"/>
  <c r="P182" i="14" s="1"/>
  <c r="O182" i="14" a="1"/>
  <c r="O182" i="14" s="1"/>
  <c r="N182" i="14" a="1"/>
  <c r="N182" i="14" s="1"/>
  <c r="M182" i="14"/>
  <c r="M182" i="14" a="1"/>
  <c r="L182" i="14"/>
  <c r="L182" i="14" a="1"/>
  <c r="K182" i="14" a="1"/>
  <c r="K182" i="14" s="1"/>
  <c r="J182" i="14" a="1"/>
  <c r="J182" i="14" s="1"/>
  <c r="I182" i="14" a="1"/>
  <c r="I182" i="14" s="1"/>
  <c r="H182" i="14" a="1"/>
  <c r="H182" i="14" s="1"/>
  <c r="G182" i="14" a="1"/>
  <c r="G182" i="14" s="1"/>
  <c r="F182" i="14" a="1"/>
  <c r="F182" i="14" s="1"/>
  <c r="T181" i="14" a="1"/>
  <c r="T181" i="14" s="1"/>
  <c r="S181" i="14"/>
  <c r="S181" i="14" a="1"/>
  <c r="R181" i="14" a="1"/>
  <c r="R181" i="14" s="1"/>
  <c r="Q181" i="14"/>
  <c r="Q181" i="14" a="1"/>
  <c r="P181" i="14"/>
  <c r="P181" i="14" a="1"/>
  <c r="O181" i="14" a="1"/>
  <c r="O181" i="14" s="1"/>
  <c r="N181" i="14" a="1"/>
  <c r="N181" i="14" s="1"/>
  <c r="M181" i="14" a="1"/>
  <c r="M181" i="14" s="1"/>
  <c r="L181" i="14" a="1"/>
  <c r="L181" i="14" s="1"/>
  <c r="K181" i="14" a="1"/>
  <c r="K181" i="14" s="1"/>
  <c r="J181" i="14" a="1"/>
  <c r="J181" i="14" s="1"/>
  <c r="I181" i="14" a="1"/>
  <c r="I181" i="14" s="1"/>
  <c r="H181" i="14" a="1"/>
  <c r="H181" i="14" s="1"/>
  <c r="G181" i="14" a="1"/>
  <c r="G181" i="14" s="1"/>
  <c r="F181" i="14" a="1"/>
  <c r="F181" i="14" s="1"/>
  <c r="T180" i="14" a="1"/>
  <c r="T180" i="14" s="1"/>
  <c r="S180" i="14"/>
  <c r="S180" i="14" a="1"/>
  <c r="R180" i="14" a="1"/>
  <c r="R180" i="14" s="1"/>
  <c r="Q180" i="14" a="1"/>
  <c r="Q180" i="14" s="1"/>
  <c r="P180" i="14" a="1"/>
  <c r="P180" i="14" s="1"/>
  <c r="O180" i="14" a="1"/>
  <c r="O180" i="14" s="1"/>
  <c r="N180" i="14" a="1"/>
  <c r="N180" i="14" s="1"/>
  <c r="M180" i="14" a="1"/>
  <c r="M180" i="14" s="1"/>
  <c r="L180" i="14" a="1"/>
  <c r="L180" i="14" s="1"/>
  <c r="K180" i="14" a="1"/>
  <c r="K180" i="14" s="1"/>
  <c r="J180" i="14" a="1"/>
  <c r="J180" i="14" s="1"/>
  <c r="I180" i="14" a="1"/>
  <c r="I180" i="14" s="1"/>
  <c r="H180" i="14" a="1"/>
  <c r="H180" i="14" s="1"/>
  <c r="G180" i="14" a="1"/>
  <c r="G180" i="14" s="1"/>
  <c r="F180" i="14" a="1"/>
  <c r="F180" i="14" s="1"/>
  <c r="T179" i="14" a="1"/>
  <c r="T179" i="14" s="1"/>
  <c r="S179" i="14" a="1"/>
  <c r="S179" i="14" s="1"/>
  <c r="R179" i="14" a="1"/>
  <c r="R179" i="14" s="1"/>
  <c r="Q179" i="14" a="1"/>
  <c r="Q179" i="14" s="1"/>
  <c r="P179" i="14" a="1"/>
  <c r="P179" i="14" s="1"/>
  <c r="O179" i="14" a="1"/>
  <c r="O179" i="14" s="1"/>
  <c r="N179" i="14" a="1"/>
  <c r="N179" i="14" s="1"/>
  <c r="M179" i="14"/>
  <c r="M179" i="14" a="1"/>
  <c r="L179" i="14" a="1"/>
  <c r="L179" i="14" s="1"/>
  <c r="K179" i="14" a="1"/>
  <c r="K179" i="14" s="1"/>
  <c r="J179" i="14"/>
  <c r="J179" i="14" a="1"/>
  <c r="I179" i="14"/>
  <c r="I179" i="14" a="1"/>
  <c r="H179" i="14" a="1"/>
  <c r="H179" i="14" s="1"/>
  <c r="G179" i="14" a="1"/>
  <c r="G179" i="14" s="1"/>
  <c r="F179" i="14" a="1"/>
  <c r="F179" i="14" s="1"/>
  <c r="T178" i="14" a="1"/>
  <c r="T178" i="14" s="1"/>
  <c r="S178" i="14" a="1"/>
  <c r="S178" i="14" s="1"/>
  <c r="R178" i="14" a="1"/>
  <c r="R178" i="14" s="1"/>
  <c r="Q178" i="14" a="1"/>
  <c r="Q178" i="14" s="1"/>
  <c r="P178" i="14"/>
  <c r="P178" i="14" a="1"/>
  <c r="O178" i="14"/>
  <c r="O178" i="14" a="1"/>
  <c r="N178" i="14" a="1"/>
  <c r="N178" i="14" s="1"/>
  <c r="M178" i="14"/>
  <c r="M178" i="14" a="1"/>
  <c r="L178" i="14" a="1"/>
  <c r="L178" i="14" s="1"/>
  <c r="K178" i="14" a="1"/>
  <c r="K178" i="14" s="1"/>
  <c r="J178" i="14" a="1"/>
  <c r="J178" i="14" s="1"/>
  <c r="I178" i="14" a="1"/>
  <c r="I178" i="14" s="1"/>
  <c r="H178" i="14" a="1"/>
  <c r="H178" i="14" s="1"/>
  <c r="G178" i="14" a="1"/>
  <c r="G178" i="14" s="1"/>
  <c r="F178" i="14" a="1"/>
  <c r="F178" i="14" s="1"/>
  <c r="T177" i="14" a="1"/>
  <c r="T177" i="14" s="1"/>
  <c r="S177" i="14" a="1"/>
  <c r="S177" i="14" s="1"/>
  <c r="R177" i="14" a="1"/>
  <c r="R177" i="14" s="1"/>
  <c r="Q177" i="14" a="1"/>
  <c r="Q177" i="14" s="1"/>
  <c r="P177" i="14" a="1"/>
  <c r="P177" i="14" s="1"/>
  <c r="O177" i="14" a="1"/>
  <c r="O177" i="14" s="1"/>
  <c r="N177" i="14" a="1"/>
  <c r="N177" i="14" s="1"/>
  <c r="M177" i="14"/>
  <c r="M177" i="14" a="1"/>
  <c r="L177" i="14" a="1"/>
  <c r="L177" i="14" s="1"/>
  <c r="K177" i="14" a="1"/>
  <c r="K177" i="14" s="1"/>
  <c r="J177" i="14" a="1"/>
  <c r="J177" i="14" s="1"/>
  <c r="I177" i="14" a="1"/>
  <c r="I177" i="14" s="1"/>
  <c r="H177" i="14" a="1"/>
  <c r="H177" i="14" s="1"/>
  <c r="G177" i="14" a="1"/>
  <c r="G177" i="14" s="1"/>
  <c r="F177" i="14"/>
  <c r="F177" i="14" a="1"/>
  <c r="T176" i="14" a="1"/>
  <c r="T176" i="14" s="1"/>
  <c r="S176" i="14"/>
  <c r="S176" i="14" a="1"/>
  <c r="R176" i="14"/>
  <c r="R176" i="14" a="1"/>
  <c r="Q176" i="14" a="1"/>
  <c r="Q176" i="14" s="1"/>
  <c r="P176" i="14" a="1"/>
  <c r="P176" i="14" s="1"/>
  <c r="O176" i="14" a="1"/>
  <c r="O176" i="14" s="1"/>
  <c r="N176" i="14"/>
  <c r="N176" i="14" a="1"/>
  <c r="M176" i="14" a="1"/>
  <c r="M176" i="14" s="1"/>
  <c r="L176" i="14"/>
  <c r="L176" i="14" a="1"/>
  <c r="K176" i="14" a="1"/>
  <c r="K176" i="14" s="1"/>
  <c r="J176" i="14" a="1"/>
  <c r="J176" i="14" s="1"/>
  <c r="I176" i="14" a="1"/>
  <c r="I176" i="14" s="1"/>
  <c r="H176" i="14" a="1"/>
  <c r="H176" i="14" s="1"/>
  <c r="G176" i="14" a="1"/>
  <c r="G176" i="14" s="1"/>
  <c r="F176" i="14" a="1"/>
  <c r="F176" i="14" s="1"/>
  <c r="T175" i="14" a="1"/>
  <c r="T175" i="14" s="1"/>
  <c r="S175" i="14" a="1"/>
  <c r="S175" i="14" s="1"/>
  <c r="R175" i="14" a="1"/>
  <c r="R175" i="14" s="1"/>
  <c r="Q175" i="14" a="1"/>
  <c r="Q175" i="14" s="1"/>
  <c r="P175" i="14" a="1"/>
  <c r="P175" i="14" s="1"/>
  <c r="O175" i="14" a="1"/>
  <c r="O175" i="14" s="1"/>
  <c r="N175" i="14" a="1"/>
  <c r="N175" i="14" s="1"/>
  <c r="M175" i="14" a="1"/>
  <c r="M175" i="14" s="1"/>
  <c r="L175" i="14" a="1"/>
  <c r="L175" i="14" s="1"/>
  <c r="K175" i="14" a="1"/>
  <c r="K175" i="14" s="1"/>
  <c r="J175" i="14" a="1"/>
  <c r="J175" i="14" s="1"/>
  <c r="I175" i="14" a="1"/>
  <c r="I175" i="14" s="1"/>
  <c r="H175" i="14" a="1"/>
  <c r="H175" i="14" s="1"/>
  <c r="G175" i="14" a="1"/>
  <c r="G175" i="14" s="1"/>
  <c r="F175" i="14" a="1"/>
  <c r="F175" i="14" s="1"/>
  <c r="T174" i="14" a="1"/>
  <c r="T174" i="14" s="1"/>
  <c r="S174" i="14" a="1"/>
  <c r="S174" i="14" s="1"/>
  <c r="R174" i="14" a="1"/>
  <c r="R174" i="14" s="1"/>
  <c r="Q174" i="14" a="1"/>
  <c r="Q174" i="14" s="1"/>
  <c r="P174" i="14" a="1"/>
  <c r="P174" i="14" s="1"/>
  <c r="O174" i="14" a="1"/>
  <c r="O174" i="14" s="1"/>
  <c r="N174" i="14" a="1"/>
  <c r="N174" i="14" s="1"/>
  <c r="M174" i="14" a="1"/>
  <c r="M174" i="14" s="1"/>
  <c r="L174" i="14"/>
  <c r="L174" i="14" a="1"/>
  <c r="K174" i="14" a="1"/>
  <c r="K174" i="14" s="1"/>
  <c r="J174" i="14" a="1"/>
  <c r="J174" i="14" s="1"/>
  <c r="I174" i="14" a="1"/>
  <c r="I174" i="14" s="1"/>
  <c r="H174" i="14" a="1"/>
  <c r="H174" i="14" s="1"/>
  <c r="G174" i="14" a="1"/>
  <c r="G174" i="14" s="1"/>
  <c r="F174" i="14" a="1"/>
  <c r="F174" i="14" s="1"/>
  <c r="T173" i="14" a="1"/>
  <c r="T173" i="14" s="1"/>
  <c r="S173" i="14" a="1"/>
  <c r="S173" i="14" s="1"/>
  <c r="R173" i="14"/>
  <c r="R173" i="14" a="1"/>
  <c r="Q173" i="14" a="1"/>
  <c r="Q173" i="14" s="1"/>
  <c r="P173" i="14" a="1"/>
  <c r="P173" i="14" s="1"/>
  <c r="O173" i="14" a="1"/>
  <c r="O173" i="14" s="1"/>
  <c r="N173" i="14" a="1"/>
  <c r="N173" i="14" s="1"/>
  <c r="M173" i="14" a="1"/>
  <c r="M173" i="14" s="1"/>
  <c r="L173" i="14" a="1"/>
  <c r="L173" i="14" s="1"/>
  <c r="K173" i="14" a="1"/>
  <c r="K173" i="14" s="1"/>
  <c r="J173" i="14" a="1"/>
  <c r="J173" i="14" s="1"/>
  <c r="I173" i="14" a="1"/>
  <c r="I173" i="14" s="1"/>
  <c r="H173" i="14" a="1"/>
  <c r="H173" i="14" s="1"/>
  <c r="G173" i="14" a="1"/>
  <c r="G173" i="14" s="1"/>
  <c r="F173" i="14" a="1"/>
  <c r="F173" i="14" s="1"/>
  <c r="T172" i="14" a="1"/>
  <c r="T172" i="14" s="1"/>
  <c r="S172" i="14"/>
  <c r="S172" i="14" a="1"/>
  <c r="R172" i="14" a="1"/>
  <c r="R172" i="14" s="1"/>
  <c r="Q172" i="14" a="1"/>
  <c r="Q172" i="14" s="1"/>
  <c r="P172" i="14"/>
  <c r="P172" i="14" a="1"/>
  <c r="O172" i="14" a="1"/>
  <c r="O172" i="14" s="1"/>
  <c r="N172" i="14" a="1"/>
  <c r="N172" i="14" s="1"/>
  <c r="M172" i="14" a="1"/>
  <c r="M172" i="14" s="1"/>
  <c r="L172" i="14" a="1"/>
  <c r="L172" i="14" s="1"/>
  <c r="K172" i="14" a="1"/>
  <c r="K172" i="14" s="1"/>
  <c r="J172" i="14" a="1"/>
  <c r="J172" i="14" s="1"/>
  <c r="I172" i="14"/>
  <c r="I172" i="14" a="1"/>
  <c r="H172" i="14" a="1"/>
  <c r="H172" i="14" s="1"/>
  <c r="G172" i="14" a="1"/>
  <c r="G172" i="14" s="1"/>
  <c r="F172" i="14" a="1"/>
  <c r="F172" i="14" s="1"/>
  <c r="T171" i="14" a="1"/>
  <c r="T171" i="14" s="1"/>
  <c r="S171" i="14" a="1"/>
  <c r="S171" i="14" s="1"/>
  <c r="R171" i="14" a="1"/>
  <c r="R171" i="14" s="1"/>
  <c r="Q171" i="14" a="1"/>
  <c r="Q171" i="14" s="1"/>
  <c r="P171" i="14"/>
  <c r="P171" i="14" a="1"/>
  <c r="O171" i="14" a="1"/>
  <c r="O171" i="14" s="1"/>
  <c r="N171" i="14" a="1"/>
  <c r="N171" i="14" s="1"/>
  <c r="M171" i="14" a="1"/>
  <c r="M171" i="14" s="1"/>
  <c r="L171" i="14" a="1"/>
  <c r="L171" i="14" s="1"/>
  <c r="K171" i="14" a="1"/>
  <c r="K171" i="14" s="1"/>
  <c r="J171" i="14" a="1"/>
  <c r="J171" i="14" s="1"/>
  <c r="I171" i="14" a="1"/>
  <c r="I171" i="14" s="1"/>
  <c r="H171" i="14" a="1"/>
  <c r="H171" i="14" s="1"/>
  <c r="G171" i="14" a="1"/>
  <c r="G171" i="14" s="1"/>
  <c r="F171" i="14"/>
  <c r="F171" i="14" a="1"/>
  <c r="T170" i="14" a="1"/>
  <c r="T170" i="14" s="1"/>
  <c r="S170" i="14" a="1"/>
  <c r="S170" i="14" s="1"/>
  <c r="R170" i="14" a="1"/>
  <c r="R170" i="14" s="1"/>
  <c r="Q170" i="14" a="1"/>
  <c r="Q170" i="14" s="1"/>
  <c r="P170" i="14" a="1"/>
  <c r="P170" i="14" s="1"/>
  <c r="O170" i="14" a="1"/>
  <c r="O170" i="14" s="1"/>
  <c r="N170" i="14" a="1"/>
  <c r="N170" i="14" s="1"/>
  <c r="M170" i="14" a="1"/>
  <c r="M170" i="14" s="1"/>
  <c r="L170" i="14" a="1"/>
  <c r="L170" i="14" s="1"/>
  <c r="K170" i="14" a="1"/>
  <c r="K170" i="14" s="1"/>
  <c r="J170" i="14" a="1"/>
  <c r="J170" i="14" s="1"/>
  <c r="I170" i="14" a="1"/>
  <c r="I170" i="14" s="1"/>
  <c r="H170" i="14" a="1"/>
  <c r="H170" i="14" s="1"/>
  <c r="G170" i="14" a="1"/>
  <c r="G170" i="14" s="1"/>
  <c r="F170" i="14" a="1"/>
  <c r="F170" i="14" s="1"/>
  <c r="T169" i="14" a="1"/>
  <c r="T169" i="14" s="1"/>
  <c r="S169" i="14" a="1"/>
  <c r="S169" i="14" s="1"/>
  <c r="R169" i="14" a="1"/>
  <c r="R169" i="14" s="1"/>
  <c r="Q169" i="14" a="1"/>
  <c r="Q169" i="14" s="1"/>
  <c r="P169" i="14" a="1"/>
  <c r="P169" i="14" s="1"/>
  <c r="O169" i="14" a="1"/>
  <c r="O169" i="14" s="1"/>
  <c r="N169" i="14" a="1"/>
  <c r="N169" i="14" s="1"/>
  <c r="M169" i="14" a="1"/>
  <c r="M169" i="14" s="1"/>
  <c r="L169" i="14" a="1"/>
  <c r="L169" i="14" s="1"/>
  <c r="K169" i="14" a="1"/>
  <c r="K169" i="14" s="1"/>
  <c r="J169" i="14" a="1"/>
  <c r="J169" i="14" s="1"/>
  <c r="I169" i="14" a="1"/>
  <c r="I169" i="14" s="1"/>
  <c r="H169" i="14" a="1"/>
  <c r="H169" i="14" s="1"/>
  <c r="G169" i="14" a="1"/>
  <c r="G169" i="14" s="1"/>
  <c r="F169" i="14" a="1"/>
  <c r="F169" i="14" s="1"/>
  <c r="T168" i="14" a="1"/>
  <c r="T168" i="14" s="1"/>
  <c r="S168" i="14" a="1"/>
  <c r="S168" i="14" s="1"/>
  <c r="R168" i="14" a="1"/>
  <c r="R168" i="14" s="1"/>
  <c r="Q168" i="14" a="1"/>
  <c r="Q168" i="14" s="1"/>
  <c r="P168" i="14" a="1"/>
  <c r="P168" i="14" s="1"/>
  <c r="O168" i="14" a="1"/>
  <c r="O168" i="14" s="1"/>
  <c r="N168" i="14" a="1"/>
  <c r="N168" i="14" s="1"/>
  <c r="M168" i="14" a="1"/>
  <c r="M168" i="14" s="1"/>
  <c r="L168" i="14" a="1"/>
  <c r="L168" i="14" s="1"/>
  <c r="K168" i="14" a="1"/>
  <c r="K168" i="14" s="1"/>
  <c r="J168" i="14" a="1"/>
  <c r="J168" i="14" s="1"/>
  <c r="I168" i="14" a="1"/>
  <c r="I168" i="14" s="1"/>
  <c r="H168" i="14" a="1"/>
  <c r="H168" i="14" s="1"/>
  <c r="G168" i="14" a="1"/>
  <c r="G168" i="14" s="1"/>
  <c r="F168" i="14"/>
  <c r="F168" i="14" a="1"/>
  <c r="T167" i="14" a="1"/>
  <c r="T167" i="14" s="1"/>
  <c r="S167" i="14" a="1"/>
  <c r="S167" i="14" s="1"/>
  <c r="R167" i="14" a="1"/>
  <c r="R167" i="14" s="1"/>
  <c r="Q167" i="14" a="1"/>
  <c r="Q167" i="14" s="1"/>
  <c r="P167" i="14" a="1"/>
  <c r="P167" i="14" s="1"/>
  <c r="O167" i="14" a="1"/>
  <c r="O167" i="14" s="1"/>
  <c r="N167" i="14" a="1"/>
  <c r="N167" i="14" s="1"/>
  <c r="M167" i="14"/>
  <c r="M167" i="14" a="1"/>
  <c r="L167" i="14"/>
  <c r="L167" i="14" a="1"/>
  <c r="K167" i="14"/>
  <c r="K167" i="14" a="1"/>
  <c r="J167" i="14" a="1"/>
  <c r="J167" i="14" s="1"/>
  <c r="I167" i="14" a="1"/>
  <c r="I167" i="14" s="1"/>
  <c r="H167" i="14" a="1"/>
  <c r="H167" i="14" s="1"/>
  <c r="G167" i="14" a="1"/>
  <c r="G167" i="14" s="1"/>
  <c r="F167" i="14" a="1"/>
  <c r="F167" i="14" s="1"/>
  <c r="T166" i="14" a="1"/>
  <c r="T166" i="14" s="1"/>
  <c r="S166" i="14" a="1"/>
  <c r="S166" i="14" s="1"/>
  <c r="R166" i="14" a="1"/>
  <c r="R166" i="14" s="1"/>
  <c r="Q166" i="14" a="1"/>
  <c r="Q166" i="14" s="1"/>
  <c r="P166" i="14"/>
  <c r="P166" i="14" a="1"/>
  <c r="O166" i="14" a="1"/>
  <c r="O166" i="14" s="1"/>
  <c r="N166" i="14" a="1"/>
  <c r="N166" i="14" s="1"/>
  <c r="M166" i="14" a="1"/>
  <c r="M166" i="14" s="1"/>
  <c r="L166" i="14" a="1"/>
  <c r="L166" i="14" s="1"/>
  <c r="K166" i="14" a="1"/>
  <c r="K166" i="14" s="1"/>
  <c r="J166" i="14" a="1"/>
  <c r="J166" i="14" s="1"/>
  <c r="I166" i="14" a="1"/>
  <c r="I166" i="14" s="1"/>
  <c r="H166" i="14" a="1"/>
  <c r="H166" i="14" s="1"/>
  <c r="G166" i="14" a="1"/>
  <c r="G166" i="14" s="1"/>
  <c r="F166" i="14" a="1"/>
  <c r="F166" i="14" s="1"/>
  <c r="T165" i="14" a="1"/>
  <c r="T165" i="14" s="1"/>
  <c r="S165" i="14" a="1"/>
  <c r="S165" i="14" s="1"/>
  <c r="R165" i="14" a="1"/>
  <c r="R165" i="14" s="1"/>
  <c r="Q165" i="14" a="1"/>
  <c r="Q165" i="14" s="1"/>
  <c r="P165" i="14"/>
  <c r="P165" i="14" a="1"/>
  <c r="O165" i="14" a="1"/>
  <c r="O165" i="14" s="1"/>
  <c r="N165" i="14" a="1"/>
  <c r="N165" i="14" s="1"/>
  <c r="M165" i="14" a="1"/>
  <c r="M165" i="14" s="1"/>
  <c r="L165" i="14" a="1"/>
  <c r="L165" i="14" s="1"/>
  <c r="K165" i="14"/>
  <c r="K165" i="14" a="1"/>
  <c r="J165" i="14" a="1"/>
  <c r="J165" i="14" s="1"/>
  <c r="I165" i="14" a="1"/>
  <c r="I165" i="14" s="1"/>
  <c r="H165" i="14" a="1"/>
  <c r="H165" i="14" s="1"/>
  <c r="G165" i="14" a="1"/>
  <c r="G165" i="14" s="1"/>
  <c r="F165" i="14" a="1"/>
  <c r="F165" i="14" s="1"/>
  <c r="T164" i="14" a="1"/>
  <c r="T164" i="14" s="1"/>
  <c r="S164" i="14" a="1"/>
  <c r="S164" i="14" s="1"/>
  <c r="R164" i="14" a="1"/>
  <c r="R164" i="14" s="1"/>
  <c r="Q164" i="14" a="1"/>
  <c r="Q164" i="14" s="1"/>
  <c r="P164" i="14" a="1"/>
  <c r="P164" i="14" s="1"/>
  <c r="O164" i="14" a="1"/>
  <c r="O164" i="14" s="1"/>
  <c r="N164" i="14" a="1"/>
  <c r="N164" i="14" s="1"/>
  <c r="M164" i="14" a="1"/>
  <c r="M164" i="14" s="1"/>
  <c r="L164" i="14" a="1"/>
  <c r="L164" i="14" s="1"/>
  <c r="K164" i="14" a="1"/>
  <c r="K164" i="14" s="1"/>
  <c r="J164" i="14" a="1"/>
  <c r="J164" i="14" s="1"/>
  <c r="I164" i="14" a="1"/>
  <c r="I164" i="14" s="1"/>
  <c r="H164" i="14" a="1"/>
  <c r="H164" i="14" s="1"/>
  <c r="G164" i="14" a="1"/>
  <c r="G164" i="14" s="1"/>
  <c r="F164" i="14" a="1"/>
  <c r="F164" i="14" s="1"/>
  <c r="T163" i="14" a="1"/>
  <c r="T163" i="14" s="1"/>
  <c r="S163" i="14" a="1"/>
  <c r="S163" i="14" s="1"/>
  <c r="R163" i="14"/>
  <c r="R163" i="14" a="1"/>
  <c r="Q163" i="14" a="1"/>
  <c r="Q163" i="14" s="1"/>
  <c r="P163" i="14"/>
  <c r="P163" i="14" a="1"/>
  <c r="O163" i="14" a="1"/>
  <c r="O163" i="14" s="1"/>
  <c r="N163" i="14"/>
  <c r="N163" i="14" a="1"/>
  <c r="M163" i="14" a="1"/>
  <c r="M163" i="14" s="1"/>
  <c r="L163" i="14" a="1"/>
  <c r="L163" i="14" s="1"/>
  <c r="K163" i="14" a="1"/>
  <c r="K163" i="14" s="1"/>
  <c r="J163" i="14" a="1"/>
  <c r="J163" i="14" s="1"/>
  <c r="I163" i="14"/>
  <c r="I163" i="14" a="1"/>
  <c r="H163" i="14"/>
  <c r="H163" i="14" a="1"/>
  <c r="G163" i="14" a="1"/>
  <c r="G163" i="14" s="1"/>
  <c r="F163" i="14" a="1"/>
  <c r="F163" i="14" s="1"/>
  <c r="T162" i="14" a="1"/>
  <c r="T162" i="14" s="1"/>
  <c r="S162" i="14" a="1"/>
  <c r="S162" i="14" s="1"/>
  <c r="R162" i="14" a="1"/>
  <c r="R162" i="14" s="1"/>
  <c r="Q162" i="14" a="1"/>
  <c r="Q162" i="14" s="1"/>
  <c r="P162" i="14" a="1"/>
  <c r="P162" i="14" s="1"/>
  <c r="O162" i="14" a="1"/>
  <c r="O162" i="14" s="1"/>
  <c r="N162" i="14" a="1"/>
  <c r="N162" i="14" s="1"/>
  <c r="M162" i="14" a="1"/>
  <c r="M162" i="14" s="1"/>
  <c r="L162" i="14" a="1"/>
  <c r="L162" i="14" s="1"/>
  <c r="K162" i="14" a="1"/>
  <c r="K162" i="14" s="1"/>
  <c r="J162" i="14" a="1"/>
  <c r="J162" i="14" s="1"/>
  <c r="I162" i="14" a="1"/>
  <c r="I162" i="14" s="1"/>
  <c r="H162" i="14" a="1"/>
  <c r="H162" i="14" s="1"/>
  <c r="G162" i="14" a="1"/>
  <c r="G162" i="14" s="1"/>
  <c r="F162" i="14" a="1"/>
  <c r="F162" i="14" s="1"/>
  <c r="T161" i="14" a="1"/>
  <c r="T161" i="14" s="1"/>
  <c r="S161" i="14" a="1"/>
  <c r="S161" i="14" s="1"/>
  <c r="R161" i="14" a="1"/>
  <c r="R161" i="14" s="1"/>
  <c r="Q161" i="14" a="1"/>
  <c r="Q161" i="14" s="1"/>
  <c r="P161" i="14" a="1"/>
  <c r="P161" i="14" s="1"/>
  <c r="O161" i="14" a="1"/>
  <c r="O161" i="14" s="1"/>
  <c r="N161" i="14"/>
  <c r="N161" i="14" a="1"/>
  <c r="M161" i="14" a="1"/>
  <c r="M161" i="14" s="1"/>
  <c r="L161" i="14" a="1"/>
  <c r="L161" i="14" s="1"/>
  <c r="K161" i="14" a="1"/>
  <c r="K161" i="14" s="1"/>
  <c r="J161" i="14" a="1"/>
  <c r="J161" i="14" s="1"/>
  <c r="I161" i="14" a="1"/>
  <c r="I161" i="14" s="1"/>
  <c r="H161" i="14" a="1"/>
  <c r="H161" i="14" s="1"/>
  <c r="G161" i="14" a="1"/>
  <c r="G161" i="14" s="1"/>
  <c r="F161" i="14" a="1"/>
  <c r="F161" i="14" s="1"/>
  <c r="T160" i="14"/>
  <c r="T160" i="14" a="1"/>
  <c r="S160" i="14" a="1"/>
  <c r="S160" i="14" s="1"/>
  <c r="R160" i="14"/>
  <c r="R160" i="14" a="1"/>
  <c r="Q160" i="14" a="1"/>
  <c r="Q160" i="14" s="1"/>
  <c r="P160" i="14" a="1"/>
  <c r="P160" i="14" s="1"/>
  <c r="O160" i="14" a="1"/>
  <c r="O160" i="14" s="1"/>
  <c r="N160" i="14" a="1"/>
  <c r="N160" i="14" s="1"/>
  <c r="M160" i="14" a="1"/>
  <c r="M160" i="14" s="1"/>
  <c r="L160" i="14" a="1"/>
  <c r="L160" i="14" s="1"/>
  <c r="K160" i="14"/>
  <c r="K160" i="14" a="1"/>
  <c r="J160" i="14" a="1"/>
  <c r="J160" i="14" s="1"/>
  <c r="I160" i="14" a="1"/>
  <c r="I160" i="14" s="1"/>
  <c r="H160" i="14" a="1"/>
  <c r="H160" i="14" s="1"/>
  <c r="G160" i="14" a="1"/>
  <c r="G160" i="14" s="1"/>
  <c r="F160" i="14" a="1"/>
  <c r="F160" i="14" s="1"/>
  <c r="T159" i="14" a="1"/>
  <c r="T159" i="14" s="1"/>
  <c r="S159" i="14" a="1"/>
  <c r="S159" i="14" s="1"/>
  <c r="R159" i="14" a="1"/>
  <c r="R159" i="14" s="1"/>
  <c r="Q159" i="14" a="1"/>
  <c r="Q159" i="14" s="1"/>
  <c r="P159" i="14" a="1"/>
  <c r="P159" i="14" s="1"/>
  <c r="O159" i="14" a="1"/>
  <c r="O159" i="14" s="1"/>
  <c r="N159" i="14" a="1"/>
  <c r="N159" i="14" s="1"/>
  <c r="M159" i="14"/>
  <c r="M159" i="14" a="1"/>
  <c r="L159" i="14" a="1"/>
  <c r="L159" i="14" s="1"/>
  <c r="K159" i="14"/>
  <c r="K159" i="14" a="1"/>
  <c r="J159" i="14" a="1"/>
  <c r="J159" i="14" s="1"/>
  <c r="I159" i="14" a="1"/>
  <c r="I159" i="14" s="1"/>
  <c r="H159" i="14" a="1"/>
  <c r="H159" i="14" s="1"/>
  <c r="G159" i="14" a="1"/>
  <c r="G159" i="14" s="1"/>
  <c r="F159" i="14" a="1"/>
  <c r="F159" i="14" s="1"/>
  <c r="T158" i="14" a="1"/>
  <c r="T158" i="14" s="1"/>
  <c r="S158" i="14" a="1"/>
  <c r="S158" i="14" s="1"/>
  <c r="R158" i="14" a="1"/>
  <c r="R158" i="14" s="1"/>
  <c r="Q158" i="14" a="1"/>
  <c r="Q158" i="14" s="1"/>
  <c r="P158" i="14" a="1"/>
  <c r="P158" i="14" s="1"/>
  <c r="O158" i="14" a="1"/>
  <c r="O158" i="14" s="1"/>
  <c r="N158" i="14" a="1"/>
  <c r="N158" i="14" s="1"/>
  <c r="M158" i="14" a="1"/>
  <c r="M158" i="14" s="1"/>
  <c r="L158" i="14" a="1"/>
  <c r="L158" i="14" s="1"/>
  <c r="K158" i="14" a="1"/>
  <c r="K158" i="14" s="1"/>
  <c r="J158" i="14" a="1"/>
  <c r="J158" i="14" s="1"/>
  <c r="I158" i="14"/>
  <c r="I158" i="14" a="1"/>
  <c r="H158" i="14" a="1"/>
  <c r="H158" i="14" s="1"/>
  <c r="G158" i="14" a="1"/>
  <c r="G158" i="14" s="1"/>
  <c r="F158" i="14" a="1"/>
  <c r="F158" i="14" s="1"/>
  <c r="T157" i="14" a="1"/>
  <c r="T157" i="14" s="1"/>
  <c r="S157" i="14" a="1"/>
  <c r="S157" i="14" s="1"/>
  <c r="R157" i="14" a="1"/>
  <c r="R157" i="14" s="1"/>
  <c r="Q157" i="14" a="1"/>
  <c r="Q157" i="14" s="1"/>
  <c r="P157" i="14" a="1"/>
  <c r="P157" i="14" s="1"/>
  <c r="O157" i="14" a="1"/>
  <c r="O157" i="14" s="1"/>
  <c r="N157" i="14" a="1"/>
  <c r="N157" i="14" s="1"/>
  <c r="M157" i="14" a="1"/>
  <c r="M157" i="14" s="1"/>
  <c r="L157" i="14" a="1"/>
  <c r="L157" i="14" s="1"/>
  <c r="K157" i="14" a="1"/>
  <c r="K157" i="14" s="1"/>
  <c r="J157" i="14" a="1"/>
  <c r="J157" i="14" s="1"/>
  <c r="I157" i="14" a="1"/>
  <c r="I157" i="14" s="1"/>
  <c r="H157" i="14" a="1"/>
  <c r="H157" i="14" s="1"/>
  <c r="G157" i="14" a="1"/>
  <c r="G157" i="14" s="1"/>
  <c r="F157" i="14" a="1"/>
  <c r="F157" i="14" s="1"/>
  <c r="T156" i="14" a="1"/>
  <c r="T156" i="14" s="1"/>
  <c r="S156" i="14" a="1"/>
  <c r="S156" i="14" s="1"/>
  <c r="R156" i="14" a="1"/>
  <c r="R156" i="14" s="1"/>
  <c r="Q156" i="14" a="1"/>
  <c r="Q156" i="14" s="1"/>
  <c r="P156" i="14" a="1"/>
  <c r="P156" i="14" s="1"/>
  <c r="O156" i="14" a="1"/>
  <c r="O156" i="14" s="1"/>
  <c r="N156" i="14" a="1"/>
  <c r="N156" i="14" s="1"/>
  <c r="M156" i="14" a="1"/>
  <c r="M156" i="14" s="1"/>
  <c r="L156" i="14" a="1"/>
  <c r="L156" i="14" s="1"/>
  <c r="K156" i="14" a="1"/>
  <c r="K156" i="14" s="1"/>
  <c r="J156" i="14" a="1"/>
  <c r="J156" i="14" s="1"/>
  <c r="I156" i="14" a="1"/>
  <c r="I156" i="14" s="1"/>
  <c r="H156" i="14" a="1"/>
  <c r="H156" i="14" s="1"/>
  <c r="G156" i="14" a="1"/>
  <c r="G156" i="14" s="1"/>
  <c r="F156" i="14" a="1"/>
  <c r="F156" i="14" s="1"/>
  <c r="T155" i="14" a="1"/>
  <c r="T155" i="14" s="1"/>
  <c r="S155" i="14" a="1"/>
  <c r="S155" i="14" s="1"/>
  <c r="R155" i="14" a="1"/>
  <c r="R155" i="14" s="1"/>
  <c r="Q155" i="14" a="1"/>
  <c r="Q155" i="14" s="1"/>
  <c r="P155" i="14" a="1"/>
  <c r="P155" i="14" s="1"/>
  <c r="O155" i="14" a="1"/>
  <c r="O155" i="14" s="1"/>
  <c r="N155" i="14" a="1"/>
  <c r="N155" i="14" s="1"/>
  <c r="M155" i="14"/>
  <c r="M155" i="14" a="1"/>
  <c r="L155" i="14" a="1"/>
  <c r="L155" i="14" s="1"/>
  <c r="K155" i="14" a="1"/>
  <c r="K155" i="14" s="1"/>
  <c r="J155" i="14" a="1"/>
  <c r="J155" i="14" s="1"/>
  <c r="I155" i="14" a="1"/>
  <c r="I155" i="14" s="1"/>
  <c r="H155" i="14" a="1"/>
  <c r="H155" i="14" s="1"/>
  <c r="G155" i="14" a="1"/>
  <c r="G155" i="14" s="1"/>
  <c r="F155" i="14" a="1"/>
  <c r="F155" i="14" s="1"/>
  <c r="T154" i="14" a="1"/>
  <c r="T154" i="14" s="1"/>
  <c r="S154" i="14" a="1"/>
  <c r="S154" i="14" s="1"/>
  <c r="R154" i="14" a="1"/>
  <c r="R154" i="14" s="1"/>
  <c r="Q154" i="14" a="1"/>
  <c r="Q154" i="14" s="1"/>
  <c r="P154" i="14" a="1"/>
  <c r="P154" i="14" s="1"/>
  <c r="O154" i="14" a="1"/>
  <c r="O154" i="14" s="1"/>
  <c r="N154" i="14"/>
  <c r="N154" i="14" a="1"/>
  <c r="M154" i="14" a="1"/>
  <c r="M154" i="14" s="1"/>
  <c r="L154" i="14" a="1"/>
  <c r="L154" i="14" s="1"/>
  <c r="K154" i="14" a="1"/>
  <c r="K154" i="14" s="1"/>
  <c r="J154" i="14" a="1"/>
  <c r="J154" i="14" s="1"/>
  <c r="I154" i="14"/>
  <c r="I154" i="14" a="1"/>
  <c r="H154" i="14" a="1"/>
  <c r="H154" i="14" s="1"/>
  <c r="G154" i="14" a="1"/>
  <c r="G154" i="14" s="1"/>
  <c r="F154" i="14" a="1"/>
  <c r="F154" i="14" s="1"/>
  <c r="T153" i="14" a="1"/>
  <c r="T153" i="14" s="1"/>
  <c r="S153" i="14" a="1"/>
  <c r="S153" i="14" s="1"/>
  <c r="R153" i="14" a="1"/>
  <c r="R153" i="14" s="1"/>
  <c r="Q153" i="14" a="1"/>
  <c r="Q153" i="14" s="1"/>
  <c r="P153" i="14" a="1"/>
  <c r="P153" i="14" s="1"/>
  <c r="O153" i="14"/>
  <c r="O153" i="14" a="1"/>
  <c r="N153" i="14" a="1"/>
  <c r="N153" i="14" s="1"/>
  <c r="M153" i="14" a="1"/>
  <c r="M153" i="14" s="1"/>
  <c r="L153" i="14" a="1"/>
  <c r="L153" i="14" s="1"/>
  <c r="K153" i="14"/>
  <c r="K153" i="14" a="1"/>
  <c r="J153" i="14" a="1"/>
  <c r="J153" i="14" s="1"/>
  <c r="I153" i="14" a="1"/>
  <c r="I153" i="14" s="1"/>
  <c r="H153" i="14" a="1"/>
  <c r="H153" i="14" s="1"/>
  <c r="G153" i="14" a="1"/>
  <c r="G153" i="14" s="1"/>
  <c r="F153" i="14" a="1"/>
  <c r="F153" i="14" s="1"/>
  <c r="T152" i="14" a="1"/>
  <c r="T152" i="14" s="1"/>
  <c r="S152" i="14" a="1"/>
  <c r="S152" i="14" s="1"/>
  <c r="R152" i="14" a="1"/>
  <c r="R152" i="14" s="1"/>
  <c r="Q152" i="14" a="1"/>
  <c r="Q152" i="14" s="1"/>
  <c r="P152" i="14" a="1"/>
  <c r="P152" i="14" s="1"/>
  <c r="O152" i="14" a="1"/>
  <c r="O152" i="14" s="1"/>
  <c r="N152" i="14" a="1"/>
  <c r="N152" i="14" s="1"/>
  <c r="M152" i="14" a="1"/>
  <c r="M152" i="14" s="1"/>
  <c r="L152" i="14" a="1"/>
  <c r="L152" i="14" s="1"/>
  <c r="K152" i="14" a="1"/>
  <c r="K152" i="14" s="1"/>
  <c r="J152" i="14" a="1"/>
  <c r="J152" i="14" s="1"/>
  <c r="I152" i="14" a="1"/>
  <c r="I152" i="14" s="1"/>
  <c r="H152" i="14" a="1"/>
  <c r="H152" i="14" s="1"/>
  <c r="G152" i="14" a="1"/>
  <c r="G152" i="14" s="1"/>
  <c r="F152" i="14" a="1"/>
  <c r="F152" i="14" s="1"/>
  <c r="T151" i="14" a="1"/>
  <c r="T151" i="14" s="1"/>
  <c r="S151" i="14" a="1"/>
  <c r="S151" i="14" s="1"/>
  <c r="R151" i="14" a="1"/>
  <c r="R151" i="14" s="1"/>
  <c r="Q151" i="14" a="1"/>
  <c r="Q151" i="14" s="1"/>
  <c r="P151" i="14" a="1"/>
  <c r="P151" i="14" s="1"/>
  <c r="O151" i="14" a="1"/>
  <c r="O151" i="14" s="1"/>
  <c r="N151" i="14" a="1"/>
  <c r="N151" i="14" s="1"/>
  <c r="M151" i="14" a="1"/>
  <c r="M151" i="14" s="1"/>
  <c r="L151" i="14" a="1"/>
  <c r="L151" i="14" s="1"/>
  <c r="K151" i="14" a="1"/>
  <c r="K151" i="14" s="1"/>
  <c r="J151" i="14" a="1"/>
  <c r="J151" i="14" s="1"/>
  <c r="I151" i="14" a="1"/>
  <c r="I151" i="14" s="1"/>
  <c r="H151" i="14" a="1"/>
  <c r="H151" i="14" s="1"/>
  <c r="G151" i="14" a="1"/>
  <c r="G151" i="14" s="1"/>
  <c r="F151" i="14" a="1"/>
  <c r="F151" i="14" s="1"/>
  <c r="T150" i="14" a="1"/>
  <c r="T150" i="14" s="1"/>
  <c r="S150" i="14" a="1"/>
  <c r="S150" i="14" s="1"/>
  <c r="R150" i="14"/>
  <c r="R150" i="14" a="1"/>
  <c r="Q150" i="14"/>
  <c r="Q150" i="14" a="1"/>
  <c r="P150" i="14" a="1"/>
  <c r="P150" i="14" s="1"/>
  <c r="O150" i="14" a="1"/>
  <c r="O150" i="14" s="1"/>
  <c r="N150" i="14" a="1"/>
  <c r="N150" i="14" s="1"/>
  <c r="M150" i="14" a="1"/>
  <c r="M150" i="14" s="1"/>
  <c r="L150" i="14"/>
  <c r="L150" i="14" a="1"/>
  <c r="K150" i="14" a="1"/>
  <c r="K150" i="14" s="1"/>
  <c r="J150" i="14" a="1"/>
  <c r="J150" i="14" s="1"/>
  <c r="I150" i="14" a="1"/>
  <c r="I150" i="14" s="1"/>
  <c r="H150" i="14" a="1"/>
  <c r="H150" i="14" s="1"/>
  <c r="G150" i="14" a="1"/>
  <c r="G150" i="14" s="1"/>
  <c r="F150" i="14" a="1"/>
  <c r="F150" i="14" s="1"/>
  <c r="T149" i="14"/>
  <c r="T149" i="14" a="1"/>
  <c r="S149" i="14" a="1"/>
  <c r="S149" i="14" s="1"/>
  <c r="R149" i="14" a="1"/>
  <c r="R149" i="14" s="1"/>
  <c r="Q149" i="14" a="1"/>
  <c r="Q149" i="14" s="1"/>
  <c r="P149" i="14" a="1"/>
  <c r="P149" i="14" s="1"/>
  <c r="O149" i="14" a="1"/>
  <c r="O149" i="14" s="1"/>
  <c r="N149" i="14" a="1"/>
  <c r="N149" i="14" s="1"/>
  <c r="M149" i="14" a="1"/>
  <c r="M149" i="14" s="1"/>
  <c r="L149" i="14" a="1"/>
  <c r="L149" i="14" s="1"/>
  <c r="K149" i="14" a="1"/>
  <c r="K149" i="14" s="1"/>
  <c r="J149" i="14" a="1"/>
  <c r="J149" i="14" s="1"/>
  <c r="I149" i="14" a="1"/>
  <c r="I149" i="14" s="1"/>
  <c r="H149" i="14" a="1"/>
  <c r="H149" i="14" s="1"/>
  <c r="G149" i="14" a="1"/>
  <c r="G149" i="14" s="1"/>
  <c r="F149" i="14" a="1"/>
  <c r="F149" i="14" s="1"/>
  <c r="T148" i="14" a="1"/>
  <c r="T148" i="14" s="1"/>
  <c r="S148" i="14" a="1"/>
  <c r="S148" i="14" s="1"/>
  <c r="R148" i="14" a="1"/>
  <c r="R148" i="14" s="1"/>
  <c r="Q148" i="14" a="1"/>
  <c r="Q148" i="14" s="1"/>
  <c r="P148" i="14" a="1"/>
  <c r="P148" i="14" s="1"/>
  <c r="O148" i="14" a="1"/>
  <c r="O148" i="14" s="1"/>
  <c r="N148" i="14" a="1"/>
  <c r="N148" i="14" s="1"/>
  <c r="M148" i="14" a="1"/>
  <c r="M148" i="14" s="1"/>
  <c r="L148" i="14" a="1"/>
  <c r="L148" i="14" s="1"/>
  <c r="K148" i="14" a="1"/>
  <c r="K148" i="14" s="1"/>
  <c r="J148" i="14" a="1"/>
  <c r="J148" i="14" s="1"/>
  <c r="I148" i="14" a="1"/>
  <c r="I148" i="14" s="1"/>
  <c r="H148" i="14" a="1"/>
  <c r="H148" i="14" s="1"/>
  <c r="G148" i="14" a="1"/>
  <c r="G148" i="14" s="1"/>
  <c r="F148" i="14" a="1"/>
  <c r="F148" i="14" s="1"/>
  <c r="T147" i="14" a="1"/>
  <c r="T147" i="14" s="1"/>
  <c r="S147" i="14" a="1"/>
  <c r="S147" i="14" s="1"/>
  <c r="R147" i="14" a="1"/>
  <c r="R147" i="14" s="1"/>
  <c r="Q147" i="14" a="1"/>
  <c r="Q147" i="14" s="1"/>
  <c r="P147" i="14" a="1"/>
  <c r="P147" i="14" s="1"/>
  <c r="O147" i="14" a="1"/>
  <c r="O147" i="14" s="1"/>
  <c r="N147" i="14" a="1"/>
  <c r="N147" i="14" s="1"/>
  <c r="M147" i="14" a="1"/>
  <c r="M147" i="14" s="1"/>
  <c r="L147" i="14" a="1"/>
  <c r="L147" i="14" s="1"/>
  <c r="K147" i="14" a="1"/>
  <c r="K147" i="14" s="1"/>
  <c r="J147" i="14" a="1"/>
  <c r="J147" i="14" s="1"/>
  <c r="I147" i="14" a="1"/>
  <c r="I147" i="14" s="1"/>
  <c r="H147" i="14" a="1"/>
  <c r="H147" i="14" s="1"/>
  <c r="G147" i="14" a="1"/>
  <c r="G147" i="14" s="1"/>
  <c r="F147" i="14" a="1"/>
  <c r="F147" i="14" s="1"/>
  <c r="T146" i="14" a="1"/>
  <c r="T146" i="14" s="1"/>
  <c r="S146" i="14" a="1"/>
  <c r="S146" i="14" s="1"/>
  <c r="R146" i="14" a="1"/>
  <c r="R146" i="14" s="1"/>
  <c r="Q146" i="14" a="1"/>
  <c r="Q146" i="14" s="1"/>
  <c r="P146" i="14"/>
  <c r="P146" i="14" a="1"/>
  <c r="O146" i="14" a="1"/>
  <c r="O146" i="14" s="1"/>
  <c r="N146" i="14" a="1"/>
  <c r="N146" i="14" s="1"/>
  <c r="M146" i="14" a="1"/>
  <c r="M146" i="14" s="1"/>
  <c r="L146" i="14" a="1"/>
  <c r="L146" i="14" s="1"/>
  <c r="K146" i="14" a="1"/>
  <c r="K146" i="14" s="1"/>
  <c r="J146" i="14" a="1"/>
  <c r="J146" i="14" s="1"/>
  <c r="I146" i="14" a="1"/>
  <c r="I146" i="14" s="1"/>
  <c r="H146" i="14" a="1"/>
  <c r="H146" i="14" s="1"/>
  <c r="G146" i="14" a="1"/>
  <c r="G146" i="14" s="1"/>
  <c r="F146" i="14" a="1"/>
  <c r="F146" i="14" s="1"/>
  <c r="T145" i="14" a="1"/>
  <c r="T145" i="14" s="1"/>
  <c r="S145" i="14" a="1"/>
  <c r="S145" i="14" s="1"/>
  <c r="R145" i="14" a="1"/>
  <c r="R145" i="14" s="1"/>
  <c r="Q145" i="14" a="1"/>
  <c r="Q145" i="14" s="1"/>
  <c r="P145" i="14"/>
  <c r="P145" i="14" a="1"/>
  <c r="O145" i="14" a="1"/>
  <c r="O145" i="14" s="1"/>
  <c r="N145" i="14" a="1"/>
  <c r="N145" i="14" s="1"/>
  <c r="M145" i="14" a="1"/>
  <c r="M145" i="14" s="1"/>
  <c r="L145" i="14" a="1"/>
  <c r="L145" i="14" s="1"/>
  <c r="K145" i="14" a="1"/>
  <c r="K145" i="14" s="1"/>
  <c r="J145" i="14" a="1"/>
  <c r="J145" i="14" s="1"/>
  <c r="I145" i="14" a="1"/>
  <c r="I145" i="14" s="1"/>
  <c r="H145" i="14" a="1"/>
  <c r="H145" i="14" s="1"/>
  <c r="G145" i="14" a="1"/>
  <c r="G145" i="14" s="1"/>
  <c r="F145" i="14" a="1"/>
  <c r="F145" i="14" s="1"/>
  <c r="T144" i="14" a="1"/>
  <c r="T144" i="14" s="1"/>
  <c r="S144" i="14" a="1"/>
  <c r="S144" i="14" s="1"/>
  <c r="R144" i="14" a="1"/>
  <c r="R144" i="14" s="1"/>
  <c r="Q144" i="14" a="1"/>
  <c r="Q144" i="14" s="1"/>
  <c r="P144" i="14" a="1"/>
  <c r="P144" i="14" s="1"/>
  <c r="O144" i="14" a="1"/>
  <c r="O144" i="14" s="1"/>
  <c r="N144" i="14" a="1"/>
  <c r="N144" i="14" s="1"/>
  <c r="M144" i="14"/>
  <c r="M144" i="14" a="1"/>
  <c r="L144" i="14" a="1"/>
  <c r="L144" i="14" s="1"/>
  <c r="K144" i="14" a="1"/>
  <c r="K144" i="14" s="1"/>
  <c r="J144" i="14" a="1"/>
  <c r="J144" i="14" s="1"/>
  <c r="I144" i="14" a="1"/>
  <c r="I144" i="14" s="1"/>
  <c r="H144" i="14" a="1"/>
  <c r="H144" i="14" s="1"/>
  <c r="G144" i="14" a="1"/>
  <c r="G144" i="14" s="1"/>
  <c r="F144" i="14" a="1"/>
  <c r="F144" i="14" s="1"/>
  <c r="T143" i="14" a="1"/>
  <c r="T143" i="14" s="1"/>
  <c r="S143" i="14" a="1"/>
  <c r="S143" i="14" s="1"/>
  <c r="R143" i="14" a="1"/>
  <c r="R143" i="14" s="1"/>
  <c r="Q143" i="14" a="1"/>
  <c r="Q143" i="14" s="1"/>
  <c r="P143" i="14" a="1"/>
  <c r="P143" i="14" s="1"/>
  <c r="O143" i="14" a="1"/>
  <c r="O143" i="14" s="1"/>
  <c r="N143" i="14" a="1"/>
  <c r="N143" i="14" s="1"/>
  <c r="M143" i="14" a="1"/>
  <c r="M143" i="14" s="1"/>
  <c r="L143" i="14" a="1"/>
  <c r="L143" i="14" s="1"/>
  <c r="K143" i="14" a="1"/>
  <c r="K143" i="14" s="1"/>
  <c r="J143" i="14" a="1"/>
  <c r="J143" i="14" s="1"/>
  <c r="I143" i="14" a="1"/>
  <c r="I143" i="14" s="1"/>
  <c r="H143" i="14" a="1"/>
  <c r="H143" i="14" s="1"/>
  <c r="G143" i="14" a="1"/>
  <c r="G143" i="14" s="1"/>
  <c r="F143" i="14" a="1"/>
  <c r="F143" i="14" s="1"/>
  <c r="T142" i="14" a="1"/>
  <c r="T142" i="14" s="1"/>
  <c r="S142" i="14" a="1"/>
  <c r="S142" i="14" s="1"/>
  <c r="R142" i="14" a="1"/>
  <c r="R142" i="14" s="1"/>
  <c r="Q142" i="14" a="1"/>
  <c r="Q142" i="14" s="1"/>
  <c r="P142" i="14"/>
  <c r="P142" i="14" a="1"/>
  <c r="O142" i="14" a="1"/>
  <c r="O142" i="14" s="1"/>
  <c r="N142" i="14" a="1"/>
  <c r="N142" i="14" s="1"/>
  <c r="M142" i="14" a="1"/>
  <c r="M142" i="14" s="1"/>
  <c r="L142" i="14" a="1"/>
  <c r="L142" i="14" s="1"/>
  <c r="K142" i="14" a="1"/>
  <c r="K142" i="14" s="1"/>
  <c r="J142" i="14"/>
  <c r="J142" i="14" a="1"/>
  <c r="I142" i="14"/>
  <c r="I142" i="14" a="1"/>
  <c r="H142" i="14" a="1"/>
  <c r="H142" i="14" s="1"/>
  <c r="G142" i="14" a="1"/>
  <c r="G142" i="14" s="1"/>
  <c r="F142" i="14" a="1"/>
  <c r="F142" i="14" s="1"/>
  <c r="T141" i="14" a="1"/>
  <c r="T141" i="14" s="1"/>
  <c r="S141" i="14"/>
  <c r="S141" i="14" a="1"/>
  <c r="R141" i="14" a="1"/>
  <c r="R141" i="14" s="1"/>
  <c r="Q141" i="14"/>
  <c r="Q141" i="14" a="1"/>
  <c r="P141" i="14" a="1"/>
  <c r="P141" i="14" s="1"/>
  <c r="O141" i="14" a="1"/>
  <c r="O141" i="14" s="1"/>
  <c r="N141" i="14" a="1"/>
  <c r="N141" i="14" s="1"/>
  <c r="M141" i="14" a="1"/>
  <c r="M141" i="14" s="1"/>
  <c r="L141" i="14" a="1"/>
  <c r="L141" i="14" s="1"/>
  <c r="K141" i="14" a="1"/>
  <c r="K141" i="14" s="1"/>
  <c r="J141" i="14" a="1"/>
  <c r="J141" i="14" s="1"/>
  <c r="I141" i="14" a="1"/>
  <c r="I141" i="14" s="1"/>
  <c r="H141" i="14" a="1"/>
  <c r="H141" i="14" s="1"/>
  <c r="G141" i="14" a="1"/>
  <c r="G141" i="14" s="1"/>
  <c r="F141" i="14" a="1"/>
  <c r="F141" i="14" s="1"/>
  <c r="T140" i="14" a="1"/>
  <c r="T140" i="14" s="1"/>
  <c r="S140" i="14" a="1"/>
  <c r="S140" i="14" s="1"/>
  <c r="R140" i="14" a="1"/>
  <c r="R140" i="14" s="1"/>
  <c r="Q140" i="14" a="1"/>
  <c r="Q140" i="14" s="1"/>
  <c r="P140" i="14" a="1"/>
  <c r="P140" i="14" s="1"/>
  <c r="O140" i="14" a="1"/>
  <c r="O140" i="14" s="1"/>
  <c r="N140" i="14" a="1"/>
  <c r="N140" i="14" s="1"/>
  <c r="M140" i="14" a="1"/>
  <c r="M140" i="14" s="1"/>
  <c r="L140" i="14" a="1"/>
  <c r="L140" i="14" s="1"/>
  <c r="K140" i="14" a="1"/>
  <c r="K140" i="14" s="1"/>
  <c r="J140" i="14" a="1"/>
  <c r="J140" i="14" s="1"/>
  <c r="I140" i="14"/>
  <c r="I140" i="14" a="1"/>
  <c r="H140" i="14" a="1"/>
  <c r="H140" i="14" s="1"/>
  <c r="G140" i="14" a="1"/>
  <c r="G140" i="14" s="1"/>
  <c r="F140" i="14" a="1"/>
  <c r="F140" i="14" s="1"/>
  <c r="T139" i="14" a="1"/>
  <c r="T139" i="14" s="1"/>
  <c r="S139" i="14" a="1"/>
  <c r="S139" i="14" s="1"/>
  <c r="R139" i="14" a="1"/>
  <c r="R139" i="14" s="1"/>
  <c r="Q139" i="14" a="1"/>
  <c r="Q139" i="14" s="1"/>
  <c r="P139" i="14" a="1"/>
  <c r="P139" i="14" s="1"/>
  <c r="O139" i="14" a="1"/>
  <c r="O139" i="14" s="1"/>
  <c r="N139" i="14" a="1"/>
  <c r="N139" i="14" s="1"/>
  <c r="M139" i="14" a="1"/>
  <c r="M139" i="14" s="1"/>
  <c r="L139" i="14" a="1"/>
  <c r="L139" i="14" s="1"/>
  <c r="K139" i="14" a="1"/>
  <c r="K139" i="14" s="1"/>
  <c r="J139" i="14" a="1"/>
  <c r="J139" i="14" s="1"/>
  <c r="I139" i="14" a="1"/>
  <c r="I139" i="14" s="1"/>
  <c r="H139" i="14" a="1"/>
  <c r="H139" i="14" s="1"/>
  <c r="G139" i="14" a="1"/>
  <c r="G139" i="14" s="1"/>
  <c r="F139" i="14" a="1"/>
  <c r="F139" i="14" s="1"/>
  <c r="T138" i="14" a="1"/>
  <c r="T138" i="14" s="1"/>
  <c r="S138" i="14" a="1"/>
  <c r="S138" i="14" s="1"/>
  <c r="R138" i="14" a="1"/>
  <c r="R138" i="14" s="1"/>
  <c r="Q138" i="14" a="1"/>
  <c r="Q138" i="14" s="1"/>
  <c r="P138" i="14" a="1"/>
  <c r="P138" i="14" s="1"/>
  <c r="O138" i="14" a="1"/>
  <c r="O138" i="14" s="1"/>
  <c r="N138" i="14" a="1"/>
  <c r="N138" i="14" s="1"/>
  <c r="M138" i="14" a="1"/>
  <c r="M138" i="14" s="1"/>
  <c r="L138" i="14" a="1"/>
  <c r="L138" i="14" s="1"/>
  <c r="K138" i="14" a="1"/>
  <c r="K138" i="14" s="1"/>
  <c r="J138" i="14" a="1"/>
  <c r="J138" i="14" s="1"/>
  <c r="I138" i="14" a="1"/>
  <c r="I138" i="14" s="1"/>
  <c r="H138" i="14" a="1"/>
  <c r="H138" i="14" s="1"/>
  <c r="G138" i="14" a="1"/>
  <c r="G138" i="14" s="1"/>
  <c r="F138" i="14" a="1"/>
  <c r="F138" i="14" s="1"/>
  <c r="T137" i="14" a="1"/>
  <c r="T137" i="14" s="1"/>
  <c r="S137" i="14" a="1"/>
  <c r="S137" i="14" s="1"/>
  <c r="R137" i="14" a="1"/>
  <c r="R137" i="14" s="1"/>
  <c r="Q137" i="14" a="1"/>
  <c r="Q137" i="14" s="1"/>
  <c r="P137" i="14" a="1"/>
  <c r="P137" i="14" s="1"/>
  <c r="O137" i="14" a="1"/>
  <c r="O137" i="14" s="1"/>
  <c r="N137" i="14" a="1"/>
  <c r="N137" i="14" s="1"/>
  <c r="M137" i="14"/>
  <c r="M137" i="14" a="1"/>
  <c r="L137" i="14"/>
  <c r="L137" i="14" a="1"/>
  <c r="K137" i="14" a="1"/>
  <c r="K137" i="14" s="1"/>
  <c r="J137" i="14" a="1"/>
  <c r="J137" i="14" s="1"/>
  <c r="I137" i="14" a="1"/>
  <c r="I137" i="14" s="1"/>
  <c r="H137" i="14" a="1"/>
  <c r="H137" i="14" s="1"/>
  <c r="G137" i="14" a="1"/>
  <c r="G137" i="14" s="1"/>
  <c r="F137" i="14"/>
  <c r="F137" i="14" a="1"/>
  <c r="T136" i="14" a="1"/>
  <c r="T136" i="14" s="1"/>
  <c r="S136" i="14" a="1"/>
  <c r="S136" i="14" s="1"/>
  <c r="R136" i="14" a="1"/>
  <c r="R136" i="14" s="1"/>
  <c r="Q136" i="14" a="1"/>
  <c r="Q136" i="14" s="1"/>
  <c r="P136" i="14" a="1"/>
  <c r="P136" i="14" s="1"/>
  <c r="O136" i="14" a="1"/>
  <c r="O136" i="14" s="1"/>
  <c r="N136" i="14"/>
  <c r="N136" i="14" a="1"/>
  <c r="M136" i="14" a="1"/>
  <c r="M136" i="14" s="1"/>
  <c r="L136" i="14" a="1"/>
  <c r="L136" i="14" s="1"/>
  <c r="K136" i="14"/>
  <c r="K136" i="14" a="1"/>
  <c r="J136" i="14" a="1"/>
  <c r="J136" i="14" s="1"/>
  <c r="I136" i="14" a="1"/>
  <c r="I136" i="14" s="1"/>
  <c r="H136" i="14" a="1"/>
  <c r="H136" i="14" s="1"/>
  <c r="G136" i="14" a="1"/>
  <c r="G136" i="14" s="1"/>
  <c r="F136" i="14" a="1"/>
  <c r="F136" i="14" s="1"/>
  <c r="T135" i="14" a="1"/>
  <c r="T135" i="14" s="1"/>
  <c r="S135" i="14" a="1"/>
  <c r="S135" i="14" s="1"/>
  <c r="R135" i="14" a="1"/>
  <c r="R135" i="14" s="1"/>
  <c r="Q135" i="14" a="1"/>
  <c r="Q135" i="14" s="1"/>
  <c r="P135" i="14" a="1"/>
  <c r="P135" i="14" s="1"/>
  <c r="O135" i="14" a="1"/>
  <c r="O135" i="14" s="1"/>
  <c r="N135" i="14" a="1"/>
  <c r="N135" i="14" s="1"/>
  <c r="M135" i="14" a="1"/>
  <c r="M135" i="14" s="1"/>
  <c r="L135" i="14" a="1"/>
  <c r="L135" i="14" s="1"/>
  <c r="K135" i="14" a="1"/>
  <c r="K135" i="14" s="1"/>
  <c r="J135" i="14" a="1"/>
  <c r="J135" i="14" s="1"/>
  <c r="I135" i="14" a="1"/>
  <c r="I135" i="14" s="1"/>
  <c r="H135" i="14" a="1"/>
  <c r="H135" i="14" s="1"/>
  <c r="G135" i="14" a="1"/>
  <c r="G135" i="14" s="1"/>
  <c r="F135" i="14" a="1"/>
  <c r="F135" i="14" s="1"/>
  <c r="T134" i="14" a="1"/>
  <c r="T134" i="14" s="1"/>
  <c r="S134" i="14" a="1"/>
  <c r="S134" i="14" s="1"/>
  <c r="R134" i="14" a="1"/>
  <c r="R134" i="14" s="1"/>
  <c r="Q134" i="14" a="1"/>
  <c r="Q134" i="14" s="1"/>
  <c r="P134" i="14" a="1"/>
  <c r="P134" i="14" s="1"/>
  <c r="O134" i="14" a="1"/>
  <c r="O134" i="14" s="1"/>
  <c r="N134" i="14" a="1"/>
  <c r="N134" i="14" s="1"/>
  <c r="M134" i="14" a="1"/>
  <c r="M134" i="14" s="1"/>
  <c r="L134" i="14" a="1"/>
  <c r="L134" i="14" s="1"/>
  <c r="K134" i="14" a="1"/>
  <c r="K134" i="14" s="1"/>
  <c r="J134" i="14" a="1"/>
  <c r="J134" i="14" s="1"/>
  <c r="I134" i="14" a="1"/>
  <c r="I134" i="14" s="1"/>
  <c r="H134" i="14" a="1"/>
  <c r="H134" i="14" s="1"/>
  <c r="G134" i="14" a="1"/>
  <c r="G134" i="14" s="1"/>
  <c r="F134" i="14" a="1"/>
  <c r="F134" i="14" s="1"/>
  <c r="T133" i="14" a="1"/>
  <c r="T133" i="14" s="1"/>
  <c r="S133" i="14" a="1"/>
  <c r="S133" i="14" s="1"/>
  <c r="R133" i="14" a="1"/>
  <c r="R133" i="14" s="1"/>
  <c r="Q133" i="14"/>
  <c r="Q133" i="14" a="1"/>
  <c r="P133" i="14" a="1"/>
  <c r="P133" i="14" s="1"/>
  <c r="O133" i="14" a="1"/>
  <c r="O133" i="14" s="1"/>
  <c r="N133" i="14" a="1"/>
  <c r="N133" i="14" s="1"/>
  <c r="M133" i="14" a="1"/>
  <c r="M133" i="14" s="1"/>
  <c r="L133" i="14" a="1"/>
  <c r="L133" i="14" s="1"/>
  <c r="K133" i="14"/>
  <c r="K133" i="14" a="1"/>
  <c r="J133" i="14" a="1"/>
  <c r="J133" i="14" s="1"/>
  <c r="I133" i="14" a="1"/>
  <c r="I133" i="14" s="1"/>
  <c r="H133" i="14" a="1"/>
  <c r="H133" i="14" s="1"/>
  <c r="G133" i="14"/>
  <c r="G133" i="14" a="1"/>
  <c r="F133" i="14" a="1"/>
  <c r="F133" i="14" s="1"/>
  <c r="T132" i="14" a="1"/>
  <c r="T132" i="14" s="1"/>
  <c r="S132" i="14"/>
  <c r="S132" i="14" a="1"/>
  <c r="R132" i="14" a="1"/>
  <c r="R132" i="14" s="1"/>
  <c r="Q132" i="14" a="1"/>
  <c r="Q132" i="14" s="1"/>
  <c r="P132" i="14" a="1"/>
  <c r="P132" i="14" s="1"/>
  <c r="O132" i="14" a="1"/>
  <c r="O132" i="14" s="1"/>
  <c r="N132" i="14" a="1"/>
  <c r="N132" i="14" s="1"/>
  <c r="M132" i="14" a="1"/>
  <c r="M132" i="14" s="1"/>
  <c r="L132" i="14" a="1"/>
  <c r="L132" i="14" s="1"/>
  <c r="K132" i="14" a="1"/>
  <c r="K132" i="14" s="1"/>
  <c r="J132" i="14" a="1"/>
  <c r="J132" i="14" s="1"/>
  <c r="I132" i="14" a="1"/>
  <c r="I132" i="14" s="1"/>
  <c r="H132" i="14" a="1"/>
  <c r="H132" i="14" s="1"/>
  <c r="G132" i="14" a="1"/>
  <c r="G132" i="14" s="1"/>
  <c r="F132" i="14" a="1"/>
  <c r="F132" i="14" s="1"/>
  <c r="T131" i="14" a="1"/>
  <c r="T131" i="14" s="1"/>
  <c r="S131" i="14" a="1"/>
  <c r="S131" i="14" s="1"/>
  <c r="R131" i="14" a="1"/>
  <c r="R131" i="14" s="1"/>
  <c r="Q131" i="14" a="1"/>
  <c r="Q131" i="14" s="1"/>
  <c r="P131" i="14"/>
  <c r="P131" i="14" a="1"/>
  <c r="O131" i="14" a="1"/>
  <c r="O131" i="14" s="1"/>
  <c r="N131" i="14" a="1"/>
  <c r="N131" i="14" s="1"/>
  <c r="M131" i="14" a="1"/>
  <c r="M131" i="14" s="1"/>
  <c r="L131" i="14" a="1"/>
  <c r="L131" i="14" s="1"/>
  <c r="K131" i="14" a="1"/>
  <c r="K131" i="14" s="1"/>
  <c r="J131" i="14" a="1"/>
  <c r="J131" i="14" s="1"/>
  <c r="I131" i="14" a="1"/>
  <c r="I131" i="14" s="1"/>
  <c r="H131" i="14" a="1"/>
  <c r="H131" i="14" s="1"/>
  <c r="G131" i="14"/>
  <c r="G131" i="14" a="1"/>
  <c r="F131" i="14" a="1"/>
  <c r="F131" i="14" s="1"/>
  <c r="T130" i="14" a="1"/>
  <c r="T130" i="14" s="1"/>
  <c r="S130" i="14" a="1"/>
  <c r="S130" i="14" s="1"/>
  <c r="R130" i="14" a="1"/>
  <c r="R130" i="14" s="1"/>
  <c r="Q130" i="14" a="1"/>
  <c r="Q130" i="14" s="1"/>
  <c r="P130" i="14" a="1"/>
  <c r="P130" i="14" s="1"/>
  <c r="O130" i="14" a="1"/>
  <c r="O130" i="14" s="1"/>
  <c r="N130" i="14" a="1"/>
  <c r="N130" i="14" s="1"/>
  <c r="M130" i="14" a="1"/>
  <c r="M130" i="14" s="1"/>
  <c r="L130" i="14" a="1"/>
  <c r="L130" i="14" s="1"/>
  <c r="K130" i="14" a="1"/>
  <c r="K130" i="14" s="1"/>
  <c r="J130" i="14" a="1"/>
  <c r="J130" i="14" s="1"/>
  <c r="I130" i="14" a="1"/>
  <c r="I130" i="14" s="1"/>
  <c r="H130" i="14"/>
  <c r="H130" i="14" a="1"/>
  <c r="G130" i="14" a="1"/>
  <c r="G130" i="14" s="1"/>
  <c r="F130" i="14" a="1"/>
  <c r="F130" i="14" s="1"/>
  <c r="T129" i="14" a="1"/>
  <c r="T129" i="14" s="1"/>
  <c r="S129" i="14" a="1"/>
  <c r="S129" i="14" s="1"/>
  <c r="R129" i="14" a="1"/>
  <c r="R129" i="14" s="1"/>
  <c r="Q129" i="14" a="1"/>
  <c r="Q129" i="14" s="1"/>
  <c r="P129" i="14" a="1"/>
  <c r="P129" i="14" s="1"/>
  <c r="O129" i="14" a="1"/>
  <c r="O129" i="14" s="1"/>
  <c r="N129" i="14" a="1"/>
  <c r="N129" i="14" s="1"/>
  <c r="M129" i="14" a="1"/>
  <c r="M129" i="14" s="1"/>
  <c r="L129" i="14" a="1"/>
  <c r="L129" i="14" s="1"/>
  <c r="K129" i="14" a="1"/>
  <c r="K129" i="14" s="1"/>
  <c r="J129" i="14" a="1"/>
  <c r="J129" i="14" s="1"/>
  <c r="I129" i="14" a="1"/>
  <c r="I129" i="14" s="1"/>
  <c r="H129" i="14" a="1"/>
  <c r="H129" i="14" s="1"/>
  <c r="G129" i="14"/>
  <c r="G129" i="14" a="1"/>
  <c r="F129" i="14" a="1"/>
  <c r="F129" i="14" s="1"/>
  <c r="T128" i="14" a="1"/>
  <c r="T128" i="14" s="1"/>
  <c r="S128" i="14" a="1"/>
  <c r="S128" i="14" s="1"/>
  <c r="R128" i="14" a="1"/>
  <c r="R128" i="14" s="1"/>
  <c r="Q128" i="14" a="1"/>
  <c r="Q128" i="14" s="1"/>
  <c r="P128" i="14" a="1"/>
  <c r="P128" i="14" s="1"/>
  <c r="O128" i="14" a="1"/>
  <c r="O128" i="14" s="1"/>
  <c r="N128" i="14" a="1"/>
  <c r="N128" i="14" s="1"/>
  <c r="M128" i="14" a="1"/>
  <c r="M128" i="14" s="1"/>
  <c r="L128" i="14" a="1"/>
  <c r="L128" i="14" s="1"/>
  <c r="K128" i="14" a="1"/>
  <c r="K128" i="14" s="1"/>
  <c r="J128" i="14"/>
  <c r="J128" i="14" a="1"/>
  <c r="I128" i="14" a="1"/>
  <c r="I128" i="14" s="1"/>
  <c r="H128" i="14" a="1"/>
  <c r="H128" i="14" s="1"/>
  <c r="G128" i="14" a="1"/>
  <c r="G128" i="14" s="1"/>
  <c r="F128" i="14" a="1"/>
  <c r="F128" i="14" s="1"/>
  <c r="T127" i="14" a="1"/>
  <c r="T127" i="14" s="1"/>
  <c r="S127" i="14" a="1"/>
  <c r="S127" i="14" s="1"/>
  <c r="R127" i="14" a="1"/>
  <c r="R127" i="14" s="1"/>
  <c r="Q127" i="14" a="1"/>
  <c r="Q127" i="14" s="1"/>
  <c r="P127" i="14" a="1"/>
  <c r="P127" i="14" s="1"/>
  <c r="O127" i="14" a="1"/>
  <c r="O127" i="14" s="1"/>
  <c r="N127" i="14" a="1"/>
  <c r="N127" i="14" s="1"/>
  <c r="M127" i="14" a="1"/>
  <c r="M127" i="14" s="1"/>
  <c r="L127" i="14" a="1"/>
  <c r="L127" i="14" s="1"/>
  <c r="K127" i="14"/>
  <c r="K127" i="14" a="1"/>
  <c r="J127" i="14" a="1"/>
  <c r="J127" i="14" s="1"/>
  <c r="I127" i="14" a="1"/>
  <c r="I127" i="14" s="1"/>
  <c r="H127" i="14" a="1"/>
  <c r="H127" i="14" s="1"/>
  <c r="G127" i="14" a="1"/>
  <c r="G127" i="14" s="1"/>
  <c r="F127" i="14" a="1"/>
  <c r="F127" i="14" s="1"/>
  <c r="T126" i="14"/>
  <c r="T126" i="14" a="1"/>
  <c r="S126" i="14" a="1"/>
  <c r="S126" i="14" s="1"/>
  <c r="R126" i="14" a="1"/>
  <c r="R126" i="14" s="1"/>
  <c r="Q126" i="14" a="1"/>
  <c r="Q126" i="14" s="1"/>
  <c r="P126" i="14" a="1"/>
  <c r="P126" i="14" s="1"/>
  <c r="O126" i="14" a="1"/>
  <c r="O126" i="14" s="1"/>
  <c r="N126" i="14" a="1"/>
  <c r="N126" i="14" s="1"/>
  <c r="M126" i="14" a="1"/>
  <c r="M126" i="14" s="1"/>
  <c r="L126" i="14" a="1"/>
  <c r="L126" i="14" s="1"/>
  <c r="K126" i="14"/>
  <c r="K126" i="14" a="1"/>
  <c r="J126" i="14" a="1"/>
  <c r="J126" i="14" s="1"/>
  <c r="I126" i="14" a="1"/>
  <c r="I126" i="14" s="1"/>
  <c r="H126" i="14"/>
  <c r="H126" i="14" a="1"/>
  <c r="G126" i="14" a="1"/>
  <c r="G126" i="14" s="1"/>
  <c r="F126" i="14" a="1"/>
  <c r="F126" i="14" s="1"/>
  <c r="T125" i="14" a="1"/>
  <c r="T125" i="14" s="1"/>
  <c r="S125" i="14"/>
  <c r="S125" i="14" a="1"/>
  <c r="R125" i="14" a="1"/>
  <c r="R125" i="14" s="1"/>
  <c r="Q125" i="14" a="1"/>
  <c r="Q125" i="14" s="1"/>
  <c r="P125" i="14" a="1"/>
  <c r="P125" i="14" s="1"/>
  <c r="O125" i="14" a="1"/>
  <c r="O125" i="14" s="1"/>
  <c r="N125" i="14" a="1"/>
  <c r="N125" i="14" s="1"/>
  <c r="M125" i="14" a="1"/>
  <c r="M125" i="14" s="1"/>
  <c r="L125" i="14" a="1"/>
  <c r="L125" i="14" s="1"/>
  <c r="K125" i="14" a="1"/>
  <c r="K125" i="14" s="1"/>
  <c r="J125" i="14" a="1"/>
  <c r="J125" i="14" s="1"/>
  <c r="I125" i="14" a="1"/>
  <c r="I125" i="14" s="1"/>
  <c r="H125" i="14" a="1"/>
  <c r="H125" i="14" s="1"/>
  <c r="G125" i="14" a="1"/>
  <c r="G125" i="14" s="1"/>
  <c r="F125" i="14" a="1"/>
  <c r="F125" i="14" s="1"/>
  <c r="T124" i="14" a="1"/>
  <c r="T124" i="14" s="1"/>
  <c r="S124" i="14" a="1"/>
  <c r="S124" i="14" s="1"/>
  <c r="R124" i="14" a="1"/>
  <c r="R124" i="14" s="1"/>
  <c r="Q124" i="14" a="1"/>
  <c r="Q124" i="14" s="1"/>
  <c r="P124" i="14" a="1"/>
  <c r="P124" i="14" s="1"/>
  <c r="O124" i="14"/>
  <c r="O124" i="14" a="1"/>
  <c r="N124" i="14" a="1"/>
  <c r="N124" i="14" s="1"/>
  <c r="M124" i="14" a="1"/>
  <c r="M124" i="14" s="1"/>
  <c r="L124" i="14" a="1"/>
  <c r="L124" i="14" s="1"/>
  <c r="K124" i="14"/>
  <c r="K124" i="14" a="1"/>
  <c r="J124" i="14" a="1"/>
  <c r="J124" i="14" s="1"/>
  <c r="I124" i="14" a="1"/>
  <c r="I124" i="14" s="1"/>
  <c r="H124" i="14" a="1"/>
  <c r="H124" i="14" s="1"/>
  <c r="G124" i="14" a="1"/>
  <c r="G124" i="14" s="1"/>
  <c r="F124" i="14" a="1"/>
  <c r="F124" i="14" s="1"/>
  <c r="T123" i="14" a="1"/>
  <c r="T123" i="14" s="1"/>
  <c r="S123" i="14" a="1"/>
  <c r="S123" i="14" s="1"/>
  <c r="R123" i="14"/>
  <c r="R123" i="14" a="1"/>
  <c r="Q123" i="14"/>
  <c r="Q123" i="14" a="1"/>
  <c r="P123" i="14" a="1"/>
  <c r="P123" i="14" s="1"/>
  <c r="O123" i="14"/>
  <c r="O123" i="14" a="1"/>
  <c r="N123" i="14"/>
  <c r="N123" i="14" a="1"/>
  <c r="M123" i="14" a="1"/>
  <c r="M123" i="14" s="1"/>
  <c r="L123" i="14" a="1"/>
  <c r="L123" i="14" s="1"/>
  <c r="K123" i="14" a="1"/>
  <c r="K123" i="14" s="1"/>
  <c r="J123" i="14" a="1"/>
  <c r="J123" i="14" s="1"/>
  <c r="I123" i="14" a="1"/>
  <c r="I123" i="14" s="1"/>
  <c r="H123" i="14" a="1"/>
  <c r="H123" i="14" s="1"/>
  <c r="G123" i="14" a="1"/>
  <c r="G123" i="14" s="1"/>
  <c r="F123" i="14"/>
  <c r="F123" i="14" a="1"/>
  <c r="T122" i="14" a="1"/>
  <c r="T122" i="14" s="1"/>
  <c r="S122" i="14" a="1"/>
  <c r="S122" i="14" s="1"/>
  <c r="R122" i="14" a="1"/>
  <c r="R122" i="14" s="1"/>
  <c r="Q122" i="14" a="1"/>
  <c r="Q122" i="14" s="1"/>
  <c r="P122" i="14"/>
  <c r="P122" i="14" a="1"/>
  <c r="O122" i="14" a="1"/>
  <c r="O122" i="14" s="1"/>
  <c r="N122" i="14" a="1"/>
  <c r="N122" i="14" s="1"/>
  <c r="M122" i="14" a="1"/>
  <c r="M122" i="14" s="1"/>
  <c r="L122" i="14"/>
  <c r="L122" i="14" a="1"/>
  <c r="K122" i="14" a="1"/>
  <c r="K122" i="14" s="1"/>
  <c r="J122" i="14" a="1"/>
  <c r="J122" i="14" s="1"/>
  <c r="I122" i="14" a="1"/>
  <c r="I122" i="14" s="1"/>
  <c r="H122" i="14" a="1"/>
  <c r="H122" i="14" s="1"/>
  <c r="G122" i="14" a="1"/>
  <c r="G122" i="14" s="1"/>
  <c r="F122" i="14" a="1"/>
  <c r="F122" i="14" s="1"/>
  <c r="T121" i="14" a="1"/>
  <c r="T121" i="14" s="1"/>
  <c r="S121" i="14" a="1"/>
  <c r="S121" i="14" s="1"/>
  <c r="R121" i="14" a="1"/>
  <c r="R121" i="14" s="1"/>
  <c r="Q121" i="14" a="1"/>
  <c r="Q121" i="14" s="1"/>
  <c r="P121" i="14" a="1"/>
  <c r="P121" i="14" s="1"/>
  <c r="O121" i="14" a="1"/>
  <c r="O121" i="14" s="1"/>
  <c r="N121" i="14" a="1"/>
  <c r="N121" i="14" s="1"/>
  <c r="M121" i="14" a="1"/>
  <c r="M121" i="14" s="1"/>
  <c r="L121" i="14"/>
  <c r="L121" i="14" a="1"/>
  <c r="K121" i="14"/>
  <c r="K121" i="14" a="1"/>
  <c r="J121" i="14" a="1"/>
  <c r="J121" i="14" s="1"/>
  <c r="I121" i="14" a="1"/>
  <c r="I121" i="14" s="1"/>
  <c r="H121" i="14"/>
  <c r="H121" i="14" a="1"/>
  <c r="G121" i="14" a="1"/>
  <c r="G121" i="14" s="1"/>
  <c r="F121" i="14" a="1"/>
  <c r="F121" i="14" s="1"/>
  <c r="T120" i="14" a="1"/>
  <c r="T120" i="14" s="1"/>
  <c r="S120" i="14" a="1"/>
  <c r="S120" i="14" s="1"/>
  <c r="R120" i="14" a="1"/>
  <c r="R120" i="14" s="1"/>
  <c r="Q120" i="14" a="1"/>
  <c r="Q120" i="14" s="1"/>
  <c r="P120" i="14" a="1"/>
  <c r="P120" i="14" s="1"/>
  <c r="O120" i="14" a="1"/>
  <c r="O120" i="14" s="1"/>
  <c r="N120" i="14"/>
  <c r="N120" i="14" a="1"/>
  <c r="M120" i="14" a="1"/>
  <c r="M120" i="14" s="1"/>
  <c r="L120" i="14" a="1"/>
  <c r="L120" i="14" s="1"/>
  <c r="K120" i="14" a="1"/>
  <c r="K120" i="14" s="1"/>
  <c r="J120" i="14"/>
  <c r="J120" i="14" a="1"/>
  <c r="I120" i="14" a="1"/>
  <c r="I120" i="14" s="1"/>
  <c r="H120" i="14" a="1"/>
  <c r="H120" i="14" s="1"/>
  <c r="G120" i="14"/>
  <c r="G120" i="14" a="1"/>
  <c r="F120" i="14" a="1"/>
  <c r="F120" i="14" s="1"/>
  <c r="T119" i="14" a="1"/>
  <c r="T119" i="14" s="1"/>
  <c r="S119" i="14" a="1"/>
  <c r="S119" i="14" s="1"/>
  <c r="R119" i="14" a="1"/>
  <c r="R119" i="14" s="1"/>
  <c r="Q119" i="14"/>
  <c r="Q119" i="14" a="1"/>
  <c r="P119" i="14" a="1"/>
  <c r="P119" i="14" s="1"/>
  <c r="O119" i="14" a="1"/>
  <c r="O119" i="14" s="1"/>
  <c r="N119" i="14" a="1"/>
  <c r="N119" i="14" s="1"/>
  <c r="M119" i="14"/>
  <c r="M119" i="14" a="1"/>
  <c r="L119" i="14" a="1"/>
  <c r="L119" i="14" s="1"/>
  <c r="K119" i="14"/>
  <c r="K119" i="14" a="1"/>
  <c r="J119" i="14" a="1"/>
  <c r="J119" i="14" s="1"/>
  <c r="I119" i="14" a="1"/>
  <c r="I119" i="14" s="1"/>
  <c r="H119" i="14" a="1"/>
  <c r="H119" i="14" s="1"/>
  <c r="G119" i="14" a="1"/>
  <c r="G119" i="14" s="1"/>
  <c r="F119" i="14"/>
  <c r="F119" i="14" a="1"/>
  <c r="T118" i="14" a="1"/>
  <c r="T118" i="14" s="1"/>
  <c r="S118" i="14" a="1"/>
  <c r="S118" i="14" s="1"/>
  <c r="R118" i="14" a="1"/>
  <c r="R118" i="14" s="1"/>
  <c r="Q118" i="14" a="1"/>
  <c r="Q118" i="14" s="1"/>
  <c r="P118" i="14" a="1"/>
  <c r="P118" i="14" s="1"/>
  <c r="O118" i="14" a="1"/>
  <c r="O118" i="14" s="1"/>
  <c r="N118" i="14" a="1"/>
  <c r="N118" i="14" s="1"/>
  <c r="M118" i="14" a="1"/>
  <c r="M118" i="14" s="1"/>
  <c r="L118" i="14" a="1"/>
  <c r="L118" i="14" s="1"/>
  <c r="K118" i="14" a="1"/>
  <c r="K118" i="14" s="1"/>
  <c r="J118" i="14" a="1"/>
  <c r="J118" i="14" s="1"/>
  <c r="I118" i="14" a="1"/>
  <c r="I118" i="14" s="1"/>
  <c r="H118" i="14" a="1"/>
  <c r="H118" i="14" s="1"/>
  <c r="G118" i="14" a="1"/>
  <c r="G118" i="14" s="1"/>
  <c r="F118" i="14" a="1"/>
  <c r="F118" i="14" s="1"/>
  <c r="T117" i="14" a="1"/>
  <c r="T117" i="14" s="1"/>
  <c r="S117" i="14" a="1"/>
  <c r="S117" i="14" s="1"/>
  <c r="R117" i="14" a="1"/>
  <c r="R117" i="14" s="1"/>
  <c r="Q117" i="14" a="1"/>
  <c r="Q117" i="14" s="1"/>
  <c r="P117" i="14" a="1"/>
  <c r="P117" i="14" s="1"/>
  <c r="O117" i="14" a="1"/>
  <c r="O117" i="14" s="1"/>
  <c r="N117" i="14" a="1"/>
  <c r="N117" i="14" s="1"/>
  <c r="M117" i="14" a="1"/>
  <c r="M117" i="14" s="1"/>
  <c r="L117" i="14" a="1"/>
  <c r="L117" i="14" s="1"/>
  <c r="K117" i="14" a="1"/>
  <c r="K117" i="14" s="1"/>
  <c r="J117" i="14" a="1"/>
  <c r="J117" i="14" s="1"/>
  <c r="I117" i="14"/>
  <c r="I117" i="14" a="1"/>
  <c r="H117" i="14"/>
  <c r="H117" i="14" a="1"/>
  <c r="G117" i="14"/>
  <c r="G117" i="14" a="1"/>
  <c r="F117" i="14" a="1"/>
  <c r="F117" i="14" s="1"/>
  <c r="T116" i="14" a="1"/>
  <c r="T116" i="14" s="1"/>
  <c r="S116" i="14" a="1"/>
  <c r="S116" i="14" s="1"/>
  <c r="R116" i="14" a="1"/>
  <c r="R116" i="14" s="1"/>
  <c r="Q116" i="14" a="1"/>
  <c r="Q116" i="14" s="1"/>
  <c r="P116" i="14" a="1"/>
  <c r="P116" i="14" s="1"/>
  <c r="O116" i="14"/>
  <c r="O116" i="14" a="1"/>
  <c r="N116" i="14" a="1"/>
  <c r="N116" i="14" s="1"/>
  <c r="M116" i="14" a="1"/>
  <c r="M116" i="14" s="1"/>
  <c r="L116" i="14" a="1"/>
  <c r="L116" i="14" s="1"/>
  <c r="K116" i="14" a="1"/>
  <c r="K116" i="14" s="1"/>
  <c r="J116" i="14" a="1"/>
  <c r="J116" i="14" s="1"/>
  <c r="I116" i="14" a="1"/>
  <c r="I116" i="14" s="1"/>
  <c r="H116" i="14" a="1"/>
  <c r="H116" i="14" s="1"/>
  <c r="G116" i="14" a="1"/>
  <c r="G116" i="14" s="1"/>
  <c r="F116" i="14" a="1"/>
  <c r="F116" i="14" s="1"/>
  <c r="T115" i="14" a="1"/>
  <c r="T115" i="14" s="1"/>
  <c r="S115" i="14" a="1"/>
  <c r="S115" i="14" s="1"/>
  <c r="R115" i="14"/>
  <c r="R115" i="14" a="1"/>
  <c r="Q115" i="14" a="1"/>
  <c r="Q115" i="14" s="1"/>
  <c r="P115" i="14"/>
  <c r="P115" i="14" a="1"/>
  <c r="O115" i="14" a="1"/>
  <c r="O115" i="14" s="1"/>
  <c r="N115" i="14" a="1"/>
  <c r="N115" i="14" s="1"/>
  <c r="M115" i="14"/>
  <c r="M115" i="14" a="1"/>
  <c r="L115" i="14" a="1"/>
  <c r="L115" i="14" s="1"/>
  <c r="K115" i="14" a="1"/>
  <c r="K115" i="14" s="1"/>
  <c r="J115" i="14" a="1"/>
  <c r="J115" i="14" s="1"/>
  <c r="I115" i="14" a="1"/>
  <c r="I115" i="14" s="1"/>
  <c r="H115" i="14" a="1"/>
  <c r="H115" i="14" s="1"/>
  <c r="G115" i="14"/>
  <c r="G115" i="14" a="1"/>
  <c r="F115" i="14" a="1"/>
  <c r="F115" i="14" s="1"/>
  <c r="T114" i="14" a="1"/>
  <c r="T114" i="14" s="1"/>
  <c r="S114" i="14" a="1"/>
  <c r="S114" i="14" s="1"/>
  <c r="R114" i="14" a="1"/>
  <c r="R114" i="14" s="1"/>
  <c r="Q114" i="14" a="1"/>
  <c r="Q114" i="14" s="1"/>
  <c r="P114" i="14" a="1"/>
  <c r="P114" i="14" s="1"/>
  <c r="O114" i="14" a="1"/>
  <c r="O114" i="14" s="1"/>
  <c r="N114" i="14" a="1"/>
  <c r="N114" i="14" s="1"/>
  <c r="M114" i="14" a="1"/>
  <c r="M114" i="14" s="1"/>
  <c r="L114" i="14" a="1"/>
  <c r="L114" i="14" s="1"/>
  <c r="K114" i="14" a="1"/>
  <c r="K114" i="14" s="1"/>
  <c r="J114" i="14" a="1"/>
  <c r="J114" i="14" s="1"/>
  <c r="I114" i="14" a="1"/>
  <c r="I114" i="14" s="1"/>
  <c r="H114" i="14" a="1"/>
  <c r="H114" i="14" s="1"/>
  <c r="G114" i="14" a="1"/>
  <c r="G114" i="14" s="1"/>
  <c r="F114" i="14" a="1"/>
  <c r="F114" i="14" s="1"/>
  <c r="T113" i="14" a="1"/>
  <c r="T113" i="14" s="1"/>
  <c r="S113" i="14" a="1"/>
  <c r="S113" i="14" s="1"/>
  <c r="R113" i="14" a="1"/>
  <c r="R113" i="14" s="1"/>
  <c r="Q113" i="14" a="1"/>
  <c r="Q113" i="14" s="1"/>
  <c r="P113" i="14" a="1"/>
  <c r="P113" i="14" s="1"/>
  <c r="O113" i="14" a="1"/>
  <c r="O113" i="14" s="1"/>
  <c r="N113" i="14"/>
  <c r="N113" i="14" a="1"/>
  <c r="M113" i="14" a="1"/>
  <c r="M113" i="14" s="1"/>
  <c r="L113" i="14" a="1"/>
  <c r="L113" i="14" s="1"/>
  <c r="K113" i="14" a="1"/>
  <c r="K113" i="14" s="1"/>
  <c r="J113" i="14" a="1"/>
  <c r="J113" i="14" s="1"/>
  <c r="I113" i="14" a="1"/>
  <c r="I113" i="14" s="1"/>
  <c r="H113" i="14" a="1"/>
  <c r="H113" i="14" s="1"/>
  <c r="G113" i="14" a="1"/>
  <c r="G113" i="14" s="1"/>
  <c r="F113" i="14" a="1"/>
  <c r="F113" i="14" s="1"/>
  <c r="T112" i="14"/>
  <c r="T112" i="14" a="1"/>
  <c r="S112" i="14" a="1"/>
  <c r="S112" i="14" s="1"/>
  <c r="R112" i="14" a="1"/>
  <c r="R112" i="14" s="1"/>
  <c r="Q112" i="14" a="1"/>
  <c r="Q112" i="14" s="1"/>
  <c r="P112" i="14" a="1"/>
  <c r="P112" i="14" s="1"/>
  <c r="O112" i="14" a="1"/>
  <c r="O112" i="14" s="1"/>
  <c r="N112" i="14" a="1"/>
  <c r="N112" i="14" s="1"/>
  <c r="M112" i="14" a="1"/>
  <c r="M112" i="14" s="1"/>
  <c r="L112" i="14"/>
  <c r="L112" i="14" a="1"/>
  <c r="K112" i="14"/>
  <c r="K112" i="14" a="1"/>
  <c r="J112" i="14" a="1"/>
  <c r="J112" i="14" s="1"/>
  <c r="I112" i="14" a="1"/>
  <c r="I112" i="14" s="1"/>
  <c r="H112" i="14" a="1"/>
  <c r="H112" i="14" s="1"/>
  <c r="G112" i="14" a="1"/>
  <c r="G112" i="14" s="1"/>
  <c r="F112" i="14" a="1"/>
  <c r="F112" i="14" s="1"/>
  <c r="T111" i="14" a="1"/>
  <c r="T111" i="14" s="1"/>
  <c r="S111" i="14" a="1"/>
  <c r="S111" i="14" s="1"/>
  <c r="R111" i="14" a="1"/>
  <c r="R111" i="14" s="1"/>
  <c r="Q111" i="14" a="1"/>
  <c r="Q111" i="14" s="1"/>
  <c r="P111" i="14" a="1"/>
  <c r="P111" i="14" s="1"/>
  <c r="O111" i="14" a="1"/>
  <c r="O111" i="14" s="1"/>
  <c r="N111" i="14"/>
  <c r="N111" i="14" a="1"/>
  <c r="M111" i="14" a="1"/>
  <c r="M111" i="14" s="1"/>
  <c r="L111" i="14" a="1"/>
  <c r="L111" i="14" s="1"/>
  <c r="K111" i="14" a="1"/>
  <c r="K111" i="14" s="1"/>
  <c r="J111" i="14" a="1"/>
  <c r="J111" i="14" s="1"/>
  <c r="I111" i="14" a="1"/>
  <c r="I111" i="14" s="1"/>
  <c r="H111" i="14" a="1"/>
  <c r="H111" i="14" s="1"/>
  <c r="G111" i="14" a="1"/>
  <c r="G111" i="14" s="1"/>
  <c r="F111" i="14"/>
  <c r="F111" i="14" a="1"/>
  <c r="T110" i="14" a="1"/>
  <c r="T110" i="14" s="1"/>
  <c r="S110" i="14" a="1"/>
  <c r="S110" i="14" s="1"/>
  <c r="R110" i="14" a="1"/>
  <c r="R110" i="14" s="1"/>
  <c r="Q110" i="14" a="1"/>
  <c r="Q110" i="14" s="1"/>
  <c r="P110" i="14" a="1"/>
  <c r="P110" i="14" s="1"/>
  <c r="O110" i="14" a="1"/>
  <c r="O110" i="14" s="1"/>
  <c r="N110" i="14" a="1"/>
  <c r="N110" i="14" s="1"/>
  <c r="M110" i="14"/>
  <c r="M110" i="14" a="1"/>
  <c r="L110" i="14" a="1"/>
  <c r="L110" i="14" s="1"/>
  <c r="K110" i="14" a="1"/>
  <c r="K110" i="14" s="1"/>
  <c r="J110" i="14" a="1"/>
  <c r="J110" i="14" s="1"/>
  <c r="I110" i="14" a="1"/>
  <c r="I110" i="14" s="1"/>
  <c r="H110" i="14" a="1"/>
  <c r="H110" i="14" s="1"/>
  <c r="G110" i="14" a="1"/>
  <c r="G110" i="14" s="1"/>
  <c r="F110" i="14" a="1"/>
  <c r="F110" i="14" s="1"/>
  <c r="T109" i="14" a="1"/>
  <c r="T109" i="14" s="1"/>
  <c r="S109" i="14"/>
  <c r="S109" i="14" a="1"/>
  <c r="R109" i="14" a="1"/>
  <c r="R109" i="14" s="1"/>
  <c r="Q109" i="14" a="1"/>
  <c r="Q109" i="14" s="1"/>
  <c r="P109" i="14" a="1"/>
  <c r="P109" i="14" s="1"/>
  <c r="O109" i="14" a="1"/>
  <c r="O109" i="14" s="1"/>
  <c r="N109" i="14" a="1"/>
  <c r="N109" i="14" s="1"/>
  <c r="M109" i="14" a="1"/>
  <c r="M109" i="14" s="1"/>
  <c r="L109" i="14" a="1"/>
  <c r="L109" i="14" s="1"/>
  <c r="K109" i="14" a="1"/>
  <c r="K109" i="14" s="1"/>
  <c r="J109" i="14" a="1"/>
  <c r="J109" i="14" s="1"/>
  <c r="I109" i="14" a="1"/>
  <c r="I109" i="14" s="1"/>
  <c r="H109" i="14"/>
  <c r="H109" i="14" a="1"/>
  <c r="G109" i="14" a="1"/>
  <c r="G109" i="14" s="1"/>
  <c r="F109" i="14" a="1"/>
  <c r="F109" i="14" s="1"/>
  <c r="T108" i="14" a="1"/>
  <c r="T108" i="14" s="1"/>
  <c r="S108" i="14" a="1"/>
  <c r="S108" i="14" s="1"/>
  <c r="R108" i="14" a="1"/>
  <c r="R108" i="14" s="1"/>
  <c r="Q108" i="14"/>
  <c r="Q108" i="14" a="1"/>
  <c r="P108" i="14" a="1"/>
  <c r="P108" i="14" s="1"/>
  <c r="O108" i="14" a="1"/>
  <c r="O108" i="14" s="1"/>
  <c r="N108" i="14" a="1"/>
  <c r="N108" i="14" s="1"/>
  <c r="M108" i="14" a="1"/>
  <c r="M108" i="14" s="1"/>
  <c r="L108" i="14" a="1"/>
  <c r="L108" i="14" s="1"/>
  <c r="K108" i="14"/>
  <c r="K108" i="14" a="1"/>
  <c r="J108" i="14" a="1"/>
  <c r="J108" i="14" s="1"/>
  <c r="I108" i="14" a="1"/>
  <c r="I108" i="14" s="1"/>
  <c r="H108" i="14" a="1"/>
  <c r="H108" i="14" s="1"/>
  <c r="G108" i="14" a="1"/>
  <c r="G108" i="14" s="1"/>
  <c r="F108" i="14" a="1"/>
  <c r="F108" i="14" s="1"/>
  <c r="T107" i="14" a="1"/>
  <c r="T107" i="14" s="1"/>
  <c r="S107" i="14" a="1"/>
  <c r="S107" i="14" s="1"/>
  <c r="R107" i="14" a="1"/>
  <c r="R107" i="14" s="1"/>
  <c r="Q107" i="14"/>
  <c r="Q107" i="14" a="1"/>
  <c r="P107" i="14" a="1"/>
  <c r="P107" i="14" s="1"/>
  <c r="O107" i="14" a="1"/>
  <c r="O107" i="14" s="1"/>
  <c r="N107" i="14" a="1"/>
  <c r="N107" i="14" s="1"/>
  <c r="M107" i="14"/>
  <c r="M107" i="14" a="1"/>
  <c r="L107" i="14" a="1"/>
  <c r="L107" i="14" s="1"/>
  <c r="K107" i="14" a="1"/>
  <c r="K107" i="14" s="1"/>
  <c r="J107" i="14" a="1"/>
  <c r="J107" i="14" s="1"/>
  <c r="I107" i="14" a="1"/>
  <c r="I107" i="14" s="1"/>
  <c r="H107" i="14"/>
  <c r="H107" i="14" a="1"/>
  <c r="G107" i="14" a="1"/>
  <c r="G107" i="14" s="1"/>
  <c r="F107" i="14" a="1"/>
  <c r="F107" i="14" s="1"/>
  <c r="T106" i="14"/>
  <c r="T106" i="14" a="1"/>
  <c r="S106" i="14" a="1"/>
  <c r="S106" i="14" s="1"/>
  <c r="R106" i="14" a="1"/>
  <c r="R106" i="14" s="1"/>
  <c r="Q106" i="14" a="1"/>
  <c r="Q106" i="14" s="1"/>
  <c r="P106" i="14"/>
  <c r="P106" i="14" a="1"/>
  <c r="O106" i="14" a="1"/>
  <c r="O106" i="14" s="1"/>
  <c r="N106" i="14" a="1"/>
  <c r="N106" i="14" s="1"/>
  <c r="M106" i="14" a="1"/>
  <c r="M106" i="14" s="1"/>
  <c r="L106" i="14" a="1"/>
  <c r="L106" i="14" s="1"/>
  <c r="K106" i="14" a="1"/>
  <c r="K106" i="14" s="1"/>
  <c r="J106" i="14" a="1"/>
  <c r="J106" i="14" s="1"/>
  <c r="I106" i="14" a="1"/>
  <c r="I106" i="14" s="1"/>
  <c r="H106" i="14" a="1"/>
  <c r="H106" i="14" s="1"/>
  <c r="G106" i="14"/>
  <c r="G106" i="14" a="1"/>
  <c r="F106" i="14" a="1"/>
  <c r="F106" i="14" s="1"/>
  <c r="T105" i="14"/>
  <c r="T105" i="14" a="1"/>
  <c r="S105" i="14" a="1"/>
  <c r="S105" i="14" s="1"/>
  <c r="R105" i="14" a="1"/>
  <c r="R105" i="14" s="1"/>
  <c r="Q105" i="14" a="1"/>
  <c r="Q105" i="14" s="1"/>
  <c r="P105" i="14" a="1"/>
  <c r="P105" i="14" s="1"/>
  <c r="O105" i="14"/>
  <c r="O105" i="14" a="1"/>
  <c r="N105" i="14" a="1"/>
  <c r="N105" i="14" s="1"/>
  <c r="M105" i="14" a="1"/>
  <c r="M105" i="14" s="1"/>
  <c r="L105" i="14" a="1"/>
  <c r="L105" i="14" s="1"/>
  <c r="K105" i="14" a="1"/>
  <c r="K105" i="14" s="1"/>
  <c r="J105" i="14" a="1"/>
  <c r="J105" i="14" s="1"/>
  <c r="I105" i="14" a="1"/>
  <c r="I105" i="14" s="1"/>
  <c r="H105" i="14" a="1"/>
  <c r="H105" i="14" s="1"/>
  <c r="G105" i="14"/>
  <c r="G105" i="14" a="1"/>
  <c r="F105" i="14" a="1"/>
  <c r="F105" i="14" s="1"/>
  <c r="T104" i="14" a="1"/>
  <c r="T104" i="14" s="1"/>
  <c r="S104" i="14"/>
  <c r="S104" i="14" a="1"/>
  <c r="R104" i="14" a="1"/>
  <c r="R104" i="14" s="1"/>
  <c r="Q104" i="14" a="1"/>
  <c r="Q104" i="14" s="1"/>
  <c r="P104" i="14" a="1"/>
  <c r="P104" i="14" s="1"/>
  <c r="O104" i="14" a="1"/>
  <c r="O104" i="14" s="1"/>
  <c r="N104" i="14" a="1"/>
  <c r="N104" i="14" s="1"/>
  <c r="M104" i="14" a="1"/>
  <c r="M104" i="14" s="1"/>
  <c r="L104" i="14" a="1"/>
  <c r="L104" i="14" s="1"/>
  <c r="K104" i="14" a="1"/>
  <c r="K104" i="14" s="1"/>
  <c r="J104" i="14" a="1"/>
  <c r="J104" i="14" s="1"/>
  <c r="I104" i="14" a="1"/>
  <c r="I104" i="14" s="1"/>
  <c r="H104" i="14" a="1"/>
  <c r="H104" i="14" s="1"/>
  <c r="G104" i="14"/>
  <c r="G104" i="14" a="1"/>
  <c r="F104" i="14" a="1"/>
  <c r="F104" i="14" s="1"/>
  <c r="T103" i="14" a="1"/>
  <c r="T103" i="14" s="1"/>
  <c r="S103" i="14"/>
  <c r="S103" i="14" a="1"/>
  <c r="R103" i="14" a="1"/>
  <c r="R103" i="14" s="1"/>
  <c r="Q103" i="14"/>
  <c r="Q103" i="14" a="1"/>
  <c r="P103" i="14" a="1"/>
  <c r="P103" i="14" s="1"/>
  <c r="O103" i="14" a="1"/>
  <c r="O103" i="14" s="1"/>
  <c r="N103" i="14" a="1"/>
  <c r="N103" i="14" s="1"/>
  <c r="M103" i="14" a="1"/>
  <c r="M103" i="14" s="1"/>
  <c r="L103" i="14" a="1"/>
  <c r="L103" i="14" s="1"/>
  <c r="K103" i="14" a="1"/>
  <c r="K103" i="14" s="1"/>
  <c r="J103" i="14" a="1"/>
  <c r="J103" i="14" s="1"/>
  <c r="I103" i="14" a="1"/>
  <c r="I103" i="14" s="1"/>
  <c r="H103" i="14" a="1"/>
  <c r="H103" i="14" s="1"/>
  <c r="G103" i="14" a="1"/>
  <c r="G103" i="14" s="1"/>
  <c r="F103" i="14" a="1"/>
  <c r="F103" i="14" s="1"/>
  <c r="T102" i="14" a="1"/>
  <c r="T102" i="14" s="1"/>
  <c r="S102" i="14" a="1"/>
  <c r="S102" i="14" s="1"/>
  <c r="R102" i="14" a="1"/>
  <c r="R102" i="14" s="1"/>
  <c r="Q102" i="14" a="1"/>
  <c r="Q102" i="14" s="1"/>
  <c r="P102" i="14" a="1"/>
  <c r="P102" i="14" s="1"/>
  <c r="O102" i="14" a="1"/>
  <c r="O102" i="14" s="1"/>
  <c r="N102" i="14" a="1"/>
  <c r="N102" i="14" s="1"/>
  <c r="M102" i="14"/>
  <c r="M102" i="14" a="1"/>
  <c r="L102" i="14"/>
  <c r="L102" i="14" a="1"/>
  <c r="K102" i="14" a="1"/>
  <c r="K102" i="14" s="1"/>
  <c r="J102" i="14"/>
  <c r="J102" i="14" a="1"/>
  <c r="I102" i="14" a="1"/>
  <c r="I102" i="14" s="1"/>
  <c r="H102" i="14" a="1"/>
  <c r="H102" i="14" s="1"/>
  <c r="G102" i="14" a="1"/>
  <c r="G102" i="14" s="1"/>
  <c r="F102" i="14" a="1"/>
  <c r="F102" i="14" s="1"/>
  <c r="T101" i="14" a="1"/>
  <c r="T101" i="14" s="1"/>
  <c r="S101" i="14" a="1"/>
  <c r="S101" i="14" s="1"/>
  <c r="R101" i="14" a="1"/>
  <c r="R101" i="14" s="1"/>
  <c r="Q101" i="14" a="1"/>
  <c r="Q101" i="14" s="1"/>
  <c r="P101" i="14"/>
  <c r="P101" i="14" a="1"/>
  <c r="O101" i="14" a="1"/>
  <c r="O101" i="14" s="1"/>
  <c r="N101" i="14" a="1"/>
  <c r="N101" i="14" s="1"/>
  <c r="M101" i="14" a="1"/>
  <c r="M101" i="14" s="1"/>
  <c r="L101" i="14" a="1"/>
  <c r="L101" i="14" s="1"/>
  <c r="K101" i="14"/>
  <c r="K101" i="14" a="1"/>
  <c r="J101" i="14" a="1"/>
  <c r="J101" i="14" s="1"/>
  <c r="I101" i="14" a="1"/>
  <c r="I101" i="14" s="1"/>
  <c r="H101" i="14" a="1"/>
  <c r="H101" i="14" s="1"/>
  <c r="G101" i="14" a="1"/>
  <c r="G101" i="14" s="1"/>
  <c r="F101" i="14" a="1"/>
  <c r="F101" i="14" s="1"/>
  <c r="T100" i="14" a="1"/>
  <c r="T100" i="14" s="1"/>
  <c r="S100" i="14" a="1"/>
  <c r="S100" i="14" s="1"/>
  <c r="R100" i="14"/>
  <c r="R100" i="14" a="1"/>
  <c r="Q100" i="14" a="1"/>
  <c r="Q100" i="14" s="1"/>
  <c r="P100" i="14" a="1"/>
  <c r="P100" i="14" s="1"/>
  <c r="O100" i="14"/>
  <c r="O100" i="14" a="1"/>
  <c r="N100" i="14" a="1"/>
  <c r="N100" i="14" s="1"/>
  <c r="M100" i="14" a="1"/>
  <c r="M100" i="14" s="1"/>
  <c r="L100" i="14" a="1"/>
  <c r="L100" i="14" s="1"/>
  <c r="K100" i="14" a="1"/>
  <c r="K100" i="14" s="1"/>
  <c r="J100" i="14" a="1"/>
  <c r="J100" i="14" s="1"/>
  <c r="I100" i="14"/>
  <c r="I100" i="14" a="1"/>
  <c r="H100" i="14" a="1"/>
  <c r="H100" i="14" s="1"/>
  <c r="G100" i="14" a="1"/>
  <c r="G100" i="14" s="1"/>
  <c r="F100" i="14"/>
  <c r="F100" i="14" a="1"/>
  <c r="T99" i="14" a="1"/>
  <c r="T99" i="14" s="1"/>
  <c r="S99" i="14" a="1"/>
  <c r="S99" i="14" s="1"/>
  <c r="R99" i="14"/>
  <c r="R99" i="14" a="1"/>
  <c r="Q99" i="14" a="1"/>
  <c r="Q99" i="14" s="1"/>
  <c r="P99" i="14" a="1"/>
  <c r="P99" i="14" s="1"/>
  <c r="O99" i="14" a="1"/>
  <c r="O99" i="14" s="1"/>
  <c r="N99" i="14"/>
  <c r="N99" i="14" a="1"/>
  <c r="M99" i="14" a="1"/>
  <c r="M99" i="14" s="1"/>
  <c r="L99" i="14" a="1"/>
  <c r="L99" i="14" s="1"/>
  <c r="K99" i="14" a="1"/>
  <c r="K99" i="14" s="1"/>
  <c r="J99" i="14" a="1"/>
  <c r="J99" i="14" s="1"/>
  <c r="I99" i="14"/>
  <c r="I99" i="14" a="1"/>
  <c r="H99" i="14" a="1"/>
  <c r="H99" i="14" s="1"/>
  <c r="G99" i="14" a="1"/>
  <c r="G99" i="14" s="1"/>
  <c r="F99" i="14"/>
  <c r="F99" i="14" a="1"/>
  <c r="T98" i="14" a="1"/>
  <c r="T98" i="14" s="1"/>
  <c r="S98" i="14" a="1"/>
  <c r="S98" i="14" s="1"/>
  <c r="R98" i="14" a="1"/>
  <c r="R98" i="14" s="1"/>
  <c r="Q98" i="14" a="1"/>
  <c r="Q98" i="14" s="1"/>
  <c r="P98" i="14" a="1"/>
  <c r="P98" i="14" s="1"/>
  <c r="O98" i="14" a="1"/>
  <c r="O98" i="14" s="1"/>
  <c r="N98" i="14" a="1"/>
  <c r="N98" i="14" s="1"/>
  <c r="M98" i="14" a="1"/>
  <c r="M98" i="14" s="1"/>
  <c r="L98" i="14" a="1"/>
  <c r="L98" i="14" s="1"/>
  <c r="K98" i="14" a="1"/>
  <c r="K98" i="14" s="1"/>
  <c r="J98" i="14" a="1"/>
  <c r="J98" i="14" s="1"/>
  <c r="I98" i="14" a="1"/>
  <c r="I98" i="14" s="1"/>
  <c r="H98" i="14" a="1"/>
  <c r="H98" i="14" s="1"/>
  <c r="G98" i="14" a="1"/>
  <c r="G98" i="14" s="1"/>
  <c r="F98" i="14"/>
  <c r="F98" i="14" a="1"/>
  <c r="T97" i="14" a="1"/>
  <c r="T97" i="14" s="1"/>
  <c r="S97" i="14" a="1"/>
  <c r="S97" i="14" s="1"/>
  <c r="R97" i="14" a="1"/>
  <c r="R97" i="14" s="1"/>
  <c r="Q97" i="14" a="1"/>
  <c r="Q97" i="14" s="1"/>
  <c r="P97" i="14" a="1"/>
  <c r="P97" i="14" s="1"/>
  <c r="O97" i="14" a="1"/>
  <c r="O97" i="14" s="1"/>
  <c r="N97" i="14" a="1"/>
  <c r="N97" i="14" s="1"/>
  <c r="M97" i="14" a="1"/>
  <c r="M97" i="14" s="1"/>
  <c r="L97" i="14"/>
  <c r="L97" i="14" a="1"/>
  <c r="K97" i="14" a="1"/>
  <c r="K97" i="14" s="1"/>
  <c r="J97" i="14" a="1"/>
  <c r="J97" i="14" s="1"/>
  <c r="I97" i="14" a="1"/>
  <c r="I97" i="14" s="1"/>
  <c r="H97" i="14" a="1"/>
  <c r="H97" i="14" s="1"/>
  <c r="G97" i="14" a="1"/>
  <c r="G97" i="14" s="1"/>
  <c r="F97" i="14" a="1"/>
  <c r="F97" i="14" s="1"/>
  <c r="T96" i="14"/>
  <c r="T96" i="14" a="1"/>
  <c r="S96" i="14" a="1"/>
  <c r="S96" i="14" s="1"/>
  <c r="R96" i="14" a="1"/>
  <c r="R96" i="14" s="1"/>
  <c r="Q96" i="14" a="1"/>
  <c r="Q96" i="14" s="1"/>
  <c r="P96" i="14" a="1"/>
  <c r="P96" i="14" s="1"/>
  <c r="O96" i="14" a="1"/>
  <c r="O96" i="14" s="1"/>
  <c r="N96" i="14" a="1"/>
  <c r="N96" i="14" s="1"/>
  <c r="M96" i="14" a="1"/>
  <c r="M96" i="14" s="1"/>
  <c r="L96" i="14" a="1"/>
  <c r="L96" i="14" s="1"/>
  <c r="K96" i="14" a="1"/>
  <c r="K96" i="14" s="1"/>
  <c r="J96" i="14" a="1"/>
  <c r="J96" i="14" s="1"/>
  <c r="I96" i="14" a="1"/>
  <c r="I96" i="14" s="1"/>
  <c r="H96" i="14" a="1"/>
  <c r="H96" i="14" s="1"/>
  <c r="G96" i="14" a="1"/>
  <c r="G96" i="14" s="1"/>
  <c r="F96" i="14" a="1"/>
  <c r="F96" i="14" s="1"/>
  <c r="T95" i="14" a="1"/>
  <c r="T95" i="14" s="1"/>
  <c r="S95" i="14"/>
  <c r="S95" i="14" a="1"/>
  <c r="R95" i="14" a="1"/>
  <c r="R95" i="14" s="1"/>
  <c r="Q95" i="14"/>
  <c r="Q95" i="14" a="1"/>
  <c r="P95" i="14" a="1"/>
  <c r="P95" i="14" s="1"/>
  <c r="O95" i="14" a="1"/>
  <c r="O95" i="14" s="1"/>
  <c r="N95" i="14" a="1"/>
  <c r="N95" i="14" s="1"/>
  <c r="M95" i="14" a="1"/>
  <c r="M95" i="14" s="1"/>
  <c r="L95" i="14" a="1"/>
  <c r="L95" i="14" s="1"/>
  <c r="K95" i="14"/>
  <c r="K95" i="14" a="1"/>
  <c r="J95" i="14" a="1"/>
  <c r="J95" i="14" s="1"/>
  <c r="I95" i="14" a="1"/>
  <c r="I95" i="14" s="1"/>
  <c r="H95" i="14" a="1"/>
  <c r="H95" i="14" s="1"/>
  <c r="G95" i="14" a="1"/>
  <c r="G95" i="14" s="1"/>
  <c r="F95" i="14" a="1"/>
  <c r="F95" i="14" s="1"/>
  <c r="T94" i="14"/>
  <c r="T94" i="14" a="1"/>
  <c r="S94" i="14"/>
  <c r="S94" i="14" a="1"/>
  <c r="R94" i="14" a="1"/>
  <c r="R94" i="14" s="1"/>
  <c r="Q94" i="14" a="1"/>
  <c r="Q94" i="14" s="1"/>
  <c r="P94" i="14" a="1"/>
  <c r="P94" i="14" s="1"/>
  <c r="O94" i="14" a="1"/>
  <c r="O94" i="14" s="1"/>
  <c r="N94" i="14"/>
  <c r="N94" i="14" a="1"/>
  <c r="M94" i="14" a="1"/>
  <c r="M94" i="14" s="1"/>
  <c r="L94" i="14" a="1"/>
  <c r="L94" i="14" s="1"/>
  <c r="K94" i="14" a="1"/>
  <c r="K94" i="14" s="1"/>
  <c r="J94" i="14" a="1"/>
  <c r="J94" i="14" s="1"/>
  <c r="I94" i="14" a="1"/>
  <c r="I94" i="14" s="1"/>
  <c r="H94" i="14" a="1"/>
  <c r="H94" i="14" s="1"/>
  <c r="G94" i="14" a="1"/>
  <c r="G94" i="14" s="1"/>
  <c r="F94" i="14" a="1"/>
  <c r="F94" i="14" s="1"/>
  <c r="T93" i="14" a="1"/>
  <c r="T93" i="14" s="1"/>
  <c r="S93" i="14" a="1"/>
  <c r="S93" i="14" s="1"/>
  <c r="R93" i="14" a="1"/>
  <c r="R93" i="14" s="1"/>
  <c r="Q93" i="14" a="1"/>
  <c r="Q93" i="14" s="1"/>
  <c r="P93" i="14" a="1"/>
  <c r="P93" i="14" s="1"/>
  <c r="O93" i="14" a="1"/>
  <c r="O93" i="14" s="1"/>
  <c r="N93" i="14" a="1"/>
  <c r="N93" i="14" s="1"/>
  <c r="M93" i="14" a="1"/>
  <c r="M93" i="14" s="1"/>
  <c r="L93" i="14" a="1"/>
  <c r="L93" i="14" s="1"/>
  <c r="K93" i="14"/>
  <c r="K93" i="14" a="1"/>
  <c r="J93" i="14" a="1"/>
  <c r="J93" i="14" s="1"/>
  <c r="I93" i="14" a="1"/>
  <c r="I93" i="14" s="1"/>
  <c r="H93" i="14" a="1"/>
  <c r="H93" i="14" s="1"/>
  <c r="G93" i="14" a="1"/>
  <c r="G93" i="14" s="1"/>
  <c r="F93" i="14" a="1"/>
  <c r="F93" i="14" s="1"/>
  <c r="T92" i="14"/>
  <c r="T92" i="14" a="1"/>
  <c r="S92" i="14" a="1"/>
  <c r="S92" i="14" s="1"/>
  <c r="R92" i="14"/>
  <c r="R92" i="14" a="1"/>
  <c r="Q92" i="14" a="1"/>
  <c r="Q92" i="14" s="1"/>
  <c r="P92" i="14" a="1"/>
  <c r="P92" i="14" s="1"/>
  <c r="O92" i="14" a="1"/>
  <c r="O92" i="14" s="1"/>
  <c r="N92" i="14" a="1"/>
  <c r="N92" i="14" s="1"/>
  <c r="M92" i="14" a="1"/>
  <c r="M92" i="14" s="1"/>
  <c r="L92" i="14"/>
  <c r="L92" i="14" a="1"/>
  <c r="K92" i="14" a="1"/>
  <c r="K92" i="14" s="1"/>
  <c r="J92" i="14"/>
  <c r="J92" i="14" a="1"/>
  <c r="I92" i="14" a="1"/>
  <c r="I92" i="14" s="1"/>
  <c r="H92" i="14"/>
  <c r="H92" i="14" a="1"/>
  <c r="G92" i="14" a="1"/>
  <c r="G92" i="14" s="1"/>
  <c r="F92" i="14" a="1"/>
  <c r="F92" i="14" s="1"/>
  <c r="T91" i="14" a="1"/>
  <c r="T91" i="14" s="1"/>
  <c r="S91" i="14" a="1"/>
  <c r="S91" i="14" s="1"/>
  <c r="R91" i="14" a="1"/>
  <c r="R91" i="14" s="1"/>
  <c r="Q91" i="14" a="1"/>
  <c r="Q91" i="14" s="1"/>
  <c r="P91" i="14" a="1"/>
  <c r="P91" i="14" s="1"/>
  <c r="O91" i="14" a="1"/>
  <c r="O91" i="14" s="1"/>
  <c r="N91" i="14" a="1"/>
  <c r="N91" i="14" s="1"/>
  <c r="M91" i="14" a="1"/>
  <c r="M91" i="14" s="1"/>
  <c r="L91" i="14" a="1"/>
  <c r="L91" i="14" s="1"/>
  <c r="K91" i="14" a="1"/>
  <c r="K91" i="14" s="1"/>
  <c r="J91" i="14" a="1"/>
  <c r="J91" i="14" s="1"/>
  <c r="I91" i="14"/>
  <c r="I91" i="14" a="1"/>
  <c r="H91" i="14" a="1"/>
  <c r="H91" i="14" s="1"/>
  <c r="G91" i="14"/>
  <c r="G91" i="14" a="1"/>
  <c r="F91" i="14" a="1"/>
  <c r="F91" i="14" s="1"/>
  <c r="T90" i="14" a="1"/>
  <c r="T90" i="14" s="1"/>
  <c r="S90" i="14" a="1"/>
  <c r="S90" i="14" s="1"/>
  <c r="R90" i="14"/>
  <c r="R90" i="14" a="1"/>
  <c r="Q90" i="14" a="1"/>
  <c r="Q90" i="14" s="1"/>
  <c r="P90" i="14"/>
  <c r="P90" i="14" a="1"/>
  <c r="O90" i="14" a="1"/>
  <c r="O90" i="14" s="1"/>
  <c r="N90" i="14"/>
  <c r="N90" i="14" a="1"/>
  <c r="M90" i="14" a="1"/>
  <c r="M90" i="14" s="1"/>
  <c r="L90" i="14" a="1"/>
  <c r="L90" i="14" s="1"/>
  <c r="K90" i="14" a="1"/>
  <c r="K90" i="14" s="1"/>
  <c r="J90" i="14" a="1"/>
  <c r="J90" i="14" s="1"/>
  <c r="I90" i="14" a="1"/>
  <c r="I90" i="14" s="1"/>
  <c r="H90" i="14" a="1"/>
  <c r="H90" i="14" s="1"/>
  <c r="G90" i="14" a="1"/>
  <c r="G90" i="14" s="1"/>
  <c r="F90" i="14" a="1"/>
  <c r="F90" i="14" s="1"/>
  <c r="T89" i="14" a="1"/>
  <c r="T89" i="14" s="1"/>
  <c r="S89" i="14" a="1"/>
  <c r="S89" i="14" s="1"/>
  <c r="R89" i="14" a="1"/>
  <c r="R89" i="14" s="1"/>
  <c r="Q89" i="14"/>
  <c r="Q89" i="14" a="1"/>
  <c r="P89" i="14" a="1"/>
  <c r="P89" i="14" s="1"/>
  <c r="O89" i="14" a="1"/>
  <c r="O89" i="14" s="1"/>
  <c r="N89" i="14" a="1"/>
  <c r="N89" i="14" s="1"/>
  <c r="M89" i="14" a="1"/>
  <c r="M89" i="14" s="1"/>
  <c r="L89" i="14" a="1"/>
  <c r="L89" i="14" s="1"/>
  <c r="K89" i="14" a="1"/>
  <c r="K89" i="14" s="1"/>
  <c r="J89" i="14" a="1"/>
  <c r="J89" i="14" s="1"/>
  <c r="I89" i="14"/>
  <c r="I89" i="14" a="1"/>
  <c r="H89" i="14" a="1"/>
  <c r="H89" i="14" s="1"/>
  <c r="G89" i="14"/>
  <c r="G89" i="14" a="1"/>
  <c r="F89" i="14" a="1"/>
  <c r="F89" i="14" s="1"/>
  <c r="T88" i="14" a="1"/>
  <c r="T88" i="14" s="1"/>
  <c r="S88" i="14" a="1"/>
  <c r="S88" i="14" s="1"/>
  <c r="R88" i="14" a="1"/>
  <c r="R88" i="14" s="1"/>
  <c r="Q88" i="14" a="1"/>
  <c r="Q88" i="14" s="1"/>
  <c r="P88" i="14" a="1"/>
  <c r="P88" i="14" s="1"/>
  <c r="O88" i="14" a="1"/>
  <c r="O88" i="14" s="1"/>
  <c r="N88" i="14" a="1"/>
  <c r="N88" i="14" s="1"/>
  <c r="M88" i="14" a="1"/>
  <c r="M88" i="14" s="1"/>
  <c r="L88" i="14" a="1"/>
  <c r="L88" i="14" s="1"/>
  <c r="K88" i="14" a="1"/>
  <c r="K88" i="14" s="1"/>
  <c r="J88" i="14" a="1"/>
  <c r="J88" i="14" s="1"/>
  <c r="I88" i="14" a="1"/>
  <c r="I88" i="14" s="1"/>
  <c r="H88" i="14" a="1"/>
  <c r="H88" i="14" s="1"/>
  <c r="G88" i="14" a="1"/>
  <c r="G88" i="14" s="1"/>
  <c r="F88" i="14"/>
  <c r="F88" i="14" a="1"/>
  <c r="T87" i="14" a="1"/>
  <c r="T87" i="14" s="1"/>
  <c r="S87" i="14" a="1"/>
  <c r="S87" i="14" s="1"/>
  <c r="R87" i="14" a="1"/>
  <c r="R87" i="14" s="1"/>
  <c r="Q87" i="14" a="1"/>
  <c r="Q87" i="14" s="1"/>
  <c r="P87" i="14" a="1"/>
  <c r="P87" i="14" s="1"/>
  <c r="O87" i="14" a="1"/>
  <c r="O87" i="14" s="1"/>
  <c r="N87" i="14" a="1"/>
  <c r="N87" i="14" s="1"/>
  <c r="M87" i="14"/>
  <c r="M87" i="14" a="1"/>
  <c r="L87" i="14" a="1"/>
  <c r="L87" i="14" s="1"/>
  <c r="K87" i="14" a="1"/>
  <c r="K87" i="14" s="1"/>
  <c r="J87" i="14" a="1"/>
  <c r="J87" i="14" s="1"/>
  <c r="I87" i="14" a="1"/>
  <c r="I87" i="14" s="1"/>
  <c r="H87" i="14" a="1"/>
  <c r="H87" i="14" s="1"/>
  <c r="G87" i="14" a="1"/>
  <c r="G87" i="14" s="1"/>
  <c r="F87" i="14" a="1"/>
  <c r="F87" i="14" s="1"/>
  <c r="T86" i="14" a="1"/>
  <c r="T86" i="14" s="1"/>
  <c r="S86" i="14" a="1"/>
  <c r="S86" i="14" s="1"/>
  <c r="R86" i="14" a="1"/>
  <c r="R86" i="14" s="1"/>
  <c r="Q86" i="14" a="1"/>
  <c r="Q86" i="14" s="1"/>
  <c r="P86" i="14" a="1"/>
  <c r="P86" i="14" s="1"/>
  <c r="O86" i="14" a="1"/>
  <c r="O86" i="14" s="1"/>
  <c r="N86" i="14"/>
  <c r="N86" i="14" a="1"/>
  <c r="M86" i="14" a="1"/>
  <c r="M86" i="14" s="1"/>
  <c r="L86" i="14"/>
  <c r="L86" i="14" a="1"/>
  <c r="K86" i="14" a="1"/>
  <c r="K86" i="14" s="1"/>
  <c r="J86" i="14" a="1"/>
  <c r="J86" i="14" s="1"/>
  <c r="I86" i="14" a="1"/>
  <c r="I86" i="14" s="1"/>
  <c r="H86" i="14" a="1"/>
  <c r="H86" i="14" s="1"/>
  <c r="G86" i="14" a="1"/>
  <c r="G86" i="14" s="1"/>
  <c r="F86" i="14"/>
  <c r="F86" i="14" a="1"/>
  <c r="T85" i="14" a="1"/>
  <c r="T85" i="14" s="1"/>
  <c r="S85" i="14"/>
  <c r="S85" i="14" a="1"/>
  <c r="R85" i="14" a="1"/>
  <c r="R85" i="14" s="1"/>
  <c r="Q85" i="14" a="1"/>
  <c r="Q85" i="14" s="1"/>
  <c r="P85" i="14" a="1"/>
  <c r="P85" i="14" s="1"/>
  <c r="O85" i="14" a="1"/>
  <c r="O85" i="14" s="1"/>
  <c r="N85" i="14" a="1"/>
  <c r="N85" i="14" s="1"/>
  <c r="M85" i="14"/>
  <c r="M85" i="14" a="1"/>
  <c r="L85" i="14" a="1"/>
  <c r="L85" i="14" s="1"/>
  <c r="K85" i="14" a="1"/>
  <c r="K85" i="14" s="1"/>
  <c r="J85" i="14" a="1"/>
  <c r="J85" i="14" s="1"/>
  <c r="I85" i="14" a="1"/>
  <c r="I85" i="14" s="1"/>
  <c r="H85" i="14"/>
  <c r="H85" i="14" a="1"/>
  <c r="G85" i="14"/>
  <c r="G85" i="14" a="1"/>
  <c r="F85" i="14" a="1"/>
  <c r="F85" i="14" s="1"/>
  <c r="T84" i="14"/>
  <c r="T84" i="14" a="1"/>
  <c r="S84" i="14"/>
  <c r="S84" i="14" a="1"/>
  <c r="R84" i="14" a="1"/>
  <c r="R84" i="14" s="1"/>
  <c r="Q84" i="14"/>
  <c r="Q84" i="14" a="1"/>
  <c r="P84" i="14" a="1"/>
  <c r="P84" i="14" s="1"/>
  <c r="O84" i="14" a="1"/>
  <c r="O84" i="14" s="1"/>
  <c r="N84" i="14" a="1"/>
  <c r="N84" i="14" s="1"/>
  <c r="M84" i="14" a="1"/>
  <c r="M84" i="14" s="1"/>
  <c r="L84" i="14" a="1"/>
  <c r="L84" i="14" s="1"/>
  <c r="K84" i="14" a="1"/>
  <c r="K84" i="14" s="1"/>
  <c r="J84" i="14" a="1"/>
  <c r="J84" i="14" s="1"/>
  <c r="I84" i="14" a="1"/>
  <c r="I84" i="14" s="1"/>
  <c r="H84" i="14" a="1"/>
  <c r="H84" i="14" s="1"/>
  <c r="G84" i="14" a="1"/>
  <c r="G84" i="14" s="1"/>
  <c r="F84" i="14"/>
  <c r="F84" i="14" a="1"/>
  <c r="T83" i="14" a="1"/>
  <c r="T83" i="14" s="1"/>
  <c r="S83" i="14" a="1"/>
  <c r="S83" i="14" s="1"/>
  <c r="R83" i="14" a="1"/>
  <c r="R83" i="14" s="1"/>
  <c r="Q83" i="14" a="1"/>
  <c r="Q83" i="14" s="1"/>
  <c r="P83" i="14" a="1"/>
  <c r="P83" i="14" s="1"/>
  <c r="O83" i="14"/>
  <c r="O83" i="14" a="1"/>
  <c r="N83" i="14" a="1"/>
  <c r="N83" i="14" s="1"/>
  <c r="M83" i="14" a="1"/>
  <c r="M83" i="14" s="1"/>
  <c r="L83" i="14" a="1"/>
  <c r="L83" i="14" s="1"/>
  <c r="K83" i="14" a="1"/>
  <c r="K83" i="14" s="1"/>
  <c r="J83" i="14" a="1"/>
  <c r="J83" i="14" s="1"/>
  <c r="I83" i="14" a="1"/>
  <c r="I83" i="14" s="1"/>
  <c r="H83" i="14"/>
  <c r="H83" i="14" a="1"/>
  <c r="G83" i="14"/>
  <c r="G83" i="14" a="1"/>
  <c r="F83" i="14" a="1"/>
  <c r="F83" i="14" s="1"/>
  <c r="T82" i="14" a="1"/>
  <c r="T82" i="14" s="1"/>
  <c r="S82" i="14" a="1"/>
  <c r="S82" i="14" s="1"/>
  <c r="R82" i="14" a="1"/>
  <c r="R82" i="14" s="1"/>
  <c r="Q82" i="14"/>
  <c r="Q82" i="14" a="1"/>
  <c r="P82" i="14" a="1"/>
  <c r="P82" i="14" s="1"/>
  <c r="O82" i="14"/>
  <c r="O82" i="14" a="1"/>
  <c r="N82" i="14" a="1"/>
  <c r="N82" i="14" s="1"/>
  <c r="M82" i="14"/>
  <c r="M82" i="14" a="1"/>
  <c r="L82" i="14" a="1"/>
  <c r="L82" i="14" s="1"/>
  <c r="K82" i="14" a="1"/>
  <c r="K82" i="14" s="1"/>
  <c r="J82" i="14" a="1"/>
  <c r="J82" i="14" s="1"/>
  <c r="I82" i="14" a="1"/>
  <c r="I82" i="14" s="1"/>
  <c r="H82" i="14" a="1"/>
  <c r="H82" i="14" s="1"/>
  <c r="G82" i="14" a="1"/>
  <c r="G82" i="14" s="1"/>
  <c r="F82" i="14"/>
  <c r="F82" i="14" a="1"/>
  <c r="T81" i="14" a="1"/>
  <c r="T81" i="14" s="1"/>
  <c r="S81" i="14" a="1"/>
  <c r="S81" i="14" s="1"/>
  <c r="R81" i="14" a="1"/>
  <c r="R81" i="14" s="1"/>
  <c r="Q81" i="14"/>
  <c r="Q81" i="14" a="1"/>
  <c r="P81" i="14"/>
  <c r="P81" i="14" a="1"/>
  <c r="O81" i="14" a="1"/>
  <c r="O81" i="14" s="1"/>
  <c r="N81" i="14" a="1"/>
  <c r="N81" i="14" s="1"/>
  <c r="M81" i="14" a="1"/>
  <c r="M81" i="14" s="1"/>
  <c r="L81" i="14" a="1"/>
  <c r="L81" i="14" s="1"/>
  <c r="K81" i="14"/>
  <c r="K81" i="14" a="1"/>
  <c r="J81" i="14" a="1"/>
  <c r="J81" i="14" s="1"/>
  <c r="I81" i="14"/>
  <c r="I81" i="14" a="1"/>
  <c r="H81" i="14" a="1"/>
  <c r="H81" i="14" s="1"/>
  <c r="G81" i="14" a="1"/>
  <c r="G81" i="14" s="1"/>
  <c r="F81" i="14" a="1"/>
  <c r="F81" i="14" s="1"/>
  <c r="T80" i="14" a="1"/>
  <c r="T80" i="14" s="1"/>
  <c r="S80" i="14" a="1"/>
  <c r="S80" i="14" s="1"/>
  <c r="R80" i="14" a="1"/>
  <c r="R80" i="14" s="1"/>
  <c r="Q80" i="14" a="1"/>
  <c r="Q80" i="14" s="1"/>
  <c r="P80" i="14" a="1"/>
  <c r="P80" i="14" s="1"/>
  <c r="O80" i="14"/>
  <c r="O80" i="14" a="1"/>
  <c r="N80" i="14" a="1"/>
  <c r="N80" i="14" s="1"/>
  <c r="M80" i="14" a="1"/>
  <c r="M80" i="14" s="1"/>
  <c r="L80" i="14" a="1"/>
  <c r="L80" i="14" s="1"/>
  <c r="K80" i="14" a="1"/>
  <c r="K80" i="14" s="1"/>
  <c r="J80" i="14" a="1"/>
  <c r="J80" i="14" s="1"/>
  <c r="I80" i="14"/>
  <c r="I80" i="14" a="1"/>
  <c r="H80" i="14" a="1"/>
  <c r="H80" i="14" s="1"/>
  <c r="G80" i="14" a="1"/>
  <c r="G80" i="14" s="1"/>
  <c r="F80" i="14" a="1"/>
  <c r="F80" i="14" s="1"/>
  <c r="T79" i="14" a="1"/>
  <c r="T79" i="14" s="1"/>
  <c r="S79" i="14"/>
  <c r="S79" i="14" a="1"/>
  <c r="R79" i="14"/>
  <c r="R79" i="14" a="1"/>
  <c r="Q79" i="14"/>
  <c r="Q79" i="14" a="1"/>
  <c r="P79" i="14" a="1"/>
  <c r="P79" i="14" s="1"/>
  <c r="O79" i="14" a="1"/>
  <c r="O79" i="14" s="1"/>
  <c r="N79" i="14" a="1"/>
  <c r="N79" i="14" s="1"/>
  <c r="M79" i="14" a="1"/>
  <c r="M79" i="14" s="1"/>
  <c r="L79" i="14" a="1"/>
  <c r="L79" i="14" s="1"/>
  <c r="K79" i="14" a="1"/>
  <c r="K79" i="14" s="1"/>
  <c r="J79" i="14" a="1"/>
  <c r="J79" i="14" s="1"/>
  <c r="I79" i="14"/>
  <c r="I79" i="14" a="1"/>
  <c r="H79" i="14" a="1"/>
  <c r="H79" i="14" s="1"/>
  <c r="G79" i="14" a="1"/>
  <c r="G79" i="14" s="1"/>
  <c r="F79" i="14" a="1"/>
  <c r="F79" i="14" s="1"/>
  <c r="T78" i="14" a="1"/>
  <c r="T78" i="14" s="1"/>
  <c r="S78" i="14"/>
  <c r="S78" i="14" a="1"/>
  <c r="R78" i="14"/>
  <c r="R78" i="14" a="1"/>
  <c r="Q78" i="14" a="1"/>
  <c r="Q78" i="14" s="1"/>
  <c r="P78" i="14" a="1"/>
  <c r="P78" i="14" s="1"/>
  <c r="O78" i="14" a="1"/>
  <c r="O78" i="14" s="1"/>
  <c r="N78" i="14"/>
  <c r="N78" i="14" a="1"/>
  <c r="M78" i="14" a="1"/>
  <c r="M78" i="14" s="1"/>
  <c r="L78" i="14" a="1"/>
  <c r="L78" i="14" s="1"/>
  <c r="K78" i="14" a="1"/>
  <c r="K78" i="14" s="1"/>
  <c r="J78" i="14" a="1"/>
  <c r="J78" i="14" s="1"/>
  <c r="I78" i="14" a="1"/>
  <c r="I78" i="14" s="1"/>
  <c r="H78" i="14" a="1"/>
  <c r="H78" i="14" s="1"/>
  <c r="G78" i="14" a="1"/>
  <c r="G78" i="14" s="1"/>
  <c r="F78" i="14"/>
  <c r="F78" i="14" a="1"/>
  <c r="T77" i="14" a="1"/>
  <c r="T77" i="14" s="1"/>
  <c r="S77" i="14" a="1"/>
  <c r="S77" i="14" s="1"/>
  <c r="R77" i="14" a="1"/>
  <c r="R77" i="14" s="1"/>
  <c r="Q77" i="14"/>
  <c r="Q77" i="14" a="1"/>
  <c r="P77" i="14"/>
  <c r="P77" i="14" a="1"/>
  <c r="O77" i="14"/>
  <c r="O77" i="14" a="1"/>
  <c r="N77" i="14"/>
  <c r="N77" i="14" a="1"/>
  <c r="M77" i="14" a="1"/>
  <c r="M77" i="14" s="1"/>
  <c r="L77" i="14" a="1"/>
  <c r="L77" i="14" s="1"/>
  <c r="K77" i="14" a="1"/>
  <c r="K77" i="14" s="1"/>
  <c r="J77" i="14" a="1"/>
  <c r="J77" i="14" s="1"/>
  <c r="I77" i="14" a="1"/>
  <c r="I77" i="14" s="1"/>
  <c r="H77" i="14" a="1"/>
  <c r="H77" i="14" s="1"/>
  <c r="G77" i="14"/>
  <c r="G77" i="14" a="1"/>
  <c r="F77" i="14" a="1"/>
  <c r="F77" i="14" s="1"/>
  <c r="T76" i="14" a="1"/>
  <c r="T76" i="14" s="1"/>
  <c r="S76" i="14" a="1"/>
  <c r="S76" i="14" s="1"/>
  <c r="R76" i="14" a="1"/>
  <c r="R76" i="14" s="1"/>
  <c r="Q76" i="14" a="1"/>
  <c r="Q76" i="14" s="1"/>
  <c r="P76" i="14" a="1"/>
  <c r="P76" i="14" s="1"/>
  <c r="O76" i="14" a="1"/>
  <c r="O76" i="14" s="1"/>
  <c r="N76" i="14"/>
  <c r="N76" i="14" a="1"/>
  <c r="M76" i="14" a="1"/>
  <c r="M76" i="14" s="1"/>
  <c r="L76" i="14" a="1"/>
  <c r="L76" i="14" s="1"/>
  <c r="K76" i="14" a="1"/>
  <c r="K76" i="14" s="1"/>
  <c r="J76" i="14" a="1"/>
  <c r="J76" i="14" s="1"/>
  <c r="I76" i="14" a="1"/>
  <c r="I76" i="14" s="1"/>
  <c r="H76" i="14" a="1"/>
  <c r="H76" i="14" s="1"/>
  <c r="G76" i="14" a="1"/>
  <c r="G76" i="14" s="1"/>
  <c r="F76" i="14" a="1"/>
  <c r="F76" i="14" s="1"/>
  <c r="T75" i="14"/>
  <c r="T75" i="14" a="1"/>
  <c r="S75" i="14" a="1"/>
  <c r="S75" i="14" s="1"/>
  <c r="R75" i="14" a="1"/>
  <c r="R75" i="14" s="1"/>
  <c r="Q75" i="14" a="1"/>
  <c r="Q75" i="14" s="1"/>
  <c r="P75" i="14"/>
  <c r="P75" i="14" a="1"/>
  <c r="O75" i="14"/>
  <c r="O75" i="14" a="1"/>
  <c r="N75" i="14" a="1"/>
  <c r="N75" i="14" s="1"/>
  <c r="M75" i="14" a="1"/>
  <c r="M75" i="14" s="1"/>
  <c r="L75" i="14" a="1"/>
  <c r="L75" i="14" s="1"/>
  <c r="K75" i="14" a="1"/>
  <c r="K75" i="14" s="1"/>
  <c r="J75" i="14" a="1"/>
  <c r="J75" i="14" s="1"/>
  <c r="I75" i="14" a="1"/>
  <c r="I75" i="14" s="1"/>
  <c r="H75" i="14" a="1"/>
  <c r="H75" i="14" s="1"/>
  <c r="G75" i="14"/>
  <c r="G75" i="14" a="1"/>
  <c r="F75" i="14" a="1"/>
  <c r="F75" i="14" s="1"/>
  <c r="T74" i="14" a="1"/>
  <c r="T74" i="14" s="1"/>
  <c r="S74" i="14" a="1"/>
  <c r="S74" i="14" s="1"/>
  <c r="R74" i="14" a="1"/>
  <c r="R74" i="14" s="1"/>
  <c r="Q74" i="14" a="1"/>
  <c r="Q74" i="14" s="1"/>
  <c r="P74" i="14" a="1"/>
  <c r="P74" i="14" s="1"/>
  <c r="O74" i="14" a="1"/>
  <c r="O74" i="14" s="1"/>
  <c r="N74" i="14" a="1"/>
  <c r="N74" i="14" s="1"/>
  <c r="M74" i="14" a="1"/>
  <c r="M74" i="14" s="1"/>
  <c r="L74" i="14" a="1"/>
  <c r="L74" i="14" s="1"/>
  <c r="K74" i="14" a="1"/>
  <c r="K74" i="14" s="1"/>
  <c r="J74" i="14" a="1"/>
  <c r="J74" i="14" s="1"/>
  <c r="I74" i="14" a="1"/>
  <c r="I74" i="14" s="1"/>
  <c r="H74" i="14" a="1"/>
  <c r="H74" i="14" s="1"/>
  <c r="G74" i="14"/>
  <c r="G74" i="14" a="1"/>
  <c r="F74" i="14" a="1"/>
  <c r="F74" i="14" s="1"/>
  <c r="T73" i="14" a="1"/>
  <c r="T73" i="14" s="1"/>
  <c r="S73" i="14" a="1"/>
  <c r="S73" i="14" s="1"/>
  <c r="R73" i="14" a="1"/>
  <c r="R73" i="14" s="1"/>
  <c r="Q73" i="14" a="1"/>
  <c r="Q73" i="14" s="1"/>
  <c r="P73" i="14"/>
  <c r="P73" i="14" a="1"/>
  <c r="O73" i="14" a="1"/>
  <c r="O73" i="14" s="1"/>
  <c r="N73" i="14" a="1"/>
  <c r="N73" i="14" s="1"/>
  <c r="M73" i="14"/>
  <c r="M73" i="14" a="1"/>
  <c r="L73" i="14"/>
  <c r="L73" i="14" a="1"/>
  <c r="K73" i="14" a="1"/>
  <c r="K73" i="14" s="1"/>
  <c r="J73" i="14" a="1"/>
  <c r="J73" i="14" s="1"/>
  <c r="I73" i="14" a="1"/>
  <c r="I73" i="14" s="1"/>
  <c r="H73" i="14" a="1"/>
  <c r="H73" i="14" s="1"/>
  <c r="G73" i="14" a="1"/>
  <c r="G73" i="14" s="1"/>
  <c r="F73" i="14" a="1"/>
  <c r="F73" i="14" s="1"/>
  <c r="T72" i="14" a="1"/>
  <c r="T72" i="14" s="1"/>
  <c r="S72" i="14"/>
  <c r="S72" i="14" a="1"/>
  <c r="R72" i="14"/>
  <c r="R72" i="14" a="1"/>
  <c r="Q72" i="14" a="1"/>
  <c r="Q72" i="14" s="1"/>
  <c r="P72" i="14" a="1"/>
  <c r="P72" i="14" s="1"/>
  <c r="O72" i="14" a="1"/>
  <c r="O72" i="14" s="1"/>
  <c r="N72" i="14" a="1"/>
  <c r="N72" i="14" s="1"/>
  <c r="M72" i="14" a="1"/>
  <c r="M72" i="14" s="1"/>
  <c r="L72" i="14" a="1"/>
  <c r="L72" i="14" s="1"/>
  <c r="K72" i="14" a="1"/>
  <c r="K72" i="14" s="1"/>
  <c r="J72" i="14"/>
  <c r="J72" i="14" a="1"/>
  <c r="I72" i="14"/>
  <c r="I72" i="14" a="1"/>
  <c r="H72" i="14" a="1"/>
  <c r="H72" i="14" s="1"/>
  <c r="G72" i="14" a="1"/>
  <c r="G72" i="14" s="1"/>
  <c r="F72" i="14" a="1"/>
  <c r="F72" i="14" s="1"/>
  <c r="T71" i="14" a="1"/>
  <c r="T71" i="14" s="1"/>
  <c r="S71" i="14"/>
  <c r="S71" i="14" a="1"/>
  <c r="R71" i="14" a="1"/>
  <c r="R71" i="14" s="1"/>
  <c r="Q71" i="14" a="1"/>
  <c r="Q71" i="14" s="1"/>
  <c r="P71" i="14" a="1"/>
  <c r="P71" i="14" s="1"/>
  <c r="O71" i="14" a="1"/>
  <c r="O71" i="14" s="1"/>
  <c r="N71" i="14" a="1"/>
  <c r="N71" i="14" s="1"/>
  <c r="M71" i="14" a="1"/>
  <c r="M71" i="14" s="1"/>
  <c r="L71" i="14"/>
  <c r="L71" i="14" a="1"/>
  <c r="K71" i="14" a="1"/>
  <c r="K71" i="14" s="1"/>
  <c r="J71" i="14"/>
  <c r="J71" i="14" a="1"/>
  <c r="I71" i="14" a="1"/>
  <c r="I71" i="14" s="1"/>
  <c r="H71" i="14" a="1"/>
  <c r="H71" i="14" s="1"/>
  <c r="G71" i="14" a="1"/>
  <c r="G71" i="14" s="1"/>
  <c r="F71" i="14" a="1"/>
  <c r="F71" i="14" s="1"/>
  <c r="T70" i="14" a="1"/>
  <c r="T70" i="14" s="1"/>
  <c r="S70" i="14" a="1"/>
  <c r="S70" i="14" s="1"/>
  <c r="R70" i="14" a="1"/>
  <c r="R70" i="14" s="1"/>
  <c r="Q70" i="14" a="1"/>
  <c r="Q70" i="14" s="1"/>
  <c r="P70" i="14" a="1"/>
  <c r="P70" i="14" s="1"/>
  <c r="O70" i="14" a="1"/>
  <c r="O70" i="14" s="1"/>
  <c r="N70" i="14" a="1"/>
  <c r="N70" i="14" s="1"/>
  <c r="M70" i="14" a="1"/>
  <c r="M70" i="14" s="1"/>
  <c r="L70" i="14" a="1"/>
  <c r="L70" i="14" s="1"/>
  <c r="K70" i="14" a="1"/>
  <c r="K70" i="14" s="1"/>
  <c r="J70" i="14" a="1"/>
  <c r="J70" i="14" s="1"/>
  <c r="I70" i="14" a="1"/>
  <c r="I70" i="14" s="1"/>
  <c r="H70" i="14" a="1"/>
  <c r="H70" i="14" s="1"/>
  <c r="G70" i="14"/>
  <c r="G70" i="14" a="1"/>
  <c r="F70" i="14" a="1"/>
  <c r="F70" i="14" s="1"/>
  <c r="T69" i="14" a="1"/>
  <c r="T69" i="14" s="1"/>
  <c r="S69" i="14" a="1"/>
  <c r="S69" i="14" s="1"/>
  <c r="R69" i="14"/>
  <c r="R69" i="14" a="1"/>
  <c r="Q69" i="14" a="1"/>
  <c r="Q69" i="14" s="1"/>
  <c r="P69" i="14"/>
  <c r="P69" i="14" a="1"/>
  <c r="O69" i="14"/>
  <c r="O69" i="14" a="1"/>
  <c r="N69" i="14" a="1"/>
  <c r="N69" i="14" s="1"/>
  <c r="M69" i="14" a="1"/>
  <c r="M69" i="14" s="1"/>
  <c r="L69" i="14" a="1"/>
  <c r="L69" i="14" s="1"/>
  <c r="K69" i="14" a="1"/>
  <c r="K69" i="14" s="1"/>
  <c r="J69" i="14" a="1"/>
  <c r="J69" i="14" s="1"/>
  <c r="I69" i="14" a="1"/>
  <c r="I69" i="14" s="1"/>
  <c r="H69" i="14"/>
  <c r="H69" i="14" a="1"/>
  <c r="G69" i="14" a="1"/>
  <c r="G69" i="14" s="1"/>
  <c r="F69" i="14"/>
  <c r="F69" i="14" a="1"/>
  <c r="T68" i="14" a="1"/>
  <c r="T68" i="14" s="1"/>
  <c r="S68" i="14" a="1"/>
  <c r="S68" i="14" s="1"/>
  <c r="R68" i="14" a="1"/>
  <c r="R68" i="14" s="1"/>
  <c r="Q68" i="14" a="1"/>
  <c r="Q68" i="14" s="1"/>
  <c r="P68" i="14" a="1"/>
  <c r="P68" i="14" s="1"/>
  <c r="O68" i="14"/>
  <c r="O68" i="14" a="1"/>
  <c r="N68" i="14" a="1"/>
  <c r="N68" i="14" s="1"/>
  <c r="M68" i="14" a="1"/>
  <c r="M68" i="14" s="1"/>
  <c r="L68" i="14" a="1"/>
  <c r="L68" i="14" s="1"/>
  <c r="K68" i="14" a="1"/>
  <c r="K68" i="14" s="1"/>
  <c r="J68" i="14" a="1"/>
  <c r="J68" i="14" s="1"/>
  <c r="I68" i="14"/>
  <c r="I68" i="14" a="1"/>
  <c r="H68" i="14" a="1"/>
  <c r="H68" i="14" s="1"/>
  <c r="G68" i="14" a="1"/>
  <c r="G68" i="14" s="1"/>
  <c r="F68" i="14"/>
  <c r="F68" i="14" a="1"/>
  <c r="T67" i="14"/>
  <c r="T67" i="14" a="1"/>
  <c r="S67" i="14" a="1"/>
  <c r="S67" i="14" s="1"/>
  <c r="R67" i="14" a="1"/>
  <c r="R67" i="14" s="1"/>
  <c r="Q67" i="14" a="1"/>
  <c r="Q67" i="14" s="1"/>
  <c r="P67" i="14" a="1"/>
  <c r="P67" i="14" s="1"/>
  <c r="O67" i="14" a="1"/>
  <c r="O67" i="14" s="1"/>
  <c r="N67" i="14" a="1"/>
  <c r="N67" i="14" s="1"/>
  <c r="M67" i="14" a="1"/>
  <c r="M67" i="14" s="1"/>
  <c r="L67" i="14"/>
  <c r="L67" i="14" a="1"/>
  <c r="K67" i="14" a="1"/>
  <c r="K67" i="14" s="1"/>
  <c r="J67" i="14" a="1"/>
  <c r="J67" i="14" s="1"/>
  <c r="I67" i="14" a="1"/>
  <c r="I67" i="14" s="1"/>
  <c r="H67" i="14" a="1"/>
  <c r="H67" i="14" s="1"/>
  <c r="G67" i="14" a="1"/>
  <c r="G67" i="14" s="1"/>
  <c r="F67" i="14"/>
  <c r="F67" i="14" a="1"/>
  <c r="T66" i="14" a="1"/>
  <c r="T66" i="14" s="1"/>
  <c r="S66" i="14" a="1"/>
  <c r="S66" i="14" s="1"/>
  <c r="R66" i="14" a="1"/>
  <c r="R66" i="14" s="1"/>
  <c r="Q66" i="14" a="1"/>
  <c r="Q66" i="14" s="1"/>
  <c r="P66" i="14" a="1"/>
  <c r="P66" i="14" s="1"/>
  <c r="O66" i="14"/>
  <c r="O66" i="14" a="1"/>
  <c r="N66" i="14"/>
  <c r="N66" i="14" a="1"/>
  <c r="M66" i="14" a="1"/>
  <c r="M66" i="14" s="1"/>
  <c r="L66" i="14" a="1"/>
  <c r="L66" i="14" s="1"/>
  <c r="K66" i="14" a="1"/>
  <c r="K66" i="14" s="1"/>
  <c r="J66" i="14" a="1"/>
  <c r="J66" i="14" s="1"/>
  <c r="I66" i="14" a="1"/>
  <c r="I66" i="14" s="1"/>
  <c r="H66" i="14" a="1"/>
  <c r="H66" i="14" s="1"/>
  <c r="G66" i="14" a="1"/>
  <c r="G66" i="14" s="1"/>
  <c r="F66" i="14"/>
  <c r="F66" i="14" a="1"/>
  <c r="T65" i="14" a="1"/>
  <c r="T65" i="14" s="1"/>
  <c r="S65" i="14" a="1"/>
  <c r="S65" i="14" s="1"/>
  <c r="R65" i="14" a="1"/>
  <c r="R65" i="14" s="1"/>
  <c r="Q65" i="14" a="1"/>
  <c r="Q65" i="14" s="1"/>
  <c r="P65" i="14" a="1"/>
  <c r="P65" i="14" s="1"/>
  <c r="O65" i="14" a="1"/>
  <c r="O65" i="14" s="1"/>
  <c r="N65" i="14" a="1"/>
  <c r="N65" i="14" s="1"/>
  <c r="M65" i="14" a="1"/>
  <c r="M65" i="14" s="1"/>
  <c r="L65" i="14"/>
  <c r="L65" i="14" a="1"/>
  <c r="K65" i="14" a="1"/>
  <c r="K65" i="14" s="1"/>
  <c r="J65" i="14" a="1"/>
  <c r="J65" i="14" s="1"/>
  <c r="I65" i="14" a="1"/>
  <c r="I65" i="14" s="1"/>
  <c r="H65" i="14" a="1"/>
  <c r="H65" i="14" s="1"/>
  <c r="G65" i="14" a="1"/>
  <c r="G65" i="14" s="1"/>
  <c r="F65" i="14" a="1"/>
  <c r="F65" i="14" s="1"/>
  <c r="T64" i="14"/>
  <c r="T64" i="14" a="1"/>
  <c r="S64" i="14"/>
  <c r="S64" i="14" a="1"/>
  <c r="R64" i="14" a="1"/>
  <c r="R64" i="14" s="1"/>
  <c r="Q64" i="14" a="1"/>
  <c r="Q64" i="14" s="1"/>
  <c r="P64" i="14" a="1"/>
  <c r="P64" i="14" s="1"/>
  <c r="O64" i="14" a="1"/>
  <c r="O64" i="14" s="1"/>
  <c r="N64" i="14" a="1"/>
  <c r="N64" i="14" s="1"/>
  <c r="M64" i="14" a="1"/>
  <c r="M64" i="14" s="1"/>
  <c r="L64" i="14" a="1"/>
  <c r="L64" i="14" s="1"/>
  <c r="K64" i="14" a="1"/>
  <c r="K64" i="14" s="1"/>
  <c r="J64" i="14"/>
  <c r="J64" i="14" a="1"/>
  <c r="I64" i="14"/>
  <c r="I64" i="14" a="1"/>
  <c r="H64" i="14" a="1"/>
  <c r="H64" i="14" s="1"/>
  <c r="G64" i="14"/>
  <c r="G64" i="14" a="1"/>
  <c r="F64" i="14" a="1"/>
  <c r="F64" i="14" s="1"/>
  <c r="T63" i="14" a="1"/>
  <c r="T63" i="14" s="1"/>
  <c r="S63" i="14" a="1"/>
  <c r="S63" i="14" s="1"/>
  <c r="R63" i="14" a="1"/>
  <c r="R63" i="14" s="1"/>
  <c r="Q63" i="14" a="1"/>
  <c r="Q63" i="14" s="1"/>
  <c r="P63" i="14" a="1"/>
  <c r="P63" i="14" s="1"/>
  <c r="O63" i="14" a="1"/>
  <c r="O63" i="14" s="1"/>
  <c r="N63" i="14" a="1"/>
  <c r="N63" i="14" s="1"/>
  <c r="M63" i="14" a="1"/>
  <c r="M63" i="14" s="1"/>
  <c r="L63" i="14" a="1"/>
  <c r="L63" i="14" s="1"/>
  <c r="K63" i="14" a="1"/>
  <c r="K63" i="14" s="1"/>
  <c r="J63" i="14" a="1"/>
  <c r="J63" i="14" s="1"/>
  <c r="I63" i="14" a="1"/>
  <c r="I63" i="14" s="1"/>
  <c r="H63" i="14" a="1"/>
  <c r="H63" i="14" s="1"/>
  <c r="G63" i="14" a="1"/>
  <c r="G63" i="14" s="1"/>
  <c r="F63" i="14" a="1"/>
  <c r="F63" i="14" s="1"/>
  <c r="T62" i="14" a="1"/>
  <c r="T62" i="14" s="1"/>
  <c r="S62" i="14" a="1"/>
  <c r="S62" i="14" s="1"/>
  <c r="R62" i="14" a="1"/>
  <c r="R62" i="14" s="1"/>
  <c r="Q62" i="14" a="1"/>
  <c r="Q62" i="14" s="1"/>
  <c r="P62" i="14" a="1"/>
  <c r="P62" i="14" s="1"/>
  <c r="O62" i="14" a="1"/>
  <c r="O62" i="14" s="1"/>
  <c r="N62" i="14" a="1"/>
  <c r="N62" i="14" s="1"/>
  <c r="M62" i="14" a="1"/>
  <c r="M62" i="14" s="1"/>
  <c r="L62" i="14" a="1"/>
  <c r="L62" i="14" s="1"/>
  <c r="K62" i="14"/>
  <c r="K62" i="14" a="1"/>
  <c r="J62" i="14" a="1"/>
  <c r="J62" i="14" s="1"/>
  <c r="I62" i="14" a="1"/>
  <c r="I62" i="14" s="1"/>
  <c r="H62" i="14" a="1"/>
  <c r="H62" i="14" s="1"/>
  <c r="G62" i="14" a="1"/>
  <c r="G62" i="14" s="1"/>
  <c r="F62" i="14" a="1"/>
  <c r="F62" i="14" s="1"/>
  <c r="T61" i="14" a="1"/>
  <c r="T61" i="14" s="1"/>
  <c r="S61" i="14" a="1"/>
  <c r="S61" i="14" s="1"/>
  <c r="R61" i="14" a="1"/>
  <c r="R61" i="14" s="1"/>
  <c r="Q61" i="14" a="1"/>
  <c r="Q61" i="14" s="1"/>
  <c r="P61" i="14" a="1"/>
  <c r="P61" i="14" s="1"/>
  <c r="O61" i="14" a="1"/>
  <c r="O61" i="14" s="1"/>
  <c r="N61" i="14" a="1"/>
  <c r="N61" i="14" s="1"/>
  <c r="M61" i="14" a="1"/>
  <c r="M61" i="14" s="1"/>
  <c r="L61" i="14" a="1"/>
  <c r="L61" i="14" s="1"/>
  <c r="K61" i="14" a="1"/>
  <c r="K61" i="14" s="1"/>
  <c r="J61" i="14"/>
  <c r="J61" i="14" a="1"/>
  <c r="I61" i="14" a="1"/>
  <c r="I61" i="14" s="1"/>
  <c r="H61" i="14" a="1"/>
  <c r="H61" i="14" s="1"/>
  <c r="G61" i="14" a="1"/>
  <c r="G61" i="14" s="1"/>
  <c r="F61" i="14" a="1"/>
  <c r="F61" i="14" s="1"/>
  <c r="T60" i="14" a="1"/>
  <c r="T60" i="14" s="1"/>
  <c r="S60" i="14" a="1"/>
  <c r="S60" i="14" s="1"/>
  <c r="R60" i="14" a="1"/>
  <c r="R60" i="14" s="1"/>
  <c r="Q60" i="14" a="1"/>
  <c r="Q60" i="14" s="1"/>
  <c r="P60" i="14"/>
  <c r="P60" i="14" a="1"/>
  <c r="O60" i="14"/>
  <c r="O60" i="14" a="1"/>
  <c r="N60" i="14"/>
  <c r="N60" i="14" a="1"/>
  <c r="M60" i="14" a="1"/>
  <c r="M60" i="14" s="1"/>
  <c r="L60" i="14" a="1"/>
  <c r="L60" i="14" s="1"/>
  <c r="K60" i="14" a="1"/>
  <c r="K60" i="14" s="1"/>
  <c r="J60" i="14" a="1"/>
  <c r="J60" i="14" s="1"/>
  <c r="I60" i="14" a="1"/>
  <c r="I60" i="14" s="1"/>
  <c r="H60" i="14" a="1"/>
  <c r="H60" i="14" s="1"/>
  <c r="G60" i="14" a="1"/>
  <c r="G60" i="14" s="1"/>
  <c r="F60" i="14"/>
  <c r="F60" i="14" a="1"/>
  <c r="T59" i="14"/>
  <c r="T59" i="14" a="1"/>
  <c r="S59" i="14" a="1"/>
  <c r="S59" i="14" s="1"/>
  <c r="R59" i="14"/>
  <c r="R59" i="14" a="1"/>
  <c r="Q59" i="14" a="1"/>
  <c r="Q59" i="14" s="1"/>
  <c r="P59" i="14" a="1"/>
  <c r="P59" i="14" s="1"/>
  <c r="O59" i="14" a="1"/>
  <c r="O59" i="14" s="1"/>
  <c r="N59" i="14" a="1"/>
  <c r="N59" i="14" s="1"/>
  <c r="M59" i="14" a="1"/>
  <c r="M59" i="14" s="1"/>
  <c r="L59" i="14"/>
  <c r="L59" i="14" a="1"/>
  <c r="K59" i="14" a="1"/>
  <c r="K59" i="14" s="1"/>
  <c r="J59" i="14" a="1"/>
  <c r="J59" i="14" s="1"/>
  <c r="I59" i="14" a="1"/>
  <c r="I59" i="14" s="1"/>
  <c r="H59" i="14" a="1"/>
  <c r="H59" i="14" s="1"/>
  <c r="G59" i="14" a="1"/>
  <c r="G59" i="14" s="1"/>
  <c r="F59" i="14" a="1"/>
  <c r="F59" i="14" s="1"/>
  <c r="T58" i="14" a="1"/>
  <c r="T58" i="14" s="1"/>
  <c r="S58" i="14" a="1"/>
  <c r="S58" i="14" s="1"/>
  <c r="R58" i="14" a="1"/>
  <c r="R58" i="14" s="1"/>
  <c r="Q58" i="14" a="1"/>
  <c r="Q58" i="14" s="1"/>
  <c r="P58" i="14" a="1"/>
  <c r="P58" i="14" s="1"/>
  <c r="O58" i="14" a="1"/>
  <c r="O58" i="14" s="1"/>
  <c r="N58" i="14" a="1"/>
  <c r="N58" i="14" s="1"/>
  <c r="M58" i="14" a="1"/>
  <c r="M58" i="14" s="1"/>
  <c r="L58" i="14" a="1"/>
  <c r="L58" i="14" s="1"/>
  <c r="K58" i="14" a="1"/>
  <c r="K58" i="14" s="1"/>
  <c r="J58" i="14" a="1"/>
  <c r="J58" i="14" s="1"/>
  <c r="I58" i="14" a="1"/>
  <c r="I58" i="14" s="1"/>
  <c r="H58" i="14" a="1"/>
  <c r="H58" i="14" s="1"/>
  <c r="G58" i="14" a="1"/>
  <c r="G58" i="14" s="1"/>
  <c r="F58" i="14" a="1"/>
  <c r="F58" i="14" s="1"/>
  <c r="T57" i="14" a="1"/>
  <c r="T57" i="14" s="1"/>
  <c r="S57" i="14" a="1"/>
  <c r="S57" i="14" s="1"/>
  <c r="R57" i="14" a="1"/>
  <c r="R57" i="14" s="1"/>
  <c r="Q57" i="14" a="1"/>
  <c r="Q57" i="14" s="1"/>
  <c r="P57" i="14" a="1"/>
  <c r="P57" i="14" s="1"/>
  <c r="O57" i="14" a="1"/>
  <c r="O57" i="14" s="1"/>
  <c r="N57" i="14" a="1"/>
  <c r="N57" i="14" s="1"/>
  <c r="M57" i="14"/>
  <c r="M57" i="14" a="1"/>
  <c r="L57" i="14" a="1"/>
  <c r="L57" i="14" s="1"/>
  <c r="K57" i="14" a="1"/>
  <c r="K57" i="14" s="1"/>
  <c r="J57" i="14" a="1"/>
  <c r="J57" i="14" s="1"/>
  <c r="I57" i="14" a="1"/>
  <c r="I57" i="14" s="1"/>
  <c r="H57" i="14"/>
  <c r="H57" i="14" a="1"/>
  <c r="G57" i="14" a="1"/>
  <c r="G57" i="14" s="1"/>
  <c r="F57" i="14" a="1"/>
  <c r="F57" i="14" s="1"/>
  <c r="T56" i="14"/>
  <c r="T56" i="14" a="1"/>
  <c r="S56" i="14" a="1"/>
  <c r="S56" i="14" s="1"/>
  <c r="R56" i="14" a="1"/>
  <c r="R56" i="14" s="1"/>
  <c r="Q56" i="14" a="1"/>
  <c r="Q56" i="14" s="1"/>
  <c r="P56" i="14" a="1"/>
  <c r="P56" i="14" s="1"/>
  <c r="O56" i="14" a="1"/>
  <c r="O56" i="14" s="1"/>
  <c r="N56" i="14" a="1"/>
  <c r="N56" i="14" s="1"/>
  <c r="M56" i="14" a="1"/>
  <c r="M56" i="14" s="1"/>
  <c r="L56" i="14" a="1"/>
  <c r="L56" i="14" s="1"/>
  <c r="K56" i="14"/>
  <c r="K56" i="14" a="1"/>
  <c r="J56" i="14" a="1"/>
  <c r="J56" i="14" s="1"/>
  <c r="I56" i="14" a="1"/>
  <c r="I56" i="14" s="1"/>
  <c r="H56" i="14" a="1"/>
  <c r="H56" i="14" s="1"/>
  <c r="G56" i="14" a="1"/>
  <c r="G56" i="14" s="1"/>
  <c r="F56" i="14" a="1"/>
  <c r="F56" i="14" s="1"/>
  <c r="T55" i="14" a="1"/>
  <c r="T55" i="14" s="1"/>
  <c r="S55" i="14" a="1"/>
  <c r="S55" i="14" s="1"/>
  <c r="R55" i="14" a="1"/>
  <c r="R55" i="14" s="1"/>
  <c r="Q55" i="14" a="1"/>
  <c r="Q55" i="14" s="1"/>
  <c r="P55" i="14" a="1"/>
  <c r="P55" i="14" s="1"/>
  <c r="O55" i="14" a="1"/>
  <c r="O55" i="14" s="1"/>
  <c r="N55" i="14"/>
  <c r="N55" i="14" a="1"/>
  <c r="M55" i="14" a="1"/>
  <c r="M55" i="14" s="1"/>
  <c r="L55" i="14" a="1"/>
  <c r="L55" i="14" s="1"/>
  <c r="K55" i="14" a="1"/>
  <c r="K55" i="14" s="1"/>
  <c r="J55" i="14" a="1"/>
  <c r="J55" i="14" s="1"/>
  <c r="I55" i="14" a="1"/>
  <c r="I55" i="14" s="1"/>
  <c r="H55" i="14"/>
  <c r="H55" i="14" a="1"/>
  <c r="G55" i="14" a="1"/>
  <c r="G55" i="14" s="1"/>
  <c r="F55" i="14" a="1"/>
  <c r="F55" i="14" s="1"/>
  <c r="T54" i="14" a="1"/>
  <c r="T54" i="14" s="1"/>
  <c r="S54" i="14" a="1"/>
  <c r="S54" i="14" s="1"/>
  <c r="R54" i="14" a="1"/>
  <c r="R54" i="14" s="1"/>
  <c r="Q54" i="14" a="1"/>
  <c r="Q54" i="14" s="1"/>
  <c r="P54" i="14" a="1"/>
  <c r="P54" i="14" s="1"/>
  <c r="O54" i="14"/>
  <c r="O54" i="14" a="1"/>
  <c r="N54" i="14" a="1"/>
  <c r="N54" i="14" s="1"/>
  <c r="M54" i="14" a="1"/>
  <c r="M54" i="14" s="1"/>
  <c r="L54" i="14" a="1"/>
  <c r="L54" i="14" s="1"/>
  <c r="K54" i="14" a="1"/>
  <c r="K54" i="14" s="1"/>
  <c r="J54" i="14" a="1"/>
  <c r="J54" i="14" s="1"/>
  <c r="I54" i="14" a="1"/>
  <c r="I54" i="14" s="1"/>
  <c r="H54" i="14" a="1"/>
  <c r="H54" i="14" s="1"/>
  <c r="G54" i="14" a="1"/>
  <c r="G54" i="14" s="1"/>
  <c r="F54" i="14" a="1"/>
  <c r="F54" i="14" s="1"/>
  <c r="T53" i="14" a="1"/>
  <c r="T53" i="14" s="1"/>
  <c r="S53" i="14" a="1"/>
  <c r="S53" i="14" s="1"/>
  <c r="R53" i="14" a="1"/>
  <c r="R53" i="14" s="1"/>
  <c r="Q53" i="14" a="1"/>
  <c r="Q53" i="14" s="1"/>
  <c r="P53" i="14" a="1"/>
  <c r="P53" i="14" s="1"/>
  <c r="O53" i="14" a="1"/>
  <c r="O53" i="14" s="1"/>
  <c r="N53" i="14" a="1"/>
  <c r="N53" i="14" s="1"/>
  <c r="M53" i="14" a="1"/>
  <c r="M53" i="14" s="1"/>
  <c r="L53" i="14"/>
  <c r="L53" i="14" a="1"/>
  <c r="K53" i="14" a="1"/>
  <c r="K53" i="14" s="1"/>
  <c r="J53" i="14"/>
  <c r="J53" i="14" a="1"/>
  <c r="I53" i="14" a="1"/>
  <c r="I53" i="14" s="1"/>
  <c r="H53" i="14" a="1"/>
  <c r="H53" i="14" s="1"/>
  <c r="G53" i="14" a="1"/>
  <c r="G53" i="14" s="1"/>
  <c r="F53" i="14" a="1"/>
  <c r="F53" i="14" s="1"/>
  <c r="T52" i="14" a="1"/>
  <c r="T52" i="14" s="1"/>
  <c r="S52" i="14" a="1"/>
  <c r="S52" i="14" s="1"/>
  <c r="R52" i="14" a="1"/>
  <c r="R52" i="14" s="1"/>
  <c r="Q52" i="14"/>
  <c r="Q52" i="14" a="1"/>
  <c r="P52" i="14" a="1"/>
  <c r="P52" i="14" s="1"/>
  <c r="O52" i="14" a="1"/>
  <c r="O52" i="14" s="1"/>
  <c r="N52" i="14" a="1"/>
  <c r="N52" i="14" s="1"/>
  <c r="M52" i="14" a="1"/>
  <c r="M52" i="14" s="1"/>
  <c r="L52" i="14" a="1"/>
  <c r="L52" i="14" s="1"/>
  <c r="K52" i="14" a="1"/>
  <c r="K52" i="14" s="1"/>
  <c r="J52" i="14" a="1"/>
  <c r="J52" i="14" s="1"/>
  <c r="I52" i="14" a="1"/>
  <c r="I52" i="14" s="1"/>
  <c r="H52" i="14" a="1"/>
  <c r="H52" i="14" s="1"/>
  <c r="G52" i="14"/>
  <c r="G52" i="14" a="1"/>
  <c r="F52" i="14" a="1"/>
  <c r="F52" i="14" s="1"/>
  <c r="T51" i="14" a="1"/>
  <c r="T51" i="14" s="1"/>
  <c r="S51" i="14" a="1"/>
  <c r="S51" i="14" s="1"/>
  <c r="R51" i="14"/>
  <c r="R51" i="14" a="1"/>
  <c r="Q51" i="14" a="1"/>
  <c r="Q51" i="14" s="1"/>
  <c r="P51" i="14" a="1"/>
  <c r="P51" i="14" s="1"/>
  <c r="O51" i="14" a="1"/>
  <c r="O51" i="14" s="1"/>
  <c r="N51" i="14" a="1"/>
  <c r="N51" i="14" s="1"/>
  <c r="M51" i="14" a="1"/>
  <c r="M51" i="14" s="1"/>
  <c r="L51" i="14" a="1"/>
  <c r="L51" i="14" s="1"/>
  <c r="K51" i="14" a="1"/>
  <c r="K51" i="14" s="1"/>
  <c r="J51" i="14" a="1"/>
  <c r="J51" i="14" s="1"/>
  <c r="I51" i="14" a="1"/>
  <c r="I51" i="14" s="1"/>
  <c r="H51" i="14" a="1"/>
  <c r="H51" i="14" s="1"/>
  <c r="G51" i="14" a="1"/>
  <c r="G51" i="14" s="1"/>
  <c r="F51" i="14" a="1"/>
  <c r="F51" i="14" s="1"/>
  <c r="T50" i="14" a="1"/>
  <c r="T50" i="14" s="1"/>
  <c r="S50" i="14" a="1"/>
  <c r="S50" i="14" s="1"/>
  <c r="R50" i="14" a="1"/>
  <c r="R50" i="14" s="1"/>
  <c r="Q50" i="14" a="1"/>
  <c r="Q50" i="14" s="1"/>
  <c r="P50" i="14" a="1"/>
  <c r="P50" i="14" s="1"/>
  <c r="O50" i="14" a="1"/>
  <c r="O50" i="14" s="1"/>
  <c r="N50" i="14" a="1"/>
  <c r="N50" i="14" s="1"/>
  <c r="M50" i="14" a="1"/>
  <c r="M50" i="14" s="1"/>
  <c r="L50" i="14" a="1"/>
  <c r="L50" i="14" s="1"/>
  <c r="K50" i="14"/>
  <c r="K50" i="14" a="1"/>
  <c r="J50" i="14" a="1"/>
  <c r="J50" i="14" s="1"/>
  <c r="I50" i="14" a="1"/>
  <c r="I50" i="14" s="1"/>
  <c r="H50" i="14" a="1"/>
  <c r="H50" i="14" s="1"/>
  <c r="G50" i="14" a="1"/>
  <c r="G50" i="14" s="1"/>
  <c r="F50" i="14" a="1"/>
  <c r="F50" i="14" s="1"/>
  <c r="T49" i="14" a="1"/>
  <c r="T49" i="14" s="1"/>
  <c r="S49" i="14" a="1"/>
  <c r="S49" i="14" s="1"/>
  <c r="R49" i="14" a="1"/>
  <c r="R49" i="14" s="1"/>
  <c r="Q49" i="14" a="1"/>
  <c r="Q49" i="14" s="1"/>
  <c r="P49" i="14"/>
  <c r="P49" i="14" a="1"/>
  <c r="O49" i="14" a="1"/>
  <c r="O49" i="14" s="1"/>
  <c r="N49" i="14" a="1"/>
  <c r="N49" i="14" s="1"/>
  <c r="M49" i="14" a="1"/>
  <c r="M49" i="14" s="1"/>
  <c r="L49" i="14" a="1"/>
  <c r="L49" i="14" s="1"/>
  <c r="K49" i="14" a="1"/>
  <c r="K49" i="14" s="1"/>
  <c r="J49" i="14" a="1"/>
  <c r="J49" i="14" s="1"/>
  <c r="I49" i="14" a="1"/>
  <c r="I49" i="14" s="1"/>
  <c r="H49" i="14" a="1"/>
  <c r="H49" i="14" s="1"/>
  <c r="G49" i="14" a="1"/>
  <c r="G49" i="14" s="1"/>
  <c r="F49" i="14" a="1"/>
  <c r="F49" i="14" s="1"/>
  <c r="T48" i="14" a="1"/>
  <c r="T48" i="14" s="1"/>
  <c r="S48" i="14" a="1"/>
  <c r="S48" i="14" s="1"/>
  <c r="R48" i="14" a="1"/>
  <c r="R48" i="14" s="1"/>
  <c r="Q48" i="14" a="1"/>
  <c r="Q48" i="14" s="1"/>
  <c r="P48" i="14" a="1"/>
  <c r="P48" i="14" s="1"/>
  <c r="O48" i="14" a="1"/>
  <c r="O48" i="14" s="1"/>
  <c r="N48" i="14" a="1"/>
  <c r="N48" i="14" s="1"/>
  <c r="M48" i="14" a="1"/>
  <c r="M48" i="14" s="1"/>
  <c r="L48" i="14" a="1"/>
  <c r="L48" i="14" s="1"/>
  <c r="K48" i="14"/>
  <c r="K48" i="14" a="1"/>
  <c r="J48" i="14" a="1"/>
  <c r="J48" i="14" s="1"/>
  <c r="I48" i="14" a="1"/>
  <c r="I48" i="14" s="1"/>
  <c r="H48" i="14" a="1"/>
  <c r="H48" i="14" s="1"/>
  <c r="G48" i="14" a="1"/>
  <c r="G48" i="14" s="1"/>
  <c r="F48" i="14" a="1"/>
  <c r="F48" i="14" s="1"/>
  <c r="T47" i="14" a="1"/>
  <c r="T47" i="14" s="1"/>
  <c r="S47" i="14"/>
  <c r="S47" i="14" a="1"/>
  <c r="R47" i="14" a="1"/>
  <c r="R47" i="14" s="1"/>
  <c r="Q47" i="14"/>
  <c r="Q47" i="14" a="1"/>
  <c r="P47" i="14" a="1"/>
  <c r="P47" i="14" s="1"/>
  <c r="O47" i="14" a="1"/>
  <c r="O47" i="14" s="1"/>
  <c r="N47" i="14" a="1"/>
  <c r="N47" i="14" s="1"/>
  <c r="M47" i="14" a="1"/>
  <c r="M47" i="14" s="1"/>
  <c r="L47" i="14" a="1"/>
  <c r="L47" i="14" s="1"/>
  <c r="K47" i="14" a="1"/>
  <c r="K47" i="14" s="1"/>
  <c r="J47" i="14" a="1"/>
  <c r="J47" i="14" s="1"/>
  <c r="I47" i="14" a="1"/>
  <c r="I47" i="14" s="1"/>
  <c r="H47" i="14" a="1"/>
  <c r="H47" i="14" s="1"/>
  <c r="G47" i="14" a="1"/>
  <c r="G47" i="14" s="1"/>
  <c r="F47" i="14"/>
  <c r="F47" i="14" a="1"/>
  <c r="T46" i="14" a="1"/>
  <c r="T46" i="14" s="1"/>
  <c r="S46" i="14" a="1"/>
  <c r="S46" i="14" s="1"/>
  <c r="R46" i="14" a="1"/>
  <c r="R46" i="14" s="1"/>
  <c r="Q46" i="14" a="1"/>
  <c r="Q46" i="14" s="1"/>
  <c r="P46" i="14" a="1"/>
  <c r="P46" i="14" s="1"/>
  <c r="O46" i="14" a="1"/>
  <c r="O46" i="14" s="1"/>
  <c r="N46" i="14" a="1"/>
  <c r="N46" i="14" s="1"/>
  <c r="M46" i="14" a="1"/>
  <c r="M46" i="14" s="1"/>
  <c r="L46" i="14" a="1"/>
  <c r="L46" i="14" s="1"/>
  <c r="K46" i="14" a="1"/>
  <c r="K46" i="14" s="1"/>
  <c r="J46" i="14" a="1"/>
  <c r="J46" i="14" s="1"/>
  <c r="I46" i="14" a="1"/>
  <c r="I46" i="14" s="1"/>
  <c r="H46" i="14" a="1"/>
  <c r="H46" i="14" s="1"/>
  <c r="G46" i="14"/>
  <c r="G46" i="14" a="1"/>
  <c r="F46" i="14" a="1"/>
  <c r="F46" i="14" s="1"/>
  <c r="T45" i="14" a="1"/>
  <c r="T45" i="14" s="1"/>
  <c r="S45" i="14" a="1"/>
  <c r="S45" i="14" s="1"/>
  <c r="R45" i="14" a="1"/>
  <c r="R45" i="14" s="1"/>
  <c r="Q45" i="14" a="1"/>
  <c r="Q45" i="14" s="1"/>
  <c r="P45" i="14" a="1"/>
  <c r="P45" i="14" s="1"/>
  <c r="O45" i="14" a="1"/>
  <c r="O45" i="14" s="1"/>
  <c r="N45" i="14" a="1"/>
  <c r="N45" i="14" s="1"/>
  <c r="M45" i="14" a="1"/>
  <c r="M45" i="14" s="1"/>
  <c r="L45" i="14" a="1"/>
  <c r="L45" i="14" s="1"/>
  <c r="K45" i="14" a="1"/>
  <c r="K45" i="14" s="1"/>
  <c r="J45" i="14"/>
  <c r="J45" i="14" a="1"/>
  <c r="I45" i="14" a="1"/>
  <c r="I45" i="14" s="1"/>
  <c r="H45" i="14" a="1"/>
  <c r="H45" i="14" s="1"/>
  <c r="G45" i="14" a="1"/>
  <c r="G45" i="14" s="1"/>
  <c r="F45" i="14" a="1"/>
  <c r="F45" i="14" s="1"/>
  <c r="T44" i="14" a="1"/>
  <c r="T44" i="14" s="1"/>
  <c r="S44" i="14" a="1"/>
  <c r="S44" i="14" s="1"/>
  <c r="R44" i="14" a="1"/>
  <c r="R44" i="14" s="1"/>
  <c r="Q44" i="14" a="1"/>
  <c r="Q44" i="14" s="1"/>
  <c r="P44" i="14" a="1"/>
  <c r="P44" i="14" s="1"/>
  <c r="O44" i="14" a="1"/>
  <c r="O44" i="14" s="1"/>
  <c r="N44" i="14" a="1"/>
  <c r="N44" i="14" s="1"/>
  <c r="M44" i="14" a="1"/>
  <c r="M44" i="14" s="1"/>
  <c r="L44" i="14" a="1"/>
  <c r="L44" i="14" s="1"/>
  <c r="K44" i="14"/>
  <c r="K44" i="14" a="1"/>
  <c r="J44" i="14" a="1"/>
  <c r="J44" i="14" s="1"/>
  <c r="I44" i="14" a="1"/>
  <c r="I44" i="14" s="1"/>
  <c r="H44" i="14" a="1"/>
  <c r="H44" i="14" s="1"/>
  <c r="G44" i="14" a="1"/>
  <c r="G44" i="14" s="1"/>
  <c r="F44" i="14" a="1"/>
  <c r="F44" i="14" s="1"/>
  <c r="T43" i="14" a="1"/>
  <c r="T43" i="14" s="1"/>
  <c r="S43" i="14" a="1"/>
  <c r="S43" i="14" s="1"/>
  <c r="R43" i="14" a="1"/>
  <c r="R43" i="14" s="1"/>
  <c r="Q43" i="14" a="1"/>
  <c r="Q43" i="14" s="1"/>
  <c r="P43" i="14" a="1"/>
  <c r="P43" i="14" s="1"/>
  <c r="O43" i="14"/>
  <c r="O43" i="14" a="1"/>
  <c r="N43" i="14" a="1"/>
  <c r="N43" i="14" s="1"/>
  <c r="M43" i="14"/>
  <c r="M43" i="14" a="1"/>
  <c r="L43" i="14" a="1"/>
  <c r="L43" i="14" s="1"/>
  <c r="K43" i="14" a="1"/>
  <c r="K43" i="14" s="1"/>
  <c r="J43" i="14" a="1"/>
  <c r="J43" i="14" s="1"/>
  <c r="I43" i="14" a="1"/>
  <c r="I43" i="14" s="1"/>
  <c r="H43" i="14" a="1"/>
  <c r="H43" i="14" s="1"/>
  <c r="G43" i="14" a="1"/>
  <c r="G43" i="14" s="1"/>
  <c r="F43" i="14" a="1"/>
  <c r="F43" i="14" s="1"/>
  <c r="T42" i="14" a="1"/>
  <c r="T42" i="14" s="1"/>
  <c r="S42" i="14" a="1"/>
  <c r="S42" i="14" s="1"/>
  <c r="R42" i="14" a="1"/>
  <c r="R42" i="14" s="1"/>
  <c r="Q42" i="14" a="1"/>
  <c r="Q42" i="14" s="1"/>
  <c r="P42" i="14" a="1"/>
  <c r="P42" i="14" s="1"/>
  <c r="O42" i="14" a="1"/>
  <c r="O42" i="14" s="1"/>
  <c r="N42" i="14" a="1"/>
  <c r="N42" i="14" s="1"/>
  <c r="M42" i="14" a="1"/>
  <c r="M42" i="14" s="1"/>
  <c r="L42" i="14" a="1"/>
  <c r="L42" i="14" s="1"/>
  <c r="K42" i="14" a="1"/>
  <c r="K42" i="14" s="1"/>
  <c r="J42" i="14" a="1"/>
  <c r="J42" i="14" s="1"/>
  <c r="I42" i="14" a="1"/>
  <c r="I42" i="14" s="1"/>
  <c r="H42" i="14" a="1"/>
  <c r="H42" i="14" s="1"/>
  <c r="G42" i="14" a="1"/>
  <c r="G42" i="14" s="1"/>
  <c r="F42" i="14" a="1"/>
  <c r="F42" i="14" s="1"/>
  <c r="T41" i="14" a="1"/>
  <c r="T41" i="14" s="1"/>
  <c r="S41" i="14" a="1"/>
  <c r="S41" i="14" s="1"/>
  <c r="R41" i="14" a="1"/>
  <c r="R41" i="14" s="1"/>
  <c r="Q41" i="14" a="1"/>
  <c r="Q41" i="14" s="1"/>
  <c r="P41" i="14" a="1"/>
  <c r="P41" i="14" s="1"/>
  <c r="O41" i="14" a="1"/>
  <c r="O41" i="14" s="1"/>
  <c r="N41" i="14" a="1"/>
  <c r="N41" i="14" s="1"/>
  <c r="M41" i="14" a="1"/>
  <c r="M41" i="14" s="1"/>
  <c r="L41" i="14" a="1"/>
  <c r="L41" i="14" s="1"/>
  <c r="K41" i="14" a="1"/>
  <c r="K41" i="14" s="1"/>
  <c r="J41" i="14" a="1"/>
  <c r="J41" i="14" s="1"/>
  <c r="I41" i="14" a="1"/>
  <c r="I41" i="14" s="1"/>
  <c r="H41" i="14"/>
  <c r="H41" i="14" a="1"/>
  <c r="G41" i="14" a="1"/>
  <c r="G41" i="14" s="1"/>
  <c r="F41" i="14" a="1"/>
  <c r="F41" i="14" s="1"/>
  <c r="T40" i="14" a="1"/>
  <c r="T40" i="14" s="1"/>
  <c r="S40" i="14" a="1"/>
  <c r="S40" i="14" s="1"/>
  <c r="R40" i="14" a="1"/>
  <c r="R40" i="14" s="1"/>
  <c r="Q40" i="14" a="1"/>
  <c r="Q40" i="14" s="1"/>
  <c r="P40" i="14" a="1"/>
  <c r="P40" i="14" s="1"/>
  <c r="O40" i="14" a="1"/>
  <c r="O40" i="14" s="1"/>
  <c r="N40" i="14" a="1"/>
  <c r="N40" i="14" s="1"/>
  <c r="M40" i="14" a="1"/>
  <c r="M40" i="14" s="1"/>
  <c r="L40" i="14" a="1"/>
  <c r="L40" i="14" s="1"/>
  <c r="K40" i="14" a="1"/>
  <c r="K40" i="14" s="1"/>
  <c r="J40" i="14" a="1"/>
  <c r="J40" i="14" s="1"/>
  <c r="I40" i="14" a="1"/>
  <c r="I40" i="14" s="1"/>
  <c r="H40" i="14" a="1"/>
  <c r="H40" i="14" s="1"/>
  <c r="G40" i="14" a="1"/>
  <c r="G40" i="14" s="1"/>
  <c r="F40" i="14" a="1"/>
  <c r="F40" i="14" s="1"/>
  <c r="T39" i="14" a="1"/>
  <c r="T39" i="14" s="1"/>
  <c r="S39" i="14" a="1"/>
  <c r="S39" i="14" s="1"/>
  <c r="R39" i="14" a="1"/>
  <c r="R39" i="14" s="1"/>
  <c r="Q39" i="14" a="1"/>
  <c r="Q39" i="14" s="1"/>
  <c r="P39" i="14" a="1"/>
  <c r="P39" i="14" s="1"/>
  <c r="O39" i="14" a="1"/>
  <c r="O39" i="14" s="1"/>
  <c r="N39" i="14"/>
  <c r="N39" i="14" a="1"/>
  <c r="M39" i="14" a="1"/>
  <c r="M39" i="14" s="1"/>
  <c r="L39" i="14" a="1"/>
  <c r="L39" i="14" s="1"/>
  <c r="K39" i="14" a="1"/>
  <c r="K39" i="14" s="1"/>
  <c r="J39" i="14" a="1"/>
  <c r="J39" i="14" s="1"/>
  <c r="I39" i="14" a="1"/>
  <c r="I39" i="14" s="1"/>
  <c r="H39" i="14" a="1"/>
  <c r="H39" i="14" s="1"/>
  <c r="G39" i="14" a="1"/>
  <c r="G39" i="14" s="1"/>
  <c r="F39" i="14" a="1"/>
  <c r="F39" i="14" s="1"/>
  <c r="T38" i="14" a="1"/>
  <c r="T38" i="14" s="1"/>
  <c r="S38" i="14" a="1"/>
  <c r="S38" i="14" s="1"/>
  <c r="R38" i="14" a="1"/>
  <c r="R38" i="14" s="1"/>
  <c r="Q38" i="14" a="1"/>
  <c r="Q38" i="14" s="1"/>
  <c r="P38" i="14" a="1"/>
  <c r="P38" i="14" s="1"/>
  <c r="O38" i="14"/>
  <c r="O38" i="14" a="1"/>
  <c r="N38" i="14" a="1"/>
  <c r="N38" i="14" s="1"/>
  <c r="M38" i="14"/>
  <c r="M38" i="14" a="1"/>
  <c r="L38" i="14" a="1"/>
  <c r="L38" i="14" s="1"/>
  <c r="K38" i="14" a="1"/>
  <c r="K38" i="14" s="1"/>
  <c r="J38" i="14" a="1"/>
  <c r="J38" i="14" s="1"/>
  <c r="I38" i="14" a="1"/>
  <c r="I38" i="14" s="1"/>
  <c r="H38" i="14" a="1"/>
  <c r="H38" i="14" s="1"/>
  <c r="G38" i="14" a="1"/>
  <c r="G38" i="14" s="1"/>
  <c r="F38" i="14" a="1"/>
  <c r="F38" i="14" s="1"/>
  <c r="T37" i="14" a="1"/>
  <c r="T37" i="14" s="1"/>
  <c r="S37" i="14" a="1"/>
  <c r="S37" i="14" s="1"/>
  <c r="R37" i="14" a="1"/>
  <c r="R37" i="14" s="1"/>
  <c r="Q37" i="14" a="1"/>
  <c r="Q37" i="14" s="1"/>
  <c r="P37" i="14" a="1"/>
  <c r="P37" i="14" s="1"/>
  <c r="O37" i="14" a="1"/>
  <c r="O37" i="14" s="1"/>
  <c r="N37" i="14" a="1"/>
  <c r="N37" i="14" s="1"/>
  <c r="M37" i="14" a="1"/>
  <c r="M37" i="14" s="1"/>
  <c r="L37" i="14" a="1"/>
  <c r="L37" i="14" s="1"/>
  <c r="K37" i="14" a="1"/>
  <c r="K37" i="14" s="1"/>
  <c r="J37" i="14" a="1"/>
  <c r="J37" i="14" s="1"/>
  <c r="I37" i="14" a="1"/>
  <c r="I37" i="14" s="1"/>
  <c r="H37" i="14" a="1"/>
  <c r="H37" i="14" s="1"/>
  <c r="G37" i="14" a="1"/>
  <c r="G37" i="14" s="1"/>
  <c r="F37" i="14" a="1"/>
  <c r="F37" i="14" s="1"/>
  <c r="T36" i="14" a="1"/>
  <c r="T36" i="14" s="1"/>
  <c r="S36" i="14" a="1"/>
  <c r="S36" i="14" s="1"/>
  <c r="R36" i="14" a="1"/>
  <c r="R36" i="14" s="1"/>
  <c r="Q36" i="14"/>
  <c r="Q36" i="14" a="1"/>
  <c r="P36" i="14" a="1"/>
  <c r="P36" i="14" s="1"/>
  <c r="O36" i="14" a="1"/>
  <c r="O36" i="14" s="1"/>
  <c r="N36" i="14" a="1"/>
  <c r="N36" i="14" s="1"/>
  <c r="M36" i="14" a="1"/>
  <c r="M36" i="14" s="1"/>
  <c r="L36" i="14" a="1"/>
  <c r="L36" i="14" s="1"/>
  <c r="K36" i="14" a="1"/>
  <c r="K36" i="14" s="1"/>
  <c r="J36" i="14" a="1"/>
  <c r="J36" i="14" s="1"/>
  <c r="I36" i="14" a="1"/>
  <c r="I36" i="14" s="1"/>
  <c r="H36" i="14" a="1"/>
  <c r="H36" i="14" s="1"/>
  <c r="G36" i="14" a="1"/>
  <c r="G36" i="14" s="1"/>
  <c r="F36" i="14" a="1"/>
  <c r="F36" i="14" s="1"/>
  <c r="T35" i="14" a="1"/>
  <c r="T35" i="14" s="1"/>
  <c r="S35" i="14" a="1"/>
  <c r="S35" i="14" s="1"/>
  <c r="R35" i="14" a="1"/>
  <c r="R35" i="14" s="1"/>
  <c r="Q35" i="14" a="1"/>
  <c r="Q35" i="14" s="1"/>
  <c r="P35" i="14" a="1"/>
  <c r="P35" i="14" s="1"/>
  <c r="O35" i="14" a="1"/>
  <c r="O35" i="14" s="1"/>
  <c r="N35" i="14" a="1"/>
  <c r="N35" i="14" s="1"/>
  <c r="M35" i="14" a="1"/>
  <c r="M35" i="14" s="1"/>
  <c r="L35" i="14" a="1"/>
  <c r="L35" i="14" s="1"/>
  <c r="K35" i="14" a="1"/>
  <c r="K35" i="14" s="1"/>
  <c r="J35" i="14" a="1"/>
  <c r="J35" i="14" s="1"/>
  <c r="I35" i="14" a="1"/>
  <c r="I35" i="14" s="1"/>
  <c r="H35" i="14" a="1"/>
  <c r="H35" i="14" s="1"/>
  <c r="G35" i="14" a="1"/>
  <c r="G35" i="14" s="1"/>
  <c r="F35" i="14" a="1"/>
  <c r="F35" i="14" s="1"/>
  <c r="T34" i="14"/>
  <c r="T34" i="14" a="1"/>
  <c r="S34" i="14" a="1"/>
  <c r="S34" i="14" s="1"/>
  <c r="R34" i="14" a="1"/>
  <c r="R34" i="14" s="1"/>
  <c r="Q34" i="14"/>
  <c r="Q34" i="14" a="1"/>
  <c r="P34" i="14" a="1"/>
  <c r="P34" i="14" s="1"/>
  <c r="O34" i="14" a="1"/>
  <c r="O34" i="14" s="1"/>
  <c r="N34" i="14" a="1"/>
  <c r="N34" i="14" s="1"/>
  <c r="M34" i="14" a="1"/>
  <c r="M34" i="14" s="1"/>
  <c r="L34" i="14" a="1"/>
  <c r="L34" i="14" s="1"/>
  <c r="K34" i="14"/>
  <c r="K34" i="14" a="1"/>
  <c r="J34" i="14" a="1"/>
  <c r="J34" i="14" s="1"/>
  <c r="I34" i="14" a="1"/>
  <c r="I34" i="14" s="1"/>
  <c r="H34" i="14" a="1"/>
  <c r="H34" i="14" s="1"/>
  <c r="G34" i="14" a="1"/>
  <c r="G34" i="14" s="1"/>
  <c r="F34" i="14" a="1"/>
  <c r="F34" i="14" s="1"/>
  <c r="T33" i="14" a="1"/>
  <c r="T33" i="14" s="1"/>
  <c r="S33" i="14" a="1"/>
  <c r="S33" i="14" s="1"/>
  <c r="R33" i="14" a="1"/>
  <c r="R33" i="14" s="1"/>
  <c r="Q33" i="14" a="1"/>
  <c r="Q33" i="14" s="1"/>
  <c r="P33" i="14" a="1"/>
  <c r="P33" i="14" s="1"/>
  <c r="O33" i="14" a="1"/>
  <c r="O33" i="14" s="1"/>
  <c r="N33" i="14" a="1"/>
  <c r="N33" i="14" s="1"/>
  <c r="M33" i="14" a="1"/>
  <c r="M33" i="14" s="1"/>
  <c r="L33" i="14" a="1"/>
  <c r="L33" i="14" s="1"/>
  <c r="K33" i="14" a="1"/>
  <c r="K33" i="14" s="1"/>
  <c r="J33" i="14" a="1"/>
  <c r="J33" i="14" s="1"/>
  <c r="I33" i="14" a="1"/>
  <c r="I33" i="14" s="1"/>
  <c r="H33" i="14" a="1"/>
  <c r="H33" i="14" s="1"/>
  <c r="G33" i="14" a="1"/>
  <c r="G33" i="14" s="1"/>
  <c r="F33" i="14" a="1"/>
  <c r="F33" i="14" s="1"/>
  <c r="T32" i="14" a="1"/>
  <c r="T32" i="14" s="1"/>
  <c r="S32" i="14" a="1"/>
  <c r="S32" i="14" s="1"/>
  <c r="R32" i="14" a="1"/>
  <c r="R32" i="14" s="1"/>
  <c r="Q32" i="14" a="1"/>
  <c r="Q32" i="14" s="1"/>
  <c r="P32" i="14" a="1"/>
  <c r="P32" i="14" s="1"/>
  <c r="O32" i="14" a="1"/>
  <c r="O32" i="14" s="1"/>
  <c r="N32" i="14" a="1"/>
  <c r="N32" i="14" s="1"/>
  <c r="M32" i="14"/>
  <c r="M32" i="14" a="1"/>
  <c r="L32" i="14" a="1"/>
  <c r="L32" i="14" s="1"/>
  <c r="K32" i="14" a="1"/>
  <c r="K32" i="14" s="1"/>
  <c r="J32" i="14" a="1"/>
  <c r="J32" i="14" s="1"/>
  <c r="I32" i="14" a="1"/>
  <c r="I32" i="14" s="1"/>
  <c r="H32" i="14" a="1"/>
  <c r="H32" i="14" s="1"/>
  <c r="G32" i="14" a="1"/>
  <c r="G32" i="14" s="1"/>
  <c r="F32" i="14" a="1"/>
  <c r="F32" i="14" s="1"/>
  <c r="T31" i="14" a="1"/>
  <c r="T31" i="14" s="1"/>
  <c r="S31" i="14"/>
  <c r="S31" i="14" a="1"/>
  <c r="R31" i="14" a="1"/>
  <c r="R31" i="14" s="1"/>
  <c r="Q31" i="14" a="1"/>
  <c r="Q31" i="14" s="1"/>
  <c r="P31" i="14" a="1"/>
  <c r="P31" i="14" s="1"/>
  <c r="O31" i="14" a="1"/>
  <c r="O31" i="14" s="1"/>
  <c r="N31" i="14"/>
  <c r="N31" i="14" a="1"/>
  <c r="M31" i="14" a="1"/>
  <c r="M31" i="14" s="1"/>
  <c r="L31" i="14" a="1"/>
  <c r="L31" i="14" s="1"/>
  <c r="K31" i="14" a="1"/>
  <c r="K31" i="14" s="1"/>
  <c r="J31" i="14"/>
  <c r="J31" i="14" a="1"/>
  <c r="I31" i="14" a="1"/>
  <c r="I31" i="14" s="1"/>
  <c r="H31" i="14" a="1"/>
  <c r="H31" i="14" s="1"/>
  <c r="G31" i="14" a="1"/>
  <c r="G31" i="14" s="1"/>
  <c r="F31" i="14"/>
  <c r="F31" i="14" a="1"/>
  <c r="T30" i="14" a="1"/>
  <c r="T30" i="14" s="1"/>
  <c r="S30" i="14" a="1"/>
  <c r="S30" i="14" s="1"/>
  <c r="R30" i="14" a="1"/>
  <c r="R30" i="14" s="1"/>
  <c r="Q30" i="14" a="1"/>
  <c r="Q30" i="14" s="1"/>
  <c r="P30" i="14"/>
  <c r="P30" i="14" a="1"/>
  <c r="O30" i="14" a="1"/>
  <c r="O30" i="14" s="1"/>
  <c r="N30" i="14" a="1"/>
  <c r="N30" i="14" s="1"/>
  <c r="M30" i="14"/>
  <c r="M30" i="14" a="1"/>
  <c r="L30" i="14" a="1"/>
  <c r="L30" i="14" s="1"/>
  <c r="K30" i="14" a="1"/>
  <c r="K30" i="14" s="1"/>
  <c r="J30" i="14" a="1"/>
  <c r="J30" i="14" s="1"/>
  <c r="I30" i="14"/>
  <c r="I30" i="14" a="1"/>
  <c r="H30" i="14" a="1"/>
  <c r="H30" i="14" s="1"/>
  <c r="G30" i="14" a="1"/>
  <c r="G30" i="14" s="1"/>
  <c r="F30" i="14" a="1"/>
  <c r="F30" i="14" s="1"/>
  <c r="T29" i="14" a="1"/>
  <c r="T29" i="14" s="1"/>
  <c r="S29" i="14" a="1"/>
  <c r="S29" i="14" s="1"/>
  <c r="R29" i="14" a="1"/>
  <c r="R29" i="14" s="1"/>
  <c r="Q29" i="14" a="1"/>
  <c r="Q29" i="14" s="1"/>
  <c r="P29" i="14" a="1"/>
  <c r="P29" i="14" s="1"/>
  <c r="O29" i="14" a="1"/>
  <c r="O29" i="14" s="1"/>
  <c r="N29" i="14" a="1"/>
  <c r="N29" i="14" s="1"/>
  <c r="M29" i="14" a="1"/>
  <c r="M29" i="14" s="1"/>
  <c r="L29" i="14"/>
  <c r="L29" i="14" a="1"/>
  <c r="K29" i="14" a="1"/>
  <c r="K29" i="14" s="1"/>
  <c r="J29" i="14" a="1"/>
  <c r="J29" i="14" s="1"/>
  <c r="I29" i="14" a="1"/>
  <c r="I29" i="14" s="1"/>
  <c r="H29" i="14" a="1"/>
  <c r="H29" i="14" s="1"/>
  <c r="G29" i="14" a="1"/>
  <c r="G29" i="14" s="1"/>
  <c r="F29" i="14" a="1"/>
  <c r="F29" i="14" s="1"/>
  <c r="T28" i="14" a="1"/>
  <c r="T28" i="14" s="1"/>
  <c r="S28" i="14"/>
  <c r="S28" i="14" a="1"/>
  <c r="R28" i="14" a="1"/>
  <c r="R28" i="14" s="1"/>
  <c r="Q28" i="14" a="1"/>
  <c r="Q28" i="14" s="1"/>
  <c r="P28" i="14" a="1"/>
  <c r="P28" i="14" s="1"/>
  <c r="O28" i="14" a="1"/>
  <c r="O28" i="14" s="1"/>
  <c r="N28" i="14" a="1"/>
  <c r="N28" i="14" s="1"/>
  <c r="M28" i="14" a="1"/>
  <c r="M28" i="14" s="1"/>
  <c r="L28" i="14" a="1"/>
  <c r="L28" i="14" s="1"/>
  <c r="K28" i="14" a="1"/>
  <c r="K28" i="14" s="1"/>
  <c r="J28" i="14" a="1"/>
  <c r="J28" i="14" s="1"/>
  <c r="I28" i="14"/>
  <c r="I28" i="14" a="1"/>
  <c r="H28" i="14" a="1"/>
  <c r="H28" i="14" s="1"/>
  <c r="G28" i="14" a="1"/>
  <c r="G28" i="14" s="1"/>
  <c r="F28" i="14" a="1"/>
  <c r="F28" i="14" s="1"/>
  <c r="T27" i="14" a="1"/>
  <c r="T27" i="14" s="1"/>
  <c r="S27" i="14" a="1"/>
  <c r="S27" i="14" s="1"/>
  <c r="R27" i="14" a="1"/>
  <c r="R27" i="14" s="1"/>
  <c r="Q27" i="14" a="1"/>
  <c r="Q27" i="14" s="1"/>
  <c r="P27" i="14" a="1"/>
  <c r="P27" i="14" s="1"/>
  <c r="O27" i="14" a="1"/>
  <c r="O27" i="14" s="1"/>
  <c r="N27" i="14" a="1"/>
  <c r="N27" i="14" s="1"/>
  <c r="M27" i="14" a="1"/>
  <c r="M27" i="14" s="1"/>
  <c r="L27" i="14" a="1"/>
  <c r="L27" i="14" s="1"/>
  <c r="K27" i="14" a="1"/>
  <c r="K27" i="14" s="1"/>
  <c r="J27" i="14" a="1"/>
  <c r="J27" i="14" s="1"/>
  <c r="I27" i="14" a="1"/>
  <c r="I27" i="14" s="1"/>
  <c r="H27" i="14" a="1"/>
  <c r="H27" i="14" s="1"/>
  <c r="G27" i="14" a="1"/>
  <c r="G27" i="14" s="1"/>
  <c r="F27" i="14" a="1"/>
  <c r="F27" i="14" s="1"/>
  <c r="T26" i="14" a="1"/>
  <c r="T26" i="14" s="1"/>
  <c r="S26" i="14" a="1"/>
  <c r="S26" i="14" s="1"/>
  <c r="R26" i="14" a="1"/>
  <c r="R26" i="14" s="1"/>
  <c r="Q26" i="14"/>
  <c r="Q26" i="14" a="1"/>
  <c r="P26" i="14" a="1"/>
  <c r="P26" i="14" s="1"/>
  <c r="O26" i="14" a="1"/>
  <c r="O26" i="14" s="1"/>
  <c r="N26" i="14" a="1"/>
  <c r="N26" i="14" s="1"/>
  <c r="M26" i="14" a="1"/>
  <c r="M26" i="14" s="1"/>
  <c r="L26" i="14" a="1"/>
  <c r="L26" i="14" s="1"/>
  <c r="K26" i="14" a="1"/>
  <c r="K26" i="14" s="1"/>
  <c r="J26" i="14" a="1"/>
  <c r="J26" i="14" s="1"/>
  <c r="I26" i="14" a="1"/>
  <c r="I26" i="14" s="1"/>
  <c r="H26" i="14" a="1"/>
  <c r="H26" i="14" s="1"/>
  <c r="G26" i="14" a="1"/>
  <c r="G26" i="14" s="1"/>
  <c r="F26" i="14" a="1"/>
  <c r="F26" i="14" s="1"/>
  <c r="T25" i="14" a="1"/>
  <c r="T25" i="14" s="1"/>
  <c r="S25" i="14" a="1"/>
  <c r="S25" i="14" s="1"/>
  <c r="R25" i="14" a="1"/>
  <c r="R25" i="14" s="1"/>
  <c r="Q25" i="14" a="1"/>
  <c r="Q25" i="14" s="1"/>
  <c r="P25" i="14" a="1"/>
  <c r="P25" i="14" s="1"/>
  <c r="O25" i="14" a="1"/>
  <c r="O25" i="14" s="1"/>
  <c r="N25" i="14" a="1"/>
  <c r="N25" i="14" s="1"/>
  <c r="M25" i="14" a="1"/>
  <c r="M25" i="14" s="1"/>
  <c r="L25" i="14" a="1"/>
  <c r="L25" i="14" s="1"/>
  <c r="K25" i="14" a="1"/>
  <c r="K25" i="14" s="1"/>
  <c r="J25" i="14" a="1"/>
  <c r="J25" i="14" s="1"/>
  <c r="I25" i="14" a="1"/>
  <c r="I25" i="14" s="1"/>
  <c r="H25" i="14" a="1"/>
  <c r="H25" i="14" s="1"/>
  <c r="G25" i="14" a="1"/>
  <c r="G25" i="14" s="1"/>
  <c r="F25" i="14" a="1"/>
  <c r="F25" i="14" s="1"/>
  <c r="T24" i="14" a="1"/>
  <c r="T24" i="14" s="1"/>
  <c r="S24" i="14" a="1"/>
  <c r="S24" i="14" s="1"/>
  <c r="R24" i="14" a="1"/>
  <c r="R24" i="14" s="1"/>
  <c r="Q24" i="14" a="1"/>
  <c r="Q24" i="14" s="1"/>
  <c r="P24" i="14" a="1"/>
  <c r="P24" i="14" s="1"/>
  <c r="O24" i="14" a="1"/>
  <c r="O24" i="14" s="1"/>
  <c r="N24" i="14" a="1"/>
  <c r="N24" i="14" s="1"/>
  <c r="M24" i="14" a="1"/>
  <c r="M24" i="14" s="1"/>
  <c r="L24" i="14" a="1"/>
  <c r="L24" i="14" s="1"/>
  <c r="K24" i="14" a="1"/>
  <c r="K24" i="14" s="1"/>
  <c r="J24" i="14" a="1"/>
  <c r="J24" i="14" s="1"/>
  <c r="I24" i="14" a="1"/>
  <c r="I24" i="14" s="1"/>
  <c r="H24" i="14" a="1"/>
  <c r="H24" i="14" s="1"/>
  <c r="G24" i="14"/>
  <c r="G24" i="14" a="1"/>
  <c r="F24" i="14" a="1"/>
  <c r="F24" i="14" s="1"/>
  <c r="T23" i="14" a="1"/>
  <c r="T23" i="14" s="1"/>
  <c r="S23" i="14" a="1"/>
  <c r="S23" i="14" s="1"/>
  <c r="R23" i="14" a="1"/>
  <c r="R23" i="14" s="1"/>
  <c r="Q23" i="14" a="1"/>
  <c r="Q23" i="14" s="1"/>
  <c r="P23" i="14" a="1"/>
  <c r="P23" i="14" s="1"/>
  <c r="O23" i="14" a="1"/>
  <c r="O23" i="14" s="1"/>
  <c r="N23" i="14" a="1"/>
  <c r="N23" i="14" s="1"/>
  <c r="M23" i="14" a="1"/>
  <c r="M23" i="14" s="1"/>
  <c r="L23" i="14" a="1"/>
  <c r="L23" i="14" s="1"/>
  <c r="K23" i="14" a="1"/>
  <c r="K23" i="14" s="1"/>
  <c r="J23" i="14" a="1"/>
  <c r="J23" i="14" s="1"/>
  <c r="I23" i="14" a="1"/>
  <c r="I23" i="14" s="1"/>
  <c r="H23" i="14" a="1"/>
  <c r="H23" i="14" s="1"/>
  <c r="G23" i="14" a="1"/>
  <c r="G23" i="14" s="1"/>
  <c r="F23" i="14" a="1"/>
  <c r="F23" i="14" s="1"/>
  <c r="T22" i="14" a="1"/>
  <c r="T22" i="14" s="1"/>
  <c r="S22" i="14" a="1"/>
  <c r="S22" i="14" s="1"/>
  <c r="R22" i="14" a="1"/>
  <c r="R22" i="14" s="1"/>
  <c r="Q22" i="14"/>
  <c r="Q22" i="14" a="1"/>
  <c r="P22" i="14" a="1"/>
  <c r="P22" i="14" s="1"/>
  <c r="O22" i="14" a="1"/>
  <c r="O22" i="14" s="1"/>
  <c r="N22" i="14" a="1"/>
  <c r="N22" i="14" s="1"/>
  <c r="M22" i="14" a="1"/>
  <c r="M22" i="14" s="1"/>
  <c r="L22" i="14" a="1"/>
  <c r="L22" i="14" s="1"/>
  <c r="K22" i="14" a="1"/>
  <c r="K22" i="14" s="1"/>
  <c r="J22" i="14" a="1"/>
  <c r="J22" i="14" s="1"/>
  <c r="I22" i="14" a="1"/>
  <c r="I22" i="14" s="1"/>
  <c r="H22" i="14" a="1"/>
  <c r="H22" i="14" s="1"/>
  <c r="G22" i="14" a="1"/>
  <c r="G22" i="14" s="1"/>
  <c r="F22" i="14" a="1"/>
  <c r="F22" i="14" s="1"/>
  <c r="T21" i="14"/>
  <c r="T21" i="14" a="1"/>
  <c r="S21" i="14" a="1"/>
  <c r="S21" i="14" s="1"/>
  <c r="R21" i="14" a="1"/>
  <c r="R21" i="14" s="1"/>
  <c r="Q21" i="14" a="1"/>
  <c r="Q21" i="14" s="1"/>
  <c r="P21" i="14" a="1"/>
  <c r="P21" i="14" s="1"/>
  <c r="O21" i="14" a="1"/>
  <c r="O21" i="14" s="1"/>
  <c r="N21" i="14" a="1"/>
  <c r="N21" i="14" s="1"/>
  <c r="M21" i="14" a="1"/>
  <c r="M21" i="14" s="1"/>
  <c r="L21" i="14"/>
  <c r="L21" i="14" a="1"/>
  <c r="K21" i="14" a="1"/>
  <c r="K21" i="14" s="1"/>
  <c r="J21" i="14" a="1"/>
  <c r="J21" i="14" s="1"/>
  <c r="I21" i="14" a="1"/>
  <c r="I21" i="14" s="1"/>
  <c r="H21" i="14" a="1"/>
  <c r="H21" i="14" s="1"/>
  <c r="G21" i="14" a="1"/>
  <c r="G21" i="14" s="1"/>
  <c r="F21" i="14" a="1"/>
  <c r="F21" i="14" s="1"/>
  <c r="T20" i="14" a="1"/>
  <c r="T20" i="14" s="1"/>
  <c r="S20" i="14"/>
  <c r="S20" i="14" a="1"/>
  <c r="R20" i="14" a="1"/>
  <c r="R20" i="14" s="1"/>
  <c r="Q20" i="14" a="1"/>
  <c r="Q20" i="14" s="1"/>
  <c r="P20" i="14" a="1"/>
  <c r="P20" i="14" s="1"/>
  <c r="O20" i="14" a="1"/>
  <c r="O20" i="14" s="1"/>
  <c r="N20" i="14" a="1"/>
  <c r="N20" i="14" s="1"/>
  <c r="M20" i="14" a="1"/>
  <c r="M20" i="14" s="1"/>
  <c r="L20" i="14" a="1"/>
  <c r="L20" i="14" s="1"/>
  <c r="K20" i="14" a="1"/>
  <c r="K20" i="14" s="1"/>
  <c r="J20" i="14" a="1"/>
  <c r="J20" i="14" s="1"/>
  <c r="I20" i="14" a="1"/>
  <c r="I20" i="14" s="1"/>
  <c r="H20" i="14" a="1"/>
  <c r="H20" i="14" s="1"/>
  <c r="G20" i="14" a="1"/>
  <c r="G20" i="14" s="1"/>
  <c r="F20" i="14" a="1"/>
  <c r="F20" i="14" s="1"/>
  <c r="T19" i="14" a="1"/>
  <c r="T19" i="14" s="1"/>
  <c r="S19" i="14" a="1"/>
  <c r="S19" i="14" s="1"/>
  <c r="R19" i="14" a="1"/>
  <c r="R19" i="14" s="1"/>
  <c r="Q19" i="14" a="1"/>
  <c r="Q19" i="14" s="1"/>
  <c r="P19" i="14"/>
  <c r="P19" i="14" a="1"/>
  <c r="O19" i="14" a="1"/>
  <c r="O19" i="14" s="1"/>
  <c r="N19" i="14" a="1"/>
  <c r="N19" i="14" s="1"/>
  <c r="M19" i="14" a="1"/>
  <c r="M19" i="14" s="1"/>
  <c r="L19" i="14" a="1"/>
  <c r="L19" i="14" s="1"/>
  <c r="K19" i="14" a="1"/>
  <c r="K19" i="14" s="1"/>
  <c r="J19" i="14" a="1"/>
  <c r="J19" i="14" s="1"/>
  <c r="I19" i="14" a="1"/>
  <c r="I19" i="14" s="1"/>
  <c r="H19" i="14" a="1"/>
  <c r="H19" i="14" s="1"/>
  <c r="G19" i="14" a="1"/>
  <c r="G19" i="14" s="1"/>
  <c r="F19" i="14" a="1"/>
  <c r="F19" i="14" s="1"/>
  <c r="T18" i="14" a="1"/>
  <c r="T18" i="14" s="1"/>
  <c r="S18" i="14" a="1"/>
  <c r="S18" i="14" s="1"/>
  <c r="R18" i="14" a="1"/>
  <c r="R18" i="14" s="1"/>
  <c r="Q18" i="14" a="1"/>
  <c r="Q18" i="14" s="1"/>
  <c r="P18" i="14" a="1"/>
  <c r="P18" i="14" s="1"/>
  <c r="O18" i="14" a="1"/>
  <c r="O18" i="14" s="1"/>
  <c r="N18" i="14" a="1"/>
  <c r="N18" i="14" s="1"/>
  <c r="M18" i="14" a="1"/>
  <c r="M18" i="14" s="1"/>
  <c r="L18" i="14" a="1"/>
  <c r="L18" i="14" s="1"/>
  <c r="K18" i="14" a="1"/>
  <c r="K18" i="14" s="1"/>
  <c r="J18" i="14" a="1"/>
  <c r="J18" i="14" s="1"/>
  <c r="I18" i="14" a="1"/>
  <c r="I18" i="14" s="1"/>
  <c r="H18" i="14" a="1"/>
  <c r="H18" i="14" s="1"/>
  <c r="G18" i="14" a="1"/>
  <c r="G18" i="14" s="1"/>
  <c r="F18" i="14"/>
  <c r="F18" i="14" a="1"/>
  <c r="T17" i="14" a="1"/>
  <c r="T17" i="14" s="1"/>
  <c r="S17" i="14" a="1"/>
  <c r="S17" i="14" s="1"/>
  <c r="R17" i="14" a="1"/>
  <c r="R17" i="14" s="1"/>
  <c r="Q17" i="14" a="1"/>
  <c r="Q17" i="14" s="1"/>
  <c r="P17" i="14" a="1"/>
  <c r="P17" i="14" s="1"/>
  <c r="O17" i="14" a="1"/>
  <c r="O17" i="14" s="1"/>
  <c r="N17" i="14" a="1"/>
  <c r="N17" i="14" s="1"/>
  <c r="M17" i="14" a="1"/>
  <c r="M17" i="14" s="1"/>
  <c r="L17" i="14" a="1"/>
  <c r="L17" i="14" s="1"/>
  <c r="K17" i="14" a="1"/>
  <c r="K17" i="14" s="1"/>
  <c r="J17" i="14" a="1"/>
  <c r="J17" i="14" s="1"/>
  <c r="I17" i="14" a="1"/>
  <c r="I17" i="14" s="1"/>
  <c r="H17" i="14"/>
  <c r="H17" i="14" a="1"/>
  <c r="G17" i="14" a="1"/>
  <c r="G17" i="14" s="1"/>
  <c r="F17" i="14"/>
  <c r="F17" i="14" a="1"/>
  <c r="T16" i="14"/>
  <c r="T16" i="14" a="1"/>
  <c r="S16" i="14" a="1"/>
  <c r="S16" i="14" s="1"/>
  <c r="R16" i="14"/>
  <c r="R16" i="14" a="1"/>
  <c r="Q16" i="14" a="1"/>
  <c r="Q16" i="14" s="1"/>
  <c r="P16" i="14" a="1"/>
  <c r="P16" i="14" s="1"/>
  <c r="O16" i="14" a="1"/>
  <c r="O16" i="14" s="1"/>
  <c r="N16" i="14"/>
  <c r="N16" i="14" a="1"/>
  <c r="M16" i="14" a="1"/>
  <c r="M16" i="14" s="1"/>
  <c r="L16" i="14" a="1"/>
  <c r="L16" i="14" s="1"/>
  <c r="K16" i="14" a="1"/>
  <c r="K16" i="14" s="1"/>
  <c r="J16" i="14" a="1"/>
  <c r="J16" i="14" s="1"/>
  <c r="I16" i="14" a="1"/>
  <c r="I16" i="14" s="1"/>
  <c r="H16" i="14"/>
  <c r="H16" i="14" a="1"/>
  <c r="G16" i="14" a="1"/>
  <c r="G16" i="14" s="1"/>
  <c r="F16" i="14"/>
  <c r="F16" i="14" a="1"/>
  <c r="T15" i="14" a="1"/>
  <c r="T15" i="14" s="1"/>
  <c r="S15" i="14"/>
  <c r="S15" i="14" a="1"/>
  <c r="R15" i="14" a="1"/>
  <c r="R15" i="14" s="1"/>
  <c r="Q15" i="14" a="1"/>
  <c r="Q15" i="14" s="1"/>
  <c r="P15" i="14" a="1"/>
  <c r="P15" i="14" s="1"/>
  <c r="O15" i="14" a="1"/>
  <c r="O15" i="14" s="1"/>
  <c r="N15" i="14"/>
  <c r="N15" i="14" a="1"/>
  <c r="M15" i="14" a="1"/>
  <c r="M15" i="14" s="1"/>
  <c r="L15" i="14"/>
  <c r="L15" i="14" a="1"/>
  <c r="K15" i="14"/>
  <c r="K15" i="14" a="1"/>
  <c r="J15" i="14" a="1"/>
  <c r="J15" i="14" s="1"/>
  <c r="I15" i="14" a="1"/>
  <c r="I15" i="14" s="1"/>
  <c r="H15" i="14" a="1"/>
  <c r="H15" i="14" s="1"/>
  <c r="G15" i="14" a="1"/>
  <c r="G15" i="14" s="1"/>
  <c r="F15" i="14"/>
  <c r="F15" i="14" a="1"/>
  <c r="T14" i="14" a="1"/>
  <c r="T14" i="14" s="1"/>
  <c r="S14" i="14"/>
  <c r="S14" i="14" a="1"/>
  <c r="R14" i="14" a="1"/>
  <c r="R14" i="14" s="1"/>
  <c r="Q14" i="14" a="1"/>
  <c r="Q14" i="14" s="1"/>
  <c r="P14" i="14" a="1"/>
  <c r="P14" i="14" s="1"/>
  <c r="O14" i="14" a="1"/>
  <c r="O14" i="14" s="1"/>
  <c r="N14" i="14" a="1"/>
  <c r="N14" i="14" s="1"/>
  <c r="M14" i="14" a="1"/>
  <c r="M14" i="14" s="1"/>
  <c r="L14" i="14" a="1"/>
  <c r="L14" i="14" s="1"/>
  <c r="K14" i="14" a="1"/>
  <c r="K14" i="14" s="1"/>
  <c r="J14" i="14"/>
  <c r="J14" i="14" a="1"/>
  <c r="I14" i="14" a="1"/>
  <c r="I14" i="14" s="1"/>
  <c r="H14" i="14" a="1"/>
  <c r="H14" i="14" s="1"/>
  <c r="G14" i="14" a="1"/>
  <c r="G14" i="14" s="1"/>
  <c r="F14" i="14"/>
  <c r="F14" i="14" a="1"/>
  <c r="T13" i="14"/>
  <c r="T13" i="14" a="1"/>
  <c r="S13" i="14" a="1"/>
  <c r="S13" i="14" s="1"/>
  <c r="R13" i="14" a="1"/>
  <c r="R13" i="14" s="1"/>
  <c r="Q13" i="14" a="1"/>
  <c r="Q13" i="14" s="1"/>
  <c r="P13" i="14" a="1"/>
  <c r="P13" i="14" s="1"/>
  <c r="O13" i="14" a="1"/>
  <c r="O13" i="14" s="1"/>
  <c r="N13" i="14" a="1"/>
  <c r="N13" i="14" s="1"/>
  <c r="M13" i="14" a="1"/>
  <c r="M13" i="14" s="1"/>
  <c r="L13" i="14"/>
  <c r="L13" i="14" a="1"/>
  <c r="K13" i="14" a="1"/>
  <c r="K13" i="14" s="1"/>
  <c r="J13" i="14" a="1"/>
  <c r="J13" i="14" s="1"/>
  <c r="I13" i="14" a="1"/>
  <c r="I13" i="14" s="1"/>
  <c r="H13" i="14" a="1"/>
  <c r="H13" i="14" s="1"/>
  <c r="G13" i="14" a="1"/>
  <c r="G13" i="14" s="1"/>
  <c r="F13" i="14" a="1"/>
  <c r="F13" i="14" s="1"/>
  <c r="T12" i="14" a="1"/>
  <c r="T12" i="14" s="1"/>
  <c r="S12" i="14" a="1"/>
  <c r="S12" i="14" s="1"/>
  <c r="R12" i="14" a="1"/>
  <c r="R12" i="14" s="1"/>
  <c r="Q12" i="14"/>
  <c r="Q12" i="14" a="1"/>
  <c r="P12" i="14" a="1"/>
  <c r="P12" i="14" s="1"/>
  <c r="O12" i="14" a="1"/>
  <c r="O12" i="14" s="1"/>
  <c r="N12" i="14" a="1"/>
  <c r="N12" i="14" s="1"/>
  <c r="M12" i="14" a="1"/>
  <c r="M12" i="14" s="1"/>
  <c r="L12" i="14" a="1"/>
  <c r="L12" i="14" s="1"/>
  <c r="K12" i="14" a="1"/>
  <c r="K12" i="14" s="1"/>
  <c r="J12" i="14"/>
  <c r="J12" i="14" a="1"/>
  <c r="I12" i="14" a="1"/>
  <c r="I12" i="14" s="1"/>
  <c r="H12" i="14" a="1"/>
  <c r="H12" i="14" s="1"/>
  <c r="G12" i="14" a="1"/>
  <c r="G12" i="14" s="1"/>
  <c r="F12" i="14" a="1"/>
  <c r="F12" i="14" s="1"/>
  <c r="T11" i="14" a="1"/>
  <c r="T11" i="14" s="1"/>
  <c r="S11" i="14"/>
  <c r="S11" i="14" a="1"/>
  <c r="R11" i="14"/>
  <c r="R11" i="14" a="1"/>
  <c r="Q11" i="14" a="1"/>
  <c r="Q11" i="14" s="1"/>
  <c r="P11" i="14" a="1"/>
  <c r="P11" i="14" s="1"/>
  <c r="O11" i="14" a="1"/>
  <c r="O11" i="14" s="1"/>
  <c r="N11" i="14" a="1"/>
  <c r="N11" i="14" s="1"/>
  <c r="M11" i="14" a="1"/>
  <c r="M11" i="14" s="1"/>
  <c r="L11" i="14" a="1"/>
  <c r="L11" i="14" s="1"/>
  <c r="K11" i="14" a="1"/>
  <c r="K11" i="14" s="1"/>
  <c r="J11" i="14"/>
  <c r="J11" i="14" a="1"/>
  <c r="I11" i="14" a="1"/>
  <c r="I11" i="14" s="1"/>
  <c r="H11" i="14"/>
  <c r="H11" i="14" a="1"/>
  <c r="G11" i="14" a="1"/>
  <c r="G11" i="14" s="1"/>
  <c r="F11" i="14" a="1"/>
  <c r="F11" i="14" s="1"/>
  <c r="T10" i="14" a="1"/>
  <c r="T10" i="14" s="1"/>
  <c r="S10" i="14" a="1"/>
  <c r="S10" i="14" s="1"/>
  <c r="R10" i="14" a="1"/>
  <c r="R10" i="14" s="1"/>
  <c r="Q10" i="14"/>
  <c r="Q10" i="14" a="1"/>
  <c r="P10" i="14" a="1"/>
  <c r="P10" i="14" s="1"/>
  <c r="O10" i="14" a="1"/>
  <c r="O10" i="14" s="1"/>
  <c r="N10" i="14" a="1"/>
  <c r="N10" i="14" s="1"/>
  <c r="M10" i="14" a="1"/>
  <c r="M10" i="14" s="1"/>
  <c r="L10" i="14" a="1"/>
  <c r="L10" i="14" s="1"/>
  <c r="K10" i="14" a="1"/>
  <c r="K10" i="14" s="1"/>
  <c r="J10" i="14" a="1"/>
  <c r="J10" i="14" s="1"/>
  <c r="I10" i="14"/>
  <c r="I10" i="14" a="1"/>
  <c r="H10" i="14"/>
  <c r="H10" i="14" a="1"/>
  <c r="G10" i="14" a="1"/>
  <c r="G10" i="14" s="1"/>
  <c r="F10" i="14" a="1"/>
  <c r="F10" i="14" s="1"/>
  <c r="T9" i="14" a="1"/>
  <c r="T9" i="14" s="1"/>
  <c r="S9" i="14" a="1"/>
  <c r="S9" i="14" s="1"/>
  <c r="R9" i="14" a="1"/>
  <c r="R9" i="14" s="1"/>
  <c r="Q9" i="14" a="1"/>
  <c r="Q9" i="14" s="1"/>
  <c r="P9" i="14"/>
  <c r="P9" i="14" a="1"/>
  <c r="O9" i="14"/>
  <c r="O9" i="14" a="1"/>
  <c r="N9" i="14" a="1"/>
  <c r="N9" i="14" s="1"/>
  <c r="M9" i="14" a="1"/>
  <c r="M9" i="14" s="1"/>
  <c r="L9" i="14" a="1"/>
  <c r="L9" i="14" s="1"/>
  <c r="K9" i="14" a="1"/>
  <c r="K9" i="14" s="1"/>
  <c r="J9" i="14" a="1"/>
  <c r="J9" i="14" s="1"/>
  <c r="I9" i="14" a="1"/>
  <c r="I9" i="14" s="1"/>
  <c r="H9" i="14" a="1"/>
  <c r="H9" i="14" s="1"/>
  <c r="G9" i="14" a="1"/>
  <c r="G9" i="14" s="1"/>
  <c r="F9" i="14"/>
  <c r="F9" i="14" a="1"/>
  <c r="T8" i="14" a="1"/>
  <c r="T8" i="14" s="1"/>
  <c r="S8" i="14" a="1"/>
  <c r="S8" i="14" s="1"/>
  <c r="R8" i="14" a="1"/>
  <c r="R8" i="14" s="1"/>
  <c r="Q8" i="14" a="1"/>
  <c r="Q8" i="14" s="1"/>
  <c r="P8" i="14" a="1"/>
  <c r="P8" i="14" s="1"/>
  <c r="O8" i="14" a="1"/>
  <c r="O8" i="14" s="1"/>
  <c r="N8" i="14" a="1"/>
  <c r="N8" i="14" s="1"/>
  <c r="M8" i="14" a="1"/>
  <c r="M8" i="14" s="1"/>
  <c r="L8" i="14" a="1"/>
  <c r="L8" i="14" s="1"/>
  <c r="K8" i="14" a="1"/>
  <c r="K8" i="14" s="1"/>
  <c r="J8" i="14" a="1"/>
  <c r="J8" i="14" s="1"/>
  <c r="I8" i="14" a="1"/>
  <c r="I8" i="14" s="1"/>
  <c r="H8" i="14" a="1"/>
  <c r="H8" i="14" s="1"/>
  <c r="G8" i="14"/>
  <c r="G8" i="14" a="1"/>
  <c r="F8" i="14"/>
  <c r="F8" i="14" a="1"/>
  <c r="T7" i="14" a="1"/>
  <c r="T7" i="14" s="1"/>
  <c r="S7" i="14" a="1"/>
  <c r="S7" i="14" s="1"/>
  <c r="R7" i="14" a="1"/>
  <c r="R7" i="14" s="1"/>
  <c r="Q7" i="14" a="1"/>
  <c r="Q7" i="14" s="1"/>
  <c r="P7" i="14" a="1"/>
  <c r="P7" i="14" s="1"/>
  <c r="O7" i="14" a="1"/>
  <c r="O7" i="14" s="1"/>
  <c r="N7" i="14"/>
  <c r="N7" i="14" a="1"/>
  <c r="M7" i="14" a="1"/>
  <c r="M7" i="14" s="1"/>
  <c r="L7" i="14"/>
  <c r="L7" i="14" a="1"/>
  <c r="K7" i="14" a="1"/>
  <c r="K7" i="14" s="1"/>
  <c r="J7" i="14" a="1"/>
  <c r="J7" i="14" s="1"/>
  <c r="I7" i="14" a="1"/>
  <c r="I7" i="14" s="1"/>
  <c r="H7" i="14" a="1"/>
  <c r="H7" i="14" s="1"/>
  <c r="G7" i="14" a="1"/>
  <c r="G7" i="14" s="1"/>
  <c r="F7" i="14" a="1"/>
  <c r="F7" i="14" s="1"/>
  <c r="T6" i="14" a="1"/>
  <c r="T6" i="14" s="1"/>
  <c r="S6" i="14" a="1"/>
  <c r="S6" i="14" s="1"/>
  <c r="R6" i="14" a="1"/>
  <c r="R6" i="14" s="1"/>
  <c r="Q6" i="14" a="1"/>
  <c r="Q6" i="14" s="1"/>
  <c r="P6" i="14" a="1"/>
  <c r="P6" i="14" s="1"/>
  <c r="O6" i="14" a="1"/>
  <c r="O6" i="14" s="1"/>
  <c r="N6" i="14"/>
  <c r="N6" i="14" a="1"/>
  <c r="M6" i="14"/>
  <c r="M6" i="14" a="1"/>
  <c r="L6" i="14" a="1"/>
  <c r="L6" i="14" s="1"/>
  <c r="K6" i="14" a="1"/>
  <c r="K6" i="14" s="1"/>
  <c r="J6" i="14" a="1"/>
  <c r="J6" i="14" s="1"/>
  <c r="I6" i="14" a="1"/>
  <c r="I6" i="14" s="1"/>
  <c r="H6" i="14" a="1"/>
  <c r="H6" i="14" s="1"/>
  <c r="G6" i="14" a="1"/>
  <c r="G6" i="14" s="1"/>
  <c r="F6" i="14" a="1"/>
  <c r="F6" i="14" s="1"/>
  <c r="F1" i="14"/>
  <c r="T330" i="13" a="1"/>
  <c r="T330" i="13" s="1"/>
  <c r="S330" i="13" a="1"/>
  <c r="S330" i="13" s="1"/>
  <c r="R330" i="13" a="1"/>
  <c r="R330" i="13" s="1"/>
  <c r="Q330" i="13" a="1"/>
  <c r="Q330" i="13" s="1"/>
  <c r="P330" i="13" a="1"/>
  <c r="P330" i="13" s="1"/>
  <c r="O330" i="13" a="1"/>
  <c r="O330" i="13" s="1"/>
  <c r="N330" i="13" a="1"/>
  <c r="N330" i="13" s="1"/>
  <c r="M330" i="13" a="1"/>
  <c r="M330" i="13" s="1"/>
  <c r="L330" i="13" a="1"/>
  <c r="L330" i="13" s="1"/>
  <c r="K330" i="13" a="1"/>
  <c r="K330" i="13" s="1"/>
  <c r="J330" i="13" a="1"/>
  <c r="J330" i="13" s="1"/>
  <c r="I330" i="13" a="1"/>
  <c r="I330" i="13" s="1"/>
  <c r="H330" i="13" a="1"/>
  <c r="H330" i="13" s="1"/>
  <c r="G330" i="13" a="1"/>
  <c r="G330" i="13" s="1"/>
  <c r="F330" i="13" a="1"/>
  <c r="F330" i="13" s="1"/>
  <c r="T329" i="13" a="1"/>
  <c r="T329" i="13" s="1"/>
  <c r="S329" i="13" a="1"/>
  <c r="S329" i="13" s="1"/>
  <c r="R329" i="13"/>
  <c r="R329" i="13" a="1"/>
  <c r="Q329" i="13" a="1"/>
  <c r="Q329" i="13" s="1"/>
  <c r="P329" i="13" a="1"/>
  <c r="P329" i="13" s="1"/>
  <c r="O329" i="13" a="1"/>
  <c r="O329" i="13" s="1"/>
  <c r="N329" i="13" a="1"/>
  <c r="N329" i="13" s="1"/>
  <c r="M329" i="13" a="1"/>
  <c r="M329" i="13" s="1"/>
  <c r="L329" i="13" a="1"/>
  <c r="L329" i="13" s="1"/>
  <c r="K329" i="13" a="1"/>
  <c r="K329" i="13" s="1"/>
  <c r="J329" i="13" a="1"/>
  <c r="J329" i="13" s="1"/>
  <c r="I329" i="13" a="1"/>
  <c r="I329" i="13" s="1"/>
  <c r="H329" i="13" a="1"/>
  <c r="H329" i="13" s="1"/>
  <c r="G329" i="13" a="1"/>
  <c r="G329" i="13" s="1"/>
  <c r="F329" i="13" a="1"/>
  <c r="F329" i="13" s="1"/>
  <c r="T328" i="13" a="1"/>
  <c r="T328" i="13" s="1"/>
  <c r="S328" i="13" a="1"/>
  <c r="S328" i="13" s="1"/>
  <c r="R328" i="13" a="1"/>
  <c r="R328" i="13" s="1"/>
  <c r="Q328" i="13" a="1"/>
  <c r="Q328" i="13" s="1"/>
  <c r="P328" i="13" a="1"/>
  <c r="P328" i="13" s="1"/>
  <c r="O328" i="13" a="1"/>
  <c r="O328" i="13" s="1"/>
  <c r="N328" i="13" a="1"/>
  <c r="N328" i="13" s="1"/>
  <c r="M328" i="13" a="1"/>
  <c r="M328" i="13" s="1"/>
  <c r="L328" i="13" a="1"/>
  <c r="L328" i="13" s="1"/>
  <c r="K328" i="13" a="1"/>
  <c r="K328" i="13" s="1"/>
  <c r="J328" i="13" a="1"/>
  <c r="J328" i="13" s="1"/>
  <c r="I328" i="13" a="1"/>
  <c r="I328" i="13" s="1"/>
  <c r="H328" i="13" a="1"/>
  <c r="H328" i="13" s="1"/>
  <c r="G328" i="13" a="1"/>
  <c r="G328" i="13" s="1"/>
  <c r="F328" i="13" a="1"/>
  <c r="F328" i="13" s="1"/>
  <c r="T327" i="13" a="1"/>
  <c r="T327" i="13" s="1"/>
  <c r="S327" i="13" a="1"/>
  <c r="S327" i="13" s="1"/>
  <c r="R327" i="13" a="1"/>
  <c r="R327" i="13" s="1"/>
  <c r="Q327" i="13" a="1"/>
  <c r="Q327" i="13" s="1"/>
  <c r="P327" i="13" a="1"/>
  <c r="P327" i="13" s="1"/>
  <c r="O327" i="13" a="1"/>
  <c r="O327" i="13" s="1"/>
  <c r="N327" i="13" a="1"/>
  <c r="N327" i="13" s="1"/>
  <c r="M327" i="13" a="1"/>
  <c r="M327" i="13" s="1"/>
  <c r="L327" i="13" a="1"/>
  <c r="L327" i="13" s="1"/>
  <c r="K327" i="13" a="1"/>
  <c r="K327" i="13" s="1"/>
  <c r="J327" i="13" a="1"/>
  <c r="J327" i="13" s="1"/>
  <c r="I327" i="13" a="1"/>
  <c r="I327" i="13" s="1"/>
  <c r="H327" i="13" a="1"/>
  <c r="H327" i="13" s="1"/>
  <c r="G327" i="13" a="1"/>
  <c r="G327" i="13" s="1"/>
  <c r="F327" i="13"/>
  <c r="F327" i="13" a="1"/>
  <c r="T326" i="13" a="1"/>
  <c r="T326" i="13" s="1"/>
  <c r="S326" i="13" a="1"/>
  <c r="S326" i="13" s="1"/>
  <c r="R326" i="13" a="1"/>
  <c r="R326" i="13" s="1"/>
  <c r="Q326" i="13" a="1"/>
  <c r="Q326" i="13" s="1"/>
  <c r="P326" i="13" a="1"/>
  <c r="P326" i="13" s="1"/>
  <c r="O326" i="13" a="1"/>
  <c r="O326" i="13" s="1"/>
  <c r="N326" i="13" a="1"/>
  <c r="N326" i="13" s="1"/>
  <c r="M326" i="13" a="1"/>
  <c r="M326" i="13" s="1"/>
  <c r="L326" i="13" a="1"/>
  <c r="L326" i="13" s="1"/>
  <c r="K326" i="13" a="1"/>
  <c r="K326" i="13" s="1"/>
  <c r="J326" i="13" a="1"/>
  <c r="J326" i="13" s="1"/>
  <c r="I326" i="13" a="1"/>
  <c r="I326" i="13" s="1"/>
  <c r="H326" i="13" a="1"/>
  <c r="H326" i="13" s="1"/>
  <c r="G326" i="13" a="1"/>
  <c r="G326" i="13" s="1"/>
  <c r="F326" i="13" a="1"/>
  <c r="F326" i="13" s="1"/>
  <c r="T325" i="13" a="1"/>
  <c r="T325" i="13" s="1"/>
  <c r="S325" i="13" a="1"/>
  <c r="S325" i="13" s="1"/>
  <c r="R325" i="13" a="1"/>
  <c r="R325" i="13" s="1"/>
  <c r="Q325" i="13" a="1"/>
  <c r="Q325" i="13" s="1"/>
  <c r="P325" i="13"/>
  <c r="P325" i="13" a="1"/>
  <c r="O325" i="13" a="1"/>
  <c r="O325" i="13" s="1"/>
  <c r="N325" i="13" a="1"/>
  <c r="N325" i="13" s="1"/>
  <c r="M325" i="13" a="1"/>
  <c r="M325" i="13" s="1"/>
  <c r="L325" i="13" a="1"/>
  <c r="L325" i="13" s="1"/>
  <c r="K325" i="13" a="1"/>
  <c r="K325" i="13" s="1"/>
  <c r="J325" i="13" a="1"/>
  <c r="J325" i="13" s="1"/>
  <c r="I325" i="13" a="1"/>
  <c r="I325" i="13" s="1"/>
  <c r="H325" i="13" a="1"/>
  <c r="H325" i="13" s="1"/>
  <c r="G325" i="13" a="1"/>
  <c r="G325" i="13" s="1"/>
  <c r="F325" i="13"/>
  <c r="F325" i="13" a="1"/>
  <c r="T324" i="13" a="1"/>
  <c r="T324" i="13" s="1"/>
  <c r="S324" i="13" a="1"/>
  <c r="S324" i="13" s="1"/>
  <c r="R324" i="13" a="1"/>
  <c r="R324" i="13" s="1"/>
  <c r="Q324" i="13" a="1"/>
  <c r="Q324" i="13" s="1"/>
  <c r="P324" i="13" a="1"/>
  <c r="P324" i="13" s="1"/>
  <c r="O324" i="13"/>
  <c r="O324" i="13" a="1"/>
  <c r="N324" i="13" a="1"/>
  <c r="N324" i="13" s="1"/>
  <c r="M324" i="13"/>
  <c r="M324" i="13" a="1"/>
  <c r="L324" i="13" a="1"/>
  <c r="L324" i="13" s="1"/>
  <c r="K324" i="13" a="1"/>
  <c r="K324" i="13" s="1"/>
  <c r="J324" i="13" a="1"/>
  <c r="J324" i="13" s="1"/>
  <c r="I324" i="13" a="1"/>
  <c r="I324" i="13" s="1"/>
  <c r="H324" i="13" a="1"/>
  <c r="H324" i="13" s="1"/>
  <c r="G324" i="13" a="1"/>
  <c r="G324" i="13" s="1"/>
  <c r="F324" i="13" a="1"/>
  <c r="F324" i="13" s="1"/>
  <c r="T323" i="13" a="1"/>
  <c r="T323" i="13" s="1"/>
  <c r="S323" i="13" a="1"/>
  <c r="S323" i="13" s="1"/>
  <c r="R323" i="13" a="1"/>
  <c r="R323" i="13" s="1"/>
  <c r="Q323" i="13" a="1"/>
  <c r="Q323" i="13" s="1"/>
  <c r="P323" i="13" a="1"/>
  <c r="P323" i="13" s="1"/>
  <c r="O323" i="13" a="1"/>
  <c r="O323" i="13" s="1"/>
  <c r="N323" i="13" a="1"/>
  <c r="N323" i="13" s="1"/>
  <c r="M323" i="13" a="1"/>
  <c r="M323" i="13" s="1"/>
  <c r="L323" i="13" a="1"/>
  <c r="L323" i="13" s="1"/>
  <c r="K323" i="13" a="1"/>
  <c r="K323" i="13" s="1"/>
  <c r="J323" i="13" a="1"/>
  <c r="J323" i="13" s="1"/>
  <c r="I323" i="13" a="1"/>
  <c r="I323" i="13" s="1"/>
  <c r="H323" i="13" a="1"/>
  <c r="H323" i="13" s="1"/>
  <c r="G323" i="13" a="1"/>
  <c r="G323" i="13" s="1"/>
  <c r="F323" i="13" a="1"/>
  <c r="F323" i="13" s="1"/>
  <c r="T322" i="13" a="1"/>
  <c r="T322" i="13" s="1"/>
  <c r="S322" i="13"/>
  <c r="S322" i="13" a="1"/>
  <c r="R322" i="13" a="1"/>
  <c r="R322" i="13" s="1"/>
  <c r="Q322" i="13" a="1"/>
  <c r="Q322" i="13" s="1"/>
  <c r="P322" i="13" a="1"/>
  <c r="P322" i="13" s="1"/>
  <c r="O322" i="13" a="1"/>
  <c r="O322" i="13" s="1"/>
  <c r="N322" i="13" a="1"/>
  <c r="N322" i="13" s="1"/>
  <c r="M322" i="13" a="1"/>
  <c r="M322" i="13" s="1"/>
  <c r="L322" i="13" a="1"/>
  <c r="L322" i="13" s="1"/>
  <c r="K322" i="13" a="1"/>
  <c r="K322" i="13" s="1"/>
  <c r="J322" i="13" a="1"/>
  <c r="J322" i="13" s="1"/>
  <c r="I322" i="13" a="1"/>
  <c r="I322" i="13" s="1"/>
  <c r="H322" i="13"/>
  <c r="H322" i="13" a="1"/>
  <c r="G322" i="13" a="1"/>
  <c r="G322" i="13" s="1"/>
  <c r="F322" i="13" a="1"/>
  <c r="F322" i="13" s="1"/>
  <c r="T321" i="13" a="1"/>
  <c r="T321" i="13" s="1"/>
  <c r="S321" i="13" a="1"/>
  <c r="S321" i="13" s="1"/>
  <c r="R321" i="13"/>
  <c r="R321" i="13" a="1"/>
  <c r="Q321" i="13" a="1"/>
  <c r="Q321" i="13" s="1"/>
  <c r="P321" i="13" a="1"/>
  <c r="P321" i="13" s="1"/>
  <c r="O321" i="13" a="1"/>
  <c r="O321" i="13" s="1"/>
  <c r="N321" i="13" a="1"/>
  <c r="N321" i="13" s="1"/>
  <c r="M321" i="13" a="1"/>
  <c r="M321" i="13" s="1"/>
  <c r="L321" i="13" a="1"/>
  <c r="L321" i="13" s="1"/>
  <c r="K321" i="13" a="1"/>
  <c r="K321" i="13" s="1"/>
  <c r="J321" i="13" a="1"/>
  <c r="J321" i="13" s="1"/>
  <c r="I321" i="13" a="1"/>
  <c r="I321" i="13" s="1"/>
  <c r="H321" i="13" a="1"/>
  <c r="H321" i="13" s="1"/>
  <c r="G321" i="13" a="1"/>
  <c r="G321" i="13" s="1"/>
  <c r="F321" i="13" a="1"/>
  <c r="F321" i="13" s="1"/>
  <c r="T320" i="13" a="1"/>
  <c r="T320" i="13" s="1"/>
  <c r="S320" i="13" a="1"/>
  <c r="S320" i="13" s="1"/>
  <c r="R320" i="13" a="1"/>
  <c r="R320" i="13" s="1"/>
  <c r="Q320" i="13" a="1"/>
  <c r="Q320" i="13" s="1"/>
  <c r="P320" i="13" a="1"/>
  <c r="P320" i="13" s="1"/>
  <c r="O320" i="13" a="1"/>
  <c r="O320" i="13" s="1"/>
  <c r="N320" i="13" a="1"/>
  <c r="N320" i="13" s="1"/>
  <c r="M320" i="13" a="1"/>
  <c r="M320" i="13" s="1"/>
  <c r="L320" i="13" a="1"/>
  <c r="L320" i="13" s="1"/>
  <c r="K320" i="13" a="1"/>
  <c r="K320" i="13" s="1"/>
  <c r="J320" i="13" a="1"/>
  <c r="J320" i="13" s="1"/>
  <c r="I320" i="13"/>
  <c r="I320" i="13" a="1"/>
  <c r="H320" i="13" a="1"/>
  <c r="H320" i="13" s="1"/>
  <c r="G320" i="13" a="1"/>
  <c r="G320" i="13" s="1"/>
  <c r="F320" i="13" a="1"/>
  <c r="F320" i="13" s="1"/>
  <c r="T319" i="13" a="1"/>
  <c r="T319" i="13" s="1"/>
  <c r="S319" i="13" a="1"/>
  <c r="S319" i="13" s="1"/>
  <c r="R319" i="13" a="1"/>
  <c r="R319" i="13" s="1"/>
  <c r="Q319" i="13" a="1"/>
  <c r="Q319" i="13" s="1"/>
  <c r="P319" i="13"/>
  <c r="P319" i="13" a="1"/>
  <c r="O319" i="13" a="1"/>
  <c r="O319" i="13" s="1"/>
  <c r="N319" i="13" a="1"/>
  <c r="N319" i="13" s="1"/>
  <c r="M319" i="13" a="1"/>
  <c r="M319" i="13" s="1"/>
  <c r="L319" i="13" a="1"/>
  <c r="L319" i="13" s="1"/>
  <c r="K319" i="13" a="1"/>
  <c r="K319" i="13" s="1"/>
  <c r="J319" i="13" a="1"/>
  <c r="J319" i="13" s="1"/>
  <c r="I319" i="13" a="1"/>
  <c r="I319" i="13" s="1"/>
  <c r="H319" i="13" a="1"/>
  <c r="H319" i="13" s="1"/>
  <c r="G319" i="13" a="1"/>
  <c r="G319" i="13" s="1"/>
  <c r="F319" i="13" a="1"/>
  <c r="F319" i="13" s="1"/>
  <c r="T318" i="13" a="1"/>
  <c r="T318" i="13" s="1"/>
  <c r="S318" i="13" a="1"/>
  <c r="S318" i="13" s="1"/>
  <c r="R318" i="13" a="1"/>
  <c r="R318" i="13" s="1"/>
  <c r="Q318" i="13" a="1"/>
  <c r="Q318" i="13" s="1"/>
  <c r="P318" i="13" a="1"/>
  <c r="P318" i="13" s="1"/>
  <c r="O318" i="13" a="1"/>
  <c r="O318" i="13" s="1"/>
  <c r="N318" i="13" a="1"/>
  <c r="N318" i="13" s="1"/>
  <c r="M318" i="13" a="1"/>
  <c r="M318" i="13" s="1"/>
  <c r="L318" i="13"/>
  <c r="L318" i="13" a="1"/>
  <c r="K318" i="13" a="1"/>
  <c r="K318" i="13" s="1"/>
  <c r="J318" i="13"/>
  <c r="J318" i="13" a="1"/>
  <c r="I318" i="13"/>
  <c r="I318" i="13" a="1"/>
  <c r="H318" i="13" a="1"/>
  <c r="H318" i="13" s="1"/>
  <c r="G318" i="13" a="1"/>
  <c r="G318" i="13" s="1"/>
  <c r="F318" i="13" a="1"/>
  <c r="F318" i="13" s="1"/>
  <c r="T317" i="13" a="1"/>
  <c r="T317" i="13" s="1"/>
  <c r="S317" i="13" a="1"/>
  <c r="S317" i="13" s="1"/>
  <c r="R317" i="13" a="1"/>
  <c r="R317" i="13" s="1"/>
  <c r="Q317" i="13" a="1"/>
  <c r="Q317" i="13" s="1"/>
  <c r="P317" i="13" a="1"/>
  <c r="P317" i="13" s="1"/>
  <c r="O317" i="13" a="1"/>
  <c r="O317" i="13" s="1"/>
  <c r="N317" i="13" a="1"/>
  <c r="N317" i="13" s="1"/>
  <c r="M317" i="13" a="1"/>
  <c r="M317" i="13" s="1"/>
  <c r="L317" i="13" a="1"/>
  <c r="L317" i="13" s="1"/>
  <c r="K317" i="13" a="1"/>
  <c r="K317" i="13" s="1"/>
  <c r="J317" i="13" a="1"/>
  <c r="J317" i="13" s="1"/>
  <c r="I317" i="13" a="1"/>
  <c r="I317" i="13" s="1"/>
  <c r="H317" i="13" a="1"/>
  <c r="H317" i="13" s="1"/>
  <c r="G317" i="13" a="1"/>
  <c r="G317" i="13" s="1"/>
  <c r="F317" i="13"/>
  <c r="F317" i="13" a="1"/>
  <c r="T316" i="13" a="1"/>
  <c r="T316" i="13" s="1"/>
  <c r="S316" i="13" a="1"/>
  <c r="S316" i="13" s="1"/>
  <c r="R316" i="13" a="1"/>
  <c r="R316" i="13" s="1"/>
  <c r="Q316" i="13" a="1"/>
  <c r="Q316" i="13" s="1"/>
  <c r="P316" i="13"/>
  <c r="P316" i="13" a="1"/>
  <c r="O316" i="13" a="1"/>
  <c r="O316" i="13" s="1"/>
  <c r="N316" i="13" a="1"/>
  <c r="N316" i="13" s="1"/>
  <c r="M316" i="13" a="1"/>
  <c r="M316" i="13" s="1"/>
  <c r="L316" i="13" a="1"/>
  <c r="L316" i="13" s="1"/>
  <c r="K316" i="13" a="1"/>
  <c r="K316" i="13" s="1"/>
  <c r="J316" i="13" a="1"/>
  <c r="J316" i="13" s="1"/>
  <c r="I316" i="13" a="1"/>
  <c r="I316" i="13" s="1"/>
  <c r="H316" i="13" a="1"/>
  <c r="H316" i="13" s="1"/>
  <c r="G316" i="13" a="1"/>
  <c r="G316" i="13" s="1"/>
  <c r="F316" i="13" a="1"/>
  <c r="F316" i="13" s="1"/>
  <c r="T315" i="13" a="1"/>
  <c r="T315" i="13" s="1"/>
  <c r="S315" i="13" a="1"/>
  <c r="S315" i="13" s="1"/>
  <c r="R315" i="13"/>
  <c r="R315" i="13" a="1"/>
  <c r="Q315" i="13" a="1"/>
  <c r="Q315" i="13" s="1"/>
  <c r="P315" i="13" a="1"/>
  <c r="P315" i="13" s="1"/>
  <c r="O315" i="13" a="1"/>
  <c r="O315" i="13" s="1"/>
  <c r="N315" i="13" a="1"/>
  <c r="N315" i="13" s="1"/>
  <c r="M315" i="13" a="1"/>
  <c r="M315" i="13" s="1"/>
  <c r="L315" i="13" a="1"/>
  <c r="L315" i="13" s="1"/>
  <c r="K315" i="13" a="1"/>
  <c r="K315" i="13" s="1"/>
  <c r="J315" i="13"/>
  <c r="J315" i="13" a="1"/>
  <c r="I315" i="13" a="1"/>
  <c r="I315" i="13" s="1"/>
  <c r="H315" i="13" a="1"/>
  <c r="H315" i="13" s="1"/>
  <c r="G315" i="13" a="1"/>
  <c r="G315" i="13" s="1"/>
  <c r="F315" i="13" a="1"/>
  <c r="F315" i="13" s="1"/>
  <c r="T314" i="13" a="1"/>
  <c r="T314" i="13" s="1"/>
  <c r="S314" i="13" a="1"/>
  <c r="S314" i="13" s="1"/>
  <c r="R314" i="13" a="1"/>
  <c r="R314" i="13" s="1"/>
  <c r="Q314" i="13" a="1"/>
  <c r="Q314" i="13" s="1"/>
  <c r="P314" i="13" a="1"/>
  <c r="P314" i="13" s="1"/>
  <c r="O314" i="13" a="1"/>
  <c r="O314" i="13" s="1"/>
  <c r="N314" i="13"/>
  <c r="N314" i="13" a="1"/>
  <c r="M314" i="13" a="1"/>
  <c r="M314" i="13" s="1"/>
  <c r="L314" i="13" a="1"/>
  <c r="L314" i="13" s="1"/>
  <c r="K314" i="13" a="1"/>
  <c r="K314" i="13" s="1"/>
  <c r="J314" i="13" a="1"/>
  <c r="J314" i="13" s="1"/>
  <c r="I314" i="13" a="1"/>
  <c r="I314" i="13" s="1"/>
  <c r="H314" i="13" a="1"/>
  <c r="H314" i="13" s="1"/>
  <c r="G314" i="13" a="1"/>
  <c r="G314" i="13" s="1"/>
  <c r="F314" i="13" a="1"/>
  <c r="F314" i="13" s="1"/>
  <c r="T313" i="13"/>
  <c r="T313" i="13" a="1"/>
  <c r="S313" i="13" a="1"/>
  <c r="S313" i="13" s="1"/>
  <c r="R313" i="13" a="1"/>
  <c r="R313" i="13" s="1"/>
  <c r="Q313" i="13" a="1"/>
  <c r="Q313" i="13" s="1"/>
  <c r="P313" i="13" a="1"/>
  <c r="P313" i="13" s="1"/>
  <c r="O313" i="13" a="1"/>
  <c r="O313" i="13" s="1"/>
  <c r="N313" i="13" a="1"/>
  <c r="N313" i="13" s="1"/>
  <c r="M313" i="13" a="1"/>
  <c r="M313" i="13" s="1"/>
  <c r="L313" i="13" a="1"/>
  <c r="L313" i="13" s="1"/>
  <c r="K313" i="13" a="1"/>
  <c r="K313" i="13" s="1"/>
  <c r="J313" i="13"/>
  <c r="J313" i="13" a="1"/>
  <c r="I313" i="13" a="1"/>
  <c r="I313" i="13" s="1"/>
  <c r="H313" i="13" a="1"/>
  <c r="H313" i="13" s="1"/>
  <c r="G313" i="13" a="1"/>
  <c r="G313" i="13" s="1"/>
  <c r="F313" i="13" a="1"/>
  <c r="F313" i="13" s="1"/>
  <c r="T312" i="13" a="1"/>
  <c r="T312" i="13" s="1"/>
  <c r="S312" i="13"/>
  <c r="S312" i="13" a="1"/>
  <c r="R312" i="13" a="1"/>
  <c r="R312" i="13" s="1"/>
  <c r="Q312" i="13" a="1"/>
  <c r="Q312" i="13" s="1"/>
  <c r="P312" i="13" a="1"/>
  <c r="P312" i="13" s="1"/>
  <c r="O312" i="13" a="1"/>
  <c r="O312" i="13" s="1"/>
  <c r="N312" i="13" a="1"/>
  <c r="N312" i="13" s="1"/>
  <c r="M312" i="13" a="1"/>
  <c r="M312" i="13" s="1"/>
  <c r="L312" i="13" a="1"/>
  <c r="L312" i="13" s="1"/>
  <c r="K312" i="13"/>
  <c r="K312" i="13" a="1"/>
  <c r="J312" i="13" a="1"/>
  <c r="J312" i="13" s="1"/>
  <c r="I312" i="13" a="1"/>
  <c r="I312" i="13" s="1"/>
  <c r="H312" i="13" a="1"/>
  <c r="H312" i="13" s="1"/>
  <c r="G312" i="13" a="1"/>
  <c r="G312" i="13" s="1"/>
  <c r="F312" i="13" a="1"/>
  <c r="F312" i="13" s="1"/>
  <c r="T311" i="13" a="1"/>
  <c r="T311" i="13" s="1"/>
  <c r="S311" i="13" a="1"/>
  <c r="S311" i="13" s="1"/>
  <c r="R311" i="13" a="1"/>
  <c r="R311" i="13" s="1"/>
  <c r="Q311" i="13" a="1"/>
  <c r="Q311" i="13" s="1"/>
  <c r="P311" i="13" a="1"/>
  <c r="P311" i="13" s="1"/>
  <c r="O311" i="13" a="1"/>
  <c r="O311" i="13" s="1"/>
  <c r="N311" i="13" a="1"/>
  <c r="N311" i="13" s="1"/>
  <c r="M311" i="13" a="1"/>
  <c r="M311" i="13" s="1"/>
  <c r="L311" i="13" a="1"/>
  <c r="L311" i="13" s="1"/>
  <c r="K311" i="13" a="1"/>
  <c r="K311" i="13" s="1"/>
  <c r="J311" i="13" a="1"/>
  <c r="J311" i="13" s="1"/>
  <c r="I311" i="13" a="1"/>
  <c r="I311" i="13" s="1"/>
  <c r="H311" i="13" a="1"/>
  <c r="H311" i="13" s="1"/>
  <c r="G311" i="13" a="1"/>
  <c r="G311" i="13" s="1"/>
  <c r="F311" i="13" a="1"/>
  <c r="F311" i="13" s="1"/>
  <c r="T310" i="13" a="1"/>
  <c r="T310" i="13" s="1"/>
  <c r="S310" i="13" a="1"/>
  <c r="S310" i="13" s="1"/>
  <c r="R310" i="13" a="1"/>
  <c r="R310" i="13" s="1"/>
  <c r="Q310" i="13" a="1"/>
  <c r="Q310" i="13" s="1"/>
  <c r="P310" i="13" a="1"/>
  <c r="P310" i="13" s="1"/>
  <c r="O310" i="13"/>
  <c r="O310" i="13" a="1"/>
  <c r="N310" i="13" a="1"/>
  <c r="N310" i="13" s="1"/>
  <c r="M310" i="13" a="1"/>
  <c r="M310" i="13" s="1"/>
  <c r="L310" i="13" a="1"/>
  <c r="L310" i="13" s="1"/>
  <c r="K310" i="13" a="1"/>
  <c r="K310" i="13" s="1"/>
  <c r="J310" i="13" a="1"/>
  <c r="J310" i="13" s="1"/>
  <c r="I310" i="13" a="1"/>
  <c r="I310" i="13" s="1"/>
  <c r="H310" i="13" a="1"/>
  <c r="H310" i="13" s="1"/>
  <c r="G310" i="13" a="1"/>
  <c r="G310" i="13" s="1"/>
  <c r="F310" i="13" a="1"/>
  <c r="F310" i="13" s="1"/>
  <c r="T309" i="13" a="1"/>
  <c r="T309" i="13" s="1"/>
  <c r="S309" i="13"/>
  <c r="S309" i="13" a="1"/>
  <c r="R309" i="13"/>
  <c r="R309" i="13" a="1"/>
  <c r="Q309" i="13"/>
  <c r="Q309" i="13" a="1"/>
  <c r="P309" i="13" a="1"/>
  <c r="P309" i="13" s="1"/>
  <c r="O309" i="13" a="1"/>
  <c r="O309" i="13" s="1"/>
  <c r="N309" i="13"/>
  <c r="N309" i="13" a="1"/>
  <c r="M309" i="13" a="1"/>
  <c r="M309" i="13" s="1"/>
  <c r="L309" i="13" a="1"/>
  <c r="L309" i="13" s="1"/>
  <c r="K309" i="13" a="1"/>
  <c r="K309" i="13" s="1"/>
  <c r="J309" i="13" a="1"/>
  <c r="J309" i="13" s="1"/>
  <c r="I309" i="13" a="1"/>
  <c r="I309" i="13" s="1"/>
  <c r="H309" i="13" a="1"/>
  <c r="H309" i="13" s="1"/>
  <c r="G309" i="13" a="1"/>
  <c r="G309" i="13" s="1"/>
  <c r="F309" i="13" a="1"/>
  <c r="F309" i="13" s="1"/>
  <c r="T308" i="13" a="1"/>
  <c r="T308" i="13" s="1"/>
  <c r="S308" i="13" a="1"/>
  <c r="S308" i="13" s="1"/>
  <c r="R308" i="13" a="1"/>
  <c r="R308" i="13" s="1"/>
  <c r="Q308" i="13" a="1"/>
  <c r="Q308" i="13" s="1"/>
  <c r="P308" i="13" a="1"/>
  <c r="P308" i="13" s="1"/>
  <c r="O308" i="13" a="1"/>
  <c r="O308" i="13" s="1"/>
  <c r="N308" i="13" a="1"/>
  <c r="N308" i="13" s="1"/>
  <c r="M308" i="13" a="1"/>
  <c r="M308" i="13" s="1"/>
  <c r="L308" i="13" a="1"/>
  <c r="L308" i="13" s="1"/>
  <c r="K308" i="13" a="1"/>
  <c r="K308" i="13" s="1"/>
  <c r="J308" i="13" a="1"/>
  <c r="J308" i="13" s="1"/>
  <c r="I308" i="13" a="1"/>
  <c r="I308" i="13" s="1"/>
  <c r="H308" i="13" a="1"/>
  <c r="H308" i="13" s="1"/>
  <c r="G308" i="13" a="1"/>
  <c r="G308" i="13" s="1"/>
  <c r="F308" i="13" a="1"/>
  <c r="F308" i="13" s="1"/>
  <c r="T307" i="13" a="1"/>
  <c r="T307" i="13" s="1"/>
  <c r="S307" i="13" a="1"/>
  <c r="S307" i="13" s="1"/>
  <c r="R307" i="13"/>
  <c r="R307" i="13" a="1"/>
  <c r="Q307" i="13" a="1"/>
  <c r="Q307" i="13" s="1"/>
  <c r="P307" i="13" a="1"/>
  <c r="P307" i="13" s="1"/>
  <c r="O307" i="13" a="1"/>
  <c r="O307" i="13" s="1"/>
  <c r="N307" i="13" a="1"/>
  <c r="N307" i="13" s="1"/>
  <c r="M307" i="13" a="1"/>
  <c r="M307" i="13" s="1"/>
  <c r="L307" i="13" a="1"/>
  <c r="L307" i="13" s="1"/>
  <c r="K307" i="13" a="1"/>
  <c r="K307" i="13" s="1"/>
  <c r="J307" i="13"/>
  <c r="J307" i="13" a="1"/>
  <c r="I307" i="13"/>
  <c r="I307" i="13" a="1"/>
  <c r="H307" i="13" a="1"/>
  <c r="H307" i="13" s="1"/>
  <c r="G307" i="13" a="1"/>
  <c r="G307" i="13" s="1"/>
  <c r="F307" i="13" a="1"/>
  <c r="F307" i="13" s="1"/>
  <c r="T306" i="13" a="1"/>
  <c r="T306" i="13" s="1"/>
  <c r="S306" i="13" a="1"/>
  <c r="S306" i="13" s="1"/>
  <c r="R306" i="13" a="1"/>
  <c r="R306" i="13" s="1"/>
  <c r="Q306" i="13"/>
  <c r="Q306" i="13" a="1"/>
  <c r="P306" i="13" a="1"/>
  <c r="P306" i="13" s="1"/>
  <c r="O306" i="13" a="1"/>
  <c r="O306" i="13" s="1"/>
  <c r="N306" i="13" a="1"/>
  <c r="N306" i="13" s="1"/>
  <c r="M306" i="13" a="1"/>
  <c r="M306" i="13" s="1"/>
  <c r="L306" i="13" a="1"/>
  <c r="L306" i="13" s="1"/>
  <c r="K306" i="13" a="1"/>
  <c r="K306" i="13" s="1"/>
  <c r="J306" i="13" a="1"/>
  <c r="J306" i="13" s="1"/>
  <c r="I306" i="13" a="1"/>
  <c r="I306" i="13" s="1"/>
  <c r="H306" i="13" a="1"/>
  <c r="H306" i="13" s="1"/>
  <c r="G306" i="13"/>
  <c r="G306" i="13" a="1"/>
  <c r="F306" i="13" a="1"/>
  <c r="F306" i="13" s="1"/>
  <c r="T305" i="13" a="1"/>
  <c r="T305" i="13" s="1"/>
  <c r="S305" i="13" a="1"/>
  <c r="S305" i="13" s="1"/>
  <c r="R305" i="13" a="1"/>
  <c r="R305" i="13" s="1"/>
  <c r="Q305" i="13" a="1"/>
  <c r="Q305" i="13" s="1"/>
  <c r="P305" i="13" a="1"/>
  <c r="P305" i="13" s="1"/>
  <c r="O305" i="13" a="1"/>
  <c r="O305" i="13" s="1"/>
  <c r="N305" i="13" a="1"/>
  <c r="N305" i="13" s="1"/>
  <c r="M305" i="13" a="1"/>
  <c r="M305" i="13" s="1"/>
  <c r="L305" i="13" a="1"/>
  <c r="L305" i="13" s="1"/>
  <c r="K305" i="13" a="1"/>
  <c r="K305" i="13" s="1"/>
  <c r="J305" i="13" a="1"/>
  <c r="J305" i="13" s="1"/>
  <c r="I305" i="13" a="1"/>
  <c r="I305" i="13" s="1"/>
  <c r="H305" i="13" a="1"/>
  <c r="H305" i="13" s="1"/>
  <c r="G305" i="13" a="1"/>
  <c r="G305" i="13" s="1"/>
  <c r="F305" i="13" a="1"/>
  <c r="F305" i="13" s="1"/>
  <c r="T304" i="13" a="1"/>
  <c r="T304" i="13" s="1"/>
  <c r="S304" i="13" a="1"/>
  <c r="S304" i="13" s="1"/>
  <c r="R304" i="13" a="1"/>
  <c r="R304" i="13" s="1"/>
  <c r="Q304" i="13"/>
  <c r="Q304" i="13" a="1"/>
  <c r="P304" i="13" a="1"/>
  <c r="P304" i="13" s="1"/>
  <c r="O304" i="13" a="1"/>
  <c r="O304" i="13" s="1"/>
  <c r="N304" i="13" a="1"/>
  <c r="N304" i="13" s="1"/>
  <c r="M304" i="13"/>
  <c r="M304" i="13" a="1"/>
  <c r="L304" i="13"/>
  <c r="L304" i="13" a="1"/>
  <c r="K304" i="13" a="1"/>
  <c r="K304" i="13" s="1"/>
  <c r="J304" i="13" a="1"/>
  <c r="J304" i="13" s="1"/>
  <c r="I304" i="13" a="1"/>
  <c r="I304" i="13" s="1"/>
  <c r="H304" i="13" a="1"/>
  <c r="H304" i="13" s="1"/>
  <c r="G304" i="13" a="1"/>
  <c r="G304" i="13" s="1"/>
  <c r="F304" i="13" a="1"/>
  <c r="F304" i="13" s="1"/>
  <c r="T303" i="13" a="1"/>
  <c r="T303" i="13" s="1"/>
  <c r="S303" i="13" a="1"/>
  <c r="S303" i="13" s="1"/>
  <c r="R303" i="13" a="1"/>
  <c r="R303" i="13" s="1"/>
  <c r="Q303" i="13" a="1"/>
  <c r="Q303" i="13" s="1"/>
  <c r="P303" i="13" a="1"/>
  <c r="P303" i="13" s="1"/>
  <c r="O303" i="13" a="1"/>
  <c r="O303" i="13" s="1"/>
  <c r="N303" i="13" a="1"/>
  <c r="N303" i="13" s="1"/>
  <c r="M303" i="13" a="1"/>
  <c r="M303" i="13" s="1"/>
  <c r="L303" i="13" a="1"/>
  <c r="L303" i="13" s="1"/>
  <c r="K303" i="13" a="1"/>
  <c r="K303" i="13" s="1"/>
  <c r="J303" i="13" a="1"/>
  <c r="J303" i="13" s="1"/>
  <c r="I303" i="13" a="1"/>
  <c r="I303" i="13" s="1"/>
  <c r="H303" i="13"/>
  <c r="H303" i="13" a="1"/>
  <c r="G303" i="13" a="1"/>
  <c r="G303" i="13" s="1"/>
  <c r="F303" i="13" a="1"/>
  <c r="F303" i="13" s="1"/>
  <c r="T302" i="13"/>
  <c r="T302" i="13" a="1"/>
  <c r="S302" i="13" a="1"/>
  <c r="S302" i="13" s="1"/>
  <c r="R302" i="13" a="1"/>
  <c r="R302" i="13" s="1"/>
  <c r="Q302" i="13" a="1"/>
  <c r="Q302" i="13" s="1"/>
  <c r="P302" i="13" a="1"/>
  <c r="P302" i="13" s="1"/>
  <c r="O302" i="13"/>
  <c r="O302" i="13" a="1"/>
  <c r="N302" i="13" a="1"/>
  <c r="N302" i="13" s="1"/>
  <c r="M302" i="13" a="1"/>
  <c r="M302" i="13" s="1"/>
  <c r="L302" i="13" a="1"/>
  <c r="L302" i="13" s="1"/>
  <c r="K302" i="13" a="1"/>
  <c r="K302" i="13" s="1"/>
  <c r="J302" i="13" a="1"/>
  <c r="J302" i="13" s="1"/>
  <c r="I302" i="13" a="1"/>
  <c r="I302" i="13" s="1"/>
  <c r="H302" i="13" a="1"/>
  <c r="H302" i="13" s="1"/>
  <c r="G302" i="13" a="1"/>
  <c r="G302" i="13" s="1"/>
  <c r="F302" i="13" a="1"/>
  <c r="F302" i="13" s="1"/>
  <c r="T301" i="13" a="1"/>
  <c r="T301" i="13" s="1"/>
  <c r="S301" i="13" a="1"/>
  <c r="S301" i="13" s="1"/>
  <c r="R301" i="13" a="1"/>
  <c r="R301" i="13" s="1"/>
  <c r="Q301" i="13"/>
  <c r="Q301" i="13" a="1"/>
  <c r="P301" i="13" a="1"/>
  <c r="P301" i="13" s="1"/>
  <c r="O301" i="13" a="1"/>
  <c r="O301" i="13" s="1"/>
  <c r="N301" i="13"/>
  <c r="N301" i="13" a="1"/>
  <c r="M301" i="13" a="1"/>
  <c r="M301" i="13" s="1"/>
  <c r="L301" i="13" a="1"/>
  <c r="L301" i="13" s="1"/>
  <c r="K301" i="13"/>
  <c r="K301" i="13" a="1"/>
  <c r="J301" i="13"/>
  <c r="J301" i="13" a="1"/>
  <c r="I301" i="13" a="1"/>
  <c r="I301" i="13" s="1"/>
  <c r="H301" i="13" a="1"/>
  <c r="H301" i="13" s="1"/>
  <c r="G301" i="13" a="1"/>
  <c r="G301" i="13" s="1"/>
  <c r="F301" i="13" a="1"/>
  <c r="F301" i="13" s="1"/>
  <c r="T300" i="13" a="1"/>
  <c r="T300" i="13" s="1"/>
  <c r="S300" i="13" a="1"/>
  <c r="S300" i="13" s="1"/>
  <c r="R300" i="13"/>
  <c r="R300" i="13" a="1"/>
  <c r="Q300" i="13" a="1"/>
  <c r="Q300" i="13" s="1"/>
  <c r="P300" i="13" a="1"/>
  <c r="P300" i="13" s="1"/>
  <c r="O300" i="13" a="1"/>
  <c r="O300" i="13" s="1"/>
  <c r="N300" i="13" a="1"/>
  <c r="N300" i="13" s="1"/>
  <c r="M300" i="13" a="1"/>
  <c r="M300" i="13" s="1"/>
  <c r="L300" i="13" a="1"/>
  <c r="L300" i="13" s="1"/>
  <c r="K300" i="13" a="1"/>
  <c r="K300" i="13" s="1"/>
  <c r="J300" i="13" a="1"/>
  <c r="J300" i="13" s="1"/>
  <c r="I300" i="13" a="1"/>
  <c r="I300" i="13" s="1"/>
  <c r="H300" i="13"/>
  <c r="H300" i="13" a="1"/>
  <c r="G300" i="13"/>
  <c r="G300" i="13" a="1"/>
  <c r="F300" i="13" a="1"/>
  <c r="F300" i="13" s="1"/>
  <c r="T299" i="13" a="1"/>
  <c r="T299" i="13" s="1"/>
  <c r="S299" i="13" a="1"/>
  <c r="S299" i="13" s="1"/>
  <c r="R299" i="13" a="1"/>
  <c r="R299" i="13" s="1"/>
  <c r="Q299" i="13" a="1"/>
  <c r="Q299" i="13" s="1"/>
  <c r="P299" i="13" a="1"/>
  <c r="P299" i="13" s="1"/>
  <c r="O299" i="13" a="1"/>
  <c r="O299" i="13" s="1"/>
  <c r="N299" i="13"/>
  <c r="N299" i="13" a="1"/>
  <c r="M299" i="13" a="1"/>
  <c r="M299" i="13" s="1"/>
  <c r="L299" i="13" a="1"/>
  <c r="L299" i="13" s="1"/>
  <c r="K299" i="13" a="1"/>
  <c r="K299" i="13" s="1"/>
  <c r="J299" i="13" a="1"/>
  <c r="J299" i="13" s="1"/>
  <c r="I299" i="13" a="1"/>
  <c r="I299" i="13" s="1"/>
  <c r="H299" i="13" a="1"/>
  <c r="H299" i="13" s="1"/>
  <c r="G299" i="13" a="1"/>
  <c r="G299" i="13" s="1"/>
  <c r="F299" i="13" a="1"/>
  <c r="F299" i="13" s="1"/>
  <c r="T298" i="13" a="1"/>
  <c r="T298" i="13" s="1"/>
  <c r="S298" i="13" a="1"/>
  <c r="S298" i="13" s="1"/>
  <c r="R298" i="13" a="1"/>
  <c r="R298" i="13" s="1"/>
  <c r="Q298" i="13"/>
  <c r="Q298" i="13" a="1"/>
  <c r="P298" i="13" a="1"/>
  <c r="P298" i="13" s="1"/>
  <c r="O298" i="13" a="1"/>
  <c r="O298" i="13" s="1"/>
  <c r="N298" i="13" a="1"/>
  <c r="N298" i="13" s="1"/>
  <c r="M298" i="13" a="1"/>
  <c r="M298" i="13" s="1"/>
  <c r="L298" i="13" a="1"/>
  <c r="L298" i="13" s="1"/>
  <c r="K298" i="13" a="1"/>
  <c r="K298" i="13" s="1"/>
  <c r="J298" i="13" a="1"/>
  <c r="J298" i="13" s="1"/>
  <c r="I298" i="13" a="1"/>
  <c r="I298" i="13" s="1"/>
  <c r="H298" i="13" a="1"/>
  <c r="H298" i="13" s="1"/>
  <c r="G298" i="13" a="1"/>
  <c r="G298" i="13" s="1"/>
  <c r="F298" i="13" a="1"/>
  <c r="F298" i="13" s="1"/>
  <c r="T297" i="13" a="1"/>
  <c r="T297" i="13" s="1"/>
  <c r="S297" i="13" a="1"/>
  <c r="S297" i="13" s="1"/>
  <c r="R297" i="13"/>
  <c r="R297" i="13" a="1"/>
  <c r="Q297" i="13" a="1"/>
  <c r="Q297" i="13" s="1"/>
  <c r="P297" i="13"/>
  <c r="P297" i="13" a="1"/>
  <c r="O297" i="13" a="1"/>
  <c r="O297" i="13" s="1"/>
  <c r="N297" i="13" a="1"/>
  <c r="N297" i="13" s="1"/>
  <c r="M297" i="13" a="1"/>
  <c r="M297" i="13" s="1"/>
  <c r="L297" i="13" a="1"/>
  <c r="L297" i="13" s="1"/>
  <c r="K297" i="13" a="1"/>
  <c r="K297" i="13" s="1"/>
  <c r="J297" i="13"/>
  <c r="J297" i="13" a="1"/>
  <c r="I297" i="13" a="1"/>
  <c r="I297" i="13" s="1"/>
  <c r="H297" i="13" a="1"/>
  <c r="H297" i="13" s="1"/>
  <c r="G297" i="13" a="1"/>
  <c r="G297" i="13" s="1"/>
  <c r="F297" i="13" a="1"/>
  <c r="F297" i="13" s="1"/>
  <c r="T296" i="13" a="1"/>
  <c r="T296" i="13" s="1"/>
  <c r="S296" i="13" a="1"/>
  <c r="S296" i="13" s="1"/>
  <c r="R296" i="13" a="1"/>
  <c r="R296" i="13" s="1"/>
  <c r="Q296" i="13" a="1"/>
  <c r="Q296" i="13" s="1"/>
  <c r="P296" i="13" a="1"/>
  <c r="P296" i="13" s="1"/>
  <c r="O296" i="13" a="1"/>
  <c r="O296" i="13" s="1"/>
  <c r="N296" i="13" a="1"/>
  <c r="N296" i="13" s="1"/>
  <c r="M296" i="13" a="1"/>
  <c r="M296" i="13" s="1"/>
  <c r="L296" i="13"/>
  <c r="L296" i="13" a="1"/>
  <c r="K296" i="13" a="1"/>
  <c r="K296" i="13" s="1"/>
  <c r="J296" i="13" a="1"/>
  <c r="J296" i="13" s="1"/>
  <c r="I296" i="13"/>
  <c r="I296" i="13" a="1"/>
  <c r="H296" i="13" a="1"/>
  <c r="H296" i="13" s="1"/>
  <c r="G296" i="13" a="1"/>
  <c r="G296" i="13" s="1"/>
  <c r="F296" i="13" a="1"/>
  <c r="F296" i="13" s="1"/>
  <c r="T295" i="13"/>
  <c r="T295" i="13" a="1"/>
  <c r="S295" i="13" a="1"/>
  <c r="S295" i="13" s="1"/>
  <c r="R295" i="13" a="1"/>
  <c r="R295" i="13" s="1"/>
  <c r="Q295" i="13" a="1"/>
  <c r="Q295" i="13" s="1"/>
  <c r="P295" i="13" a="1"/>
  <c r="P295" i="13" s="1"/>
  <c r="O295" i="13" a="1"/>
  <c r="O295" i="13" s="1"/>
  <c r="N295" i="13" a="1"/>
  <c r="N295" i="13" s="1"/>
  <c r="M295" i="13" a="1"/>
  <c r="M295" i="13" s="1"/>
  <c r="L295" i="13" a="1"/>
  <c r="L295" i="13" s="1"/>
  <c r="K295" i="13"/>
  <c r="K295" i="13" a="1"/>
  <c r="J295" i="13"/>
  <c r="J295" i="13" a="1"/>
  <c r="I295" i="13" a="1"/>
  <c r="I295" i="13" s="1"/>
  <c r="H295" i="13" a="1"/>
  <c r="H295" i="13" s="1"/>
  <c r="G295" i="13" a="1"/>
  <c r="G295" i="13" s="1"/>
  <c r="F295" i="13" a="1"/>
  <c r="F295" i="13" s="1"/>
  <c r="T294" i="13" a="1"/>
  <c r="T294" i="13" s="1"/>
  <c r="S294" i="13" a="1"/>
  <c r="S294" i="13" s="1"/>
  <c r="R294" i="13" a="1"/>
  <c r="R294" i="13" s="1"/>
  <c r="Q294" i="13" a="1"/>
  <c r="Q294" i="13" s="1"/>
  <c r="P294" i="13" a="1"/>
  <c r="P294" i="13" s="1"/>
  <c r="O294" i="13" a="1"/>
  <c r="O294" i="13" s="1"/>
  <c r="N294" i="13" a="1"/>
  <c r="N294" i="13" s="1"/>
  <c r="M294" i="13"/>
  <c r="M294" i="13" a="1"/>
  <c r="L294" i="13"/>
  <c r="L294" i="13" a="1"/>
  <c r="K294" i="13" a="1"/>
  <c r="K294" i="13" s="1"/>
  <c r="J294" i="13" a="1"/>
  <c r="J294" i="13" s="1"/>
  <c r="I294" i="13" a="1"/>
  <c r="I294" i="13" s="1"/>
  <c r="H294" i="13" a="1"/>
  <c r="H294" i="13" s="1"/>
  <c r="G294" i="13" a="1"/>
  <c r="G294" i="13" s="1"/>
  <c r="F294" i="13" a="1"/>
  <c r="F294" i="13" s="1"/>
  <c r="T293" i="13" a="1"/>
  <c r="T293" i="13" s="1"/>
  <c r="S293" i="13" a="1"/>
  <c r="S293" i="13" s="1"/>
  <c r="R293" i="13" a="1"/>
  <c r="R293" i="13" s="1"/>
  <c r="Q293" i="13" a="1"/>
  <c r="Q293" i="13" s="1"/>
  <c r="P293" i="13" a="1"/>
  <c r="P293" i="13" s="1"/>
  <c r="O293" i="13" a="1"/>
  <c r="O293" i="13" s="1"/>
  <c r="N293" i="13" a="1"/>
  <c r="N293" i="13" s="1"/>
  <c r="M293" i="13" a="1"/>
  <c r="M293" i="13" s="1"/>
  <c r="L293" i="13" a="1"/>
  <c r="L293" i="13" s="1"/>
  <c r="K293" i="13" a="1"/>
  <c r="K293" i="13" s="1"/>
  <c r="J293" i="13" a="1"/>
  <c r="J293" i="13" s="1"/>
  <c r="I293" i="13" a="1"/>
  <c r="I293" i="13" s="1"/>
  <c r="H293" i="13" a="1"/>
  <c r="H293" i="13" s="1"/>
  <c r="G293" i="13" a="1"/>
  <c r="G293" i="13" s="1"/>
  <c r="F293" i="13"/>
  <c r="F293" i="13" a="1"/>
  <c r="T292" i="13" a="1"/>
  <c r="T292" i="13" s="1"/>
  <c r="S292" i="13" a="1"/>
  <c r="S292" i="13" s="1"/>
  <c r="R292" i="13" a="1"/>
  <c r="R292" i="13" s="1"/>
  <c r="Q292" i="13" a="1"/>
  <c r="Q292" i="13" s="1"/>
  <c r="P292" i="13"/>
  <c r="P292" i="13" a="1"/>
  <c r="O292" i="13"/>
  <c r="O292" i="13" a="1"/>
  <c r="N292" i="13" a="1"/>
  <c r="N292" i="13" s="1"/>
  <c r="M292" i="13" a="1"/>
  <c r="M292" i="13" s="1"/>
  <c r="L292" i="13" a="1"/>
  <c r="L292" i="13" s="1"/>
  <c r="K292" i="13" a="1"/>
  <c r="K292" i="13" s="1"/>
  <c r="J292" i="13" a="1"/>
  <c r="J292" i="13" s="1"/>
  <c r="I292" i="13" a="1"/>
  <c r="I292" i="13" s="1"/>
  <c r="H292" i="13" a="1"/>
  <c r="H292" i="13" s="1"/>
  <c r="G292" i="13" a="1"/>
  <c r="G292" i="13" s="1"/>
  <c r="F292" i="13" a="1"/>
  <c r="F292" i="13" s="1"/>
  <c r="T291" i="13"/>
  <c r="T291" i="13" a="1"/>
  <c r="S291" i="13" a="1"/>
  <c r="S291" i="13" s="1"/>
  <c r="R291" i="13" a="1"/>
  <c r="R291" i="13" s="1"/>
  <c r="Q291" i="13" a="1"/>
  <c r="Q291" i="13" s="1"/>
  <c r="P291" i="13" a="1"/>
  <c r="P291" i="13" s="1"/>
  <c r="O291" i="13" a="1"/>
  <c r="O291" i="13" s="1"/>
  <c r="N291" i="13" a="1"/>
  <c r="N291" i="13" s="1"/>
  <c r="M291" i="13" a="1"/>
  <c r="M291" i="13" s="1"/>
  <c r="L291" i="13"/>
  <c r="L291" i="13" a="1"/>
  <c r="K291" i="13" a="1"/>
  <c r="K291" i="13" s="1"/>
  <c r="J291" i="13" a="1"/>
  <c r="J291" i="13" s="1"/>
  <c r="I291" i="13" a="1"/>
  <c r="I291" i="13" s="1"/>
  <c r="H291" i="13" a="1"/>
  <c r="H291" i="13" s="1"/>
  <c r="G291" i="13" a="1"/>
  <c r="G291" i="13" s="1"/>
  <c r="F291" i="13"/>
  <c r="F291" i="13" a="1"/>
  <c r="T290" i="13" a="1"/>
  <c r="T290" i="13" s="1"/>
  <c r="S290" i="13" a="1"/>
  <c r="S290" i="13" s="1"/>
  <c r="R290" i="13" a="1"/>
  <c r="R290" i="13" s="1"/>
  <c r="Q290" i="13" a="1"/>
  <c r="Q290" i="13" s="1"/>
  <c r="P290" i="13" a="1"/>
  <c r="P290" i="13" s="1"/>
  <c r="O290" i="13" a="1"/>
  <c r="O290" i="13" s="1"/>
  <c r="N290" i="13" a="1"/>
  <c r="N290" i="13" s="1"/>
  <c r="M290" i="13"/>
  <c r="M290" i="13" a="1"/>
  <c r="L290" i="13" a="1"/>
  <c r="L290" i="13" s="1"/>
  <c r="K290" i="13" a="1"/>
  <c r="K290" i="13" s="1"/>
  <c r="J290" i="13" a="1"/>
  <c r="J290" i="13" s="1"/>
  <c r="I290" i="13" a="1"/>
  <c r="I290" i="13" s="1"/>
  <c r="H290" i="13" a="1"/>
  <c r="H290" i="13" s="1"/>
  <c r="G290" i="13" a="1"/>
  <c r="G290" i="13" s="1"/>
  <c r="F290" i="13" a="1"/>
  <c r="F290" i="13" s="1"/>
  <c r="T289" i="13" a="1"/>
  <c r="T289" i="13" s="1"/>
  <c r="S289" i="13" a="1"/>
  <c r="S289" i="13" s="1"/>
  <c r="R289" i="13" a="1"/>
  <c r="R289" i="13" s="1"/>
  <c r="Q289" i="13" a="1"/>
  <c r="Q289" i="13" s="1"/>
  <c r="P289" i="13" a="1"/>
  <c r="P289" i="13" s="1"/>
  <c r="O289" i="13" a="1"/>
  <c r="O289" i="13" s="1"/>
  <c r="N289" i="13" a="1"/>
  <c r="N289" i="13" s="1"/>
  <c r="M289" i="13" a="1"/>
  <c r="M289" i="13" s="1"/>
  <c r="L289" i="13" a="1"/>
  <c r="L289" i="13" s="1"/>
  <c r="K289" i="13" a="1"/>
  <c r="K289" i="13" s="1"/>
  <c r="J289" i="13" a="1"/>
  <c r="J289" i="13" s="1"/>
  <c r="I289" i="13" a="1"/>
  <c r="I289" i="13" s="1"/>
  <c r="H289" i="13" a="1"/>
  <c r="H289" i="13" s="1"/>
  <c r="G289" i="13" a="1"/>
  <c r="G289" i="13" s="1"/>
  <c r="F289" i="13"/>
  <c r="F289" i="13" a="1"/>
  <c r="T288" i="13"/>
  <c r="T288" i="13" a="1"/>
  <c r="S288" i="13" a="1"/>
  <c r="S288" i="13" s="1"/>
  <c r="R288" i="13" a="1"/>
  <c r="R288" i="13" s="1"/>
  <c r="Q288" i="13" a="1"/>
  <c r="Q288" i="13" s="1"/>
  <c r="P288" i="13" a="1"/>
  <c r="P288" i="13" s="1"/>
  <c r="O288" i="13" a="1"/>
  <c r="O288" i="13" s="1"/>
  <c r="N288" i="13" a="1"/>
  <c r="N288" i="13" s="1"/>
  <c r="M288" i="13" a="1"/>
  <c r="M288" i="13" s="1"/>
  <c r="L288" i="13" a="1"/>
  <c r="L288" i="13" s="1"/>
  <c r="K288" i="13" a="1"/>
  <c r="K288" i="13" s="1"/>
  <c r="J288" i="13" a="1"/>
  <c r="J288" i="13" s="1"/>
  <c r="I288" i="13"/>
  <c r="I288" i="13" a="1"/>
  <c r="H288" i="13" a="1"/>
  <c r="H288" i="13" s="1"/>
  <c r="G288" i="13" a="1"/>
  <c r="G288" i="13" s="1"/>
  <c r="F288" i="13" a="1"/>
  <c r="F288" i="13" s="1"/>
  <c r="T287" i="13" a="1"/>
  <c r="T287" i="13" s="1"/>
  <c r="S287" i="13" a="1"/>
  <c r="S287" i="13" s="1"/>
  <c r="R287" i="13" a="1"/>
  <c r="R287" i="13" s="1"/>
  <c r="Q287" i="13" a="1"/>
  <c r="Q287" i="13" s="1"/>
  <c r="P287" i="13" a="1"/>
  <c r="P287" i="13" s="1"/>
  <c r="O287" i="13" a="1"/>
  <c r="O287" i="13" s="1"/>
  <c r="N287" i="13" a="1"/>
  <c r="N287" i="13" s="1"/>
  <c r="M287" i="13" a="1"/>
  <c r="M287" i="13" s="1"/>
  <c r="L287" i="13"/>
  <c r="L287" i="13" a="1"/>
  <c r="K287" i="13"/>
  <c r="K287" i="13" a="1"/>
  <c r="J287" i="13" a="1"/>
  <c r="J287" i="13" s="1"/>
  <c r="I287" i="13" a="1"/>
  <c r="I287" i="13" s="1"/>
  <c r="H287" i="13" a="1"/>
  <c r="H287" i="13" s="1"/>
  <c r="G287" i="13" a="1"/>
  <c r="G287" i="13" s="1"/>
  <c r="F287" i="13" a="1"/>
  <c r="F287" i="13" s="1"/>
  <c r="T286" i="13" a="1"/>
  <c r="T286" i="13" s="1"/>
  <c r="S286" i="13" a="1"/>
  <c r="S286" i="13" s="1"/>
  <c r="R286" i="13" a="1"/>
  <c r="R286" i="13" s="1"/>
  <c r="Q286" i="13" a="1"/>
  <c r="Q286" i="13" s="1"/>
  <c r="P286" i="13" a="1"/>
  <c r="P286" i="13" s="1"/>
  <c r="O286" i="13" a="1"/>
  <c r="O286" i="13" s="1"/>
  <c r="N286" i="13" a="1"/>
  <c r="N286" i="13" s="1"/>
  <c r="M286" i="13" a="1"/>
  <c r="M286" i="13" s="1"/>
  <c r="L286" i="13" a="1"/>
  <c r="L286" i="13" s="1"/>
  <c r="K286" i="13" a="1"/>
  <c r="K286" i="13" s="1"/>
  <c r="J286" i="13" a="1"/>
  <c r="J286" i="13" s="1"/>
  <c r="I286" i="13" a="1"/>
  <c r="I286" i="13" s="1"/>
  <c r="H286" i="13" a="1"/>
  <c r="H286" i="13" s="1"/>
  <c r="G286" i="13" a="1"/>
  <c r="G286" i="13" s="1"/>
  <c r="F286" i="13" a="1"/>
  <c r="F286" i="13" s="1"/>
  <c r="T285" i="13"/>
  <c r="T285" i="13" a="1"/>
  <c r="S285" i="13" a="1"/>
  <c r="S285" i="13" s="1"/>
  <c r="R285" i="13" a="1"/>
  <c r="R285" i="13" s="1"/>
  <c r="Q285" i="13" a="1"/>
  <c r="Q285" i="13" s="1"/>
  <c r="P285" i="13" a="1"/>
  <c r="P285" i="13" s="1"/>
  <c r="O285" i="13" a="1"/>
  <c r="O285" i="13" s="1"/>
  <c r="N285" i="13"/>
  <c r="N285" i="13" a="1"/>
  <c r="M285" i="13" a="1"/>
  <c r="M285" i="13" s="1"/>
  <c r="L285" i="13" a="1"/>
  <c r="L285" i="13" s="1"/>
  <c r="K285" i="13"/>
  <c r="K285" i="13" a="1"/>
  <c r="J285" i="13" a="1"/>
  <c r="J285" i="13" s="1"/>
  <c r="I285" i="13" a="1"/>
  <c r="I285" i="13" s="1"/>
  <c r="H285" i="13" a="1"/>
  <c r="H285" i="13" s="1"/>
  <c r="G285" i="13" a="1"/>
  <c r="G285" i="13" s="1"/>
  <c r="F285" i="13" a="1"/>
  <c r="F285" i="13" s="1"/>
  <c r="T284" i="13" a="1"/>
  <c r="T284" i="13" s="1"/>
  <c r="S284" i="13"/>
  <c r="S284" i="13" a="1"/>
  <c r="R284" i="13" a="1"/>
  <c r="R284" i="13" s="1"/>
  <c r="Q284" i="13" a="1"/>
  <c r="Q284" i="13" s="1"/>
  <c r="P284" i="13" a="1"/>
  <c r="P284" i="13" s="1"/>
  <c r="O284" i="13" a="1"/>
  <c r="O284" i="13" s="1"/>
  <c r="N284" i="13" a="1"/>
  <c r="N284" i="13" s="1"/>
  <c r="M284" i="13" a="1"/>
  <c r="M284" i="13" s="1"/>
  <c r="L284" i="13" a="1"/>
  <c r="L284" i="13" s="1"/>
  <c r="K284" i="13" a="1"/>
  <c r="K284" i="13" s="1"/>
  <c r="J284" i="13" a="1"/>
  <c r="J284" i="13" s="1"/>
  <c r="I284" i="13" a="1"/>
  <c r="I284" i="13" s="1"/>
  <c r="H284" i="13"/>
  <c r="H284" i="13" a="1"/>
  <c r="G284" i="13" a="1"/>
  <c r="G284" i="13" s="1"/>
  <c r="F284" i="13" a="1"/>
  <c r="F284" i="13" s="1"/>
  <c r="T283" i="13" a="1"/>
  <c r="T283" i="13" s="1"/>
  <c r="S283" i="13" a="1"/>
  <c r="S283" i="13" s="1"/>
  <c r="R283" i="13" a="1"/>
  <c r="R283" i="13" s="1"/>
  <c r="Q283" i="13" a="1"/>
  <c r="Q283" i="13" s="1"/>
  <c r="P283" i="13" a="1"/>
  <c r="P283" i="13" s="1"/>
  <c r="O283" i="13"/>
  <c r="O283" i="13" a="1"/>
  <c r="N283" i="13" a="1"/>
  <c r="N283" i="13" s="1"/>
  <c r="M283" i="13" a="1"/>
  <c r="M283" i="13" s="1"/>
  <c r="L283" i="13" a="1"/>
  <c r="L283" i="13" s="1"/>
  <c r="K283" i="13" a="1"/>
  <c r="K283" i="13" s="1"/>
  <c r="J283" i="13" a="1"/>
  <c r="J283" i="13" s="1"/>
  <c r="I283" i="13" a="1"/>
  <c r="I283" i="13" s="1"/>
  <c r="H283" i="13" a="1"/>
  <c r="H283" i="13" s="1"/>
  <c r="G283" i="13" a="1"/>
  <c r="G283" i="13" s="1"/>
  <c r="F283" i="13" a="1"/>
  <c r="F283" i="13" s="1"/>
  <c r="T282" i="13" a="1"/>
  <c r="T282" i="13" s="1"/>
  <c r="S282" i="13"/>
  <c r="S282" i="13" a="1"/>
  <c r="R282" i="13" a="1"/>
  <c r="R282" i="13" s="1"/>
  <c r="Q282" i="13"/>
  <c r="Q282" i="13" a="1"/>
  <c r="P282" i="13"/>
  <c r="P282" i="13" a="1"/>
  <c r="O282" i="13" a="1"/>
  <c r="O282" i="13" s="1"/>
  <c r="N282" i="13" a="1"/>
  <c r="N282" i="13" s="1"/>
  <c r="M282" i="13" a="1"/>
  <c r="M282" i="13" s="1"/>
  <c r="L282" i="13" a="1"/>
  <c r="L282" i="13" s="1"/>
  <c r="K282" i="13"/>
  <c r="K282" i="13" a="1"/>
  <c r="J282" i="13"/>
  <c r="J282" i="13" a="1"/>
  <c r="I282" i="13" a="1"/>
  <c r="I282" i="13" s="1"/>
  <c r="H282" i="13"/>
  <c r="H282" i="13" a="1"/>
  <c r="G282" i="13" a="1"/>
  <c r="G282" i="13" s="1"/>
  <c r="F282" i="13" a="1"/>
  <c r="F282" i="13" s="1"/>
  <c r="T281" i="13" a="1"/>
  <c r="T281" i="13" s="1"/>
  <c r="S281" i="13" a="1"/>
  <c r="S281" i="13" s="1"/>
  <c r="R281" i="13" a="1"/>
  <c r="R281" i="13" s="1"/>
  <c r="Q281" i="13" a="1"/>
  <c r="Q281" i="13" s="1"/>
  <c r="P281" i="13" a="1"/>
  <c r="P281" i="13" s="1"/>
  <c r="O281" i="13" a="1"/>
  <c r="O281" i="13" s="1"/>
  <c r="N281" i="13" a="1"/>
  <c r="N281" i="13" s="1"/>
  <c r="M281" i="13" a="1"/>
  <c r="M281" i="13" s="1"/>
  <c r="L281" i="13" a="1"/>
  <c r="L281" i="13" s="1"/>
  <c r="K281" i="13" a="1"/>
  <c r="K281" i="13" s="1"/>
  <c r="J281" i="13" a="1"/>
  <c r="J281" i="13" s="1"/>
  <c r="I281" i="13" a="1"/>
  <c r="I281" i="13" s="1"/>
  <c r="H281" i="13" a="1"/>
  <c r="H281" i="13" s="1"/>
  <c r="G281" i="13" a="1"/>
  <c r="G281" i="13" s="1"/>
  <c r="F281" i="13" a="1"/>
  <c r="F281" i="13" s="1"/>
  <c r="T280" i="13" a="1"/>
  <c r="T280" i="13" s="1"/>
  <c r="S280" i="13" a="1"/>
  <c r="S280" i="13" s="1"/>
  <c r="R280" i="13" a="1"/>
  <c r="R280" i="13" s="1"/>
  <c r="Q280" i="13" a="1"/>
  <c r="Q280" i="13" s="1"/>
  <c r="P280" i="13" a="1"/>
  <c r="P280" i="13" s="1"/>
  <c r="O280" i="13" a="1"/>
  <c r="O280" i="13" s="1"/>
  <c r="N280" i="13" a="1"/>
  <c r="N280" i="13" s="1"/>
  <c r="M280" i="13" a="1"/>
  <c r="M280" i="13" s="1"/>
  <c r="L280" i="13" a="1"/>
  <c r="L280" i="13" s="1"/>
  <c r="K280" i="13" a="1"/>
  <c r="K280" i="13" s="1"/>
  <c r="J280" i="13" a="1"/>
  <c r="J280" i="13" s="1"/>
  <c r="I280" i="13" a="1"/>
  <c r="I280" i="13" s="1"/>
  <c r="H280" i="13" a="1"/>
  <c r="H280" i="13" s="1"/>
  <c r="G280" i="13" a="1"/>
  <c r="G280" i="13" s="1"/>
  <c r="F280" i="13" a="1"/>
  <c r="F280" i="13" s="1"/>
  <c r="T279" i="13" a="1"/>
  <c r="T279" i="13" s="1"/>
  <c r="S279" i="13" a="1"/>
  <c r="S279" i="13" s="1"/>
  <c r="R279" i="13" a="1"/>
  <c r="R279" i="13" s="1"/>
  <c r="Q279" i="13" a="1"/>
  <c r="Q279" i="13" s="1"/>
  <c r="P279" i="13"/>
  <c r="P279" i="13" a="1"/>
  <c r="O279" i="13"/>
  <c r="O279" i="13" a="1"/>
  <c r="N279" i="13" a="1"/>
  <c r="N279" i="13" s="1"/>
  <c r="M279" i="13" a="1"/>
  <c r="M279" i="13" s="1"/>
  <c r="L279" i="13" a="1"/>
  <c r="L279" i="13" s="1"/>
  <c r="K279" i="13" a="1"/>
  <c r="K279" i="13" s="1"/>
  <c r="J279" i="13" a="1"/>
  <c r="J279" i="13" s="1"/>
  <c r="I279" i="13"/>
  <c r="I279" i="13" a="1"/>
  <c r="H279" i="13"/>
  <c r="H279" i="13" a="1"/>
  <c r="G279" i="13" a="1"/>
  <c r="G279" i="13" s="1"/>
  <c r="F279" i="13"/>
  <c r="F279" i="13" a="1"/>
  <c r="T278" i="13" a="1"/>
  <c r="T278" i="13" s="1"/>
  <c r="S278" i="13" a="1"/>
  <c r="S278" i="13" s="1"/>
  <c r="R278" i="13" a="1"/>
  <c r="R278" i="13" s="1"/>
  <c r="Q278" i="13" a="1"/>
  <c r="Q278" i="13" s="1"/>
  <c r="P278" i="13" a="1"/>
  <c r="P278" i="13" s="1"/>
  <c r="O278" i="13" a="1"/>
  <c r="O278" i="13" s="1"/>
  <c r="N278" i="13" a="1"/>
  <c r="N278" i="13" s="1"/>
  <c r="M278" i="13" a="1"/>
  <c r="M278" i="13" s="1"/>
  <c r="L278" i="13"/>
  <c r="L278" i="13" a="1"/>
  <c r="K278" i="13" a="1"/>
  <c r="K278" i="13" s="1"/>
  <c r="J278" i="13"/>
  <c r="J278" i="13" a="1"/>
  <c r="I278" i="13" a="1"/>
  <c r="I278" i="13" s="1"/>
  <c r="H278" i="13" a="1"/>
  <c r="H278" i="13" s="1"/>
  <c r="G278" i="13" a="1"/>
  <c r="G278" i="13" s="1"/>
  <c r="F278" i="13"/>
  <c r="F278" i="13" a="1"/>
  <c r="T277" i="13" a="1"/>
  <c r="T277" i="13" s="1"/>
  <c r="S277" i="13" a="1"/>
  <c r="S277" i="13" s="1"/>
  <c r="R277" i="13" a="1"/>
  <c r="R277" i="13" s="1"/>
  <c r="Q277" i="13" a="1"/>
  <c r="Q277" i="13" s="1"/>
  <c r="P277" i="13" a="1"/>
  <c r="P277" i="13" s="1"/>
  <c r="O277" i="13" a="1"/>
  <c r="O277" i="13" s="1"/>
  <c r="N277" i="13" a="1"/>
  <c r="N277" i="13" s="1"/>
  <c r="M277" i="13" a="1"/>
  <c r="M277" i="13" s="1"/>
  <c r="L277" i="13"/>
  <c r="L277" i="13" a="1"/>
  <c r="K277" i="13" a="1"/>
  <c r="K277" i="13" s="1"/>
  <c r="J277" i="13" a="1"/>
  <c r="J277" i="13" s="1"/>
  <c r="I277" i="13" a="1"/>
  <c r="I277" i="13" s="1"/>
  <c r="H277" i="13" a="1"/>
  <c r="H277" i="13" s="1"/>
  <c r="G277" i="13" a="1"/>
  <c r="G277" i="13" s="1"/>
  <c r="F277" i="13" a="1"/>
  <c r="F277" i="13" s="1"/>
  <c r="T276" i="13" a="1"/>
  <c r="T276" i="13" s="1"/>
  <c r="S276" i="13" a="1"/>
  <c r="S276" i="13" s="1"/>
  <c r="R276" i="13" a="1"/>
  <c r="R276" i="13" s="1"/>
  <c r="Q276" i="13" a="1"/>
  <c r="Q276" i="13" s="1"/>
  <c r="P276" i="13" a="1"/>
  <c r="P276" i="13" s="1"/>
  <c r="O276" i="13" a="1"/>
  <c r="O276" i="13" s="1"/>
  <c r="N276" i="13" a="1"/>
  <c r="N276" i="13" s="1"/>
  <c r="M276" i="13" a="1"/>
  <c r="M276" i="13" s="1"/>
  <c r="L276" i="13" a="1"/>
  <c r="L276" i="13" s="1"/>
  <c r="K276" i="13" a="1"/>
  <c r="K276" i="13" s="1"/>
  <c r="J276" i="13" a="1"/>
  <c r="J276" i="13" s="1"/>
  <c r="I276" i="13" a="1"/>
  <c r="I276" i="13" s="1"/>
  <c r="H276" i="13" a="1"/>
  <c r="H276" i="13" s="1"/>
  <c r="G276" i="13" a="1"/>
  <c r="G276" i="13" s="1"/>
  <c r="F276" i="13" a="1"/>
  <c r="F276" i="13" s="1"/>
  <c r="T275" i="13" a="1"/>
  <c r="T275" i="13" s="1"/>
  <c r="S275" i="13" a="1"/>
  <c r="S275" i="13" s="1"/>
  <c r="R275" i="13" a="1"/>
  <c r="R275" i="13" s="1"/>
  <c r="Q275" i="13" a="1"/>
  <c r="Q275" i="13" s="1"/>
  <c r="P275" i="13" a="1"/>
  <c r="P275" i="13" s="1"/>
  <c r="O275" i="13" a="1"/>
  <c r="O275" i="13" s="1"/>
  <c r="N275" i="13" a="1"/>
  <c r="N275" i="13" s="1"/>
  <c r="M275" i="13" a="1"/>
  <c r="M275" i="13" s="1"/>
  <c r="L275" i="13" a="1"/>
  <c r="L275" i="13" s="1"/>
  <c r="K275" i="13" a="1"/>
  <c r="K275" i="13" s="1"/>
  <c r="J275" i="13" a="1"/>
  <c r="J275" i="13" s="1"/>
  <c r="I275" i="13" a="1"/>
  <c r="I275" i="13" s="1"/>
  <c r="H275" i="13" a="1"/>
  <c r="H275" i="13" s="1"/>
  <c r="G275" i="13" a="1"/>
  <c r="G275" i="13" s="1"/>
  <c r="F275" i="13" a="1"/>
  <c r="F275" i="13" s="1"/>
  <c r="T274" i="13" a="1"/>
  <c r="T274" i="13" s="1"/>
  <c r="S274" i="13" a="1"/>
  <c r="S274" i="13" s="1"/>
  <c r="R274" i="13" a="1"/>
  <c r="R274" i="13" s="1"/>
  <c r="Q274" i="13" a="1"/>
  <c r="Q274" i="13" s="1"/>
  <c r="P274" i="13" a="1"/>
  <c r="P274" i="13" s="1"/>
  <c r="O274" i="13" a="1"/>
  <c r="O274" i="13" s="1"/>
  <c r="N274" i="13" a="1"/>
  <c r="N274" i="13" s="1"/>
  <c r="M274" i="13" a="1"/>
  <c r="M274" i="13" s="1"/>
  <c r="L274" i="13" a="1"/>
  <c r="L274" i="13" s="1"/>
  <c r="K274" i="13" a="1"/>
  <c r="K274" i="13" s="1"/>
  <c r="J274" i="13" a="1"/>
  <c r="J274" i="13" s="1"/>
  <c r="I274" i="13" a="1"/>
  <c r="I274" i="13" s="1"/>
  <c r="H274" i="13" a="1"/>
  <c r="H274" i="13" s="1"/>
  <c r="G274" i="13" a="1"/>
  <c r="G274" i="13" s="1"/>
  <c r="F274" i="13" a="1"/>
  <c r="F274" i="13" s="1"/>
  <c r="T273" i="13" a="1"/>
  <c r="T273" i="13" s="1"/>
  <c r="S273" i="13" a="1"/>
  <c r="S273" i="13" s="1"/>
  <c r="R273" i="13" a="1"/>
  <c r="R273" i="13" s="1"/>
  <c r="Q273" i="13" a="1"/>
  <c r="Q273" i="13" s="1"/>
  <c r="P273" i="13" a="1"/>
  <c r="P273" i="13" s="1"/>
  <c r="O273" i="13" a="1"/>
  <c r="O273" i="13" s="1"/>
  <c r="N273" i="13" a="1"/>
  <c r="N273" i="13" s="1"/>
  <c r="M273" i="13"/>
  <c r="M273" i="13" a="1"/>
  <c r="L273" i="13" a="1"/>
  <c r="L273" i="13" s="1"/>
  <c r="K273" i="13" a="1"/>
  <c r="K273" i="13" s="1"/>
  <c r="J273" i="13"/>
  <c r="J273" i="13" a="1"/>
  <c r="I273" i="13" a="1"/>
  <c r="I273" i="13" s="1"/>
  <c r="H273" i="13"/>
  <c r="H273" i="13" a="1"/>
  <c r="G273" i="13" a="1"/>
  <c r="G273" i="13" s="1"/>
  <c r="F273" i="13" a="1"/>
  <c r="F273" i="13" s="1"/>
  <c r="T272" i="13" a="1"/>
  <c r="T272" i="13" s="1"/>
  <c r="S272" i="13" a="1"/>
  <c r="S272" i="13" s="1"/>
  <c r="R272" i="13" a="1"/>
  <c r="R272" i="13" s="1"/>
  <c r="Q272" i="13" a="1"/>
  <c r="Q272" i="13" s="1"/>
  <c r="P272" i="13" a="1"/>
  <c r="P272" i="13" s="1"/>
  <c r="O272" i="13" a="1"/>
  <c r="O272" i="13" s="1"/>
  <c r="N272" i="13"/>
  <c r="N272" i="13" a="1"/>
  <c r="M272" i="13" a="1"/>
  <c r="M272" i="13" s="1"/>
  <c r="L272" i="13" a="1"/>
  <c r="L272" i="13" s="1"/>
  <c r="K272" i="13" a="1"/>
  <c r="K272" i="13" s="1"/>
  <c r="J272" i="13" a="1"/>
  <c r="J272" i="13" s="1"/>
  <c r="I272" i="13" a="1"/>
  <c r="I272" i="13" s="1"/>
  <c r="H272" i="13" a="1"/>
  <c r="H272" i="13" s="1"/>
  <c r="G272" i="13"/>
  <c r="G272" i="13" a="1"/>
  <c r="F272" i="13"/>
  <c r="F272" i="13" a="1"/>
  <c r="T271" i="13" a="1"/>
  <c r="T271" i="13" s="1"/>
  <c r="S271" i="13" a="1"/>
  <c r="S271" i="13" s="1"/>
  <c r="R271" i="13" a="1"/>
  <c r="R271" i="13" s="1"/>
  <c r="Q271" i="13"/>
  <c r="Q271" i="13" a="1"/>
  <c r="P271" i="13"/>
  <c r="P271" i="13" a="1"/>
  <c r="O271" i="13" a="1"/>
  <c r="O271" i="13" s="1"/>
  <c r="N271" i="13"/>
  <c r="N271" i="13" a="1"/>
  <c r="M271" i="13" a="1"/>
  <c r="M271" i="13" s="1"/>
  <c r="L271" i="13" a="1"/>
  <c r="L271" i="13" s="1"/>
  <c r="K271" i="13"/>
  <c r="K271" i="13" a="1"/>
  <c r="J271" i="13" a="1"/>
  <c r="J271" i="13" s="1"/>
  <c r="I271" i="13" a="1"/>
  <c r="I271" i="13" s="1"/>
  <c r="H271" i="13"/>
  <c r="H271" i="13" a="1"/>
  <c r="G271" i="13" a="1"/>
  <c r="G271" i="13" s="1"/>
  <c r="F271" i="13" a="1"/>
  <c r="F271" i="13" s="1"/>
  <c r="T270" i="13"/>
  <c r="T270" i="13" a="1"/>
  <c r="S270" i="13" a="1"/>
  <c r="S270" i="13" s="1"/>
  <c r="R270" i="13"/>
  <c r="R270" i="13" a="1"/>
  <c r="Q270" i="13" a="1"/>
  <c r="Q270" i="13" s="1"/>
  <c r="P270" i="13" a="1"/>
  <c r="P270" i="13" s="1"/>
  <c r="O270" i="13" a="1"/>
  <c r="O270" i="13" s="1"/>
  <c r="N270" i="13"/>
  <c r="N270" i="13" a="1"/>
  <c r="M270" i="13" a="1"/>
  <c r="M270" i="13" s="1"/>
  <c r="L270" i="13" a="1"/>
  <c r="L270" i="13" s="1"/>
  <c r="K270" i="13" a="1"/>
  <c r="K270" i="13" s="1"/>
  <c r="J270" i="13" a="1"/>
  <c r="J270" i="13" s="1"/>
  <c r="I270" i="13" a="1"/>
  <c r="I270" i="13" s="1"/>
  <c r="H270" i="13" a="1"/>
  <c r="H270" i="13" s="1"/>
  <c r="G270" i="13" a="1"/>
  <c r="G270" i="13" s="1"/>
  <c r="F270" i="13" a="1"/>
  <c r="F270" i="13" s="1"/>
  <c r="T269" i="13" a="1"/>
  <c r="T269" i="13" s="1"/>
  <c r="S269" i="13"/>
  <c r="S269" i="13" a="1"/>
  <c r="R269" i="13" a="1"/>
  <c r="R269" i="13" s="1"/>
  <c r="Q269" i="13" a="1"/>
  <c r="Q269" i="13" s="1"/>
  <c r="P269" i="13" a="1"/>
  <c r="P269" i="13" s="1"/>
  <c r="O269" i="13" a="1"/>
  <c r="O269" i="13" s="1"/>
  <c r="N269" i="13" a="1"/>
  <c r="N269" i="13" s="1"/>
  <c r="M269" i="13" a="1"/>
  <c r="M269" i="13" s="1"/>
  <c r="L269" i="13" a="1"/>
  <c r="L269" i="13" s="1"/>
  <c r="K269" i="13" a="1"/>
  <c r="K269" i="13" s="1"/>
  <c r="J269" i="13" a="1"/>
  <c r="J269" i="13" s="1"/>
  <c r="I269" i="13" a="1"/>
  <c r="I269" i="13" s="1"/>
  <c r="H269" i="13" a="1"/>
  <c r="H269" i="13" s="1"/>
  <c r="G269" i="13" a="1"/>
  <c r="G269" i="13" s="1"/>
  <c r="F269" i="13" a="1"/>
  <c r="F269" i="13" s="1"/>
  <c r="T268" i="13" a="1"/>
  <c r="T268" i="13" s="1"/>
  <c r="S268" i="13" a="1"/>
  <c r="S268" i="13" s="1"/>
  <c r="R268" i="13" a="1"/>
  <c r="R268" i="13" s="1"/>
  <c r="Q268" i="13" a="1"/>
  <c r="Q268" i="13" s="1"/>
  <c r="P268" i="13" a="1"/>
  <c r="P268" i="13" s="1"/>
  <c r="O268" i="13" a="1"/>
  <c r="O268" i="13" s="1"/>
  <c r="N268" i="13" a="1"/>
  <c r="N268" i="13" s="1"/>
  <c r="M268" i="13" a="1"/>
  <c r="M268" i="13" s="1"/>
  <c r="L268" i="13"/>
  <c r="L268" i="13" a="1"/>
  <c r="K268" i="13" a="1"/>
  <c r="K268" i="13" s="1"/>
  <c r="J268" i="13" a="1"/>
  <c r="J268" i="13" s="1"/>
  <c r="I268" i="13" a="1"/>
  <c r="I268" i="13" s="1"/>
  <c r="H268" i="13" a="1"/>
  <c r="H268" i="13" s="1"/>
  <c r="G268" i="13" a="1"/>
  <c r="G268" i="13" s="1"/>
  <c r="F268" i="13"/>
  <c r="F268" i="13" a="1"/>
  <c r="T267" i="13" a="1"/>
  <c r="T267" i="13" s="1"/>
  <c r="S267" i="13" a="1"/>
  <c r="S267" i="13" s="1"/>
  <c r="R267" i="13" a="1"/>
  <c r="R267" i="13" s="1"/>
  <c r="Q267" i="13" a="1"/>
  <c r="Q267" i="13" s="1"/>
  <c r="P267" i="13" a="1"/>
  <c r="P267" i="13" s="1"/>
  <c r="O267" i="13" a="1"/>
  <c r="O267" i="13" s="1"/>
  <c r="N267" i="13" a="1"/>
  <c r="N267" i="13" s="1"/>
  <c r="M267" i="13"/>
  <c r="M267" i="13" a="1"/>
  <c r="L267" i="13"/>
  <c r="L267" i="13" a="1"/>
  <c r="K267" i="13" a="1"/>
  <c r="K267" i="13" s="1"/>
  <c r="J267" i="13" a="1"/>
  <c r="J267" i="13" s="1"/>
  <c r="I267" i="13" a="1"/>
  <c r="I267" i="13" s="1"/>
  <c r="H267" i="13" a="1"/>
  <c r="H267" i="13" s="1"/>
  <c r="G267" i="13" a="1"/>
  <c r="G267" i="13" s="1"/>
  <c r="F267" i="13" a="1"/>
  <c r="F267" i="13" s="1"/>
  <c r="T266" i="13" a="1"/>
  <c r="T266" i="13" s="1"/>
  <c r="S266" i="13" a="1"/>
  <c r="S266" i="13" s="1"/>
  <c r="R266" i="13" a="1"/>
  <c r="R266" i="13" s="1"/>
  <c r="Q266" i="13" a="1"/>
  <c r="Q266" i="13" s="1"/>
  <c r="P266" i="13" a="1"/>
  <c r="P266" i="13" s="1"/>
  <c r="O266" i="13" a="1"/>
  <c r="O266" i="13" s="1"/>
  <c r="N266" i="13" a="1"/>
  <c r="N266" i="13" s="1"/>
  <c r="M266" i="13" a="1"/>
  <c r="M266" i="13" s="1"/>
  <c r="L266" i="13"/>
  <c r="L266" i="13" a="1"/>
  <c r="K266" i="13" a="1"/>
  <c r="K266" i="13" s="1"/>
  <c r="J266" i="13" a="1"/>
  <c r="J266" i="13" s="1"/>
  <c r="I266" i="13" a="1"/>
  <c r="I266" i="13" s="1"/>
  <c r="H266" i="13" a="1"/>
  <c r="H266" i="13" s="1"/>
  <c r="G266" i="13" a="1"/>
  <c r="G266" i="13" s="1"/>
  <c r="F266" i="13" a="1"/>
  <c r="F266" i="13" s="1"/>
  <c r="T265" i="13" a="1"/>
  <c r="T265" i="13" s="1"/>
  <c r="S265" i="13" a="1"/>
  <c r="S265" i="13" s="1"/>
  <c r="R265" i="13" a="1"/>
  <c r="R265" i="13" s="1"/>
  <c r="Q265" i="13" a="1"/>
  <c r="Q265" i="13" s="1"/>
  <c r="P265" i="13" a="1"/>
  <c r="P265" i="13" s="1"/>
  <c r="O265" i="13" a="1"/>
  <c r="O265" i="13" s="1"/>
  <c r="N265" i="13" a="1"/>
  <c r="N265" i="13" s="1"/>
  <c r="M265" i="13"/>
  <c r="M265" i="13" a="1"/>
  <c r="L265" i="13"/>
  <c r="L265" i="13" a="1"/>
  <c r="K265" i="13" a="1"/>
  <c r="K265" i="13" s="1"/>
  <c r="J265" i="13" a="1"/>
  <c r="J265" i="13" s="1"/>
  <c r="I265" i="13" a="1"/>
  <c r="I265" i="13" s="1"/>
  <c r="H265" i="13" a="1"/>
  <c r="H265" i="13" s="1"/>
  <c r="G265" i="13" a="1"/>
  <c r="G265" i="13" s="1"/>
  <c r="F265" i="13" a="1"/>
  <c r="F265" i="13" s="1"/>
  <c r="T264" i="13"/>
  <c r="T264" i="13" a="1"/>
  <c r="S264" i="13" a="1"/>
  <c r="S264" i="13" s="1"/>
  <c r="R264" i="13" a="1"/>
  <c r="R264" i="13" s="1"/>
  <c r="Q264" i="13" a="1"/>
  <c r="Q264" i="13" s="1"/>
  <c r="P264" i="13" a="1"/>
  <c r="P264" i="13" s="1"/>
  <c r="O264" i="13" a="1"/>
  <c r="O264" i="13" s="1"/>
  <c r="N264" i="13" a="1"/>
  <c r="N264" i="13" s="1"/>
  <c r="M264" i="13" a="1"/>
  <c r="M264" i="13" s="1"/>
  <c r="L264" i="13" a="1"/>
  <c r="L264" i="13" s="1"/>
  <c r="K264" i="13" a="1"/>
  <c r="K264" i="13" s="1"/>
  <c r="J264" i="13" a="1"/>
  <c r="J264" i="13" s="1"/>
  <c r="I264" i="13"/>
  <c r="I264" i="13" a="1"/>
  <c r="H264" i="13" a="1"/>
  <c r="H264" i="13" s="1"/>
  <c r="G264" i="13" a="1"/>
  <c r="G264" i="13" s="1"/>
  <c r="F264" i="13" a="1"/>
  <c r="F264" i="13" s="1"/>
  <c r="T263" i="13" a="1"/>
  <c r="T263" i="13" s="1"/>
  <c r="S263" i="13" a="1"/>
  <c r="S263" i="13" s="1"/>
  <c r="R263" i="13" a="1"/>
  <c r="R263" i="13" s="1"/>
  <c r="Q263" i="13" a="1"/>
  <c r="Q263" i="13" s="1"/>
  <c r="P263" i="13" a="1"/>
  <c r="P263" i="13" s="1"/>
  <c r="O263" i="13" a="1"/>
  <c r="O263" i="13" s="1"/>
  <c r="N263" i="13" a="1"/>
  <c r="N263" i="13" s="1"/>
  <c r="M263" i="13" a="1"/>
  <c r="M263" i="13" s="1"/>
  <c r="L263" i="13" a="1"/>
  <c r="L263" i="13" s="1"/>
  <c r="K263" i="13" a="1"/>
  <c r="K263" i="13" s="1"/>
  <c r="J263" i="13" a="1"/>
  <c r="J263" i="13" s="1"/>
  <c r="I263" i="13" a="1"/>
  <c r="I263" i="13" s="1"/>
  <c r="H263" i="13"/>
  <c r="H263" i="13" a="1"/>
  <c r="G263" i="13" a="1"/>
  <c r="G263" i="13" s="1"/>
  <c r="F263" i="13" a="1"/>
  <c r="F263" i="13" s="1"/>
  <c r="T262" i="13" a="1"/>
  <c r="T262" i="13" s="1"/>
  <c r="S262" i="13" a="1"/>
  <c r="S262" i="13" s="1"/>
  <c r="R262" i="13" a="1"/>
  <c r="R262" i="13" s="1"/>
  <c r="Q262" i="13" a="1"/>
  <c r="Q262" i="13" s="1"/>
  <c r="P262" i="13" a="1"/>
  <c r="P262" i="13" s="1"/>
  <c r="O262" i="13" a="1"/>
  <c r="O262" i="13" s="1"/>
  <c r="N262" i="13"/>
  <c r="N262" i="13" a="1"/>
  <c r="M262" i="13" a="1"/>
  <c r="M262" i="13" s="1"/>
  <c r="L262" i="13" a="1"/>
  <c r="L262" i="13" s="1"/>
  <c r="K262" i="13" a="1"/>
  <c r="K262" i="13" s="1"/>
  <c r="J262" i="13" a="1"/>
  <c r="J262" i="13" s="1"/>
  <c r="I262" i="13"/>
  <c r="I262" i="13" a="1"/>
  <c r="H262" i="13"/>
  <c r="H262" i="13" a="1"/>
  <c r="G262" i="13" a="1"/>
  <c r="G262" i="13" s="1"/>
  <c r="F262" i="13" a="1"/>
  <c r="F262" i="13" s="1"/>
  <c r="T261" i="13" a="1"/>
  <c r="T261" i="13" s="1"/>
  <c r="S261" i="13" a="1"/>
  <c r="S261" i="13" s="1"/>
  <c r="R261" i="13" a="1"/>
  <c r="R261" i="13" s="1"/>
  <c r="Q261" i="13"/>
  <c r="Q261" i="13" a="1"/>
  <c r="P261" i="13" a="1"/>
  <c r="P261" i="13" s="1"/>
  <c r="O261" i="13" a="1"/>
  <c r="O261" i="13" s="1"/>
  <c r="N261" i="13" a="1"/>
  <c r="N261" i="13" s="1"/>
  <c r="M261" i="13" a="1"/>
  <c r="M261" i="13" s="1"/>
  <c r="L261" i="13" a="1"/>
  <c r="L261" i="13" s="1"/>
  <c r="K261" i="13" a="1"/>
  <c r="K261" i="13" s="1"/>
  <c r="J261" i="13" a="1"/>
  <c r="J261" i="13" s="1"/>
  <c r="I261" i="13" a="1"/>
  <c r="I261" i="13" s="1"/>
  <c r="H261" i="13" a="1"/>
  <c r="H261" i="13" s="1"/>
  <c r="G261" i="13" a="1"/>
  <c r="G261" i="13" s="1"/>
  <c r="F261" i="13" a="1"/>
  <c r="F261" i="13" s="1"/>
  <c r="T260" i="13"/>
  <c r="T260" i="13" a="1"/>
  <c r="S260" i="13" a="1"/>
  <c r="S260" i="13" s="1"/>
  <c r="R260" i="13" a="1"/>
  <c r="R260" i="13" s="1"/>
  <c r="Q260" i="13" a="1"/>
  <c r="Q260" i="13" s="1"/>
  <c r="P260" i="13" a="1"/>
  <c r="P260" i="13" s="1"/>
  <c r="O260" i="13"/>
  <c r="O260" i="13" a="1"/>
  <c r="N260" i="13" a="1"/>
  <c r="N260" i="13" s="1"/>
  <c r="M260" i="13" a="1"/>
  <c r="M260" i="13" s="1"/>
  <c r="L260" i="13" a="1"/>
  <c r="L260" i="13" s="1"/>
  <c r="K260" i="13" a="1"/>
  <c r="K260" i="13" s="1"/>
  <c r="J260" i="13" a="1"/>
  <c r="J260" i="13" s="1"/>
  <c r="I260" i="13" a="1"/>
  <c r="I260" i="13" s="1"/>
  <c r="H260" i="13"/>
  <c r="H260" i="13" a="1"/>
  <c r="G260" i="13" a="1"/>
  <c r="G260" i="13" s="1"/>
  <c r="F260" i="13"/>
  <c r="F260" i="13" a="1"/>
  <c r="T259" i="13" a="1"/>
  <c r="T259" i="13" s="1"/>
  <c r="S259" i="13" a="1"/>
  <c r="S259" i="13" s="1"/>
  <c r="R259" i="13" a="1"/>
  <c r="R259" i="13" s="1"/>
  <c r="Q259" i="13" a="1"/>
  <c r="Q259" i="13" s="1"/>
  <c r="P259" i="13" a="1"/>
  <c r="P259" i="13" s="1"/>
  <c r="O259" i="13" a="1"/>
  <c r="O259" i="13" s="1"/>
  <c r="N259" i="13" a="1"/>
  <c r="N259" i="13" s="1"/>
  <c r="M259" i="13" a="1"/>
  <c r="M259" i="13" s="1"/>
  <c r="L259" i="13"/>
  <c r="L259" i="13" a="1"/>
  <c r="K259" i="13" a="1"/>
  <c r="K259" i="13" s="1"/>
  <c r="J259" i="13" a="1"/>
  <c r="J259" i="13" s="1"/>
  <c r="I259" i="13" a="1"/>
  <c r="I259" i="13" s="1"/>
  <c r="H259" i="13" a="1"/>
  <c r="H259" i="13" s="1"/>
  <c r="G259" i="13" a="1"/>
  <c r="G259" i="13" s="1"/>
  <c r="F259" i="13" a="1"/>
  <c r="F259" i="13" s="1"/>
  <c r="T258" i="13" a="1"/>
  <c r="T258" i="13" s="1"/>
  <c r="S258" i="13" a="1"/>
  <c r="S258" i="13" s="1"/>
  <c r="R258" i="13" a="1"/>
  <c r="R258" i="13" s="1"/>
  <c r="Q258" i="13" a="1"/>
  <c r="Q258" i="13" s="1"/>
  <c r="P258" i="13" a="1"/>
  <c r="P258" i="13" s="1"/>
  <c r="O258" i="13" a="1"/>
  <c r="O258" i="13" s="1"/>
  <c r="N258" i="13" a="1"/>
  <c r="N258" i="13" s="1"/>
  <c r="M258" i="13" a="1"/>
  <c r="M258" i="13" s="1"/>
  <c r="L258" i="13"/>
  <c r="L258" i="13" a="1"/>
  <c r="K258" i="13" a="1"/>
  <c r="K258" i="13" s="1"/>
  <c r="J258" i="13" a="1"/>
  <c r="J258" i="13" s="1"/>
  <c r="I258" i="13" a="1"/>
  <c r="I258" i="13" s="1"/>
  <c r="H258" i="13" a="1"/>
  <c r="H258" i="13" s="1"/>
  <c r="G258" i="13" a="1"/>
  <c r="G258" i="13" s="1"/>
  <c r="F258" i="13" a="1"/>
  <c r="F258" i="13" s="1"/>
  <c r="T257" i="13" a="1"/>
  <c r="T257" i="13" s="1"/>
  <c r="S257" i="13" a="1"/>
  <c r="S257" i="13" s="1"/>
  <c r="R257" i="13" a="1"/>
  <c r="R257" i="13" s="1"/>
  <c r="Q257" i="13" a="1"/>
  <c r="Q257" i="13" s="1"/>
  <c r="P257" i="13" a="1"/>
  <c r="P257" i="13" s="1"/>
  <c r="O257" i="13" a="1"/>
  <c r="O257" i="13" s="1"/>
  <c r="N257" i="13" a="1"/>
  <c r="N257" i="13" s="1"/>
  <c r="M257" i="13" a="1"/>
  <c r="M257" i="13" s="1"/>
  <c r="L257" i="13" a="1"/>
  <c r="L257" i="13" s="1"/>
  <c r="K257" i="13" a="1"/>
  <c r="K257" i="13" s="1"/>
  <c r="J257" i="13" a="1"/>
  <c r="J257" i="13" s="1"/>
  <c r="I257" i="13" a="1"/>
  <c r="I257" i="13" s="1"/>
  <c r="H257" i="13" a="1"/>
  <c r="H257" i="13" s="1"/>
  <c r="G257" i="13" a="1"/>
  <c r="G257" i="13" s="1"/>
  <c r="F257" i="13" a="1"/>
  <c r="F257" i="13" s="1"/>
  <c r="T256" i="13" a="1"/>
  <c r="T256" i="13" s="1"/>
  <c r="S256" i="13"/>
  <c r="S256" i="13" a="1"/>
  <c r="R256" i="13" a="1"/>
  <c r="R256" i="13" s="1"/>
  <c r="Q256" i="13"/>
  <c r="Q256" i="13" a="1"/>
  <c r="P256" i="13"/>
  <c r="P256" i="13" a="1"/>
  <c r="O256" i="13" a="1"/>
  <c r="O256" i="13" s="1"/>
  <c r="N256" i="13" a="1"/>
  <c r="N256" i="13" s="1"/>
  <c r="M256" i="13" a="1"/>
  <c r="M256" i="13" s="1"/>
  <c r="L256" i="13" a="1"/>
  <c r="L256" i="13" s="1"/>
  <c r="K256" i="13" a="1"/>
  <c r="K256" i="13" s="1"/>
  <c r="J256" i="13" a="1"/>
  <c r="J256" i="13" s="1"/>
  <c r="I256" i="13" a="1"/>
  <c r="I256" i="13" s="1"/>
  <c r="H256" i="13" a="1"/>
  <c r="H256" i="13" s="1"/>
  <c r="G256" i="13" a="1"/>
  <c r="G256" i="13" s="1"/>
  <c r="F256" i="13" a="1"/>
  <c r="F256" i="13" s="1"/>
  <c r="T255" i="13" a="1"/>
  <c r="T255" i="13" s="1"/>
  <c r="S255" i="13"/>
  <c r="S255" i="13" a="1"/>
  <c r="R255" i="13" a="1"/>
  <c r="R255" i="13" s="1"/>
  <c r="Q255" i="13" a="1"/>
  <c r="Q255" i="13" s="1"/>
  <c r="P255" i="13"/>
  <c r="P255" i="13" a="1"/>
  <c r="O255" i="13" a="1"/>
  <c r="O255" i="13" s="1"/>
  <c r="N255" i="13" a="1"/>
  <c r="N255" i="13" s="1"/>
  <c r="M255" i="13" a="1"/>
  <c r="M255" i="13" s="1"/>
  <c r="L255" i="13" a="1"/>
  <c r="L255" i="13" s="1"/>
  <c r="K255" i="13" a="1"/>
  <c r="K255" i="13" s="1"/>
  <c r="J255" i="13" a="1"/>
  <c r="J255" i="13" s="1"/>
  <c r="I255" i="13" a="1"/>
  <c r="I255" i="13" s="1"/>
  <c r="H255" i="13" a="1"/>
  <c r="H255" i="13" s="1"/>
  <c r="G255" i="13" a="1"/>
  <c r="G255" i="13" s="1"/>
  <c r="F255" i="13" a="1"/>
  <c r="F255" i="13" s="1"/>
  <c r="T254" i="13" a="1"/>
  <c r="T254" i="13" s="1"/>
  <c r="S254" i="13" a="1"/>
  <c r="S254" i="13" s="1"/>
  <c r="R254" i="13" a="1"/>
  <c r="R254" i="13" s="1"/>
  <c r="Q254" i="13" a="1"/>
  <c r="Q254" i="13" s="1"/>
  <c r="P254" i="13" a="1"/>
  <c r="P254" i="13" s="1"/>
  <c r="O254" i="13"/>
  <c r="O254" i="13" a="1"/>
  <c r="N254" i="13" a="1"/>
  <c r="N254" i="13" s="1"/>
  <c r="M254" i="13" a="1"/>
  <c r="M254" i="13" s="1"/>
  <c r="L254" i="13" a="1"/>
  <c r="L254" i="13" s="1"/>
  <c r="K254" i="13" a="1"/>
  <c r="K254" i="13" s="1"/>
  <c r="J254" i="13" a="1"/>
  <c r="J254" i="13" s="1"/>
  <c r="I254" i="13" a="1"/>
  <c r="I254" i="13" s="1"/>
  <c r="H254" i="13"/>
  <c r="H254" i="13" a="1"/>
  <c r="G254" i="13" a="1"/>
  <c r="G254" i="13" s="1"/>
  <c r="F254" i="13" a="1"/>
  <c r="F254" i="13" s="1"/>
  <c r="T253" i="13" a="1"/>
  <c r="T253" i="13" s="1"/>
  <c r="S253" i="13" a="1"/>
  <c r="S253" i="13" s="1"/>
  <c r="R253" i="13" a="1"/>
  <c r="R253" i="13" s="1"/>
  <c r="Q253" i="13" a="1"/>
  <c r="Q253" i="13" s="1"/>
  <c r="P253" i="13" a="1"/>
  <c r="P253" i="13" s="1"/>
  <c r="O253" i="13" a="1"/>
  <c r="O253" i="13" s="1"/>
  <c r="N253" i="13" a="1"/>
  <c r="N253" i="13" s="1"/>
  <c r="M253" i="13"/>
  <c r="M253" i="13" a="1"/>
  <c r="L253" i="13" a="1"/>
  <c r="L253" i="13" s="1"/>
  <c r="K253" i="13" a="1"/>
  <c r="K253" i="13" s="1"/>
  <c r="J253" i="13" a="1"/>
  <c r="J253" i="13" s="1"/>
  <c r="I253" i="13" a="1"/>
  <c r="I253" i="13" s="1"/>
  <c r="H253" i="13" a="1"/>
  <c r="H253" i="13" s="1"/>
  <c r="G253" i="13" a="1"/>
  <c r="G253" i="13" s="1"/>
  <c r="F253" i="13" a="1"/>
  <c r="F253" i="13" s="1"/>
  <c r="T252" i="13" a="1"/>
  <c r="T252" i="13" s="1"/>
  <c r="S252" i="13" a="1"/>
  <c r="S252" i="13" s="1"/>
  <c r="R252" i="13" a="1"/>
  <c r="R252" i="13" s="1"/>
  <c r="Q252" i="13" a="1"/>
  <c r="Q252" i="13" s="1"/>
  <c r="P252" i="13" a="1"/>
  <c r="P252" i="13" s="1"/>
  <c r="O252" i="13"/>
  <c r="O252" i="13" a="1"/>
  <c r="N252" i="13" a="1"/>
  <c r="N252" i="13" s="1"/>
  <c r="M252" i="13" a="1"/>
  <c r="M252" i="13" s="1"/>
  <c r="L252" i="13"/>
  <c r="L252" i="13" a="1"/>
  <c r="K252" i="13" a="1"/>
  <c r="K252" i="13" s="1"/>
  <c r="J252" i="13" a="1"/>
  <c r="J252" i="13" s="1"/>
  <c r="I252" i="13" a="1"/>
  <c r="I252" i="13" s="1"/>
  <c r="H252" i="13" a="1"/>
  <c r="H252" i="13" s="1"/>
  <c r="G252" i="13" a="1"/>
  <c r="G252" i="13" s="1"/>
  <c r="F252" i="13" a="1"/>
  <c r="F252" i="13" s="1"/>
  <c r="T251" i="13"/>
  <c r="T251" i="13" a="1"/>
  <c r="S251" i="13" a="1"/>
  <c r="S251" i="13" s="1"/>
  <c r="R251" i="13" a="1"/>
  <c r="R251" i="13" s="1"/>
  <c r="Q251" i="13" a="1"/>
  <c r="Q251" i="13" s="1"/>
  <c r="P251" i="13" a="1"/>
  <c r="P251" i="13" s="1"/>
  <c r="O251" i="13"/>
  <c r="O251" i="13" a="1"/>
  <c r="N251" i="13"/>
  <c r="N251" i="13" a="1"/>
  <c r="M251" i="13"/>
  <c r="M251" i="13" a="1"/>
  <c r="L251" i="13" a="1"/>
  <c r="L251" i="13" s="1"/>
  <c r="K251" i="13" a="1"/>
  <c r="K251" i="13" s="1"/>
  <c r="J251" i="13" a="1"/>
  <c r="J251" i="13" s="1"/>
  <c r="I251" i="13" a="1"/>
  <c r="I251" i="13" s="1"/>
  <c r="H251" i="13" a="1"/>
  <c r="H251" i="13" s="1"/>
  <c r="G251" i="13" a="1"/>
  <c r="G251" i="13" s="1"/>
  <c r="F251" i="13" a="1"/>
  <c r="F251" i="13" s="1"/>
  <c r="T250" i="13"/>
  <c r="T250" i="13" a="1"/>
  <c r="S250" i="13"/>
  <c r="S250" i="13" a="1"/>
  <c r="R250" i="13"/>
  <c r="R250" i="13" a="1"/>
  <c r="Q250" i="13" a="1"/>
  <c r="Q250" i="13" s="1"/>
  <c r="P250" i="13" a="1"/>
  <c r="P250" i="13" s="1"/>
  <c r="O250" i="13" a="1"/>
  <c r="O250" i="13" s="1"/>
  <c r="N250" i="13" a="1"/>
  <c r="N250" i="13" s="1"/>
  <c r="M250" i="13" a="1"/>
  <c r="M250" i="13" s="1"/>
  <c r="L250" i="13" a="1"/>
  <c r="L250" i="13" s="1"/>
  <c r="K250" i="13" a="1"/>
  <c r="K250" i="13" s="1"/>
  <c r="J250" i="13" a="1"/>
  <c r="J250" i="13" s="1"/>
  <c r="I250" i="13" a="1"/>
  <c r="I250" i="13" s="1"/>
  <c r="H250" i="13" a="1"/>
  <c r="H250" i="13" s="1"/>
  <c r="G250" i="13" a="1"/>
  <c r="G250" i="13" s="1"/>
  <c r="F250" i="13"/>
  <c r="F250" i="13" a="1"/>
  <c r="T249" i="13" a="1"/>
  <c r="T249" i="13" s="1"/>
  <c r="S249" i="13" a="1"/>
  <c r="S249" i="13" s="1"/>
  <c r="R249" i="13" a="1"/>
  <c r="R249" i="13" s="1"/>
  <c r="Q249" i="13" a="1"/>
  <c r="Q249" i="13" s="1"/>
  <c r="P249" i="13" a="1"/>
  <c r="P249" i="13" s="1"/>
  <c r="O249" i="13" a="1"/>
  <c r="O249" i="13" s="1"/>
  <c r="N249" i="13" a="1"/>
  <c r="N249" i="13" s="1"/>
  <c r="M249" i="13"/>
  <c r="M249" i="13" a="1"/>
  <c r="L249" i="13" a="1"/>
  <c r="L249" i="13" s="1"/>
  <c r="K249" i="13"/>
  <c r="K249" i="13" a="1"/>
  <c r="J249" i="13" a="1"/>
  <c r="J249" i="13" s="1"/>
  <c r="I249" i="13" a="1"/>
  <c r="I249" i="13" s="1"/>
  <c r="H249" i="13" a="1"/>
  <c r="H249" i="13" s="1"/>
  <c r="G249" i="13" a="1"/>
  <c r="G249" i="13" s="1"/>
  <c r="F249" i="13" a="1"/>
  <c r="F249" i="13" s="1"/>
  <c r="T248" i="13" a="1"/>
  <c r="T248" i="13" s="1"/>
  <c r="S248" i="13" a="1"/>
  <c r="S248" i="13" s="1"/>
  <c r="R248" i="13" a="1"/>
  <c r="R248" i="13" s="1"/>
  <c r="Q248" i="13" a="1"/>
  <c r="Q248" i="13" s="1"/>
  <c r="P248" i="13"/>
  <c r="P248" i="13" a="1"/>
  <c r="O248" i="13" a="1"/>
  <c r="O248" i="13" s="1"/>
  <c r="N248" i="13" a="1"/>
  <c r="N248" i="13" s="1"/>
  <c r="M248" i="13" a="1"/>
  <c r="M248" i="13" s="1"/>
  <c r="L248" i="13" a="1"/>
  <c r="L248" i="13" s="1"/>
  <c r="K248" i="13" a="1"/>
  <c r="K248" i="13" s="1"/>
  <c r="J248" i="13" a="1"/>
  <c r="J248" i="13" s="1"/>
  <c r="I248" i="13" a="1"/>
  <c r="I248" i="13" s="1"/>
  <c r="H248" i="13" a="1"/>
  <c r="H248" i="13" s="1"/>
  <c r="G248" i="13" a="1"/>
  <c r="G248" i="13" s="1"/>
  <c r="F248" i="13" a="1"/>
  <c r="F248" i="13" s="1"/>
  <c r="T247" i="13" a="1"/>
  <c r="T247" i="13" s="1"/>
  <c r="S247" i="13"/>
  <c r="S247" i="13" a="1"/>
  <c r="R247" i="13" a="1"/>
  <c r="R247" i="13" s="1"/>
  <c r="Q247" i="13" a="1"/>
  <c r="Q247" i="13" s="1"/>
  <c r="P247" i="13"/>
  <c r="P247" i="13" a="1"/>
  <c r="O247" i="13"/>
  <c r="O247" i="13" a="1"/>
  <c r="N247" i="13" a="1"/>
  <c r="N247" i="13" s="1"/>
  <c r="M247" i="13" a="1"/>
  <c r="M247" i="13" s="1"/>
  <c r="L247" i="13" a="1"/>
  <c r="L247" i="13" s="1"/>
  <c r="K247" i="13" a="1"/>
  <c r="K247" i="13" s="1"/>
  <c r="J247" i="13" a="1"/>
  <c r="J247" i="13" s="1"/>
  <c r="I247" i="13" a="1"/>
  <c r="I247" i="13" s="1"/>
  <c r="H247" i="13" a="1"/>
  <c r="H247" i="13" s="1"/>
  <c r="G247" i="13" a="1"/>
  <c r="G247" i="13" s="1"/>
  <c r="F247" i="13" a="1"/>
  <c r="F247" i="13" s="1"/>
  <c r="T246" i="13" a="1"/>
  <c r="T246" i="13" s="1"/>
  <c r="S246" i="13" a="1"/>
  <c r="S246" i="13" s="1"/>
  <c r="R246" i="13"/>
  <c r="R246" i="13" a="1"/>
  <c r="Q246" i="13"/>
  <c r="Q246" i="13" a="1"/>
  <c r="P246" i="13"/>
  <c r="P246" i="13" a="1"/>
  <c r="O246" i="13" a="1"/>
  <c r="O246" i="13" s="1"/>
  <c r="N246" i="13" a="1"/>
  <c r="N246" i="13" s="1"/>
  <c r="M246" i="13" a="1"/>
  <c r="M246" i="13" s="1"/>
  <c r="L246" i="13" a="1"/>
  <c r="L246" i="13" s="1"/>
  <c r="K246" i="13" a="1"/>
  <c r="K246" i="13" s="1"/>
  <c r="J246" i="13" a="1"/>
  <c r="J246" i="13" s="1"/>
  <c r="I246" i="13" a="1"/>
  <c r="I246" i="13" s="1"/>
  <c r="H246" i="13" a="1"/>
  <c r="H246" i="13" s="1"/>
  <c r="G246" i="13"/>
  <c r="G246" i="13" a="1"/>
  <c r="F246" i="13" a="1"/>
  <c r="F246" i="13" s="1"/>
  <c r="T245" i="13" a="1"/>
  <c r="T245" i="13" s="1"/>
  <c r="S245" i="13" a="1"/>
  <c r="S245" i="13" s="1"/>
  <c r="R245" i="13" a="1"/>
  <c r="R245" i="13" s="1"/>
  <c r="Q245" i="13" a="1"/>
  <c r="Q245" i="13" s="1"/>
  <c r="P245" i="13" a="1"/>
  <c r="P245" i="13" s="1"/>
  <c r="O245" i="13" a="1"/>
  <c r="O245" i="13" s="1"/>
  <c r="N245" i="13"/>
  <c r="N245" i="13" a="1"/>
  <c r="M245" i="13" a="1"/>
  <c r="M245" i="13" s="1"/>
  <c r="L245" i="13" a="1"/>
  <c r="L245" i="13" s="1"/>
  <c r="K245" i="13" a="1"/>
  <c r="K245" i="13" s="1"/>
  <c r="J245" i="13" a="1"/>
  <c r="J245" i="13" s="1"/>
  <c r="I245" i="13" a="1"/>
  <c r="I245" i="13" s="1"/>
  <c r="H245" i="13" a="1"/>
  <c r="H245" i="13" s="1"/>
  <c r="G245" i="13" a="1"/>
  <c r="G245" i="13" s="1"/>
  <c r="F245" i="13" a="1"/>
  <c r="F245" i="13" s="1"/>
  <c r="T244" i="13" a="1"/>
  <c r="T244" i="13" s="1"/>
  <c r="S244" i="13" a="1"/>
  <c r="S244" i="13" s="1"/>
  <c r="R244" i="13" a="1"/>
  <c r="R244" i="13" s="1"/>
  <c r="Q244" i="13" a="1"/>
  <c r="Q244" i="13" s="1"/>
  <c r="P244" i="13"/>
  <c r="P244" i="13" a="1"/>
  <c r="O244" i="13" a="1"/>
  <c r="O244" i="13" s="1"/>
  <c r="N244" i="13" a="1"/>
  <c r="N244" i="13" s="1"/>
  <c r="M244" i="13" a="1"/>
  <c r="M244" i="13" s="1"/>
  <c r="L244" i="13" a="1"/>
  <c r="L244" i="13" s="1"/>
  <c r="K244" i="13" a="1"/>
  <c r="K244" i="13" s="1"/>
  <c r="J244" i="13" a="1"/>
  <c r="J244" i="13" s="1"/>
  <c r="I244" i="13" a="1"/>
  <c r="I244" i="13" s="1"/>
  <c r="H244" i="13" a="1"/>
  <c r="H244" i="13" s="1"/>
  <c r="G244" i="13" a="1"/>
  <c r="G244" i="13" s="1"/>
  <c r="F244" i="13" a="1"/>
  <c r="F244" i="13" s="1"/>
  <c r="T243" i="13" a="1"/>
  <c r="T243" i="13" s="1"/>
  <c r="S243" i="13" a="1"/>
  <c r="S243" i="13" s="1"/>
  <c r="R243" i="13" a="1"/>
  <c r="R243" i="13" s="1"/>
  <c r="Q243" i="13" a="1"/>
  <c r="Q243" i="13" s="1"/>
  <c r="P243" i="13" a="1"/>
  <c r="P243" i="13" s="1"/>
  <c r="O243" i="13" a="1"/>
  <c r="O243" i="13" s="1"/>
  <c r="N243" i="13" a="1"/>
  <c r="N243" i="13" s="1"/>
  <c r="M243" i="13" a="1"/>
  <c r="M243" i="13" s="1"/>
  <c r="L243" i="13" a="1"/>
  <c r="L243" i="13" s="1"/>
  <c r="K243" i="13" a="1"/>
  <c r="K243" i="13" s="1"/>
  <c r="J243" i="13" a="1"/>
  <c r="J243" i="13" s="1"/>
  <c r="I243" i="13" a="1"/>
  <c r="I243" i="13" s="1"/>
  <c r="H243" i="13" a="1"/>
  <c r="H243" i="13" s="1"/>
  <c r="G243" i="13" a="1"/>
  <c r="G243" i="13" s="1"/>
  <c r="F243" i="13" a="1"/>
  <c r="F243" i="13" s="1"/>
  <c r="T242" i="13" a="1"/>
  <c r="T242" i="13" s="1"/>
  <c r="S242" i="13"/>
  <c r="S242" i="13" a="1"/>
  <c r="R242" i="13"/>
  <c r="R242" i="13" a="1"/>
  <c r="Q242" i="13" a="1"/>
  <c r="Q242" i="13" s="1"/>
  <c r="P242" i="13" a="1"/>
  <c r="P242" i="13" s="1"/>
  <c r="O242" i="13" a="1"/>
  <c r="O242" i="13" s="1"/>
  <c r="N242" i="13" a="1"/>
  <c r="N242" i="13" s="1"/>
  <c r="M242" i="13" a="1"/>
  <c r="M242" i="13" s="1"/>
  <c r="L242" i="13" a="1"/>
  <c r="L242" i="13" s="1"/>
  <c r="K242" i="13" a="1"/>
  <c r="K242" i="13" s="1"/>
  <c r="J242" i="13" a="1"/>
  <c r="J242" i="13" s="1"/>
  <c r="I242" i="13" a="1"/>
  <c r="I242" i="13" s="1"/>
  <c r="H242" i="13" a="1"/>
  <c r="H242" i="13" s="1"/>
  <c r="G242" i="13" a="1"/>
  <c r="G242" i="13" s="1"/>
  <c r="F242" i="13" a="1"/>
  <c r="F242" i="13" s="1"/>
  <c r="T241" i="13" a="1"/>
  <c r="T241" i="13" s="1"/>
  <c r="S241" i="13" a="1"/>
  <c r="S241" i="13" s="1"/>
  <c r="R241" i="13" a="1"/>
  <c r="R241" i="13" s="1"/>
  <c r="Q241" i="13" a="1"/>
  <c r="Q241" i="13" s="1"/>
  <c r="P241" i="13" a="1"/>
  <c r="P241" i="13" s="1"/>
  <c r="O241" i="13" a="1"/>
  <c r="O241" i="13" s="1"/>
  <c r="N241" i="13" a="1"/>
  <c r="N241" i="13" s="1"/>
  <c r="M241" i="13" a="1"/>
  <c r="M241" i="13" s="1"/>
  <c r="L241" i="13"/>
  <c r="L241" i="13" a="1"/>
  <c r="K241" i="13" a="1"/>
  <c r="K241" i="13" s="1"/>
  <c r="J241" i="13" a="1"/>
  <c r="J241" i="13" s="1"/>
  <c r="I241" i="13"/>
  <c r="I241" i="13" a="1"/>
  <c r="H241" i="13" a="1"/>
  <c r="H241" i="13" s="1"/>
  <c r="G241" i="13" a="1"/>
  <c r="G241" i="13" s="1"/>
  <c r="F241" i="13" a="1"/>
  <c r="F241" i="13" s="1"/>
  <c r="T240" i="13" a="1"/>
  <c r="T240" i="13" s="1"/>
  <c r="S240" i="13" a="1"/>
  <c r="S240" i="13" s="1"/>
  <c r="R240" i="13" a="1"/>
  <c r="R240" i="13" s="1"/>
  <c r="Q240" i="13" a="1"/>
  <c r="Q240" i="13" s="1"/>
  <c r="P240" i="13" a="1"/>
  <c r="P240" i="13" s="1"/>
  <c r="O240" i="13" a="1"/>
  <c r="O240" i="13" s="1"/>
  <c r="N240" i="13" a="1"/>
  <c r="N240" i="13" s="1"/>
  <c r="M240" i="13" a="1"/>
  <c r="M240" i="13" s="1"/>
  <c r="L240" i="13" a="1"/>
  <c r="L240" i="13" s="1"/>
  <c r="K240" i="13"/>
  <c r="K240" i="13" a="1"/>
  <c r="J240" i="13" a="1"/>
  <c r="J240" i="13" s="1"/>
  <c r="I240" i="13" a="1"/>
  <c r="I240" i="13" s="1"/>
  <c r="H240" i="13" a="1"/>
  <c r="H240" i="13" s="1"/>
  <c r="G240" i="13" a="1"/>
  <c r="G240" i="13" s="1"/>
  <c r="F240" i="13" a="1"/>
  <c r="F240" i="13" s="1"/>
  <c r="T239" i="13" a="1"/>
  <c r="T239" i="13" s="1"/>
  <c r="S239" i="13" a="1"/>
  <c r="S239" i="13" s="1"/>
  <c r="R239" i="13" a="1"/>
  <c r="R239" i="13" s="1"/>
  <c r="Q239" i="13" a="1"/>
  <c r="Q239" i="13" s="1"/>
  <c r="P239" i="13" a="1"/>
  <c r="P239" i="13" s="1"/>
  <c r="O239" i="13" a="1"/>
  <c r="O239" i="13" s="1"/>
  <c r="N239" i="13" a="1"/>
  <c r="N239" i="13" s="1"/>
  <c r="M239" i="13" a="1"/>
  <c r="M239" i="13" s="1"/>
  <c r="L239" i="13" a="1"/>
  <c r="L239" i="13" s="1"/>
  <c r="K239" i="13" a="1"/>
  <c r="K239" i="13" s="1"/>
  <c r="J239" i="13" a="1"/>
  <c r="J239" i="13" s="1"/>
  <c r="I239" i="13" a="1"/>
  <c r="I239" i="13" s="1"/>
  <c r="H239" i="13" a="1"/>
  <c r="H239" i="13" s="1"/>
  <c r="G239" i="13" a="1"/>
  <c r="G239" i="13" s="1"/>
  <c r="F239" i="13" a="1"/>
  <c r="F239" i="13" s="1"/>
  <c r="T238" i="13" a="1"/>
  <c r="T238" i="13" s="1"/>
  <c r="S238" i="13" a="1"/>
  <c r="S238" i="13" s="1"/>
  <c r="R238" i="13" a="1"/>
  <c r="R238" i="13" s="1"/>
  <c r="Q238" i="13" a="1"/>
  <c r="Q238" i="13" s="1"/>
  <c r="P238" i="13" a="1"/>
  <c r="P238" i="13" s="1"/>
  <c r="O238" i="13" a="1"/>
  <c r="O238" i="13" s="1"/>
  <c r="N238" i="13" a="1"/>
  <c r="N238" i="13" s="1"/>
  <c r="M238" i="13" a="1"/>
  <c r="M238" i="13" s="1"/>
  <c r="L238" i="13" a="1"/>
  <c r="L238" i="13" s="1"/>
  <c r="K238" i="13" a="1"/>
  <c r="K238" i="13" s="1"/>
  <c r="J238" i="13" a="1"/>
  <c r="J238" i="13" s="1"/>
  <c r="I238" i="13" a="1"/>
  <c r="I238" i="13" s="1"/>
  <c r="H238" i="13"/>
  <c r="H238" i="13" a="1"/>
  <c r="G238" i="13" a="1"/>
  <c r="G238" i="13" s="1"/>
  <c r="F238" i="13" a="1"/>
  <c r="F238" i="13" s="1"/>
  <c r="T237" i="13" a="1"/>
  <c r="T237" i="13" s="1"/>
  <c r="S237" i="13" a="1"/>
  <c r="S237" i="13" s="1"/>
  <c r="R237" i="13" a="1"/>
  <c r="R237" i="13" s="1"/>
  <c r="Q237" i="13"/>
  <c r="Q237" i="13" a="1"/>
  <c r="P237" i="13" a="1"/>
  <c r="P237" i="13" s="1"/>
  <c r="O237" i="13" a="1"/>
  <c r="O237" i="13" s="1"/>
  <c r="N237" i="13" a="1"/>
  <c r="N237" i="13" s="1"/>
  <c r="M237" i="13" a="1"/>
  <c r="M237" i="13" s="1"/>
  <c r="L237" i="13" a="1"/>
  <c r="L237" i="13" s="1"/>
  <c r="K237" i="13" a="1"/>
  <c r="K237" i="13" s="1"/>
  <c r="J237" i="13" a="1"/>
  <c r="J237" i="13" s="1"/>
  <c r="I237" i="13" a="1"/>
  <c r="I237" i="13" s="1"/>
  <c r="H237" i="13" a="1"/>
  <c r="H237" i="13" s="1"/>
  <c r="G237" i="13"/>
  <c r="G237" i="13" a="1"/>
  <c r="F237" i="13" a="1"/>
  <c r="F237" i="13" s="1"/>
  <c r="T236" i="13" a="1"/>
  <c r="T236" i="13" s="1"/>
  <c r="S236" i="13" a="1"/>
  <c r="S236" i="13" s="1"/>
  <c r="R236" i="13" a="1"/>
  <c r="R236" i="13" s="1"/>
  <c r="Q236" i="13" a="1"/>
  <c r="Q236" i="13" s="1"/>
  <c r="P236" i="13" a="1"/>
  <c r="P236" i="13" s="1"/>
  <c r="O236" i="13" a="1"/>
  <c r="O236" i="13" s="1"/>
  <c r="N236" i="13" a="1"/>
  <c r="N236" i="13" s="1"/>
  <c r="M236" i="13" a="1"/>
  <c r="M236" i="13" s="1"/>
  <c r="L236" i="13" a="1"/>
  <c r="L236" i="13" s="1"/>
  <c r="K236" i="13" a="1"/>
  <c r="K236" i="13" s="1"/>
  <c r="J236" i="13" a="1"/>
  <c r="J236" i="13" s="1"/>
  <c r="I236" i="13" a="1"/>
  <c r="I236" i="13" s="1"/>
  <c r="H236" i="13" a="1"/>
  <c r="H236" i="13" s="1"/>
  <c r="G236" i="13"/>
  <c r="G236" i="13" a="1"/>
  <c r="F236" i="13" a="1"/>
  <c r="F236" i="13" s="1"/>
  <c r="T235" i="13" a="1"/>
  <c r="T235" i="13" s="1"/>
  <c r="S235" i="13" a="1"/>
  <c r="S235" i="13" s="1"/>
  <c r="R235" i="13" a="1"/>
  <c r="R235" i="13" s="1"/>
  <c r="Q235" i="13" a="1"/>
  <c r="Q235" i="13" s="1"/>
  <c r="P235" i="13" a="1"/>
  <c r="P235" i="13" s="1"/>
  <c r="O235" i="13" a="1"/>
  <c r="O235" i="13" s="1"/>
  <c r="N235" i="13"/>
  <c r="N235" i="13" a="1"/>
  <c r="M235" i="13" a="1"/>
  <c r="M235" i="13" s="1"/>
  <c r="L235" i="13" a="1"/>
  <c r="L235" i="13" s="1"/>
  <c r="K235" i="13" a="1"/>
  <c r="K235" i="13" s="1"/>
  <c r="J235" i="13" a="1"/>
  <c r="J235" i="13" s="1"/>
  <c r="I235" i="13" a="1"/>
  <c r="I235" i="13" s="1"/>
  <c r="H235" i="13" a="1"/>
  <c r="H235" i="13" s="1"/>
  <c r="G235" i="13" a="1"/>
  <c r="G235" i="13" s="1"/>
  <c r="F235" i="13" a="1"/>
  <c r="F235" i="13" s="1"/>
  <c r="T234" i="13" a="1"/>
  <c r="T234" i="13" s="1"/>
  <c r="S234" i="13" a="1"/>
  <c r="S234" i="13" s="1"/>
  <c r="R234" i="13"/>
  <c r="R234" i="13" a="1"/>
  <c r="Q234" i="13" a="1"/>
  <c r="Q234" i="13" s="1"/>
  <c r="P234" i="13" a="1"/>
  <c r="P234" i="13" s="1"/>
  <c r="O234" i="13" a="1"/>
  <c r="O234" i="13" s="1"/>
  <c r="N234" i="13" a="1"/>
  <c r="N234" i="13" s="1"/>
  <c r="M234" i="13"/>
  <c r="M234" i="13" a="1"/>
  <c r="L234" i="13"/>
  <c r="L234" i="13" a="1"/>
  <c r="K234" i="13" a="1"/>
  <c r="K234" i="13" s="1"/>
  <c r="J234" i="13" a="1"/>
  <c r="J234" i="13" s="1"/>
  <c r="I234" i="13" a="1"/>
  <c r="I234" i="13" s="1"/>
  <c r="H234" i="13" a="1"/>
  <c r="H234" i="13" s="1"/>
  <c r="G234" i="13" a="1"/>
  <c r="G234" i="13" s="1"/>
  <c r="F234" i="13" a="1"/>
  <c r="F234" i="13" s="1"/>
  <c r="T233" i="13"/>
  <c r="T233" i="13" a="1"/>
  <c r="S233" i="13" a="1"/>
  <c r="S233" i="13" s="1"/>
  <c r="R233" i="13"/>
  <c r="R233" i="13" a="1"/>
  <c r="Q233" i="13" a="1"/>
  <c r="Q233" i="13" s="1"/>
  <c r="P233" i="13" a="1"/>
  <c r="P233" i="13" s="1"/>
  <c r="O233" i="13" a="1"/>
  <c r="O233" i="13" s="1"/>
  <c r="N233" i="13" a="1"/>
  <c r="N233" i="13" s="1"/>
  <c r="M233" i="13" a="1"/>
  <c r="M233" i="13" s="1"/>
  <c r="L233" i="13" a="1"/>
  <c r="L233" i="13" s="1"/>
  <c r="K233" i="13" a="1"/>
  <c r="K233" i="13" s="1"/>
  <c r="J233" i="13" a="1"/>
  <c r="J233" i="13" s="1"/>
  <c r="I233" i="13" a="1"/>
  <c r="I233" i="13" s="1"/>
  <c r="H233" i="13" a="1"/>
  <c r="H233" i="13" s="1"/>
  <c r="G233" i="13" a="1"/>
  <c r="G233" i="13" s="1"/>
  <c r="F233" i="13" a="1"/>
  <c r="F233" i="13" s="1"/>
  <c r="T232" i="13"/>
  <c r="T232" i="13" a="1"/>
  <c r="S232" i="13"/>
  <c r="S232" i="13" a="1"/>
  <c r="R232" i="13" a="1"/>
  <c r="R232" i="13" s="1"/>
  <c r="Q232" i="13" a="1"/>
  <c r="Q232" i="13" s="1"/>
  <c r="P232" i="13" a="1"/>
  <c r="P232" i="13" s="1"/>
  <c r="O232" i="13" a="1"/>
  <c r="O232" i="13" s="1"/>
  <c r="N232" i="13" a="1"/>
  <c r="N232" i="13" s="1"/>
  <c r="M232" i="13" a="1"/>
  <c r="M232" i="13" s="1"/>
  <c r="L232" i="13"/>
  <c r="L232" i="13" a="1"/>
  <c r="K232" i="13" a="1"/>
  <c r="K232" i="13" s="1"/>
  <c r="J232" i="13"/>
  <c r="J232" i="13" a="1"/>
  <c r="I232" i="13" a="1"/>
  <c r="I232" i="13" s="1"/>
  <c r="H232" i="13" a="1"/>
  <c r="H232" i="13" s="1"/>
  <c r="G232" i="13" a="1"/>
  <c r="G232" i="13" s="1"/>
  <c r="F232" i="13" a="1"/>
  <c r="F232" i="13" s="1"/>
  <c r="T231" i="13" a="1"/>
  <c r="T231" i="13" s="1"/>
  <c r="S231" i="13" a="1"/>
  <c r="S231" i="13" s="1"/>
  <c r="R231" i="13" a="1"/>
  <c r="R231" i="13" s="1"/>
  <c r="Q231" i="13" a="1"/>
  <c r="Q231" i="13" s="1"/>
  <c r="P231" i="13"/>
  <c r="P231" i="13" a="1"/>
  <c r="O231" i="13" a="1"/>
  <c r="O231" i="13" s="1"/>
  <c r="N231" i="13" a="1"/>
  <c r="N231" i="13" s="1"/>
  <c r="M231" i="13" a="1"/>
  <c r="M231" i="13" s="1"/>
  <c r="L231" i="13" a="1"/>
  <c r="L231" i="13" s="1"/>
  <c r="K231" i="13"/>
  <c r="K231" i="13" a="1"/>
  <c r="J231" i="13"/>
  <c r="J231" i="13" a="1"/>
  <c r="I231" i="13" a="1"/>
  <c r="I231" i="13" s="1"/>
  <c r="H231" i="13"/>
  <c r="H231" i="13" a="1"/>
  <c r="G231" i="13" a="1"/>
  <c r="G231" i="13" s="1"/>
  <c r="F231" i="13" a="1"/>
  <c r="F231" i="13" s="1"/>
  <c r="T230" i="13" a="1"/>
  <c r="T230" i="13" s="1"/>
  <c r="S230" i="13" a="1"/>
  <c r="S230" i="13" s="1"/>
  <c r="R230" i="13"/>
  <c r="R230" i="13" a="1"/>
  <c r="Q230" i="13" a="1"/>
  <c r="Q230" i="13" s="1"/>
  <c r="P230" i="13" a="1"/>
  <c r="P230" i="13" s="1"/>
  <c r="O230" i="13" a="1"/>
  <c r="O230" i="13" s="1"/>
  <c r="N230" i="13" a="1"/>
  <c r="N230" i="13" s="1"/>
  <c r="M230" i="13" a="1"/>
  <c r="M230" i="13" s="1"/>
  <c r="L230" i="13" a="1"/>
  <c r="L230" i="13" s="1"/>
  <c r="K230" i="13" a="1"/>
  <c r="K230" i="13" s="1"/>
  <c r="J230" i="13" a="1"/>
  <c r="J230" i="13" s="1"/>
  <c r="I230" i="13"/>
  <c r="I230" i="13" a="1"/>
  <c r="H230" i="13" a="1"/>
  <c r="H230" i="13" s="1"/>
  <c r="G230" i="13" a="1"/>
  <c r="G230" i="13" s="1"/>
  <c r="F230" i="13" a="1"/>
  <c r="F230" i="13" s="1"/>
  <c r="T229" i="13" a="1"/>
  <c r="T229" i="13" s="1"/>
  <c r="S229" i="13" a="1"/>
  <c r="S229" i="13" s="1"/>
  <c r="R229" i="13" a="1"/>
  <c r="R229" i="13" s="1"/>
  <c r="Q229" i="13" a="1"/>
  <c r="Q229" i="13" s="1"/>
  <c r="P229" i="13" a="1"/>
  <c r="P229" i="13" s="1"/>
  <c r="O229" i="13" a="1"/>
  <c r="O229" i="13" s="1"/>
  <c r="N229" i="13" a="1"/>
  <c r="N229" i="13" s="1"/>
  <c r="M229" i="13" a="1"/>
  <c r="M229" i="13" s="1"/>
  <c r="L229" i="13" a="1"/>
  <c r="L229" i="13" s="1"/>
  <c r="K229" i="13" a="1"/>
  <c r="K229" i="13" s="1"/>
  <c r="J229" i="13" a="1"/>
  <c r="J229" i="13" s="1"/>
  <c r="I229" i="13" a="1"/>
  <c r="I229" i="13" s="1"/>
  <c r="H229" i="13" a="1"/>
  <c r="H229" i="13" s="1"/>
  <c r="G229" i="13"/>
  <c r="G229" i="13" a="1"/>
  <c r="F229" i="13" a="1"/>
  <c r="F229" i="13" s="1"/>
  <c r="T228" i="13" a="1"/>
  <c r="T228" i="13" s="1"/>
  <c r="S228" i="13" a="1"/>
  <c r="S228" i="13" s="1"/>
  <c r="R228" i="13" a="1"/>
  <c r="R228" i="13" s="1"/>
  <c r="Q228" i="13" a="1"/>
  <c r="Q228" i="13" s="1"/>
  <c r="P228" i="13" a="1"/>
  <c r="P228" i="13" s="1"/>
  <c r="O228" i="13" a="1"/>
  <c r="O228" i="13" s="1"/>
  <c r="N228" i="13" a="1"/>
  <c r="N228" i="13" s="1"/>
  <c r="M228" i="13" a="1"/>
  <c r="M228" i="13" s="1"/>
  <c r="L228" i="13" a="1"/>
  <c r="L228" i="13" s="1"/>
  <c r="K228" i="13" a="1"/>
  <c r="K228" i="13" s="1"/>
  <c r="J228" i="13" a="1"/>
  <c r="J228" i="13" s="1"/>
  <c r="I228" i="13" a="1"/>
  <c r="I228" i="13" s="1"/>
  <c r="H228" i="13"/>
  <c r="H228" i="13" a="1"/>
  <c r="G228" i="13" a="1"/>
  <c r="G228" i="13" s="1"/>
  <c r="F228" i="13"/>
  <c r="F228" i="13" a="1"/>
  <c r="T227" i="13" a="1"/>
  <c r="T227" i="13" s="1"/>
  <c r="S227" i="13" a="1"/>
  <c r="S227" i="13" s="1"/>
  <c r="R227" i="13" a="1"/>
  <c r="R227" i="13" s="1"/>
  <c r="Q227" i="13" a="1"/>
  <c r="Q227" i="13" s="1"/>
  <c r="P227" i="13" a="1"/>
  <c r="P227" i="13" s="1"/>
  <c r="O227" i="13" a="1"/>
  <c r="O227" i="13" s="1"/>
  <c r="N227" i="13" a="1"/>
  <c r="N227" i="13" s="1"/>
  <c r="M227" i="13"/>
  <c r="M227" i="13" a="1"/>
  <c r="L227" i="13" a="1"/>
  <c r="L227" i="13" s="1"/>
  <c r="K227" i="13" a="1"/>
  <c r="K227" i="13" s="1"/>
  <c r="J227" i="13" a="1"/>
  <c r="J227" i="13" s="1"/>
  <c r="I227" i="13" a="1"/>
  <c r="I227" i="13" s="1"/>
  <c r="H227" i="13" a="1"/>
  <c r="H227" i="13" s="1"/>
  <c r="G227" i="13"/>
  <c r="G227" i="13" a="1"/>
  <c r="F227" i="13" a="1"/>
  <c r="F227" i="13" s="1"/>
  <c r="T226" i="13" a="1"/>
  <c r="T226" i="13" s="1"/>
  <c r="S226" i="13" a="1"/>
  <c r="S226" i="13" s="1"/>
  <c r="R226" i="13"/>
  <c r="R226" i="13" a="1"/>
  <c r="Q226" i="13" a="1"/>
  <c r="Q226" i="13" s="1"/>
  <c r="P226" i="13" a="1"/>
  <c r="P226" i="13" s="1"/>
  <c r="O226" i="13" a="1"/>
  <c r="O226" i="13" s="1"/>
  <c r="N226" i="13" a="1"/>
  <c r="N226" i="13" s="1"/>
  <c r="M226" i="13"/>
  <c r="M226" i="13" a="1"/>
  <c r="L226" i="13"/>
  <c r="L226" i="13" a="1"/>
  <c r="K226" i="13" a="1"/>
  <c r="K226" i="13" s="1"/>
  <c r="J226" i="13" a="1"/>
  <c r="J226" i="13" s="1"/>
  <c r="I226" i="13" a="1"/>
  <c r="I226" i="13" s="1"/>
  <c r="H226" i="13" a="1"/>
  <c r="H226" i="13" s="1"/>
  <c r="G226" i="13" a="1"/>
  <c r="G226" i="13" s="1"/>
  <c r="F226" i="13" a="1"/>
  <c r="F226" i="13" s="1"/>
  <c r="T225" i="13" a="1"/>
  <c r="T225" i="13" s="1"/>
  <c r="S225" i="13" a="1"/>
  <c r="S225" i="13" s="1"/>
  <c r="R225" i="13" a="1"/>
  <c r="R225" i="13" s="1"/>
  <c r="Q225" i="13" a="1"/>
  <c r="Q225" i="13" s="1"/>
  <c r="P225" i="13" a="1"/>
  <c r="P225" i="13" s="1"/>
  <c r="O225" i="13" a="1"/>
  <c r="O225" i="13" s="1"/>
  <c r="N225" i="13" a="1"/>
  <c r="N225" i="13" s="1"/>
  <c r="M225" i="13" a="1"/>
  <c r="M225" i="13" s="1"/>
  <c r="L225" i="13"/>
  <c r="L225" i="13" a="1"/>
  <c r="K225" i="13" a="1"/>
  <c r="K225" i="13" s="1"/>
  <c r="J225" i="13" a="1"/>
  <c r="J225" i="13" s="1"/>
  <c r="I225" i="13"/>
  <c r="I225" i="13" a="1"/>
  <c r="H225" i="13" a="1"/>
  <c r="H225" i="13" s="1"/>
  <c r="G225" i="13" a="1"/>
  <c r="G225" i="13" s="1"/>
  <c r="F225" i="13" a="1"/>
  <c r="F225" i="13" s="1"/>
  <c r="T224" i="13" a="1"/>
  <c r="T224" i="13" s="1"/>
  <c r="S224" i="13" a="1"/>
  <c r="S224" i="13" s="1"/>
  <c r="R224" i="13" a="1"/>
  <c r="R224" i="13" s="1"/>
  <c r="Q224" i="13" a="1"/>
  <c r="Q224" i="13" s="1"/>
  <c r="P224" i="13" a="1"/>
  <c r="P224" i="13" s="1"/>
  <c r="O224" i="13" a="1"/>
  <c r="O224" i="13" s="1"/>
  <c r="N224" i="13" a="1"/>
  <c r="N224" i="13" s="1"/>
  <c r="M224" i="13" a="1"/>
  <c r="M224" i="13" s="1"/>
  <c r="L224" i="13"/>
  <c r="L224" i="13" a="1"/>
  <c r="K224" i="13"/>
  <c r="K224" i="13" a="1"/>
  <c r="J224" i="13" a="1"/>
  <c r="J224" i="13" s="1"/>
  <c r="I224" i="13" a="1"/>
  <c r="I224" i="13" s="1"/>
  <c r="H224" i="13" a="1"/>
  <c r="H224" i="13" s="1"/>
  <c r="G224" i="13" a="1"/>
  <c r="G224" i="13" s="1"/>
  <c r="F224" i="13" a="1"/>
  <c r="F224" i="13" s="1"/>
  <c r="T223" i="13" a="1"/>
  <c r="T223" i="13" s="1"/>
  <c r="S223" i="13" a="1"/>
  <c r="S223" i="13" s="1"/>
  <c r="R223" i="13" a="1"/>
  <c r="R223" i="13" s="1"/>
  <c r="Q223" i="13" a="1"/>
  <c r="Q223" i="13" s="1"/>
  <c r="P223" i="13" a="1"/>
  <c r="P223" i="13" s="1"/>
  <c r="O223" i="13" a="1"/>
  <c r="O223" i="13" s="1"/>
  <c r="N223" i="13" a="1"/>
  <c r="N223" i="13" s="1"/>
  <c r="M223" i="13" a="1"/>
  <c r="M223" i="13" s="1"/>
  <c r="L223" i="13" a="1"/>
  <c r="L223" i="13" s="1"/>
  <c r="K223" i="13"/>
  <c r="K223" i="13" a="1"/>
  <c r="J223" i="13" a="1"/>
  <c r="J223" i="13" s="1"/>
  <c r="I223" i="13" a="1"/>
  <c r="I223" i="13" s="1"/>
  <c r="H223" i="13" a="1"/>
  <c r="H223" i="13" s="1"/>
  <c r="G223" i="13" a="1"/>
  <c r="G223" i="13" s="1"/>
  <c r="F223" i="13" a="1"/>
  <c r="F223" i="13" s="1"/>
  <c r="T222" i="13" a="1"/>
  <c r="T222" i="13" s="1"/>
  <c r="S222" i="13" a="1"/>
  <c r="S222" i="13" s="1"/>
  <c r="R222" i="13"/>
  <c r="R222" i="13" a="1"/>
  <c r="Q222" i="13" a="1"/>
  <c r="Q222" i="13" s="1"/>
  <c r="P222" i="13" a="1"/>
  <c r="P222" i="13" s="1"/>
  <c r="O222" i="13"/>
  <c r="O222" i="13" a="1"/>
  <c r="N222" i="13" a="1"/>
  <c r="N222" i="13" s="1"/>
  <c r="M222" i="13" a="1"/>
  <c r="M222" i="13" s="1"/>
  <c r="L222" i="13" a="1"/>
  <c r="L222" i="13" s="1"/>
  <c r="K222" i="13" a="1"/>
  <c r="K222" i="13" s="1"/>
  <c r="J222" i="13"/>
  <c r="J222" i="13" a="1"/>
  <c r="I222" i="13"/>
  <c r="I222" i="13" a="1"/>
  <c r="H222" i="13" a="1"/>
  <c r="H222" i="13" s="1"/>
  <c r="G222" i="13" a="1"/>
  <c r="G222" i="13" s="1"/>
  <c r="F222" i="13" a="1"/>
  <c r="F222" i="13" s="1"/>
  <c r="T221" i="13" a="1"/>
  <c r="T221" i="13" s="1"/>
  <c r="S221" i="13"/>
  <c r="S221" i="13" a="1"/>
  <c r="R221" i="13" a="1"/>
  <c r="R221" i="13" s="1"/>
  <c r="Q221" i="13"/>
  <c r="Q221" i="13" a="1"/>
  <c r="P221" i="13" a="1"/>
  <c r="P221" i="13" s="1"/>
  <c r="O221" i="13"/>
  <c r="O221" i="13" a="1"/>
  <c r="N221" i="13"/>
  <c r="N221" i="13" a="1"/>
  <c r="M221" i="13" a="1"/>
  <c r="M221" i="13" s="1"/>
  <c r="L221" i="13" a="1"/>
  <c r="L221" i="13" s="1"/>
  <c r="K221" i="13" a="1"/>
  <c r="K221" i="13" s="1"/>
  <c r="J221" i="13" a="1"/>
  <c r="J221" i="13" s="1"/>
  <c r="I221" i="13" a="1"/>
  <c r="I221" i="13" s="1"/>
  <c r="H221" i="13" a="1"/>
  <c r="H221" i="13" s="1"/>
  <c r="G221" i="13" a="1"/>
  <c r="G221" i="13" s="1"/>
  <c r="F221" i="13" a="1"/>
  <c r="F221" i="13" s="1"/>
  <c r="T220" i="13" a="1"/>
  <c r="T220" i="13" s="1"/>
  <c r="S220" i="13" a="1"/>
  <c r="S220" i="13" s="1"/>
  <c r="R220" i="13" a="1"/>
  <c r="R220" i="13" s="1"/>
  <c r="Q220" i="13" a="1"/>
  <c r="Q220" i="13" s="1"/>
  <c r="P220" i="13"/>
  <c r="P220" i="13" a="1"/>
  <c r="O220" i="13" a="1"/>
  <c r="O220" i="13" s="1"/>
  <c r="N220" i="13" a="1"/>
  <c r="N220" i="13" s="1"/>
  <c r="M220" i="13" a="1"/>
  <c r="M220" i="13" s="1"/>
  <c r="L220" i="13" a="1"/>
  <c r="L220" i="13" s="1"/>
  <c r="K220" i="13" a="1"/>
  <c r="K220" i="13" s="1"/>
  <c r="J220" i="13" a="1"/>
  <c r="J220" i="13" s="1"/>
  <c r="I220" i="13" a="1"/>
  <c r="I220" i="13" s="1"/>
  <c r="H220" i="13" a="1"/>
  <c r="H220" i="13" s="1"/>
  <c r="G220" i="13" a="1"/>
  <c r="G220" i="13" s="1"/>
  <c r="F220" i="13" a="1"/>
  <c r="F220" i="13" s="1"/>
  <c r="T219" i="13" a="1"/>
  <c r="T219" i="13" s="1"/>
  <c r="S219" i="13" a="1"/>
  <c r="S219" i="13" s="1"/>
  <c r="R219" i="13" a="1"/>
  <c r="R219" i="13" s="1"/>
  <c r="Q219" i="13" a="1"/>
  <c r="Q219" i="13" s="1"/>
  <c r="P219" i="13" a="1"/>
  <c r="P219" i="13" s="1"/>
  <c r="O219" i="13" a="1"/>
  <c r="O219" i="13" s="1"/>
  <c r="N219" i="13" a="1"/>
  <c r="N219" i="13" s="1"/>
  <c r="M219" i="13"/>
  <c r="M219" i="13" a="1"/>
  <c r="L219" i="13" a="1"/>
  <c r="L219" i="13" s="1"/>
  <c r="K219" i="13"/>
  <c r="K219" i="13" a="1"/>
  <c r="J219" i="13" a="1"/>
  <c r="J219" i="13" s="1"/>
  <c r="I219" i="13" a="1"/>
  <c r="I219" i="13" s="1"/>
  <c r="H219" i="13" a="1"/>
  <c r="H219" i="13" s="1"/>
  <c r="G219" i="13" a="1"/>
  <c r="G219" i="13" s="1"/>
  <c r="F219" i="13" a="1"/>
  <c r="F219" i="13" s="1"/>
  <c r="T218" i="13" a="1"/>
  <c r="T218" i="13" s="1"/>
  <c r="S218" i="13" a="1"/>
  <c r="S218" i="13" s="1"/>
  <c r="R218" i="13" a="1"/>
  <c r="R218" i="13" s="1"/>
  <c r="Q218" i="13" a="1"/>
  <c r="Q218" i="13" s="1"/>
  <c r="P218" i="13" a="1"/>
  <c r="P218" i="13" s="1"/>
  <c r="O218" i="13" a="1"/>
  <c r="O218" i="13" s="1"/>
  <c r="N218" i="13" a="1"/>
  <c r="N218" i="13" s="1"/>
  <c r="M218" i="13" a="1"/>
  <c r="M218" i="13" s="1"/>
  <c r="L218" i="13" a="1"/>
  <c r="L218" i="13" s="1"/>
  <c r="K218" i="13" a="1"/>
  <c r="K218" i="13" s="1"/>
  <c r="J218" i="13" a="1"/>
  <c r="J218" i="13" s="1"/>
  <c r="I218" i="13" a="1"/>
  <c r="I218" i="13" s="1"/>
  <c r="H218" i="13"/>
  <c r="H218" i="13" a="1"/>
  <c r="G218" i="13" a="1"/>
  <c r="G218" i="13" s="1"/>
  <c r="F218" i="13" a="1"/>
  <c r="F218" i="13" s="1"/>
  <c r="T217" i="13" a="1"/>
  <c r="T217" i="13" s="1"/>
  <c r="S217" i="13" a="1"/>
  <c r="S217" i="13" s="1"/>
  <c r="R217" i="13" a="1"/>
  <c r="R217" i="13" s="1"/>
  <c r="Q217" i="13" a="1"/>
  <c r="Q217" i="13" s="1"/>
  <c r="P217" i="13" a="1"/>
  <c r="P217" i="13" s="1"/>
  <c r="O217" i="13" a="1"/>
  <c r="O217" i="13" s="1"/>
  <c r="N217" i="13" a="1"/>
  <c r="N217" i="13" s="1"/>
  <c r="M217" i="13" a="1"/>
  <c r="M217" i="13" s="1"/>
  <c r="L217" i="13" a="1"/>
  <c r="L217" i="13" s="1"/>
  <c r="K217" i="13" a="1"/>
  <c r="K217" i="13" s="1"/>
  <c r="J217" i="13" a="1"/>
  <c r="J217" i="13" s="1"/>
  <c r="I217" i="13" a="1"/>
  <c r="I217" i="13" s="1"/>
  <c r="H217" i="13" a="1"/>
  <c r="H217" i="13" s="1"/>
  <c r="G217" i="13" a="1"/>
  <c r="G217" i="13" s="1"/>
  <c r="F217" i="13" a="1"/>
  <c r="F217" i="13" s="1"/>
  <c r="T216" i="13" a="1"/>
  <c r="T216" i="13" s="1"/>
  <c r="S216" i="13"/>
  <c r="S216" i="13" a="1"/>
  <c r="R216" i="13" a="1"/>
  <c r="R216" i="13" s="1"/>
  <c r="Q216" i="13" a="1"/>
  <c r="Q216" i="13" s="1"/>
  <c r="P216" i="13"/>
  <c r="P216" i="13" a="1"/>
  <c r="O216" i="13" a="1"/>
  <c r="O216" i="13" s="1"/>
  <c r="N216" i="13" a="1"/>
  <c r="N216" i="13" s="1"/>
  <c r="M216" i="13" a="1"/>
  <c r="M216" i="13" s="1"/>
  <c r="L216" i="13"/>
  <c r="L216" i="13" a="1"/>
  <c r="K216" i="13" a="1"/>
  <c r="K216" i="13" s="1"/>
  <c r="J216" i="13" a="1"/>
  <c r="J216" i="13" s="1"/>
  <c r="I216" i="13" a="1"/>
  <c r="I216" i="13" s="1"/>
  <c r="H216" i="13" a="1"/>
  <c r="H216" i="13" s="1"/>
  <c r="G216" i="13" a="1"/>
  <c r="G216" i="13" s="1"/>
  <c r="F216" i="13"/>
  <c r="F216" i="13" a="1"/>
  <c r="T215" i="13" a="1"/>
  <c r="T215" i="13" s="1"/>
  <c r="S215" i="13" a="1"/>
  <c r="S215" i="13" s="1"/>
  <c r="R215" i="13" a="1"/>
  <c r="R215" i="13" s="1"/>
  <c r="Q215" i="13" a="1"/>
  <c r="Q215" i="13" s="1"/>
  <c r="P215" i="13" a="1"/>
  <c r="P215" i="13" s="1"/>
  <c r="O215" i="13" a="1"/>
  <c r="O215" i="13" s="1"/>
  <c r="N215" i="13" a="1"/>
  <c r="N215" i="13" s="1"/>
  <c r="M215" i="13" a="1"/>
  <c r="M215" i="13" s="1"/>
  <c r="L215" i="13" a="1"/>
  <c r="L215" i="13" s="1"/>
  <c r="K215" i="13"/>
  <c r="K215" i="13" a="1"/>
  <c r="J215" i="13" a="1"/>
  <c r="J215" i="13" s="1"/>
  <c r="I215" i="13"/>
  <c r="I215" i="13" a="1"/>
  <c r="H215" i="13" a="1"/>
  <c r="H215" i="13" s="1"/>
  <c r="G215" i="13" a="1"/>
  <c r="G215" i="13" s="1"/>
  <c r="F215" i="13" a="1"/>
  <c r="F215" i="13" s="1"/>
  <c r="T214" i="13"/>
  <c r="T214" i="13" a="1"/>
  <c r="S214" i="13" a="1"/>
  <c r="S214" i="13" s="1"/>
  <c r="R214" i="13" a="1"/>
  <c r="R214" i="13" s="1"/>
  <c r="Q214" i="13" a="1"/>
  <c r="Q214" i="13" s="1"/>
  <c r="P214" i="13" a="1"/>
  <c r="P214" i="13" s="1"/>
  <c r="O214" i="13" a="1"/>
  <c r="O214" i="13" s="1"/>
  <c r="N214" i="13" a="1"/>
  <c r="N214" i="13" s="1"/>
  <c r="M214" i="13" a="1"/>
  <c r="M214" i="13" s="1"/>
  <c r="L214" i="13"/>
  <c r="L214" i="13" a="1"/>
  <c r="K214" i="13" a="1"/>
  <c r="K214" i="13" s="1"/>
  <c r="J214" i="13"/>
  <c r="J214" i="13" a="1"/>
  <c r="I214" i="13"/>
  <c r="I214" i="13" a="1"/>
  <c r="H214" i="13"/>
  <c r="H214" i="13" a="1"/>
  <c r="G214" i="13"/>
  <c r="G214" i="13" a="1"/>
  <c r="F214" i="13" a="1"/>
  <c r="F214" i="13" s="1"/>
  <c r="T213" i="13" a="1"/>
  <c r="T213" i="13" s="1"/>
  <c r="S213" i="13" a="1"/>
  <c r="S213" i="13" s="1"/>
  <c r="R213" i="13" a="1"/>
  <c r="R213" i="13" s="1"/>
  <c r="Q213" i="13" a="1"/>
  <c r="Q213" i="13" s="1"/>
  <c r="P213" i="13"/>
  <c r="P213" i="13" a="1"/>
  <c r="O213" i="13" a="1"/>
  <c r="O213" i="13" s="1"/>
  <c r="N213" i="13"/>
  <c r="N213" i="13" a="1"/>
  <c r="M213" i="13"/>
  <c r="M213" i="13" a="1"/>
  <c r="L213" i="13" a="1"/>
  <c r="L213" i="13" s="1"/>
  <c r="K213" i="13" a="1"/>
  <c r="K213" i="13" s="1"/>
  <c r="J213" i="13" a="1"/>
  <c r="J213" i="13" s="1"/>
  <c r="I213" i="13" a="1"/>
  <c r="I213" i="13" s="1"/>
  <c r="H213" i="13" a="1"/>
  <c r="H213" i="13" s="1"/>
  <c r="G213" i="13" a="1"/>
  <c r="G213" i="13" s="1"/>
  <c r="F213" i="13"/>
  <c r="F213" i="13" a="1"/>
  <c r="T212" i="13"/>
  <c r="T212" i="13" a="1"/>
  <c r="S212" i="13" a="1"/>
  <c r="S212" i="13" s="1"/>
  <c r="R212" i="13" a="1"/>
  <c r="R212" i="13" s="1"/>
  <c r="Q212" i="13" a="1"/>
  <c r="Q212" i="13" s="1"/>
  <c r="P212" i="13" a="1"/>
  <c r="P212" i="13" s="1"/>
  <c r="O212" i="13" a="1"/>
  <c r="O212" i="13" s="1"/>
  <c r="N212" i="13" a="1"/>
  <c r="N212" i="13" s="1"/>
  <c r="M212" i="13" a="1"/>
  <c r="M212" i="13" s="1"/>
  <c r="L212" i="13" a="1"/>
  <c r="L212" i="13" s="1"/>
  <c r="K212" i="13" a="1"/>
  <c r="K212" i="13" s="1"/>
  <c r="J212" i="13"/>
  <c r="J212" i="13" a="1"/>
  <c r="I212" i="13" a="1"/>
  <c r="I212" i="13" s="1"/>
  <c r="H212" i="13" a="1"/>
  <c r="H212" i="13" s="1"/>
  <c r="G212" i="13" a="1"/>
  <c r="G212" i="13" s="1"/>
  <c r="F212" i="13"/>
  <c r="F212" i="13" a="1"/>
  <c r="T211" i="13" a="1"/>
  <c r="T211" i="13" s="1"/>
  <c r="S211" i="13" a="1"/>
  <c r="S211" i="13" s="1"/>
  <c r="R211" i="13" a="1"/>
  <c r="R211" i="13" s="1"/>
  <c r="Q211" i="13" a="1"/>
  <c r="Q211" i="13" s="1"/>
  <c r="P211" i="13" a="1"/>
  <c r="P211" i="13" s="1"/>
  <c r="O211" i="13" a="1"/>
  <c r="O211" i="13" s="1"/>
  <c r="N211" i="13"/>
  <c r="N211" i="13" a="1"/>
  <c r="M211" i="13" a="1"/>
  <c r="M211" i="13" s="1"/>
  <c r="L211" i="13" a="1"/>
  <c r="L211" i="13" s="1"/>
  <c r="K211" i="13" a="1"/>
  <c r="K211" i="13" s="1"/>
  <c r="J211" i="13" a="1"/>
  <c r="J211" i="13" s="1"/>
  <c r="I211" i="13" a="1"/>
  <c r="I211" i="13" s="1"/>
  <c r="H211" i="13" a="1"/>
  <c r="H211" i="13" s="1"/>
  <c r="G211" i="13" a="1"/>
  <c r="G211" i="13" s="1"/>
  <c r="F211" i="13" a="1"/>
  <c r="F211" i="13" s="1"/>
  <c r="T210" i="13" a="1"/>
  <c r="T210" i="13" s="1"/>
  <c r="S210" i="13" a="1"/>
  <c r="S210" i="13" s="1"/>
  <c r="R210" i="13" a="1"/>
  <c r="R210" i="13" s="1"/>
  <c r="Q210" i="13" a="1"/>
  <c r="Q210" i="13" s="1"/>
  <c r="P210" i="13" a="1"/>
  <c r="P210" i="13" s="1"/>
  <c r="O210" i="13" a="1"/>
  <c r="O210" i="13" s="1"/>
  <c r="N210" i="13" a="1"/>
  <c r="N210" i="13" s="1"/>
  <c r="M210" i="13"/>
  <c r="M210" i="13" a="1"/>
  <c r="L210" i="13" a="1"/>
  <c r="L210" i="13" s="1"/>
  <c r="K210" i="13" a="1"/>
  <c r="K210" i="13" s="1"/>
  <c r="J210" i="13" a="1"/>
  <c r="J210" i="13" s="1"/>
  <c r="I210" i="13" a="1"/>
  <c r="I210" i="13" s="1"/>
  <c r="H210" i="13" a="1"/>
  <c r="H210" i="13" s="1"/>
  <c r="G210" i="13" a="1"/>
  <c r="G210" i="13" s="1"/>
  <c r="F210" i="13" a="1"/>
  <c r="F210" i="13" s="1"/>
  <c r="T209" i="13" a="1"/>
  <c r="T209" i="13" s="1"/>
  <c r="S209" i="13"/>
  <c r="S209" i="13" a="1"/>
  <c r="R209" i="13" a="1"/>
  <c r="R209" i="13" s="1"/>
  <c r="Q209" i="13" a="1"/>
  <c r="Q209" i="13" s="1"/>
  <c r="P209" i="13" a="1"/>
  <c r="P209" i="13" s="1"/>
  <c r="O209" i="13"/>
  <c r="O209" i="13" a="1"/>
  <c r="N209" i="13" a="1"/>
  <c r="N209" i="13" s="1"/>
  <c r="M209" i="13" a="1"/>
  <c r="M209" i="13" s="1"/>
  <c r="L209" i="13" a="1"/>
  <c r="L209" i="13" s="1"/>
  <c r="K209" i="13" a="1"/>
  <c r="K209" i="13" s="1"/>
  <c r="J209" i="13" a="1"/>
  <c r="J209" i="13" s="1"/>
  <c r="I209" i="13" a="1"/>
  <c r="I209" i="13" s="1"/>
  <c r="H209" i="13" a="1"/>
  <c r="H209" i="13" s="1"/>
  <c r="G209" i="13"/>
  <c r="G209" i="13" a="1"/>
  <c r="F209" i="13" a="1"/>
  <c r="F209" i="13" s="1"/>
  <c r="T208" i="13" a="1"/>
  <c r="T208" i="13" s="1"/>
  <c r="S208" i="13" a="1"/>
  <c r="S208" i="13" s="1"/>
  <c r="R208" i="13" a="1"/>
  <c r="R208" i="13" s="1"/>
  <c r="Q208" i="13"/>
  <c r="Q208" i="13" a="1"/>
  <c r="P208" i="13" a="1"/>
  <c r="P208" i="13" s="1"/>
  <c r="O208" i="13" a="1"/>
  <c r="O208" i="13" s="1"/>
  <c r="N208" i="13"/>
  <c r="N208" i="13" a="1"/>
  <c r="M208" i="13" a="1"/>
  <c r="M208" i="13" s="1"/>
  <c r="L208" i="13" a="1"/>
  <c r="L208" i="13" s="1"/>
  <c r="K208" i="13" a="1"/>
  <c r="K208" i="13" s="1"/>
  <c r="J208" i="13" a="1"/>
  <c r="J208" i="13" s="1"/>
  <c r="I208" i="13"/>
  <c r="I208" i="13" a="1"/>
  <c r="H208" i="13"/>
  <c r="H208" i="13" a="1"/>
  <c r="G208" i="13" a="1"/>
  <c r="G208" i="13" s="1"/>
  <c r="F208" i="13" a="1"/>
  <c r="F208" i="13" s="1"/>
  <c r="T207" i="13" a="1"/>
  <c r="T207" i="13" s="1"/>
  <c r="S207" i="13"/>
  <c r="S207" i="13" a="1"/>
  <c r="R207" i="13" a="1"/>
  <c r="R207" i="13" s="1"/>
  <c r="Q207" i="13" a="1"/>
  <c r="Q207" i="13" s="1"/>
  <c r="P207" i="13" a="1"/>
  <c r="P207" i="13" s="1"/>
  <c r="O207" i="13" a="1"/>
  <c r="O207" i="13" s="1"/>
  <c r="N207" i="13" a="1"/>
  <c r="N207" i="13" s="1"/>
  <c r="M207" i="13" a="1"/>
  <c r="M207" i="13" s="1"/>
  <c r="L207" i="13" a="1"/>
  <c r="L207" i="13" s="1"/>
  <c r="K207" i="13" a="1"/>
  <c r="K207" i="13" s="1"/>
  <c r="J207" i="13" a="1"/>
  <c r="J207" i="13" s="1"/>
  <c r="I207" i="13" a="1"/>
  <c r="I207" i="13" s="1"/>
  <c r="H207" i="13" a="1"/>
  <c r="H207" i="13" s="1"/>
  <c r="G207" i="13" a="1"/>
  <c r="G207" i="13" s="1"/>
  <c r="F207" i="13" a="1"/>
  <c r="F207" i="13" s="1"/>
  <c r="T206" i="13" a="1"/>
  <c r="T206" i="13" s="1"/>
  <c r="S206" i="13" a="1"/>
  <c r="S206" i="13" s="1"/>
  <c r="R206" i="13"/>
  <c r="R206" i="13" a="1"/>
  <c r="Q206" i="13" a="1"/>
  <c r="Q206" i="13" s="1"/>
  <c r="P206" i="13"/>
  <c r="P206" i="13" a="1"/>
  <c r="O206" i="13" a="1"/>
  <c r="O206" i="13" s="1"/>
  <c r="N206" i="13" a="1"/>
  <c r="N206" i="13" s="1"/>
  <c r="M206" i="13" a="1"/>
  <c r="M206" i="13" s="1"/>
  <c r="L206" i="13"/>
  <c r="L206" i="13" a="1"/>
  <c r="K206" i="13" a="1"/>
  <c r="K206" i="13" s="1"/>
  <c r="J206" i="13" a="1"/>
  <c r="J206" i="13" s="1"/>
  <c r="I206" i="13" a="1"/>
  <c r="I206" i="13" s="1"/>
  <c r="H206" i="13" a="1"/>
  <c r="H206" i="13" s="1"/>
  <c r="G206" i="13"/>
  <c r="G206" i="13" a="1"/>
  <c r="F206" i="13" a="1"/>
  <c r="F206" i="13" s="1"/>
  <c r="T205" i="13" a="1"/>
  <c r="T205" i="13" s="1"/>
  <c r="S205" i="13" a="1"/>
  <c r="S205" i="13" s="1"/>
  <c r="R205" i="13" a="1"/>
  <c r="R205" i="13" s="1"/>
  <c r="Q205" i="13" a="1"/>
  <c r="Q205" i="13" s="1"/>
  <c r="P205" i="13" a="1"/>
  <c r="P205" i="13" s="1"/>
  <c r="O205" i="13" a="1"/>
  <c r="O205" i="13" s="1"/>
  <c r="N205" i="13" a="1"/>
  <c r="N205" i="13" s="1"/>
  <c r="M205" i="13" a="1"/>
  <c r="M205" i="13" s="1"/>
  <c r="L205" i="13" a="1"/>
  <c r="L205" i="13" s="1"/>
  <c r="K205" i="13" a="1"/>
  <c r="K205" i="13" s="1"/>
  <c r="J205" i="13" a="1"/>
  <c r="J205" i="13" s="1"/>
  <c r="I205" i="13" a="1"/>
  <c r="I205" i="13" s="1"/>
  <c r="H205" i="13" a="1"/>
  <c r="H205" i="13" s="1"/>
  <c r="G205" i="13" a="1"/>
  <c r="G205" i="13" s="1"/>
  <c r="F205" i="13" a="1"/>
  <c r="F205" i="13" s="1"/>
  <c r="T204" i="13"/>
  <c r="T204" i="13" a="1"/>
  <c r="S204" i="13" a="1"/>
  <c r="S204" i="13" s="1"/>
  <c r="R204" i="13" a="1"/>
  <c r="R204" i="13" s="1"/>
  <c r="Q204" i="13" a="1"/>
  <c r="Q204" i="13" s="1"/>
  <c r="P204" i="13" a="1"/>
  <c r="P204" i="13" s="1"/>
  <c r="O204" i="13" a="1"/>
  <c r="O204" i="13" s="1"/>
  <c r="N204" i="13" a="1"/>
  <c r="N204" i="13" s="1"/>
  <c r="M204" i="13"/>
  <c r="M204" i="13" a="1"/>
  <c r="L204" i="13"/>
  <c r="L204" i="13" a="1"/>
  <c r="K204" i="13" a="1"/>
  <c r="K204" i="13" s="1"/>
  <c r="J204" i="13"/>
  <c r="J204" i="13" a="1"/>
  <c r="I204" i="13" a="1"/>
  <c r="I204" i="13" s="1"/>
  <c r="H204" i="13" a="1"/>
  <c r="H204" i="13" s="1"/>
  <c r="G204" i="13" a="1"/>
  <c r="G204" i="13" s="1"/>
  <c r="F204" i="13" a="1"/>
  <c r="F204" i="13" s="1"/>
  <c r="T203" i="13" a="1"/>
  <c r="T203" i="13" s="1"/>
  <c r="S203" i="13" a="1"/>
  <c r="S203" i="13" s="1"/>
  <c r="R203" i="13" a="1"/>
  <c r="R203" i="13" s="1"/>
  <c r="Q203" i="13" a="1"/>
  <c r="Q203" i="13" s="1"/>
  <c r="P203" i="13"/>
  <c r="P203" i="13" a="1"/>
  <c r="O203" i="13" a="1"/>
  <c r="O203" i="13" s="1"/>
  <c r="N203" i="13"/>
  <c r="N203" i="13" a="1"/>
  <c r="M203" i="13" a="1"/>
  <c r="M203" i="13" s="1"/>
  <c r="L203" i="13"/>
  <c r="L203" i="13" a="1"/>
  <c r="K203" i="13" a="1"/>
  <c r="K203" i="13" s="1"/>
  <c r="J203" i="13" a="1"/>
  <c r="J203" i="13" s="1"/>
  <c r="I203" i="13"/>
  <c r="I203" i="13" a="1"/>
  <c r="H203" i="13" a="1"/>
  <c r="H203" i="13" s="1"/>
  <c r="G203" i="13" a="1"/>
  <c r="G203" i="13" s="1"/>
  <c r="F203" i="13" a="1"/>
  <c r="F203" i="13" s="1"/>
  <c r="T202" i="13" a="1"/>
  <c r="T202" i="13" s="1"/>
  <c r="S202" i="13"/>
  <c r="S202" i="13" a="1"/>
  <c r="R202" i="13" a="1"/>
  <c r="R202" i="13" s="1"/>
  <c r="Q202" i="13" a="1"/>
  <c r="Q202" i="13" s="1"/>
  <c r="P202" i="13"/>
  <c r="P202" i="13" a="1"/>
  <c r="O202" i="13" a="1"/>
  <c r="O202" i="13" s="1"/>
  <c r="N202" i="13"/>
  <c r="N202" i="13" a="1"/>
  <c r="M202" i="13"/>
  <c r="M202" i="13" a="1"/>
  <c r="L202" i="13" a="1"/>
  <c r="L202" i="13" s="1"/>
  <c r="K202" i="13" a="1"/>
  <c r="K202" i="13" s="1"/>
  <c r="J202" i="13"/>
  <c r="J202" i="13" a="1"/>
  <c r="I202" i="13" a="1"/>
  <c r="I202" i="13" s="1"/>
  <c r="H202" i="13" a="1"/>
  <c r="H202" i="13" s="1"/>
  <c r="G202" i="13" a="1"/>
  <c r="G202" i="13" s="1"/>
  <c r="F202" i="13"/>
  <c r="F202" i="13" a="1"/>
  <c r="T201" i="13" a="1"/>
  <c r="T201" i="13" s="1"/>
  <c r="S201" i="13" a="1"/>
  <c r="S201" i="13" s="1"/>
  <c r="R201" i="13" a="1"/>
  <c r="R201" i="13" s="1"/>
  <c r="Q201" i="13"/>
  <c r="Q201" i="13" a="1"/>
  <c r="P201" i="13" a="1"/>
  <c r="P201" i="13" s="1"/>
  <c r="O201" i="13" a="1"/>
  <c r="O201" i="13" s="1"/>
  <c r="N201" i="13"/>
  <c r="N201" i="13" a="1"/>
  <c r="M201" i="13" a="1"/>
  <c r="M201" i="13" s="1"/>
  <c r="L201" i="13"/>
  <c r="L201" i="13" a="1"/>
  <c r="K201" i="13" a="1"/>
  <c r="K201" i="13" s="1"/>
  <c r="J201" i="13"/>
  <c r="J201" i="13" a="1"/>
  <c r="I201" i="13" a="1"/>
  <c r="I201" i="13" s="1"/>
  <c r="H201" i="13" a="1"/>
  <c r="H201" i="13" s="1"/>
  <c r="G201" i="13" a="1"/>
  <c r="G201" i="13" s="1"/>
  <c r="F201" i="13" a="1"/>
  <c r="F201" i="13" s="1"/>
  <c r="T200" i="13" a="1"/>
  <c r="T200" i="13" s="1"/>
  <c r="S200" i="13" a="1"/>
  <c r="S200" i="13" s="1"/>
  <c r="R200" i="13" a="1"/>
  <c r="R200" i="13" s="1"/>
  <c r="Q200" i="13" a="1"/>
  <c r="Q200" i="13" s="1"/>
  <c r="P200" i="13" a="1"/>
  <c r="P200" i="13" s="1"/>
  <c r="O200" i="13" a="1"/>
  <c r="O200" i="13" s="1"/>
  <c r="N200" i="13"/>
  <c r="N200" i="13" a="1"/>
  <c r="M200" i="13"/>
  <c r="M200" i="13" a="1"/>
  <c r="L200" i="13"/>
  <c r="L200" i="13" a="1"/>
  <c r="K200" i="13" a="1"/>
  <c r="K200" i="13" s="1"/>
  <c r="J200" i="13" a="1"/>
  <c r="J200" i="13" s="1"/>
  <c r="I200" i="13"/>
  <c r="I200" i="13" a="1"/>
  <c r="H200" i="13"/>
  <c r="H200" i="13" a="1"/>
  <c r="G200" i="13" a="1"/>
  <c r="G200" i="13" s="1"/>
  <c r="F200" i="13"/>
  <c r="F200" i="13" a="1"/>
  <c r="T199" i="13" a="1"/>
  <c r="T199" i="13" s="1"/>
  <c r="S199" i="13" a="1"/>
  <c r="S199" i="13" s="1"/>
  <c r="R199" i="13"/>
  <c r="R199" i="13" a="1"/>
  <c r="Q199" i="13"/>
  <c r="Q199" i="13" a="1"/>
  <c r="P199" i="13" a="1"/>
  <c r="P199" i="13" s="1"/>
  <c r="O199" i="13" a="1"/>
  <c r="O199" i="13" s="1"/>
  <c r="N199" i="13" a="1"/>
  <c r="N199" i="13" s="1"/>
  <c r="M199" i="13"/>
  <c r="M199" i="13" a="1"/>
  <c r="L199" i="13"/>
  <c r="L199" i="13" a="1"/>
  <c r="K199" i="13" a="1"/>
  <c r="K199" i="13" s="1"/>
  <c r="J199" i="13" a="1"/>
  <c r="J199" i="13" s="1"/>
  <c r="I199" i="13" a="1"/>
  <c r="I199" i="13" s="1"/>
  <c r="H199" i="13"/>
  <c r="H199" i="13" a="1"/>
  <c r="G199" i="13" a="1"/>
  <c r="G199" i="13" s="1"/>
  <c r="F199" i="13" a="1"/>
  <c r="F199" i="13" s="1"/>
  <c r="T198" i="13" a="1"/>
  <c r="T198" i="13" s="1"/>
  <c r="S198" i="13" a="1"/>
  <c r="S198" i="13" s="1"/>
  <c r="R198" i="13" a="1"/>
  <c r="R198" i="13" s="1"/>
  <c r="Q198" i="13" a="1"/>
  <c r="Q198" i="13" s="1"/>
  <c r="P198" i="13"/>
  <c r="P198" i="13" a="1"/>
  <c r="O198" i="13" a="1"/>
  <c r="O198" i="13" s="1"/>
  <c r="N198" i="13" a="1"/>
  <c r="N198" i="13" s="1"/>
  <c r="M198" i="13" a="1"/>
  <c r="M198" i="13" s="1"/>
  <c r="L198" i="13"/>
  <c r="L198" i="13" a="1"/>
  <c r="K198" i="13" a="1"/>
  <c r="K198" i="13" s="1"/>
  <c r="J198" i="13" a="1"/>
  <c r="J198" i="13" s="1"/>
  <c r="I198" i="13" a="1"/>
  <c r="I198" i="13" s="1"/>
  <c r="H198" i="13"/>
  <c r="H198" i="13" a="1"/>
  <c r="G198" i="13" a="1"/>
  <c r="G198" i="13" s="1"/>
  <c r="F198" i="13" a="1"/>
  <c r="F198" i="13" s="1"/>
  <c r="T197" i="13" a="1"/>
  <c r="T197" i="13" s="1"/>
  <c r="S197" i="13" a="1"/>
  <c r="S197" i="13" s="1"/>
  <c r="R197" i="13" a="1"/>
  <c r="R197" i="13" s="1"/>
  <c r="Q197" i="13" a="1"/>
  <c r="Q197" i="13" s="1"/>
  <c r="P197" i="13" a="1"/>
  <c r="P197" i="13" s="1"/>
  <c r="O197" i="13" a="1"/>
  <c r="O197" i="13" s="1"/>
  <c r="N197" i="13" a="1"/>
  <c r="N197" i="13" s="1"/>
  <c r="M197" i="13" a="1"/>
  <c r="M197" i="13" s="1"/>
  <c r="L197" i="13" a="1"/>
  <c r="L197" i="13" s="1"/>
  <c r="K197" i="13" a="1"/>
  <c r="K197" i="13" s="1"/>
  <c r="J197" i="13"/>
  <c r="J197" i="13" a="1"/>
  <c r="I197" i="13" a="1"/>
  <c r="I197" i="13" s="1"/>
  <c r="H197" i="13"/>
  <c r="H197" i="13" a="1"/>
  <c r="G197" i="13" a="1"/>
  <c r="G197" i="13" s="1"/>
  <c r="F197" i="13" a="1"/>
  <c r="F197" i="13" s="1"/>
  <c r="T196" i="13" a="1"/>
  <c r="T196" i="13" s="1"/>
  <c r="S196" i="13" a="1"/>
  <c r="S196" i="13" s="1"/>
  <c r="R196" i="13" a="1"/>
  <c r="R196" i="13" s="1"/>
  <c r="Q196" i="13" a="1"/>
  <c r="Q196" i="13" s="1"/>
  <c r="P196" i="13" a="1"/>
  <c r="P196" i="13" s="1"/>
  <c r="O196" i="13" a="1"/>
  <c r="O196" i="13" s="1"/>
  <c r="N196" i="13" a="1"/>
  <c r="N196" i="13" s="1"/>
  <c r="M196" i="13" a="1"/>
  <c r="M196" i="13" s="1"/>
  <c r="L196" i="13" a="1"/>
  <c r="L196" i="13" s="1"/>
  <c r="K196" i="13" a="1"/>
  <c r="K196" i="13" s="1"/>
  <c r="J196" i="13" a="1"/>
  <c r="J196" i="13" s="1"/>
  <c r="I196" i="13" a="1"/>
  <c r="I196" i="13" s="1"/>
  <c r="H196" i="13"/>
  <c r="H196" i="13" a="1"/>
  <c r="G196" i="13" a="1"/>
  <c r="G196" i="13" s="1"/>
  <c r="F196" i="13" a="1"/>
  <c r="F196" i="13" s="1"/>
  <c r="T195" i="13" a="1"/>
  <c r="T195" i="13" s="1"/>
  <c r="S195" i="13" a="1"/>
  <c r="S195" i="13" s="1"/>
  <c r="R195" i="13" a="1"/>
  <c r="R195" i="13" s="1"/>
  <c r="Q195" i="13"/>
  <c r="Q195" i="13" a="1"/>
  <c r="P195" i="13" a="1"/>
  <c r="P195" i="13" s="1"/>
  <c r="O195" i="13" a="1"/>
  <c r="O195" i="13" s="1"/>
  <c r="N195" i="13" a="1"/>
  <c r="N195" i="13" s="1"/>
  <c r="M195" i="13"/>
  <c r="M195" i="13" a="1"/>
  <c r="L195" i="13" a="1"/>
  <c r="L195" i="13" s="1"/>
  <c r="K195" i="13" a="1"/>
  <c r="K195" i="13" s="1"/>
  <c r="J195" i="13" a="1"/>
  <c r="J195" i="13" s="1"/>
  <c r="I195" i="13" a="1"/>
  <c r="I195" i="13" s="1"/>
  <c r="H195" i="13"/>
  <c r="H195" i="13" a="1"/>
  <c r="G195" i="13" a="1"/>
  <c r="G195" i="13" s="1"/>
  <c r="F195" i="13" a="1"/>
  <c r="F195" i="13" s="1"/>
  <c r="T194" i="13" a="1"/>
  <c r="T194" i="13" s="1"/>
  <c r="S194" i="13" a="1"/>
  <c r="S194" i="13" s="1"/>
  <c r="R194" i="13"/>
  <c r="R194" i="13" a="1"/>
  <c r="Q194" i="13" a="1"/>
  <c r="Q194" i="13" s="1"/>
  <c r="P194" i="13"/>
  <c r="P194" i="13" a="1"/>
  <c r="O194" i="13" a="1"/>
  <c r="O194" i="13" s="1"/>
  <c r="N194" i="13" a="1"/>
  <c r="N194" i="13" s="1"/>
  <c r="M194" i="13" a="1"/>
  <c r="M194" i="13" s="1"/>
  <c r="L194" i="13" a="1"/>
  <c r="L194" i="13" s="1"/>
  <c r="K194" i="13" a="1"/>
  <c r="K194" i="13" s="1"/>
  <c r="J194" i="13" a="1"/>
  <c r="J194" i="13" s="1"/>
  <c r="I194" i="13" a="1"/>
  <c r="I194" i="13" s="1"/>
  <c r="H194" i="13" a="1"/>
  <c r="H194" i="13" s="1"/>
  <c r="G194" i="13" a="1"/>
  <c r="G194" i="13" s="1"/>
  <c r="F194" i="13" a="1"/>
  <c r="F194" i="13" s="1"/>
  <c r="T193" i="13" a="1"/>
  <c r="T193" i="13" s="1"/>
  <c r="S193" i="13"/>
  <c r="S193" i="13" a="1"/>
  <c r="R193" i="13" a="1"/>
  <c r="R193" i="13" s="1"/>
  <c r="Q193" i="13" a="1"/>
  <c r="Q193" i="13" s="1"/>
  <c r="P193" i="13" a="1"/>
  <c r="P193" i="13" s="1"/>
  <c r="O193" i="13" a="1"/>
  <c r="O193" i="13" s="1"/>
  <c r="N193" i="13" a="1"/>
  <c r="N193" i="13" s="1"/>
  <c r="M193" i="13"/>
  <c r="M193" i="13" a="1"/>
  <c r="L193" i="13" a="1"/>
  <c r="L193" i="13" s="1"/>
  <c r="K193" i="13"/>
  <c r="K193" i="13" a="1"/>
  <c r="J193" i="13" a="1"/>
  <c r="J193" i="13" s="1"/>
  <c r="I193" i="13" a="1"/>
  <c r="I193" i="13" s="1"/>
  <c r="H193" i="13" a="1"/>
  <c r="H193" i="13" s="1"/>
  <c r="G193" i="13" a="1"/>
  <c r="G193" i="13" s="1"/>
  <c r="F193" i="13" a="1"/>
  <c r="F193" i="13" s="1"/>
  <c r="T192" i="13" a="1"/>
  <c r="T192" i="13" s="1"/>
  <c r="S192" i="13" a="1"/>
  <c r="S192" i="13" s="1"/>
  <c r="R192" i="13" a="1"/>
  <c r="R192" i="13" s="1"/>
  <c r="Q192" i="13"/>
  <c r="Q192" i="13" a="1"/>
  <c r="P192" i="13" a="1"/>
  <c r="P192" i="13" s="1"/>
  <c r="O192" i="13" a="1"/>
  <c r="O192" i="13" s="1"/>
  <c r="N192" i="13" a="1"/>
  <c r="N192" i="13" s="1"/>
  <c r="M192" i="13" a="1"/>
  <c r="M192" i="13" s="1"/>
  <c r="L192" i="13" a="1"/>
  <c r="L192" i="13" s="1"/>
  <c r="K192" i="13"/>
  <c r="K192" i="13" a="1"/>
  <c r="J192" i="13" a="1"/>
  <c r="J192" i="13" s="1"/>
  <c r="I192" i="13" a="1"/>
  <c r="I192" i="13" s="1"/>
  <c r="H192" i="13" a="1"/>
  <c r="H192" i="13" s="1"/>
  <c r="G192" i="13" a="1"/>
  <c r="G192" i="13" s="1"/>
  <c r="F192" i="13"/>
  <c r="F192" i="13" a="1"/>
  <c r="T191" i="13"/>
  <c r="T191" i="13" a="1"/>
  <c r="S191" i="13" a="1"/>
  <c r="S191" i="13" s="1"/>
  <c r="R191" i="13" a="1"/>
  <c r="R191" i="13" s="1"/>
  <c r="Q191" i="13" a="1"/>
  <c r="Q191" i="13" s="1"/>
  <c r="P191" i="13" a="1"/>
  <c r="P191" i="13" s="1"/>
  <c r="O191" i="13"/>
  <c r="O191" i="13" a="1"/>
  <c r="N191" i="13" a="1"/>
  <c r="N191" i="13" s="1"/>
  <c r="M191" i="13" a="1"/>
  <c r="M191" i="13" s="1"/>
  <c r="L191" i="13"/>
  <c r="L191" i="13" a="1"/>
  <c r="K191" i="13" a="1"/>
  <c r="K191" i="13" s="1"/>
  <c r="J191" i="13" a="1"/>
  <c r="J191" i="13" s="1"/>
  <c r="I191" i="13"/>
  <c r="I191" i="13" a="1"/>
  <c r="H191" i="13" a="1"/>
  <c r="H191" i="13" s="1"/>
  <c r="G191" i="13" a="1"/>
  <c r="G191" i="13" s="1"/>
  <c r="F191" i="13" a="1"/>
  <c r="F191" i="13" s="1"/>
  <c r="T190" i="13"/>
  <c r="T190" i="13" a="1"/>
  <c r="S190" i="13" a="1"/>
  <c r="S190" i="13" s="1"/>
  <c r="R190" i="13" a="1"/>
  <c r="R190" i="13" s="1"/>
  <c r="Q190" i="13" a="1"/>
  <c r="Q190" i="13" s="1"/>
  <c r="P190" i="13" a="1"/>
  <c r="P190" i="13" s="1"/>
  <c r="O190" i="13" a="1"/>
  <c r="O190" i="13" s="1"/>
  <c r="N190" i="13" a="1"/>
  <c r="N190" i="13" s="1"/>
  <c r="M190" i="13" a="1"/>
  <c r="M190" i="13" s="1"/>
  <c r="L190" i="13" a="1"/>
  <c r="L190" i="13" s="1"/>
  <c r="K190" i="13" a="1"/>
  <c r="K190" i="13" s="1"/>
  <c r="J190" i="13"/>
  <c r="J190" i="13" a="1"/>
  <c r="I190" i="13" a="1"/>
  <c r="I190" i="13" s="1"/>
  <c r="H190" i="13" a="1"/>
  <c r="H190" i="13" s="1"/>
  <c r="G190" i="13" a="1"/>
  <c r="G190" i="13" s="1"/>
  <c r="F190" i="13" a="1"/>
  <c r="F190" i="13" s="1"/>
  <c r="T189" i="13" a="1"/>
  <c r="T189" i="13" s="1"/>
  <c r="S189" i="13" a="1"/>
  <c r="S189" i="13" s="1"/>
  <c r="R189" i="13" a="1"/>
  <c r="R189" i="13" s="1"/>
  <c r="Q189" i="13" a="1"/>
  <c r="Q189" i="13" s="1"/>
  <c r="P189" i="13"/>
  <c r="P189" i="13" a="1"/>
  <c r="O189" i="13" a="1"/>
  <c r="O189" i="13" s="1"/>
  <c r="N189" i="13" a="1"/>
  <c r="N189" i="13" s="1"/>
  <c r="M189" i="13"/>
  <c r="M189" i="13" a="1"/>
  <c r="L189" i="13" a="1"/>
  <c r="L189" i="13" s="1"/>
  <c r="K189" i="13" a="1"/>
  <c r="K189" i="13" s="1"/>
  <c r="J189" i="13" a="1"/>
  <c r="J189" i="13" s="1"/>
  <c r="I189" i="13" a="1"/>
  <c r="I189" i="13" s="1"/>
  <c r="H189" i="13" a="1"/>
  <c r="H189" i="13" s="1"/>
  <c r="G189" i="13" a="1"/>
  <c r="G189" i="13" s="1"/>
  <c r="F189" i="13" a="1"/>
  <c r="F189" i="13" s="1"/>
  <c r="T188" i="13"/>
  <c r="T188" i="13" a="1"/>
  <c r="S188" i="13" a="1"/>
  <c r="S188" i="13" s="1"/>
  <c r="R188" i="13"/>
  <c r="R188" i="13" a="1"/>
  <c r="Q188" i="13"/>
  <c r="Q188" i="13" a="1"/>
  <c r="P188" i="13" a="1"/>
  <c r="P188" i="13" s="1"/>
  <c r="O188" i="13" a="1"/>
  <c r="O188" i="13" s="1"/>
  <c r="N188" i="13" a="1"/>
  <c r="N188" i="13" s="1"/>
  <c r="M188" i="13" a="1"/>
  <c r="M188" i="13" s="1"/>
  <c r="L188" i="13" a="1"/>
  <c r="L188" i="13" s="1"/>
  <c r="K188" i="13" a="1"/>
  <c r="K188" i="13" s="1"/>
  <c r="J188" i="13" a="1"/>
  <c r="J188" i="13" s="1"/>
  <c r="I188" i="13" a="1"/>
  <c r="I188" i="13" s="1"/>
  <c r="H188" i="13" a="1"/>
  <c r="H188" i="13" s="1"/>
  <c r="G188" i="13"/>
  <c r="G188" i="13" a="1"/>
  <c r="F188" i="13" a="1"/>
  <c r="F188" i="13" s="1"/>
  <c r="T187" i="13" a="1"/>
  <c r="T187" i="13" s="1"/>
  <c r="S187" i="13"/>
  <c r="S187" i="13" a="1"/>
  <c r="R187" i="13" a="1"/>
  <c r="R187" i="13" s="1"/>
  <c r="Q187" i="13" a="1"/>
  <c r="Q187" i="13" s="1"/>
  <c r="P187" i="13" a="1"/>
  <c r="P187" i="13" s="1"/>
  <c r="O187" i="13" a="1"/>
  <c r="O187" i="13" s="1"/>
  <c r="N187" i="13"/>
  <c r="N187" i="13" a="1"/>
  <c r="M187" i="13" a="1"/>
  <c r="M187" i="13" s="1"/>
  <c r="L187" i="13"/>
  <c r="L187" i="13" a="1"/>
  <c r="K187" i="13"/>
  <c r="K187" i="13" a="1"/>
  <c r="J187" i="13" a="1"/>
  <c r="J187" i="13" s="1"/>
  <c r="I187" i="13" a="1"/>
  <c r="I187" i="13" s="1"/>
  <c r="H187" i="13" a="1"/>
  <c r="H187" i="13" s="1"/>
  <c r="G187" i="13" a="1"/>
  <c r="G187" i="13" s="1"/>
  <c r="F187" i="13" a="1"/>
  <c r="F187" i="13" s="1"/>
  <c r="T186" i="13" a="1"/>
  <c r="T186" i="13" s="1"/>
  <c r="S186" i="13" a="1"/>
  <c r="S186" i="13" s="1"/>
  <c r="R186" i="13" a="1"/>
  <c r="R186" i="13" s="1"/>
  <c r="Q186" i="13" a="1"/>
  <c r="Q186" i="13" s="1"/>
  <c r="P186" i="13" a="1"/>
  <c r="P186" i="13" s="1"/>
  <c r="O186" i="13" a="1"/>
  <c r="O186" i="13" s="1"/>
  <c r="N186" i="13" a="1"/>
  <c r="N186" i="13" s="1"/>
  <c r="M186" i="13" a="1"/>
  <c r="M186" i="13" s="1"/>
  <c r="L186" i="13"/>
  <c r="L186" i="13" a="1"/>
  <c r="K186" i="13" a="1"/>
  <c r="K186" i="13" s="1"/>
  <c r="J186" i="13" a="1"/>
  <c r="J186" i="13" s="1"/>
  <c r="I186" i="13" a="1"/>
  <c r="I186" i="13" s="1"/>
  <c r="H186" i="13" a="1"/>
  <c r="H186" i="13" s="1"/>
  <c r="G186" i="13" a="1"/>
  <c r="G186" i="13" s="1"/>
  <c r="F186" i="13" a="1"/>
  <c r="F186" i="13" s="1"/>
  <c r="T185" i="13" a="1"/>
  <c r="T185" i="13" s="1"/>
  <c r="S185" i="13" a="1"/>
  <c r="S185" i="13" s="1"/>
  <c r="R185" i="13"/>
  <c r="R185" i="13" a="1"/>
  <c r="Q185" i="13" a="1"/>
  <c r="Q185" i="13" s="1"/>
  <c r="P185" i="13" a="1"/>
  <c r="P185" i="13" s="1"/>
  <c r="O185" i="13"/>
  <c r="O185" i="13" a="1"/>
  <c r="N185" i="13" a="1"/>
  <c r="N185" i="13" s="1"/>
  <c r="M185" i="13" a="1"/>
  <c r="M185" i="13" s="1"/>
  <c r="L185" i="13" a="1"/>
  <c r="L185" i="13" s="1"/>
  <c r="K185" i="13" a="1"/>
  <c r="K185" i="13" s="1"/>
  <c r="J185" i="13" a="1"/>
  <c r="J185" i="13" s="1"/>
  <c r="I185" i="13"/>
  <c r="I185" i="13" a="1"/>
  <c r="H185" i="13" a="1"/>
  <c r="H185" i="13" s="1"/>
  <c r="G185" i="13" a="1"/>
  <c r="G185" i="13" s="1"/>
  <c r="F185" i="13" a="1"/>
  <c r="F185" i="13" s="1"/>
  <c r="T184" i="13" a="1"/>
  <c r="T184" i="13" s="1"/>
  <c r="S184" i="13" a="1"/>
  <c r="S184" i="13" s="1"/>
  <c r="R184" i="13" a="1"/>
  <c r="R184" i="13" s="1"/>
  <c r="Q184" i="13" a="1"/>
  <c r="Q184" i="13" s="1"/>
  <c r="P184" i="13" a="1"/>
  <c r="P184" i="13" s="1"/>
  <c r="O184" i="13" a="1"/>
  <c r="O184" i="13" s="1"/>
  <c r="N184" i="13" a="1"/>
  <c r="N184" i="13" s="1"/>
  <c r="M184" i="13"/>
  <c r="M184" i="13" a="1"/>
  <c r="L184" i="13" a="1"/>
  <c r="L184" i="13" s="1"/>
  <c r="K184" i="13"/>
  <c r="K184" i="13" a="1"/>
  <c r="J184" i="13" a="1"/>
  <c r="J184" i="13" s="1"/>
  <c r="I184" i="13"/>
  <c r="I184" i="13" a="1"/>
  <c r="H184" i="13" a="1"/>
  <c r="H184" i="13" s="1"/>
  <c r="G184" i="13" a="1"/>
  <c r="G184" i="13" s="1"/>
  <c r="F184" i="13" a="1"/>
  <c r="F184" i="13" s="1"/>
  <c r="T183" i="13" a="1"/>
  <c r="T183" i="13" s="1"/>
  <c r="S183" i="13"/>
  <c r="S183" i="13" a="1"/>
  <c r="R183" i="13" a="1"/>
  <c r="R183" i="13" s="1"/>
  <c r="Q183" i="13" a="1"/>
  <c r="Q183" i="13" s="1"/>
  <c r="P183" i="13"/>
  <c r="P183" i="13" a="1"/>
  <c r="O183" i="13" a="1"/>
  <c r="O183" i="13" s="1"/>
  <c r="N183" i="13" a="1"/>
  <c r="N183" i="13" s="1"/>
  <c r="M183" i="13" a="1"/>
  <c r="M183" i="13" s="1"/>
  <c r="L183" i="13" a="1"/>
  <c r="L183" i="13" s="1"/>
  <c r="K183" i="13" a="1"/>
  <c r="K183" i="13" s="1"/>
  <c r="J183" i="13" a="1"/>
  <c r="J183" i="13" s="1"/>
  <c r="I183" i="13" a="1"/>
  <c r="I183" i="13" s="1"/>
  <c r="H183" i="13" a="1"/>
  <c r="H183" i="13" s="1"/>
  <c r="G183" i="13"/>
  <c r="G183" i="13" a="1"/>
  <c r="F183" i="13" a="1"/>
  <c r="F183" i="13" s="1"/>
  <c r="T182" i="13" a="1"/>
  <c r="T182" i="13" s="1"/>
  <c r="S182" i="13" a="1"/>
  <c r="S182" i="13" s="1"/>
  <c r="R182" i="13"/>
  <c r="R182" i="13" a="1"/>
  <c r="Q182" i="13"/>
  <c r="Q182" i="13" a="1"/>
  <c r="P182" i="13" a="1"/>
  <c r="P182" i="13" s="1"/>
  <c r="O182" i="13" a="1"/>
  <c r="O182" i="13" s="1"/>
  <c r="N182" i="13" a="1"/>
  <c r="N182" i="13" s="1"/>
  <c r="M182" i="13" a="1"/>
  <c r="M182" i="13" s="1"/>
  <c r="L182" i="13"/>
  <c r="L182" i="13" a="1"/>
  <c r="K182" i="13" a="1"/>
  <c r="K182" i="13" s="1"/>
  <c r="J182" i="13" a="1"/>
  <c r="J182" i="13" s="1"/>
  <c r="I182" i="13" a="1"/>
  <c r="I182" i="13" s="1"/>
  <c r="H182" i="13" a="1"/>
  <c r="H182" i="13" s="1"/>
  <c r="G182" i="13"/>
  <c r="G182" i="13" a="1"/>
  <c r="F182" i="13"/>
  <c r="F182" i="13" a="1"/>
  <c r="T181" i="13" a="1"/>
  <c r="T181" i="13" s="1"/>
  <c r="S181" i="13" a="1"/>
  <c r="S181" i="13" s="1"/>
  <c r="R181" i="13" a="1"/>
  <c r="R181" i="13" s="1"/>
  <c r="Q181" i="13" a="1"/>
  <c r="Q181" i="13" s="1"/>
  <c r="P181" i="13" a="1"/>
  <c r="P181" i="13" s="1"/>
  <c r="O181" i="13" a="1"/>
  <c r="O181" i="13" s="1"/>
  <c r="N181" i="13" a="1"/>
  <c r="N181" i="13" s="1"/>
  <c r="M181" i="13" a="1"/>
  <c r="M181" i="13" s="1"/>
  <c r="L181" i="13" a="1"/>
  <c r="L181" i="13" s="1"/>
  <c r="K181" i="13" a="1"/>
  <c r="K181" i="13" s="1"/>
  <c r="J181" i="13" a="1"/>
  <c r="J181" i="13" s="1"/>
  <c r="I181" i="13" a="1"/>
  <c r="I181" i="13" s="1"/>
  <c r="H181" i="13" a="1"/>
  <c r="H181" i="13" s="1"/>
  <c r="G181" i="13"/>
  <c r="G181" i="13" a="1"/>
  <c r="F181" i="13" a="1"/>
  <c r="F181" i="13" s="1"/>
  <c r="T180" i="13" a="1"/>
  <c r="T180" i="13" s="1"/>
  <c r="S180" i="13" a="1"/>
  <c r="S180" i="13" s="1"/>
  <c r="R180" i="13" a="1"/>
  <c r="R180" i="13" s="1"/>
  <c r="Q180" i="13" a="1"/>
  <c r="Q180" i="13" s="1"/>
  <c r="P180" i="13" a="1"/>
  <c r="P180" i="13" s="1"/>
  <c r="O180" i="13" a="1"/>
  <c r="O180" i="13" s="1"/>
  <c r="N180" i="13"/>
  <c r="N180" i="13" a="1"/>
  <c r="M180" i="13" a="1"/>
  <c r="M180" i="13" s="1"/>
  <c r="L180" i="13" a="1"/>
  <c r="L180" i="13" s="1"/>
  <c r="K180" i="13" a="1"/>
  <c r="K180" i="13" s="1"/>
  <c r="J180" i="13" a="1"/>
  <c r="J180" i="13" s="1"/>
  <c r="I180" i="13" a="1"/>
  <c r="I180" i="13" s="1"/>
  <c r="H180" i="13" a="1"/>
  <c r="H180" i="13" s="1"/>
  <c r="G180" i="13" a="1"/>
  <c r="G180" i="13" s="1"/>
  <c r="F180" i="13" a="1"/>
  <c r="F180" i="13" s="1"/>
  <c r="T179" i="13" a="1"/>
  <c r="T179" i="13" s="1"/>
  <c r="S179" i="13" a="1"/>
  <c r="S179" i="13" s="1"/>
  <c r="R179" i="13" a="1"/>
  <c r="R179" i="13" s="1"/>
  <c r="Q179" i="13" a="1"/>
  <c r="Q179" i="13" s="1"/>
  <c r="P179" i="13"/>
  <c r="P179" i="13" a="1"/>
  <c r="O179" i="13" a="1"/>
  <c r="O179" i="13" s="1"/>
  <c r="N179" i="13" a="1"/>
  <c r="N179" i="13" s="1"/>
  <c r="M179" i="13" a="1"/>
  <c r="M179" i="13" s="1"/>
  <c r="L179" i="13" a="1"/>
  <c r="L179" i="13" s="1"/>
  <c r="K179" i="13"/>
  <c r="K179" i="13" a="1"/>
  <c r="J179" i="13" a="1"/>
  <c r="J179" i="13" s="1"/>
  <c r="I179" i="13" a="1"/>
  <c r="I179" i="13" s="1"/>
  <c r="H179" i="13" a="1"/>
  <c r="H179" i="13" s="1"/>
  <c r="G179" i="13" a="1"/>
  <c r="G179" i="13" s="1"/>
  <c r="F179" i="13" a="1"/>
  <c r="F179" i="13" s="1"/>
  <c r="T178" i="13" a="1"/>
  <c r="T178" i="13" s="1"/>
  <c r="S178" i="13"/>
  <c r="S178" i="13" a="1"/>
  <c r="R178" i="13" a="1"/>
  <c r="R178" i="13" s="1"/>
  <c r="Q178" i="13" a="1"/>
  <c r="Q178" i="13" s="1"/>
  <c r="P178" i="13" a="1"/>
  <c r="P178" i="13" s="1"/>
  <c r="O178" i="13" a="1"/>
  <c r="O178" i="13" s="1"/>
  <c r="N178" i="13" a="1"/>
  <c r="N178" i="13" s="1"/>
  <c r="M178" i="13" a="1"/>
  <c r="M178" i="13" s="1"/>
  <c r="L178" i="13"/>
  <c r="L178" i="13" a="1"/>
  <c r="K178" i="13" a="1"/>
  <c r="K178" i="13" s="1"/>
  <c r="J178" i="13"/>
  <c r="J178" i="13" a="1"/>
  <c r="I178" i="13" a="1"/>
  <c r="I178" i="13" s="1"/>
  <c r="H178" i="13" a="1"/>
  <c r="H178" i="13" s="1"/>
  <c r="G178" i="13"/>
  <c r="G178" i="13" a="1"/>
  <c r="F178" i="13" a="1"/>
  <c r="F178" i="13" s="1"/>
  <c r="T177" i="13" a="1"/>
  <c r="T177" i="13" s="1"/>
  <c r="S177" i="13" a="1"/>
  <c r="S177" i="13" s="1"/>
  <c r="R177" i="13" a="1"/>
  <c r="R177" i="13" s="1"/>
  <c r="Q177" i="13" a="1"/>
  <c r="Q177" i="13" s="1"/>
  <c r="P177" i="13" a="1"/>
  <c r="P177" i="13" s="1"/>
  <c r="O177" i="13" a="1"/>
  <c r="O177" i="13" s="1"/>
  <c r="N177" i="13" a="1"/>
  <c r="N177" i="13" s="1"/>
  <c r="M177" i="13" a="1"/>
  <c r="M177" i="13" s="1"/>
  <c r="L177" i="13" a="1"/>
  <c r="L177" i="13" s="1"/>
  <c r="K177" i="13" a="1"/>
  <c r="K177" i="13" s="1"/>
  <c r="J177" i="13" a="1"/>
  <c r="J177" i="13" s="1"/>
  <c r="I177" i="13" a="1"/>
  <c r="I177" i="13" s="1"/>
  <c r="H177" i="13" a="1"/>
  <c r="H177" i="13" s="1"/>
  <c r="G177" i="13" a="1"/>
  <c r="G177" i="13" s="1"/>
  <c r="F177" i="13" a="1"/>
  <c r="F177" i="13" s="1"/>
  <c r="T176" i="13" a="1"/>
  <c r="T176" i="13" s="1"/>
  <c r="S176" i="13" a="1"/>
  <c r="S176" i="13" s="1"/>
  <c r="R176" i="13"/>
  <c r="R176" i="13" a="1"/>
  <c r="Q176" i="13" a="1"/>
  <c r="Q176" i="13" s="1"/>
  <c r="P176" i="13" a="1"/>
  <c r="P176" i="13" s="1"/>
  <c r="O176" i="13" a="1"/>
  <c r="O176" i="13" s="1"/>
  <c r="N176" i="13"/>
  <c r="N176" i="13" a="1"/>
  <c r="M176" i="13" a="1"/>
  <c r="M176" i="13" s="1"/>
  <c r="L176" i="13" a="1"/>
  <c r="L176" i="13" s="1"/>
  <c r="K176" i="13" a="1"/>
  <c r="K176" i="13" s="1"/>
  <c r="J176" i="13" a="1"/>
  <c r="J176" i="13" s="1"/>
  <c r="I176" i="13" a="1"/>
  <c r="I176" i="13" s="1"/>
  <c r="H176" i="13" a="1"/>
  <c r="H176" i="13" s="1"/>
  <c r="G176" i="13" a="1"/>
  <c r="G176" i="13" s="1"/>
  <c r="F176" i="13" a="1"/>
  <c r="F176" i="13" s="1"/>
  <c r="T175" i="13" a="1"/>
  <c r="T175" i="13" s="1"/>
  <c r="S175" i="13" a="1"/>
  <c r="S175" i="13" s="1"/>
  <c r="R175" i="13" a="1"/>
  <c r="R175" i="13" s="1"/>
  <c r="Q175" i="13"/>
  <c r="Q175" i="13" a="1"/>
  <c r="P175" i="13" a="1"/>
  <c r="P175" i="13" s="1"/>
  <c r="O175" i="13" a="1"/>
  <c r="O175" i="13" s="1"/>
  <c r="N175" i="13" a="1"/>
  <c r="N175" i="13" s="1"/>
  <c r="M175" i="13" a="1"/>
  <c r="M175" i="13" s="1"/>
  <c r="L175" i="13" a="1"/>
  <c r="L175" i="13" s="1"/>
  <c r="K175" i="13" a="1"/>
  <c r="K175" i="13" s="1"/>
  <c r="J175" i="13" a="1"/>
  <c r="J175" i="13" s="1"/>
  <c r="I175" i="13" a="1"/>
  <c r="I175" i="13" s="1"/>
  <c r="H175" i="13"/>
  <c r="H175" i="13" a="1"/>
  <c r="G175" i="13" a="1"/>
  <c r="G175" i="13" s="1"/>
  <c r="F175" i="13" a="1"/>
  <c r="F175" i="13" s="1"/>
  <c r="T174" i="13" a="1"/>
  <c r="T174" i="13" s="1"/>
  <c r="S174" i="13" a="1"/>
  <c r="S174" i="13" s="1"/>
  <c r="R174" i="13"/>
  <c r="R174" i="13" a="1"/>
  <c r="Q174" i="13" a="1"/>
  <c r="Q174" i="13" s="1"/>
  <c r="P174" i="13" a="1"/>
  <c r="P174" i="13" s="1"/>
  <c r="O174" i="13" a="1"/>
  <c r="O174" i="13" s="1"/>
  <c r="N174" i="13"/>
  <c r="N174" i="13" a="1"/>
  <c r="M174" i="13" a="1"/>
  <c r="M174" i="13" s="1"/>
  <c r="L174" i="13" a="1"/>
  <c r="L174" i="13" s="1"/>
  <c r="K174" i="13" a="1"/>
  <c r="K174" i="13" s="1"/>
  <c r="J174" i="13" a="1"/>
  <c r="J174" i="13" s="1"/>
  <c r="I174" i="13" a="1"/>
  <c r="I174" i="13" s="1"/>
  <c r="H174" i="13" a="1"/>
  <c r="H174" i="13" s="1"/>
  <c r="G174" i="13" a="1"/>
  <c r="G174" i="13" s="1"/>
  <c r="F174" i="13" a="1"/>
  <c r="F174" i="13" s="1"/>
  <c r="T173" i="13" a="1"/>
  <c r="T173" i="13" s="1"/>
  <c r="S173" i="13"/>
  <c r="S173" i="13" a="1"/>
  <c r="R173" i="13" a="1"/>
  <c r="R173" i="13" s="1"/>
  <c r="Q173" i="13" a="1"/>
  <c r="Q173" i="13" s="1"/>
  <c r="P173" i="13" a="1"/>
  <c r="P173" i="13" s="1"/>
  <c r="O173" i="13" a="1"/>
  <c r="O173" i="13" s="1"/>
  <c r="N173" i="13" a="1"/>
  <c r="N173" i="13" s="1"/>
  <c r="M173" i="13" a="1"/>
  <c r="M173" i="13" s="1"/>
  <c r="L173" i="13" a="1"/>
  <c r="L173" i="13" s="1"/>
  <c r="K173" i="13" a="1"/>
  <c r="K173" i="13" s="1"/>
  <c r="J173" i="13" a="1"/>
  <c r="J173" i="13" s="1"/>
  <c r="I173" i="13" a="1"/>
  <c r="I173" i="13" s="1"/>
  <c r="H173" i="13" a="1"/>
  <c r="H173" i="13" s="1"/>
  <c r="G173" i="13"/>
  <c r="G173" i="13" a="1"/>
  <c r="F173" i="13"/>
  <c r="F173" i="13" a="1"/>
  <c r="T172" i="13" a="1"/>
  <c r="T172" i="13" s="1"/>
  <c r="S172" i="13" a="1"/>
  <c r="S172" i="13" s="1"/>
  <c r="R172" i="13" a="1"/>
  <c r="R172" i="13" s="1"/>
  <c r="Q172" i="13" a="1"/>
  <c r="Q172" i="13" s="1"/>
  <c r="P172" i="13" a="1"/>
  <c r="P172" i="13" s="1"/>
  <c r="O172" i="13" a="1"/>
  <c r="O172" i="13" s="1"/>
  <c r="N172" i="13" a="1"/>
  <c r="N172" i="13" s="1"/>
  <c r="M172" i="13" a="1"/>
  <c r="M172" i="13" s="1"/>
  <c r="L172" i="13" a="1"/>
  <c r="L172" i="13" s="1"/>
  <c r="K172" i="13" a="1"/>
  <c r="K172" i="13" s="1"/>
  <c r="J172" i="13" a="1"/>
  <c r="J172" i="13" s="1"/>
  <c r="I172" i="13" a="1"/>
  <c r="I172" i="13" s="1"/>
  <c r="H172" i="13" a="1"/>
  <c r="H172" i="13" s="1"/>
  <c r="G172" i="13" a="1"/>
  <c r="G172" i="13" s="1"/>
  <c r="F172" i="13" a="1"/>
  <c r="F172" i="13" s="1"/>
  <c r="T171" i="13"/>
  <c r="T171" i="13" a="1"/>
  <c r="S171" i="13" a="1"/>
  <c r="S171" i="13" s="1"/>
  <c r="R171" i="13" a="1"/>
  <c r="R171" i="13" s="1"/>
  <c r="Q171" i="13" a="1"/>
  <c r="Q171" i="13" s="1"/>
  <c r="P171" i="13"/>
  <c r="P171" i="13" a="1"/>
  <c r="O171" i="13"/>
  <c r="O171" i="13" a="1"/>
  <c r="N171" i="13" a="1"/>
  <c r="N171" i="13" s="1"/>
  <c r="M171" i="13"/>
  <c r="M171" i="13" a="1"/>
  <c r="L171" i="13"/>
  <c r="L171" i="13" a="1"/>
  <c r="K171" i="13" a="1"/>
  <c r="K171" i="13" s="1"/>
  <c r="J171" i="13" a="1"/>
  <c r="J171" i="13" s="1"/>
  <c r="I171" i="13" a="1"/>
  <c r="I171" i="13" s="1"/>
  <c r="H171" i="13" a="1"/>
  <c r="H171" i="13" s="1"/>
  <c r="G171" i="13" a="1"/>
  <c r="G171" i="13" s="1"/>
  <c r="F171" i="13" a="1"/>
  <c r="F171" i="13" s="1"/>
  <c r="T170" i="13" a="1"/>
  <c r="T170" i="13" s="1"/>
  <c r="S170" i="13" a="1"/>
  <c r="S170" i="13" s="1"/>
  <c r="R170" i="13"/>
  <c r="R170" i="13" a="1"/>
  <c r="Q170" i="13" a="1"/>
  <c r="Q170" i="13" s="1"/>
  <c r="P170" i="13"/>
  <c r="P170" i="13" a="1"/>
  <c r="O170" i="13" a="1"/>
  <c r="O170" i="13" s="1"/>
  <c r="N170" i="13" a="1"/>
  <c r="N170" i="13" s="1"/>
  <c r="M170" i="13" a="1"/>
  <c r="M170" i="13" s="1"/>
  <c r="L170" i="13" a="1"/>
  <c r="L170" i="13" s="1"/>
  <c r="K170" i="13" a="1"/>
  <c r="K170" i="13" s="1"/>
  <c r="J170" i="13" a="1"/>
  <c r="J170" i="13" s="1"/>
  <c r="I170" i="13" a="1"/>
  <c r="I170" i="13" s="1"/>
  <c r="H170" i="13"/>
  <c r="H170" i="13" a="1"/>
  <c r="G170" i="13" a="1"/>
  <c r="G170" i="13" s="1"/>
  <c r="F170" i="13" a="1"/>
  <c r="F170" i="13" s="1"/>
  <c r="T169" i="13" a="1"/>
  <c r="T169" i="13" s="1"/>
  <c r="S169" i="13" a="1"/>
  <c r="S169" i="13" s="1"/>
  <c r="R169" i="13" a="1"/>
  <c r="R169" i="13" s="1"/>
  <c r="Q169" i="13" a="1"/>
  <c r="Q169" i="13" s="1"/>
  <c r="P169" i="13" a="1"/>
  <c r="P169" i="13" s="1"/>
  <c r="O169" i="13" a="1"/>
  <c r="O169" i="13" s="1"/>
  <c r="N169" i="13"/>
  <c r="N169" i="13" a="1"/>
  <c r="M169" i="13" a="1"/>
  <c r="M169" i="13" s="1"/>
  <c r="L169" i="13" a="1"/>
  <c r="L169" i="13" s="1"/>
  <c r="K169" i="13"/>
  <c r="K169" i="13" a="1"/>
  <c r="J169" i="13" a="1"/>
  <c r="J169" i="13" s="1"/>
  <c r="I169" i="13" a="1"/>
  <c r="I169" i="13" s="1"/>
  <c r="H169" i="13" a="1"/>
  <c r="H169" i="13" s="1"/>
  <c r="G169" i="13"/>
  <c r="G169" i="13" a="1"/>
  <c r="F169" i="13" a="1"/>
  <c r="F169" i="13" s="1"/>
  <c r="T168" i="13" a="1"/>
  <c r="T168" i="13" s="1"/>
  <c r="S168" i="13" a="1"/>
  <c r="S168" i="13" s="1"/>
  <c r="R168" i="13" a="1"/>
  <c r="R168" i="13" s="1"/>
  <c r="Q168" i="13" a="1"/>
  <c r="Q168" i="13" s="1"/>
  <c r="P168" i="13" a="1"/>
  <c r="P168" i="13" s="1"/>
  <c r="O168" i="13" a="1"/>
  <c r="O168" i="13" s="1"/>
  <c r="N168" i="13" a="1"/>
  <c r="N168" i="13" s="1"/>
  <c r="M168" i="13" a="1"/>
  <c r="M168" i="13" s="1"/>
  <c r="L168" i="13"/>
  <c r="L168" i="13" a="1"/>
  <c r="K168" i="13" a="1"/>
  <c r="K168" i="13" s="1"/>
  <c r="J168" i="13" a="1"/>
  <c r="J168" i="13" s="1"/>
  <c r="I168" i="13" a="1"/>
  <c r="I168" i="13" s="1"/>
  <c r="H168" i="13" a="1"/>
  <c r="H168" i="13" s="1"/>
  <c r="G168" i="13" a="1"/>
  <c r="G168" i="13" s="1"/>
  <c r="F168" i="13" a="1"/>
  <c r="F168" i="13" s="1"/>
  <c r="T167" i="13" a="1"/>
  <c r="T167" i="13" s="1"/>
  <c r="S167" i="13"/>
  <c r="S167" i="13" a="1"/>
  <c r="R167" i="13" a="1"/>
  <c r="R167" i="13" s="1"/>
  <c r="Q167" i="13" a="1"/>
  <c r="Q167" i="13" s="1"/>
  <c r="P167" i="13" a="1"/>
  <c r="P167" i="13" s="1"/>
  <c r="O167" i="13"/>
  <c r="O167" i="13" a="1"/>
  <c r="N167" i="13" a="1"/>
  <c r="N167" i="13" s="1"/>
  <c r="M167" i="13" a="1"/>
  <c r="M167" i="13" s="1"/>
  <c r="L167" i="13" a="1"/>
  <c r="L167" i="13" s="1"/>
  <c r="K167" i="13" a="1"/>
  <c r="K167" i="13" s="1"/>
  <c r="J167" i="13" a="1"/>
  <c r="J167" i="13" s="1"/>
  <c r="I167" i="13" a="1"/>
  <c r="I167" i="13" s="1"/>
  <c r="H167" i="13" a="1"/>
  <c r="H167" i="13" s="1"/>
  <c r="G167" i="13"/>
  <c r="G167" i="13" a="1"/>
  <c r="F167" i="13" a="1"/>
  <c r="F167" i="13" s="1"/>
  <c r="T166" i="13" a="1"/>
  <c r="T166" i="13" s="1"/>
  <c r="S166" i="13" a="1"/>
  <c r="S166" i="13" s="1"/>
  <c r="R166" i="13" a="1"/>
  <c r="R166" i="13" s="1"/>
  <c r="Q166" i="13" a="1"/>
  <c r="Q166" i="13" s="1"/>
  <c r="P166" i="13" a="1"/>
  <c r="P166" i="13" s="1"/>
  <c r="O166" i="13" a="1"/>
  <c r="O166" i="13" s="1"/>
  <c r="N166" i="13" a="1"/>
  <c r="N166" i="13" s="1"/>
  <c r="M166" i="13" a="1"/>
  <c r="M166" i="13" s="1"/>
  <c r="L166" i="13" a="1"/>
  <c r="L166" i="13" s="1"/>
  <c r="K166" i="13" a="1"/>
  <c r="K166" i="13" s="1"/>
  <c r="J166" i="13" a="1"/>
  <c r="J166" i="13" s="1"/>
  <c r="I166" i="13" a="1"/>
  <c r="I166" i="13" s="1"/>
  <c r="H166" i="13"/>
  <c r="H166" i="13" a="1"/>
  <c r="G166" i="13" a="1"/>
  <c r="G166" i="13" s="1"/>
  <c r="F166" i="13" a="1"/>
  <c r="F166" i="13" s="1"/>
  <c r="T165" i="13" a="1"/>
  <c r="T165" i="13" s="1"/>
  <c r="S165" i="13" a="1"/>
  <c r="S165" i="13" s="1"/>
  <c r="R165" i="13" a="1"/>
  <c r="R165" i="13" s="1"/>
  <c r="Q165" i="13"/>
  <c r="Q165" i="13" a="1"/>
  <c r="P165" i="13"/>
  <c r="P165" i="13" a="1"/>
  <c r="O165" i="13"/>
  <c r="O165" i="13" a="1"/>
  <c r="N165" i="13" a="1"/>
  <c r="N165" i="13" s="1"/>
  <c r="M165" i="13" a="1"/>
  <c r="M165" i="13" s="1"/>
  <c r="L165" i="13" a="1"/>
  <c r="L165" i="13" s="1"/>
  <c r="K165" i="13"/>
  <c r="K165" i="13" a="1"/>
  <c r="J165" i="13" a="1"/>
  <c r="J165" i="13" s="1"/>
  <c r="I165" i="13" a="1"/>
  <c r="I165" i="13" s="1"/>
  <c r="H165" i="13"/>
  <c r="H165" i="13" a="1"/>
  <c r="G165" i="13" a="1"/>
  <c r="G165" i="13" s="1"/>
  <c r="F165" i="13" a="1"/>
  <c r="F165" i="13" s="1"/>
  <c r="T164" i="13" a="1"/>
  <c r="T164" i="13" s="1"/>
  <c r="S164" i="13" a="1"/>
  <c r="S164" i="13" s="1"/>
  <c r="R164" i="13" a="1"/>
  <c r="R164" i="13" s="1"/>
  <c r="Q164" i="13" a="1"/>
  <c r="Q164" i="13" s="1"/>
  <c r="P164" i="13"/>
  <c r="P164" i="13" a="1"/>
  <c r="O164" i="13" a="1"/>
  <c r="O164" i="13" s="1"/>
  <c r="N164" i="13" a="1"/>
  <c r="N164" i="13" s="1"/>
  <c r="M164" i="13" a="1"/>
  <c r="M164" i="13" s="1"/>
  <c r="L164" i="13" a="1"/>
  <c r="L164" i="13" s="1"/>
  <c r="K164" i="13" a="1"/>
  <c r="K164" i="13" s="1"/>
  <c r="J164" i="13"/>
  <c r="J164" i="13" a="1"/>
  <c r="I164" i="13"/>
  <c r="I164" i="13" a="1"/>
  <c r="H164" i="13" a="1"/>
  <c r="H164" i="13" s="1"/>
  <c r="G164" i="13"/>
  <c r="G164" i="13" a="1"/>
  <c r="F164" i="13" a="1"/>
  <c r="F164" i="13" s="1"/>
  <c r="T163" i="13" a="1"/>
  <c r="T163" i="13" s="1"/>
  <c r="S163" i="13" a="1"/>
  <c r="S163" i="13" s="1"/>
  <c r="R163" i="13" a="1"/>
  <c r="R163" i="13" s="1"/>
  <c r="Q163" i="13" a="1"/>
  <c r="Q163" i="13" s="1"/>
  <c r="P163" i="13" a="1"/>
  <c r="P163" i="13" s="1"/>
  <c r="O163" i="13" a="1"/>
  <c r="O163" i="13" s="1"/>
  <c r="N163" i="13" a="1"/>
  <c r="N163" i="13" s="1"/>
  <c r="M163" i="13" a="1"/>
  <c r="M163" i="13" s="1"/>
  <c r="L163" i="13" a="1"/>
  <c r="L163" i="13" s="1"/>
  <c r="K163" i="13" a="1"/>
  <c r="K163" i="13" s="1"/>
  <c r="J163" i="13" a="1"/>
  <c r="J163" i="13" s="1"/>
  <c r="I163" i="13" a="1"/>
  <c r="I163" i="13" s="1"/>
  <c r="H163" i="13"/>
  <c r="H163" i="13" a="1"/>
  <c r="G163" i="13" a="1"/>
  <c r="G163" i="13" s="1"/>
  <c r="F163" i="13" a="1"/>
  <c r="F163" i="13" s="1"/>
  <c r="T162" i="13" a="1"/>
  <c r="T162" i="13" s="1"/>
  <c r="S162" i="13" a="1"/>
  <c r="S162" i="13" s="1"/>
  <c r="R162" i="13" a="1"/>
  <c r="R162" i="13" s="1"/>
  <c r="Q162" i="13" a="1"/>
  <c r="Q162" i="13" s="1"/>
  <c r="P162" i="13" a="1"/>
  <c r="P162" i="13" s="1"/>
  <c r="O162" i="13"/>
  <c r="O162" i="13" a="1"/>
  <c r="N162" i="13" a="1"/>
  <c r="N162" i="13" s="1"/>
  <c r="M162" i="13" a="1"/>
  <c r="M162" i="13" s="1"/>
  <c r="L162" i="13" a="1"/>
  <c r="L162" i="13" s="1"/>
  <c r="K162" i="13"/>
  <c r="K162" i="13" a="1"/>
  <c r="J162" i="13"/>
  <c r="J162" i="13" a="1"/>
  <c r="I162" i="13" a="1"/>
  <c r="I162" i="13" s="1"/>
  <c r="H162" i="13" a="1"/>
  <c r="H162" i="13" s="1"/>
  <c r="G162" i="13"/>
  <c r="G162" i="13" a="1"/>
  <c r="F162" i="13"/>
  <c r="F162" i="13" a="1"/>
  <c r="T161" i="13" a="1"/>
  <c r="T161" i="13" s="1"/>
  <c r="S161" i="13" a="1"/>
  <c r="S161" i="13" s="1"/>
  <c r="R161" i="13" a="1"/>
  <c r="R161" i="13" s="1"/>
  <c r="Q161" i="13" a="1"/>
  <c r="Q161" i="13" s="1"/>
  <c r="P161" i="13" a="1"/>
  <c r="P161" i="13" s="1"/>
  <c r="O161" i="13"/>
  <c r="O161" i="13" a="1"/>
  <c r="N161" i="13" a="1"/>
  <c r="N161" i="13" s="1"/>
  <c r="M161" i="13" a="1"/>
  <c r="M161" i="13" s="1"/>
  <c r="L161" i="13" a="1"/>
  <c r="L161" i="13" s="1"/>
  <c r="K161" i="13" a="1"/>
  <c r="K161" i="13" s="1"/>
  <c r="J161" i="13" a="1"/>
  <c r="J161" i="13" s="1"/>
  <c r="I161" i="13" a="1"/>
  <c r="I161" i="13" s="1"/>
  <c r="H161" i="13" a="1"/>
  <c r="H161" i="13" s="1"/>
  <c r="G161" i="13" a="1"/>
  <c r="G161" i="13" s="1"/>
  <c r="F161" i="13"/>
  <c r="F161" i="13" a="1"/>
  <c r="T160" i="13"/>
  <c r="T160" i="13" a="1"/>
  <c r="S160" i="13" a="1"/>
  <c r="S160" i="13" s="1"/>
  <c r="R160" i="13" a="1"/>
  <c r="R160" i="13" s="1"/>
  <c r="Q160" i="13" a="1"/>
  <c r="Q160" i="13" s="1"/>
  <c r="P160" i="13" a="1"/>
  <c r="P160" i="13" s="1"/>
  <c r="O160" i="13" a="1"/>
  <c r="O160" i="13" s="1"/>
  <c r="N160" i="13" a="1"/>
  <c r="N160" i="13" s="1"/>
  <c r="M160" i="13" a="1"/>
  <c r="M160" i="13" s="1"/>
  <c r="L160" i="13" a="1"/>
  <c r="L160" i="13" s="1"/>
  <c r="K160" i="13"/>
  <c r="K160" i="13" a="1"/>
  <c r="J160" i="13" a="1"/>
  <c r="J160" i="13" s="1"/>
  <c r="I160" i="13"/>
  <c r="I160" i="13" a="1"/>
  <c r="H160" i="13" a="1"/>
  <c r="H160" i="13" s="1"/>
  <c r="G160" i="13" a="1"/>
  <c r="G160" i="13" s="1"/>
  <c r="F160" i="13" a="1"/>
  <c r="F160" i="13" s="1"/>
  <c r="T159" i="13" a="1"/>
  <c r="T159" i="13" s="1"/>
  <c r="S159" i="13" a="1"/>
  <c r="S159" i="13" s="1"/>
  <c r="R159" i="13" a="1"/>
  <c r="R159" i="13" s="1"/>
  <c r="Q159" i="13"/>
  <c r="Q159" i="13" a="1"/>
  <c r="P159" i="13" a="1"/>
  <c r="P159" i="13" s="1"/>
  <c r="O159" i="13"/>
  <c r="O159" i="13" a="1"/>
  <c r="N159" i="13" a="1"/>
  <c r="N159" i="13" s="1"/>
  <c r="M159" i="13" a="1"/>
  <c r="M159" i="13" s="1"/>
  <c r="L159" i="13"/>
  <c r="L159" i="13" a="1"/>
  <c r="K159" i="13" a="1"/>
  <c r="K159" i="13" s="1"/>
  <c r="J159" i="13" a="1"/>
  <c r="J159" i="13" s="1"/>
  <c r="I159" i="13" a="1"/>
  <c r="I159" i="13" s="1"/>
  <c r="H159" i="13" a="1"/>
  <c r="H159" i="13" s="1"/>
  <c r="G159" i="13" a="1"/>
  <c r="G159" i="13" s="1"/>
  <c r="F159" i="13" a="1"/>
  <c r="F159" i="13" s="1"/>
  <c r="T158" i="13" a="1"/>
  <c r="T158" i="13" s="1"/>
  <c r="S158" i="13"/>
  <c r="S158" i="13" a="1"/>
  <c r="R158" i="13" a="1"/>
  <c r="R158" i="13" s="1"/>
  <c r="Q158" i="13"/>
  <c r="Q158" i="13" a="1"/>
  <c r="P158" i="13" a="1"/>
  <c r="P158" i="13" s="1"/>
  <c r="O158" i="13"/>
  <c r="O158" i="13" a="1"/>
  <c r="N158" i="13" a="1"/>
  <c r="N158" i="13" s="1"/>
  <c r="M158" i="13" a="1"/>
  <c r="M158" i="13" s="1"/>
  <c r="L158" i="13" a="1"/>
  <c r="L158" i="13" s="1"/>
  <c r="K158" i="13" a="1"/>
  <c r="K158" i="13" s="1"/>
  <c r="J158" i="13" a="1"/>
  <c r="J158" i="13" s="1"/>
  <c r="I158" i="13"/>
  <c r="I158" i="13" a="1"/>
  <c r="H158" i="13" a="1"/>
  <c r="H158" i="13" s="1"/>
  <c r="G158" i="13" a="1"/>
  <c r="G158" i="13" s="1"/>
  <c r="F158" i="13" a="1"/>
  <c r="F158" i="13" s="1"/>
  <c r="T157" i="13" a="1"/>
  <c r="T157" i="13" s="1"/>
  <c r="S157" i="13" a="1"/>
  <c r="S157" i="13" s="1"/>
  <c r="R157" i="13" a="1"/>
  <c r="R157" i="13" s="1"/>
  <c r="Q157" i="13" a="1"/>
  <c r="Q157" i="13" s="1"/>
  <c r="P157" i="13" a="1"/>
  <c r="P157" i="13" s="1"/>
  <c r="O157" i="13" a="1"/>
  <c r="O157" i="13" s="1"/>
  <c r="N157" i="13" a="1"/>
  <c r="N157" i="13" s="1"/>
  <c r="M157" i="13"/>
  <c r="M157" i="13" a="1"/>
  <c r="L157" i="13" a="1"/>
  <c r="L157" i="13" s="1"/>
  <c r="K157" i="13"/>
  <c r="K157" i="13" a="1"/>
  <c r="J157" i="13" a="1"/>
  <c r="J157" i="13" s="1"/>
  <c r="I157" i="13"/>
  <c r="I157" i="13" a="1"/>
  <c r="H157" i="13"/>
  <c r="H157" i="13" a="1"/>
  <c r="G157" i="13" a="1"/>
  <c r="G157" i="13" s="1"/>
  <c r="F157" i="13" a="1"/>
  <c r="F157" i="13" s="1"/>
  <c r="T156" i="13"/>
  <c r="T156" i="13" a="1"/>
  <c r="S156" i="13" a="1"/>
  <c r="S156" i="13" s="1"/>
  <c r="R156" i="13" a="1"/>
  <c r="R156" i="13" s="1"/>
  <c r="Q156" i="13"/>
  <c r="Q156" i="13" a="1"/>
  <c r="P156" i="13" a="1"/>
  <c r="P156" i="13" s="1"/>
  <c r="O156" i="13"/>
  <c r="O156" i="13" a="1"/>
  <c r="N156" i="13" a="1"/>
  <c r="N156" i="13" s="1"/>
  <c r="M156" i="13"/>
  <c r="M156" i="13" a="1"/>
  <c r="L156" i="13" a="1"/>
  <c r="L156" i="13" s="1"/>
  <c r="K156" i="13" a="1"/>
  <c r="K156" i="13" s="1"/>
  <c r="J156" i="13" a="1"/>
  <c r="J156" i="13" s="1"/>
  <c r="I156" i="13" a="1"/>
  <c r="I156" i="13" s="1"/>
  <c r="H156" i="13" a="1"/>
  <c r="H156" i="13" s="1"/>
  <c r="G156" i="13" a="1"/>
  <c r="G156" i="13" s="1"/>
  <c r="F156" i="13"/>
  <c r="F156" i="13" a="1"/>
  <c r="T155" i="13" a="1"/>
  <c r="T155" i="13" s="1"/>
  <c r="S155" i="13" a="1"/>
  <c r="S155" i="13" s="1"/>
  <c r="R155" i="13" a="1"/>
  <c r="R155" i="13" s="1"/>
  <c r="Q155" i="13"/>
  <c r="Q155" i="13" a="1"/>
  <c r="P155" i="13" a="1"/>
  <c r="P155" i="13" s="1"/>
  <c r="O155" i="13"/>
  <c r="O155" i="13" a="1"/>
  <c r="N155" i="13" a="1"/>
  <c r="N155" i="13" s="1"/>
  <c r="M155" i="13" a="1"/>
  <c r="M155" i="13" s="1"/>
  <c r="L155" i="13" a="1"/>
  <c r="L155" i="13" s="1"/>
  <c r="K155" i="13" a="1"/>
  <c r="K155" i="13" s="1"/>
  <c r="J155" i="13" a="1"/>
  <c r="J155" i="13" s="1"/>
  <c r="I155" i="13"/>
  <c r="I155" i="13" a="1"/>
  <c r="H155" i="13" a="1"/>
  <c r="H155" i="13" s="1"/>
  <c r="G155" i="13" a="1"/>
  <c r="G155" i="13" s="1"/>
  <c r="F155" i="13" a="1"/>
  <c r="F155" i="13" s="1"/>
  <c r="T154" i="13" a="1"/>
  <c r="T154" i="13" s="1"/>
  <c r="S154" i="13"/>
  <c r="S154" i="13" a="1"/>
  <c r="R154" i="13" a="1"/>
  <c r="R154" i="13" s="1"/>
  <c r="Q154" i="13" a="1"/>
  <c r="Q154" i="13" s="1"/>
  <c r="P154" i="13" a="1"/>
  <c r="P154" i="13" s="1"/>
  <c r="O154" i="13" a="1"/>
  <c r="O154" i="13" s="1"/>
  <c r="N154" i="13" a="1"/>
  <c r="N154" i="13" s="1"/>
  <c r="M154" i="13" a="1"/>
  <c r="M154" i="13" s="1"/>
  <c r="L154" i="13" a="1"/>
  <c r="L154" i="13" s="1"/>
  <c r="K154" i="13" a="1"/>
  <c r="K154" i="13" s="1"/>
  <c r="J154" i="13" a="1"/>
  <c r="J154" i="13" s="1"/>
  <c r="I154" i="13" a="1"/>
  <c r="I154" i="13" s="1"/>
  <c r="H154" i="13" a="1"/>
  <c r="H154" i="13" s="1"/>
  <c r="G154" i="13" a="1"/>
  <c r="G154" i="13" s="1"/>
  <c r="F154" i="13" a="1"/>
  <c r="F154" i="13" s="1"/>
  <c r="T153" i="13" a="1"/>
  <c r="T153" i="13" s="1"/>
  <c r="S153" i="13" a="1"/>
  <c r="S153" i="13" s="1"/>
  <c r="R153" i="13"/>
  <c r="R153" i="13" a="1"/>
  <c r="Q153" i="13"/>
  <c r="Q153" i="13" a="1"/>
  <c r="P153" i="13" a="1"/>
  <c r="P153" i="13" s="1"/>
  <c r="O153" i="13"/>
  <c r="O153" i="13" a="1"/>
  <c r="N153" i="13" a="1"/>
  <c r="N153" i="13" s="1"/>
  <c r="M153" i="13"/>
  <c r="M153" i="13" a="1"/>
  <c r="L153" i="13" a="1"/>
  <c r="L153" i="13" s="1"/>
  <c r="K153" i="13" a="1"/>
  <c r="K153" i="13" s="1"/>
  <c r="J153" i="13" a="1"/>
  <c r="J153" i="13" s="1"/>
  <c r="I153" i="13" a="1"/>
  <c r="I153" i="13" s="1"/>
  <c r="H153" i="13" a="1"/>
  <c r="H153" i="13" s="1"/>
  <c r="G153" i="13" a="1"/>
  <c r="G153" i="13" s="1"/>
  <c r="F153" i="13" a="1"/>
  <c r="F153" i="13" s="1"/>
  <c r="T152" i="13" a="1"/>
  <c r="T152" i="13" s="1"/>
  <c r="S152" i="13" a="1"/>
  <c r="S152" i="13" s="1"/>
  <c r="R152" i="13" a="1"/>
  <c r="R152" i="13" s="1"/>
  <c r="Q152" i="13"/>
  <c r="Q152" i="13" a="1"/>
  <c r="P152" i="13" a="1"/>
  <c r="P152" i="13" s="1"/>
  <c r="O152" i="13" a="1"/>
  <c r="O152" i="13" s="1"/>
  <c r="N152" i="13" a="1"/>
  <c r="N152" i="13" s="1"/>
  <c r="M152" i="13"/>
  <c r="M152" i="13" a="1"/>
  <c r="L152" i="13" a="1"/>
  <c r="L152" i="13" s="1"/>
  <c r="K152" i="13"/>
  <c r="K152" i="13" a="1"/>
  <c r="J152" i="13" a="1"/>
  <c r="J152" i="13" s="1"/>
  <c r="I152" i="13" a="1"/>
  <c r="I152" i="13" s="1"/>
  <c r="H152" i="13"/>
  <c r="H152" i="13" a="1"/>
  <c r="G152" i="13" a="1"/>
  <c r="G152" i="13" s="1"/>
  <c r="F152" i="13" a="1"/>
  <c r="F152" i="13" s="1"/>
  <c r="T151" i="13" a="1"/>
  <c r="T151" i="13" s="1"/>
  <c r="S151" i="13" a="1"/>
  <c r="S151" i="13" s="1"/>
  <c r="R151" i="13" a="1"/>
  <c r="R151" i="13" s="1"/>
  <c r="Q151" i="13" a="1"/>
  <c r="Q151" i="13" s="1"/>
  <c r="P151" i="13" a="1"/>
  <c r="P151" i="13" s="1"/>
  <c r="O151" i="13" a="1"/>
  <c r="O151" i="13" s="1"/>
  <c r="N151" i="13" a="1"/>
  <c r="N151" i="13" s="1"/>
  <c r="M151" i="13" a="1"/>
  <c r="M151" i="13" s="1"/>
  <c r="L151" i="13" a="1"/>
  <c r="L151" i="13" s="1"/>
  <c r="K151" i="13" a="1"/>
  <c r="K151" i="13" s="1"/>
  <c r="J151" i="13" a="1"/>
  <c r="J151" i="13" s="1"/>
  <c r="I151" i="13" a="1"/>
  <c r="I151" i="13" s="1"/>
  <c r="H151" i="13"/>
  <c r="H151" i="13" a="1"/>
  <c r="G151" i="13" a="1"/>
  <c r="G151" i="13" s="1"/>
  <c r="F151" i="13" a="1"/>
  <c r="F151" i="13" s="1"/>
  <c r="T150" i="13" a="1"/>
  <c r="T150" i="13" s="1"/>
  <c r="S150" i="13" a="1"/>
  <c r="S150" i="13" s="1"/>
  <c r="R150" i="13" a="1"/>
  <c r="R150" i="13" s="1"/>
  <c r="Q150" i="13"/>
  <c r="Q150" i="13" a="1"/>
  <c r="P150" i="13" a="1"/>
  <c r="P150" i="13" s="1"/>
  <c r="O150" i="13" a="1"/>
  <c r="O150" i="13" s="1"/>
  <c r="N150" i="13" a="1"/>
  <c r="N150" i="13" s="1"/>
  <c r="M150" i="13" a="1"/>
  <c r="M150" i="13" s="1"/>
  <c r="L150" i="13" a="1"/>
  <c r="L150" i="13" s="1"/>
  <c r="K150" i="13" a="1"/>
  <c r="K150" i="13" s="1"/>
  <c r="J150" i="13"/>
  <c r="J150" i="13" a="1"/>
  <c r="I150" i="13" a="1"/>
  <c r="I150" i="13" s="1"/>
  <c r="H150" i="13"/>
  <c r="H150" i="13" a="1"/>
  <c r="G150" i="13" a="1"/>
  <c r="G150" i="13" s="1"/>
  <c r="F150" i="13"/>
  <c r="F150" i="13" a="1"/>
  <c r="T149" i="13" a="1"/>
  <c r="T149" i="13" s="1"/>
  <c r="S149" i="13" a="1"/>
  <c r="S149" i="13" s="1"/>
  <c r="R149" i="13" a="1"/>
  <c r="R149" i="13" s="1"/>
  <c r="Q149" i="13" a="1"/>
  <c r="Q149" i="13" s="1"/>
  <c r="P149" i="13" a="1"/>
  <c r="P149" i="13" s="1"/>
  <c r="O149" i="13" a="1"/>
  <c r="O149" i="13" s="1"/>
  <c r="N149" i="13"/>
  <c r="N149" i="13" a="1"/>
  <c r="M149" i="13" a="1"/>
  <c r="M149" i="13" s="1"/>
  <c r="L149" i="13" a="1"/>
  <c r="L149" i="13" s="1"/>
  <c r="K149" i="13" a="1"/>
  <c r="K149" i="13" s="1"/>
  <c r="J149" i="13" a="1"/>
  <c r="J149" i="13" s="1"/>
  <c r="I149" i="13" a="1"/>
  <c r="I149" i="13" s="1"/>
  <c r="H149" i="13"/>
  <c r="H149" i="13" a="1"/>
  <c r="G149" i="13"/>
  <c r="G149" i="13" a="1"/>
  <c r="F149" i="13" a="1"/>
  <c r="F149" i="13" s="1"/>
  <c r="T148" i="13" a="1"/>
  <c r="T148" i="13" s="1"/>
  <c r="S148" i="13" a="1"/>
  <c r="S148" i="13" s="1"/>
  <c r="R148" i="13" a="1"/>
  <c r="R148" i="13" s="1"/>
  <c r="Q148" i="13" a="1"/>
  <c r="Q148" i="13" s="1"/>
  <c r="P148" i="13" a="1"/>
  <c r="P148" i="13" s="1"/>
  <c r="O148" i="13"/>
  <c r="O148" i="13" a="1"/>
  <c r="N148" i="13" a="1"/>
  <c r="N148" i="13" s="1"/>
  <c r="M148" i="13" a="1"/>
  <c r="M148" i="13" s="1"/>
  <c r="L148" i="13" a="1"/>
  <c r="L148" i="13" s="1"/>
  <c r="K148" i="13" a="1"/>
  <c r="K148" i="13" s="1"/>
  <c r="J148" i="13" a="1"/>
  <c r="J148" i="13" s="1"/>
  <c r="I148" i="13" a="1"/>
  <c r="I148" i="13" s="1"/>
  <c r="H148" i="13" a="1"/>
  <c r="H148" i="13" s="1"/>
  <c r="G148" i="13" a="1"/>
  <c r="G148" i="13" s="1"/>
  <c r="F148" i="13"/>
  <c r="F148" i="13" a="1"/>
  <c r="T147" i="13" a="1"/>
  <c r="T147" i="13" s="1"/>
  <c r="S147" i="13" a="1"/>
  <c r="S147" i="13" s="1"/>
  <c r="R147" i="13" a="1"/>
  <c r="R147" i="13" s="1"/>
  <c r="Q147" i="13"/>
  <c r="Q147" i="13" a="1"/>
  <c r="P147" i="13" a="1"/>
  <c r="P147" i="13" s="1"/>
  <c r="O147" i="13"/>
  <c r="O147" i="13" a="1"/>
  <c r="N147" i="13" a="1"/>
  <c r="N147" i="13" s="1"/>
  <c r="M147" i="13" a="1"/>
  <c r="M147" i="13" s="1"/>
  <c r="L147" i="13"/>
  <c r="L147" i="13" a="1"/>
  <c r="K147" i="13" a="1"/>
  <c r="K147" i="13" s="1"/>
  <c r="J147" i="13"/>
  <c r="J147" i="13" a="1"/>
  <c r="I147" i="13" a="1"/>
  <c r="I147" i="13" s="1"/>
  <c r="H147" i="13" a="1"/>
  <c r="H147" i="13" s="1"/>
  <c r="G147" i="13" a="1"/>
  <c r="G147" i="13" s="1"/>
  <c r="F147" i="13" a="1"/>
  <c r="F147" i="13" s="1"/>
  <c r="T146" i="13" a="1"/>
  <c r="T146" i="13" s="1"/>
  <c r="S146" i="13" a="1"/>
  <c r="S146" i="13" s="1"/>
  <c r="R146" i="13" a="1"/>
  <c r="R146" i="13" s="1"/>
  <c r="Q146" i="13" a="1"/>
  <c r="Q146" i="13" s="1"/>
  <c r="P146" i="13" a="1"/>
  <c r="P146" i="13" s="1"/>
  <c r="O146" i="13" a="1"/>
  <c r="O146" i="13" s="1"/>
  <c r="N146" i="13" a="1"/>
  <c r="N146" i="13" s="1"/>
  <c r="M146" i="13" a="1"/>
  <c r="M146" i="13" s="1"/>
  <c r="L146" i="13" a="1"/>
  <c r="L146" i="13" s="1"/>
  <c r="K146" i="13"/>
  <c r="K146" i="13" a="1"/>
  <c r="J146" i="13" a="1"/>
  <c r="J146" i="13" s="1"/>
  <c r="I146" i="13" a="1"/>
  <c r="I146" i="13" s="1"/>
  <c r="H146" i="13"/>
  <c r="H146" i="13" a="1"/>
  <c r="G146" i="13" a="1"/>
  <c r="G146" i="13" s="1"/>
  <c r="F146" i="13"/>
  <c r="F146" i="13" a="1"/>
  <c r="T145" i="13" a="1"/>
  <c r="T145" i="13" s="1"/>
  <c r="S145" i="13" a="1"/>
  <c r="S145" i="13" s="1"/>
  <c r="R145" i="13" a="1"/>
  <c r="R145" i="13" s="1"/>
  <c r="Q145" i="13" a="1"/>
  <c r="Q145" i="13" s="1"/>
  <c r="P145" i="13" a="1"/>
  <c r="P145" i="13" s="1"/>
  <c r="O145" i="13" a="1"/>
  <c r="O145" i="13" s="1"/>
  <c r="N145" i="13" a="1"/>
  <c r="N145" i="13" s="1"/>
  <c r="M145" i="13" a="1"/>
  <c r="M145" i="13" s="1"/>
  <c r="L145" i="13" a="1"/>
  <c r="L145" i="13" s="1"/>
  <c r="K145" i="13"/>
  <c r="K145" i="13" a="1"/>
  <c r="J145" i="13" a="1"/>
  <c r="J145" i="13" s="1"/>
  <c r="I145" i="13" a="1"/>
  <c r="I145" i="13" s="1"/>
  <c r="H145" i="13" a="1"/>
  <c r="H145" i="13" s="1"/>
  <c r="G145" i="13" a="1"/>
  <c r="G145" i="13" s="1"/>
  <c r="F145" i="13" a="1"/>
  <c r="F145" i="13" s="1"/>
  <c r="T144" i="13" a="1"/>
  <c r="T144" i="13" s="1"/>
  <c r="S144" i="13"/>
  <c r="S144" i="13" a="1"/>
  <c r="R144" i="13" a="1"/>
  <c r="R144" i="13" s="1"/>
  <c r="Q144" i="13" a="1"/>
  <c r="Q144" i="13" s="1"/>
  <c r="P144" i="13" a="1"/>
  <c r="P144" i="13" s="1"/>
  <c r="O144" i="13" a="1"/>
  <c r="O144" i="13" s="1"/>
  <c r="N144" i="13" a="1"/>
  <c r="N144" i="13" s="1"/>
  <c r="M144" i="13" a="1"/>
  <c r="M144" i="13" s="1"/>
  <c r="L144" i="13"/>
  <c r="L144" i="13" a="1"/>
  <c r="K144" i="13" a="1"/>
  <c r="K144" i="13" s="1"/>
  <c r="J144" i="13" a="1"/>
  <c r="J144" i="13" s="1"/>
  <c r="I144" i="13" a="1"/>
  <c r="I144" i="13" s="1"/>
  <c r="H144" i="13" a="1"/>
  <c r="H144" i="13" s="1"/>
  <c r="G144" i="13" a="1"/>
  <c r="G144" i="13" s="1"/>
  <c r="F144" i="13" a="1"/>
  <c r="F144" i="13" s="1"/>
  <c r="T143" i="13" a="1"/>
  <c r="T143" i="13" s="1"/>
  <c r="S143" i="13" a="1"/>
  <c r="S143" i="13" s="1"/>
  <c r="R143" i="13" a="1"/>
  <c r="R143" i="13" s="1"/>
  <c r="Q143" i="13"/>
  <c r="Q143" i="13" a="1"/>
  <c r="P143" i="13" a="1"/>
  <c r="P143" i="13" s="1"/>
  <c r="O143" i="13" a="1"/>
  <c r="O143" i="13" s="1"/>
  <c r="N143" i="13" a="1"/>
  <c r="N143" i="13" s="1"/>
  <c r="M143" i="13" a="1"/>
  <c r="M143" i="13" s="1"/>
  <c r="L143" i="13" a="1"/>
  <c r="L143" i="13" s="1"/>
  <c r="K143" i="13" a="1"/>
  <c r="K143" i="13" s="1"/>
  <c r="J143" i="13" a="1"/>
  <c r="J143" i="13" s="1"/>
  <c r="I143" i="13" a="1"/>
  <c r="I143" i="13" s="1"/>
  <c r="H143" i="13" a="1"/>
  <c r="H143" i="13" s="1"/>
  <c r="G143" i="13"/>
  <c r="G143" i="13" a="1"/>
  <c r="F143" i="13" a="1"/>
  <c r="F143" i="13" s="1"/>
  <c r="T142" i="13" a="1"/>
  <c r="T142" i="13" s="1"/>
  <c r="S142" i="13" a="1"/>
  <c r="S142" i="13" s="1"/>
  <c r="R142" i="13" a="1"/>
  <c r="R142" i="13" s="1"/>
  <c r="Q142" i="13" a="1"/>
  <c r="Q142" i="13" s="1"/>
  <c r="P142" i="13" a="1"/>
  <c r="P142" i="13" s="1"/>
  <c r="O142" i="13"/>
  <c r="O142" i="13" a="1"/>
  <c r="N142" i="13" a="1"/>
  <c r="N142" i="13" s="1"/>
  <c r="M142" i="13" a="1"/>
  <c r="M142" i="13" s="1"/>
  <c r="L142" i="13" a="1"/>
  <c r="L142" i="13" s="1"/>
  <c r="K142" i="13" a="1"/>
  <c r="K142" i="13" s="1"/>
  <c r="J142" i="13" a="1"/>
  <c r="J142" i="13" s="1"/>
  <c r="I142" i="13"/>
  <c r="I142" i="13" a="1"/>
  <c r="H142" i="13"/>
  <c r="H142" i="13" a="1"/>
  <c r="G142" i="13" a="1"/>
  <c r="G142" i="13" s="1"/>
  <c r="F142" i="13" a="1"/>
  <c r="F142" i="13" s="1"/>
  <c r="T141" i="13"/>
  <c r="T141" i="13" a="1"/>
  <c r="S141" i="13" a="1"/>
  <c r="S141" i="13" s="1"/>
  <c r="R141" i="13" a="1"/>
  <c r="R141" i="13" s="1"/>
  <c r="Q141" i="13" a="1"/>
  <c r="Q141" i="13" s="1"/>
  <c r="P141" i="13" a="1"/>
  <c r="P141" i="13" s="1"/>
  <c r="O141" i="13" a="1"/>
  <c r="O141" i="13" s="1"/>
  <c r="N141" i="13" a="1"/>
  <c r="N141" i="13" s="1"/>
  <c r="M141" i="13" a="1"/>
  <c r="M141" i="13" s="1"/>
  <c r="L141" i="13" a="1"/>
  <c r="L141" i="13" s="1"/>
  <c r="K141" i="13" a="1"/>
  <c r="K141" i="13" s="1"/>
  <c r="J141" i="13" a="1"/>
  <c r="J141" i="13" s="1"/>
  <c r="I141" i="13" a="1"/>
  <c r="I141" i="13" s="1"/>
  <c r="H141" i="13" a="1"/>
  <c r="H141" i="13" s="1"/>
  <c r="G141" i="13"/>
  <c r="G141" i="13" a="1"/>
  <c r="F141" i="13" a="1"/>
  <c r="F141" i="13" s="1"/>
  <c r="T140" i="13" a="1"/>
  <c r="T140" i="13" s="1"/>
  <c r="S140" i="13" a="1"/>
  <c r="S140" i="13" s="1"/>
  <c r="R140" i="13" a="1"/>
  <c r="R140" i="13" s="1"/>
  <c r="Q140" i="13" a="1"/>
  <c r="Q140" i="13" s="1"/>
  <c r="P140" i="13" a="1"/>
  <c r="P140" i="13" s="1"/>
  <c r="O140" i="13" a="1"/>
  <c r="O140" i="13" s="1"/>
  <c r="N140" i="13" a="1"/>
  <c r="N140" i="13" s="1"/>
  <c r="M140" i="13" a="1"/>
  <c r="M140" i="13" s="1"/>
  <c r="L140" i="13" a="1"/>
  <c r="L140" i="13" s="1"/>
  <c r="K140" i="13" a="1"/>
  <c r="K140" i="13" s="1"/>
  <c r="J140" i="13" a="1"/>
  <c r="J140" i="13" s="1"/>
  <c r="I140" i="13" a="1"/>
  <c r="I140" i="13" s="1"/>
  <c r="H140" i="13" a="1"/>
  <c r="H140" i="13" s="1"/>
  <c r="G140" i="13" a="1"/>
  <c r="G140" i="13" s="1"/>
  <c r="F140" i="13" a="1"/>
  <c r="F140" i="13" s="1"/>
  <c r="T139" i="13" a="1"/>
  <c r="T139" i="13" s="1"/>
  <c r="S139" i="13" a="1"/>
  <c r="S139" i="13" s="1"/>
  <c r="R139" i="13" a="1"/>
  <c r="R139" i="13" s="1"/>
  <c r="Q139" i="13" a="1"/>
  <c r="Q139" i="13" s="1"/>
  <c r="P139" i="13" a="1"/>
  <c r="P139" i="13" s="1"/>
  <c r="O139" i="13" a="1"/>
  <c r="O139" i="13" s="1"/>
  <c r="N139" i="13" a="1"/>
  <c r="N139" i="13" s="1"/>
  <c r="M139" i="13"/>
  <c r="M139" i="13" a="1"/>
  <c r="L139" i="13" a="1"/>
  <c r="L139" i="13" s="1"/>
  <c r="K139" i="13" a="1"/>
  <c r="K139" i="13" s="1"/>
  <c r="J139" i="13" a="1"/>
  <c r="J139" i="13" s="1"/>
  <c r="I139" i="13"/>
  <c r="I139" i="13" a="1"/>
  <c r="H139" i="13" a="1"/>
  <c r="H139" i="13" s="1"/>
  <c r="G139" i="13"/>
  <c r="G139" i="13" a="1"/>
  <c r="F139" i="13" a="1"/>
  <c r="F139" i="13" s="1"/>
  <c r="T138" i="13" a="1"/>
  <c r="T138" i="13" s="1"/>
  <c r="S138" i="13" a="1"/>
  <c r="S138" i="13" s="1"/>
  <c r="R138" i="13" a="1"/>
  <c r="R138" i="13" s="1"/>
  <c r="Q138" i="13" a="1"/>
  <c r="Q138" i="13" s="1"/>
  <c r="P138" i="13" a="1"/>
  <c r="P138" i="13" s="1"/>
  <c r="O138" i="13" a="1"/>
  <c r="O138" i="13" s="1"/>
  <c r="N138" i="13" a="1"/>
  <c r="N138" i="13" s="1"/>
  <c r="M138" i="13" a="1"/>
  <c r="M138" i="13" s="1"/>
  <c r="L138" i="13" a="1"/>
  <c r="L138" i="13" s="1"/>
  <c r="K138" i="13" a="1"/>
  <c r="K138" i="13" s="1"/>
  <c r="J138" i="13" a="1"/>
  <c r="J138" i="13" s="1"/>
  <c r="I138" i="13" a="1"/>
  <c r="I138" i="13" s="1"/>
  <c r="H138" i="13" a="1"/>
  <c r="H138" i="13" s="1"/>
  <c r="G138" i="13" a="1"/>
  <c r="G138" i="13" s="1"/>
  <c r="F138" i="13" a="1"/>
  <c r="F138" i="13" s="1"/>
  <c r="T137" i="13" a="1"/>
  <c r="T137" i="13" s="1"/>
  <c r="S137" i="13" a="1"/>
  <c r="S137" i="13" s="1"/>
  <c r="R137" i="13"/>
  <c r="R137" i="13" a="1"/>
  <c r="Q137" i="13" a="1"/>
  <c r="Q137" i="13" s="1"/>
  <c r="P137" i="13"/>
  <c r="P137" i="13" a="1"/>
  <c r="O137" i="13"/>
  <c r="O137" i="13" a="1"/>
  <c r="N137" i="13" a="1"/>
  <c r="N137" i="13" s="1"/>
  <c r="M137" i="13"/>
  <c r="M137" i="13" a="1"/>
  <c r="L137" i="13" a="1"/>
  <c r="L137" i="13" s="1"/>
  <c r="K137" i="13" a="1"/>
  <c r="K137" i="13" s="1"/>
  <c r="J137" i="13" a="1"/>
  <c r="J137" i="13" s="1"/>
  <c r="I137" i="13" a="1"/>
  <c r="I137" i="13" s="1"/>
  <c r="H137" i="13" a="1"/>
  <c r="H137" i="13" s="1"/>
  <c r="G137" i="13" a="1"/>
  <c r="G137" i="13" s="1"/>
  <c r="F137" i="13" a="1"/>
  <c r="F137" i="13" s="1"/>
  <c r="T136" i="13" a="1"/>
  <c r="T136" i="13" s="1"/>
  <c r="S136" i="13" a="1"/>
  <c r="S136" i="13" s="1"/>
  <c r="R136" i="13"/>
  <c r="R136" i="13" a="1"/>
  <c r="Q136" i="13" a="1"/>
  <c r="Q136" i="13" s="1"/>
  <c r="P136" i="13"/>
  <c r="P136" i="13" a="1"/>
  <c r="O136" i="13" a="1"/>
  <c r="O136" i="13" s="1"/>
  <c r="N136" i="13" a="1"/>
  <c r="N136" i="13" s="1"/>
  <c r="M136" i="13" a="1"/>
  <c r="M136" i="13" s="1"/>
  <c r="L136" i="13" a="1"/>
  <c r="L136" i="13" s="1"/>
  <c r="K136" i="13"/>
  <c r="K136" i="13" a="1"/>
  <c r="J136" i="13" a="1"/>
  <c r="J136" i="13" s="1"/>
  <c r="I136" i="13" a="1"/>
  <c r="I136" i="13" s="1"/>
  <c r="H136" i="13" a="1"/>
  <c r="H136" i="13" s="1"/>
  <c r="G136" i="13" a="1"/>
  <c r="G136" i="13" s="1"/>
  <c r="F136" i="13" a="1"/>
  <c r="F136" i="13" s="1"/>
  <c r="T135" i="13" a="1"/>
  <c r="T135" i="13" s="1"/>
  <c r="S135" i="13"/>
  <c r="S135" i="13" a="1"/>
  <c r="R135" i="13" a="1"/>
  <c r="R135" i="13" s="1"/>
  <c r="Q135" i="13" a="1"/>
  <c r="Q135" i="13" s="1"/>
  <c r="P135" i="13" a="1"/>
  <c r="P135" i="13" s="1"/>
  <c r="O135" i="13" a="1"/>
  <c r="O135" i="13" s="1"/>
  <c r="N135" i="13"/>
  <c r="N135" i="13" a="1"/>
  <c r="M135" i="13" a="1"/>
  <c r="M135" i="13" s="1"/>
  <c r="L135" i="13" a="1"/>
  <c r="L135" i="13" s="1"/>
  <c r="K135" i="13" a="1"/>
  <c r="K135" i="13" s="1"/>
  <c r="J135" i="13" a="1"/>
  <c r="J135" i="13" s="1"/>
  <c r="I135" i="13"/>
  <c r="I135" i="13" a="1"/>
  <c r="H135" i="13" a="1"/>
  <c r="H135" i="13" s="1"/>
  <c r="G135" i="13" a="1"/>
  <c r="G135" i="13" s="1"/>
  <c r="F135" i="13" a="1"/>
  <c r="F135" i="13" s="1"/>
  <c r="T134" i="13"/>
  <c r="T134" i="13" a="1"/>
  <c r="S134" i="13" a="1"/>
  <c r="S134" i="13" s="1"/>
  <c r="R134" i="13"/>
  <c r="R134" i="13" a="1"/>
  <c r="Q134" i="13"/>
  <c r="Q134" i="13" a="1"/>
  <c r="P134" i="13" a="1"/>
  <c r="P134" i="13" s="1"/>
  <c r="O134" i="13" a="1"/>
  <c r="O134" i="13" s="1"/>
  <c r="N134" i="13"/>
  <c r="N134" i="13" a="1"/>
  <c r="M134" i="13" a="1"/>
  <c r="M134" i="13" s="1"/>
  <c r="L134" i="13" a="1"/>
  <c r="L134" i="13" s="1"/>
  <c r="K134" i="13" a="1"/>
  <c r="K134" i="13" s="1"/>
  <c r="J134" i="13" a="1"/>
  <c r="J134" i="13" s="1"/>
  <c r="I134" i="13" a="1"/>
  <c r="I134" i="13" s="1"/>
  <c r="H134" i="13" a="1"/>
  <c r="H134" i="13" s="1"/>
  <c r="G134" i="13" a="1"/>
  <c r="G134" i="13" s="1"/>
  <c r="F134" i="13" a="1"/>
  <c r="F134" i="13" s="1"/>
  <c r="T133" i="13" a="1"/>
  <c r="T133" i="13" s="1"/>
  <c r="S133" i="13" a="1"/>
  <c r="S133" i="13" s="1"/>
  <c r="R133" i="13" a="1"/>
  <c r="R133" i="13" s="1"/>
  <c r="Q133" i="13" a="1"/>
  <c r="Q133" i="13" s="1"/>
  <c r="P133" i="13"/>
  <c r="P133" i="13" a="1"/>
  <c r="O133" i="13"/>
  <c r="O133" i="13" a="1"/>
  <c r="N133" i="13" a="1"/>
  <c r="N133" i="13" s="1"/>
  <c r="M133" i="13" a="1"/>
  <c r="M133" i="13" s="1"/>
  <c r="L133" i="13" a="1"/>
  <c r="L133" i="13" s="1"/>
  <c r="K133" i="13" a="1"/>
  <c r="K133" i="13" s="1"/>
  <c r="J133" i="13" a="1"/>
  <c r="J133" i="13" s="1"/>
  <c r="I133" i="13"/>
  <c r="I133" i="13" a="1"/>
  <c r="H133" i="13" a="1"/>
  <c r="H133" i="13" s="1"/>
  <c r="G133" i="13" a="1"/>
  <c r="G133" i="13" s="1"/>
  <c r="F133" i="13" a="1"/>
  <c r="F133" i="13" s="1"/>
  <c r="T132" i="13" a="1"/>
  <c r="T132" i="13" s="1"/>
  <c r="S132" i="13" a="1"/>
  <c r="S132" i="13" s="1"/>
  <c r="R132" i="13" a="1"/>
  <c r="R132" i="13" s="1"/>
  <c r="Q132" i="13" a="1"/>
  <c r="Q132" i="13" s="1"/>
  <c r="P132" i="13" a="1"/>
  <c r="P132" i="13" s="1"/>
  <c r="O132" i="13" a="1"/>
  <c r="O132" i="13" s="1"/>
  <c r="N132" i="13"/>
  <c r="N132" i="13" a="1"/>
  <c r="M132" i="13"/>
  <c r="M132" i="13" a="1"/>
  <c r="L132" i="13" a="1"/>
  <c r="L132" i="13" s="1"/>
  <c r="K132" i="13" a="1"/>
  <c r="K132" i="13" s="1"/>
  <c r="J132" i="13"/>
  <c r="J132" i="13" a="1"/>
  <c r="I132" i="13" a="1"/>
  <c r="I132" i="13" s="1"/>
  <c r="H132" i="13" a="1"/>
  <c r="H132" i="13" s="1"/>
  <c r="G132" i="13" a="1"/>
  <c r="G132" i="13" s="1"/>
  <c r="F132" i="13" a="1"/>
  <c r="F132" i="13" s="1"/>
  <c r="T131" i="13" a="1"/>
  <c r="T131" i="13" s="1"/>
  <c r="S131" i="13" a="1"/>
  <c r="S131" i="13" s="1"/>
  <c r="R131" i="13"/>
  <c r="R131" i="13" a="1"/>
  <c r="Q131" i="13" a="1"/>
  <c r="Q131" i="13" s="1"/>
  <c r="P131" i="13" a="1"/>
  <c r="P131" i="13" s="1"/>
  <c r="O131" i="13" a="1"/>
  <c r="O131" i="13" s="1"/>
  <c r="N131" i="13" a="1"/>
  <c r="N131" i="13" s="1"/>
  <c r="M131" i="13" a="1"/>
  <c r="M131" i="13" s="1"/>
  <c r="L131" i="13"/>
  <c r="L131" i="13" a="1"/>
  <c r="K131" i="13"/>
  <c r="K131" i="13" a="1"/>
  <c r="J131" i="13" a="1"/>
  <c r="J131" i="13" s="1"/>
  <c r="I131" i="13" a="1"/>
  <c r="I131" i="13" s="1"/>
  <c r="H131" i="13" a="1"/>
  <c r="H131" i="13" s="1"/>
  <c r="G131" i="13" a="1"/>
  <c r="G131" i="13" s="1"/>
  <c r="F131" i="13" a="1"/>
  <c r="F131" i="13" s="1"/>
  <c r="T130" i="13"/>
  <c r="T130" i="13" a="1"/>
  <c r="S130" i="13" a="1"/>
  <c r="S130" i="13" s="1"/>
  <c r="R130" i="13" a="1"/>
  <c r="R130" i="13" s="1"/>
  <c r="Q130" i="13" a="1"/>
  <c r="Q130" i="13" s="1"/>
  <c r="P130" i="13" a="1"/>
  <c r="P130" i="13" s="1"/>
  <c r="O130" i="13" a="1"/>
  <c r="O130" i="13" s="1"/>
  <c r="N130" i="13" a="1"/>
  <c r="N130" i="13" s="1"/>
  <c r="M130" i="13" a="1"/>
  <c r="M130" i="13" s="1"/>
  <c r="L130" i="13"/>
  <c r="L130" i="13" a="1"/>
  <c r="K130" i="13" a="1"/>
  <c r="K130" i="13" s="1"/>
  <c r="J130" i="13" a="1"/>
  <c r="J130" i="13" s="1"/>
  <c r="I130" i="13" a="1"/>
  <c r="I130" i="13" s="1"/>
  <c r="H130" i="13" a="1"/>
  <c r="H130" i="13" s="1"/>
  <c r="G130" i="13" a="1"/>
  <c r="G130" i="13" s="1"/>
  <c r="F130" i="13" a="1"/>
  <c r="F130" i="13" s="1"/>
  <c r="T129" i="13" a="1"/>
  <c r="T129" i="13" s="1"/>
  <c r="S129" i="13" a="1"/>
  <c r="S129" i="13" s="1"/>
  <c r="R129" i="13" a="1"/>
  <c r="R129" i="13" s="1"/>
  <c r="Q129" i="13" a="1"/>
  <c r="Q129" i="13" s="1"/>
  <c r="P129" i="13" a="1"/>
  <c r="P129" i="13" s="1"/>
  <c r="O129" i="13" a="1"/>
  <c r="O129" i="13" s="1"/>
  <c r="N129" i="13" a="1"/>
  <c r="N129" i="13" s="1"/>
  <c r="M129" i="13" a="1"/>
  <c r="M129" i="13" s="1"/>
  <c r="L129" i="13" a="1"/>
  <c r="L129" i="13" s="1"/>
  <c r="K129" i="13" a="1"/>
  <c r="K129" i="13" s="1"/>
  <c r="J129" i="13"/>
  <c r="J129" i="13" a="1"/>
  <c r="I129" i="13" a="1"/>
  <c r="I129" i="13" s="1"/>
  <c r="H129" i="13"/>
  <c r="H129" i="13" a="1"/>
  <c r="G129" i="13"/>
  <c r="G129" i="13" a="1"/>
  <c r="F129" i="13" a="1"/>
  <c r="F129" i="13" s="1"/>
  <c r="T128" i="13"/>
  <c r="T128" i="13" a="1"/>
  <c r="S128" i="13" a="1"/>
  <c r="S128" i="13" s="1"/>
  <c r="R128" i="13" a="1"/>
  <c r="R128" i="13" s="1"/>
  <c r="Q128" i="13" a="1"/>
  <c r="Q128" i="13" s="1"/>
  <c r="P128" i="13"/>
  <c r="P128" i="13" a="1"/>
  <c r="O128" i="13" a="1"/>
  <c r="O128" i="13" s="1"/>
  <c r="N128" i="13" a="1"/>
  <c r="N128" i="13" s="1"/>
  <c r="M128" i="13" a="1"/>
  <c r="M128" i="13" s="1"/>
  <c r="L128" i="13" a="1"/>
  <c r="L128" i="13" s="1"/>
  <c r="K128" i="13" a="1"/>
  <c r="K128" i="13" s="1"/>
  <c r="J128" i="13"/>
  <c r="J128" i="13" a="1"/>
  <c r="I128" i="13" a="1"/>
  <c r="I128" i="13" s="1"/>
  <c r="H128" i="13"/>
  <c r="H128" i="13" a="1"/>
  <c r="G128" i="13" a="1"/>
  <c r="G128" i="13" s="1"/>
  <c r="F128" i="13" a="1"/>
  <c r="F128" i="13" s="1"/>
  <c r="T127" i="13" a="1"/>
  <c r="T127" i="13" s="1"/>
  <c r="S127" i="13" a="1"/>
  <c r="S127" i="13" s="1"/>
  <c r="R127" i="13" a="1"/>
  <c r="R127" i="13" s="1"/>
  <c r="Q127" i="13" a="1"/>
  <c r="Q127" i="13" s="1"/>
  <c r="P127" i="13" a="1"/>
  <c r="P127" i="13" s="1"/>
  <c r="O127" i="13" a="1"/>
  <c r="O127" i="13" s="1"/>
  <c r="N127" i="13"/>
  <c r="N127" i="13" a="1"/>
  <c r="M127" i="13" a="1"/>
  <c r="M127" i="13" s="1"/>
  <c r="L127" i="13" a="1"/>
  <c r="L127" i="13" s="1"/>
  <c r="K127" i="13" a="1"/>
  <c r="K127" i="13" s="1"/>
  <c r="J127" i="13" a="1"/>
  <c r="J127" i="13" s="1"/>
  <c r="I127" i="13" a="1"/>
  <c r="I127" i="13" s="1"/>
  <c r="H127" i="13" a="1"/>
  <c r="H127" i="13" s="1"/>
  <c r="G127" i="13" a="1"/>
  <c r="G127" i="13" s="1"/>
  <c r="F127" i="13"/>
  <c r="F127" i="13" a="1"/>
  <c r="T126" i="13" a="1"/>
  <c r="T126" i="13" s="1"/>
  <c r="S126" i="13" a="1"/>
  <c r="S126" i="13" s="1"/>
  <c r="R126" i="13" a="1"/>
  <c r="R126" i="13" s="1"/>
  <c r="Q126" i="13" a="1"/>
  <c r="Q126" i="13" s="1"/>
  <c r="P126" i="13" a="1"/>
  <c r="P126" i="13" s="1"/>
  <c r="O126" i="13" a="1"/>
  <c r="O126" i="13" s="1"/>
  <c r="N126" i="13"/>
  <c r="N126" i="13" a="1"/>
  <c r="M126" i="13" a="1"/>
  <c r="M126" i="13" s="1"/>
  <c r="L126" i="13" a="1"/>
  <c r="L126" i="13" s="1"/>
  <c r="K126" i="13" a="1"/>
  <c r="K126" i="13" s="1"/>
  <c r="J126" i="13"/>
  <c r="J126" i="13" a="1"/>
  <c r="I126" i="13"/>
  <c r="I126" i="13" a="1"/>
  <c r="H126" i="13" a="1"/>
  <c r="H126" i="13" s="1"/>
  <c r="G126" i="13" a="1"/>
  <c r="G126" i="13" s="1"/>
  <c r="F126" i="13" a="1"/>
  <c r="F126" i="13" s="1"/>
  <c r="T125" i="13" a="1"/>
  <c r="T125" i="13" s="1"/>
  <c r="S125" i="13" a="1"/>
  <c r="S125" i="13" s="1"/>
  <c r="R125" i="13" a="1"/>
  <c r="R125" i="13" s="1"/>
  <c r="Q125" i="13" a="1"/>
  <c r="Q125" i="13" s="1"/>
  <c r="P125" i="13" a="1"/>
  <c r="P125" i="13" s="1"/>
  <c r="O125" i="13" a="1"/>
  <c r="O125" i="13" s="1"/>
  <c r="N125" i="13" a="1"/>
  <c r="N125" i="13" s="1"/>
  <c r="M125" i="13" a="1"/>
  <c r="M125" i="13" s="1"/>
  <c r="L125" i="13"/>
  <c r="L125" i="13" a="1"/>
  <c r="K125" i="13" a="1"/>
  <c r="K125" i="13" s="1"/>
  <c r="J125" i="13" a="1"/>
  <c r="J125" i="13" s="1"/>
  <c r="I125" i="13" a="1"/>
  <c r="I125" i="13" s="1"/>
  <c r="H125" i="13" a="1"/>
  <c r="H125" i="13" s="1"/>
  <c r="G125" i="13" a="1"/>
  <c r="G125" i="13" s="1"/>
  <c r="F125" i="13" a="1"/>
  <c r="F125" i="13" s="1"/>
  <c r="T124" i="13" a="1"/>
  <c r="T124" i="13" s="1"/>
  <c r="S124" i="13" a="1"/>
  <c r="S124" i="13" s="1"/>
  <c r="R124" i="13" a="1"/>
  <c r="R124" i="13" s="1"/>
  <c r="Q124" i="13" a="1"/>
  <c r="Q124" i="13" s="1"/>
  <c r="P124" i="13" a="1"/>
  <c r="P124" i="13" s="1"/>
  <c r="O124" i="13" a="1"/>
  <c r="O124" i="13" s="1"/>
  <c r="N124" i="13" a="1"/>
  <c r="N124" i="13" s="1"/>
  <c r="M124" i="13" a="1"/>
  <c r="M124" i="13" s="1"/>
  <c r="L124" i="13" a="1"/>
  <c r="L124" i="13" s="1"/>
  <c r="K124" i="13" a="1"/>
  <c r="K124" i="13" s="1"/>
  <c r="J124" i="13" a="1"/>
  <c r="J124" i="13" s="1"/>
  <c r="I124" i="13" a="1"/>
  <c r="I124" i="13" s="1"/>
  <c r="H124" i="13" a="1"/>
  <c r="H124" i="13" s="1"/>
  <c r="G124" i="13" a="1"/>
  <c r="G124" i="13" s="1"/>
  <c r="F124" i="13"/>
  <c r="F124" i="13" a="1"/>
  <c r="T123" i="13"/>
  <c r="T123" i="13" a="1"/>
  <c r="S123" i="13" a="1"/>
  <c r="S123" i="13" s="1"/>
  <c r="R123" i="13" a="1"/>
  <c r="R123" i="13" s="1"/>
  <c r="Q123" i="13" a="1"/>
  <c r="Q123" i="13" s="1"/>
  <c r="P123" i="13" a="1"/>
  <c r="P123" i="13" s="1"/>
  <c r="O123" i="13" a="1"/>
  <c r="O123" i="13" s="1"/>
  <c r="N123" i="13"/>
  <c r="N123" i="13" a="1"/>
  <c r="M123" i="13" a="1"/>
  <c r="M123" i="13" s="1"/>
  <c r="L123" i="13" a="1"/>
  <c r="L123" i="13" s="1"/>
  <c r="K123" i="13" a="1"/>
  <c r="K123" i="13" s="1"/>
  <c r="J123" i="13" a="1"/>
  <c r="J123" i="13" s="1"/>
  <c r="I123" i="13" a="1"/>
  <c r="I123" i="13" s="1"/>
  <c r="H123" i="13" a="1"/>
  <c r="H123" i="13" s="1"/>
  <c r="G123" i="13" a="1"/>
  <c r="G123" i="13" s="1"/>
  <c r="F123" i="13" a="1"/>
  <c r="F123" i="13" s="1"/>
  <c r="T122" i="13" a="1"/>
  <c r="T122" i="13" s="1"/>
  <c r="S122" i="13" a="1"/>
  <c r="S122" i="13" s="1"/>
  <c r="R122" i="13" a="1"/>
  <c r="R122" i="13" s="1"/>
  <c r="Q122" i="13" a="1"/>
  <c r="Q122" i="13" s="1"/>
  <c r="P122" i="13" a="1"/>
  <c r="P122" i="13" s="1"/>
  <c r="O122" i="13" a="1"/>
  <c r="O122" i="13" s="1"/>
  <c r="N122" i="13" a="1"/>
  <c r="N122" i="13" s="1"/>
  <c r="M122" i="13" a="1"/>
  <c r="M122" i="13" s="1"/>
  <c r="L122" i="13"/>
  <c r="L122" i="13" a="1"/>
  <c r="K122" i="13" a="1"/>
  <c r="K122" i="13" s="1"/>
  <c r="J122" i="13" a="1"/>
  <c r="J122" i="13" s="1"/>
  <c r="I122" i="13" a="1"/>
  <c r="I122" i="13" s="1"/>
  <c r="H122" i="13"/>
  <c r="H122" i="13" a="1"/>
  <c r="G122" i="13" a="1"/>
  <c r="G122" i="13" s="1"/>
  <c r="F122" i="13" a="1"/>
  <c r="F122" i="13" s="1"/>
  <c r="T121" i="13" a="1"/>
  <c r="T121" i="13" s="1"/>
  <c r="S121" i="13" a="1"/>
  <c r="S121" i="13" s="1"/>
  <c r="R121" i="13" a="1"/>
  <c r="R121" i="13" s="1"/>
  <c r="Q121" i="13" a="1"/>
  <c r="Q121" i="13" s="1"/>
  <c r="P121" i="13" a="1"/>
  <c r="P121" i="13" s="1"/>
  <c r="O121" i="13" a="1"/>
  <c r="O121" i="13" s="1"/>
  <c r="N121" i="13" a="1"/>
  <c r="N121" i="13" s="1"/>
  <c r="M121" i="13" a="1"/>
  <c r="M121" i="13" s="1"/>
  <c r="L121" i="13"/>
  <c r="L121" i="13" a="1"/>
  <c r="K121" i="13" a="1"/>
  <c r="K121" i="13" s="1"/>
  <c r="J121" i="13"/>
  <c r="J121" i="13" a="1"/>
  <c r="I121" i="13" a="1"/>
  <c r="I121" i="13" s="1"/>
  <c r="H121" i="13" a="1"/>
  <c r="H121" i="13" s="1"/>
  <c r="G121" i="13" a="1"/>
  <c r="G121" i="13" s="1"/>
  <c r="F121" i="13" a="1"/>
  <c r="F121" i="13" s="1"/>
  <c r="T120" i="13" a="1"/>
  <c r="T120" i="13" s="1"/>
  <c r="S120" i="13"/>
  <c r="S120" i="13" a="1"/>
  <c r="R120" i="13" a="1"/>
  <c r="R120" i="13" s="1"/>
  <c r="Q120" i="13" a="1"/>
  <c r="Q120" i="13" s="1"/>
  <c r="P120" i="13" a="1"/>
  <c r="P120" i="13" s="1"/>
  <c r="O120" i="13" a="1"/>
  <c r="O120" i="13" s="1"/>
  <c r="N120" i="13"/>
  <c r="N120" i="13" a="1"/>
  <c r="M120" i="13" a="1"/>
  <c r="M120" i="13" s="1"/>
  <c r="L120" i="13" a="1"/>
  <c r="L120" i="13" s="1"/>
  <c r="K120" i="13" a="1"/>
  <c r="K120" i="13" s="1"/>
  <c r="J120" i="13" a="1"/>
  <c r="J120" i="13" s="1"/>
  <c r="I120" i="13" a="1"/>
  <c r="I120" i="13" s="1"/>
  <c r="H120" i="13"/>
  <c r="H120" i="13" a="1"/>
  <c r="G120" i="13" a="1"/>
  <c r="G120" i="13" s="1"/>
  <c r="F120" i="13" a="1"/>
  <c r="F120" i="13" s="1"/>
  <c r="T119" i="13" a="1"/>
  <c r="T119" i="13" s="1"/>
  <c r="S119" i="13" a="1"/>
  <c r="S119" i="13" s="1"/>
  <c r="R119" i="13" a="1"/>
  <c r="R119" i="13" s="1"/>
  <c r="Q119" i="13"/>
  <c r="Q119" i="13" a="1"/>
  <c r="P119" i="13" a="1"/>
  <c r="P119" i="13" s="1"/>
  <c r="O119" i="13" a="1"/>
  <c r="O119" i="13" s="1"/>
  <c r="N119" i="13" a="1"/>
  <c r="N119" i="13" s="1"/>
  <c r="M119" i="13" a="1"/>
  <c r="M119" i="13" s="1"/>
  <c r="L119" i="13" a="1"/>
  <c r="L119" i="13" s="1"/>
  <c r="K119" i="13" a="1"/>
  <c r="K119" i="13" s="1"/>
  <c r="J119" i="13" a="1"/>
  <c r="J119" i="13" s="1"/>
  <c r="I119" i="13" a="1"/>
  <c r="I119" i="13" s="1"/>
  <c r="H119" i="13"/>
  <c r="H119" i="13" a="1"/>
  <c r="G119" i="13" a="1"/>
  <c r="G119" i="13" s="1"/>
  <c r="F119" i="13"/>
  <c r="F119" i="13" a="1"/>
  <c r="T118" i="13" a="1"/>
  <c r="T118" i="13" s="1"/>
  <c r="S118" i="13" a="1"/>
  <c r="S118" i="13" s="1"/>
  <c r="R118" i="13" a="1"/>
  <c r="R118" i="13" s="1"/>
  <c r="Q118" i="13" a="1"/>
  <c r="Q118" i="13" s="1"/>
  <c r="P118" i="13" a="1"/>
  <c r="P118" i="13" s="1"/>
  <c r="O118" i="13" a="1"/>
  <c r="O118" i="13" s="1"/>
  <c r="N118" i="13" a="1"/>
  <c r="N118" i="13" s="1"/>
  <c r="M118" i="13" a="1"/>
  <c r="M118" i="13" s="1"/>
  <c r="L118" i="13" a="1"/>
  <c r="L118" i="13" s="1"/>
  <c r="K118" i="13" a="1"/>
  <c r="K118" i="13" s="1"/>
  <c r="J118" i="13" a="1"/>
  <c r="J118" i="13" s="1"/>
  <c r="I118" i="13" a="1"/>
  <c r="I118" i="13" s="1"/>
  <c r="H118" i="13"/>
  <c r="H118" i="13" a="1"/>
  <c r="G118" i="13" a="1"/>
  <c r="G118" i="13" s="1"/>
  <c r="F118" i="13" a="1"/>
  <c r="F118" i="13" s="1"/>
  <c r="T117" i="13" a="1"/>
  <c r="T117" i="13" s="1"/>
  <c r="S117" i="13" a="1"/>
  <c r="S117" i="13" s="1"/>
  <c r="R117" i="13" a="1"/>
  <c r="R117" i="13" s="1"/>
  <c r="Q117" i="13"/>
  <c r="Q117" i="13" a="1"/>
  <c r="P117" i="13"/>
  <c r="P117" i="13" a="1"/>
  <c r="O117" i="13" a="1"/>
  <c r="O117" i="13" s="1"/>
  <c r="N117" i="13" a="1"/>
  <c r="N117" i="13" s="1"/>
  <c r="M117" i="13"/>
  <c r="M117" i="13" a="1"/>
  <c r="L117" i="13" a="1"/>
  <c r="L117" i="13" s="1"/>
  <c r="K117" i="13"/>
  <c r="K117" i="13" a="1"/>
  <c r="J117" i="13" a="1"/>
  <c r="J117" i="13" s="1"/>
  <c r="I117" i="13" a="1"/>
  <c r="I117" i="13" s="1"/>
  <c r="H117" i="13" a="1"/>
  <c r="H117" i="13" s="1"/>
  <c r="G117" i="13" a="1"/>
  <c r="G117" i="13" s="1"/>
  <c r="F117" i="13" a="1"/>
  <c r="F117" i="13" s="1"/>
  <c r="T116" i="13" a="1"/>
  <c r="T116" i="13" s="1"/>
  <c r="S116" i="13"/>
  <c r="S116" i="13" a="1"/>
  <c r="R116" i="13" a="1"/>
  <c r="R116" i="13" s="1"/>
  <c r="Q116" i="13" a="1"/>
  <c r="Q116" i="13" s="1"/>
  <c r="P116" i="13" a="1"/>
  <c r="P116" i="13" s="1"/>
  <c r="O116" i="13"/>
  <c r="O116" i="13" a="1"/>
  <c r="N116" i="13"/>
  <c r="N116" i="13" a="1"/>
  <c r="M116" i="13" a="1"/>
  <c r="M116" i="13" s="1"/>
  <c r="L116" i="13" a="1"/>
  <c r="L116" i="13" s="1"/>
  <c r="K116" i="13" a="1"/>
  <c r="K116" i="13" s="1"/>
  <c r="J116" i="13" a="1"/>
  <c r="J116" i="13" s="1"/>
  <c r="I116" i="13" a="1"/>
  <c r="I116" i="13" s="1"/>
  <c r="H116" i="13" a="1"/>
  <c r="H116" i="13" s="1"/>
  <c r="G116" i="13" a="1"/>
  <c r="G116" i="13" s="1"/>
  <c r="F116" i="13" a="1"/>
  <c r="F116" i="13" s="1"/>
  <c r="T115" i="13" a="1"/>
  <c r="T115" i="13" s="1"/>
  <c r="S115" i="13"/>
  <c r="S115" i="13" a="1"/>
  <c r="R115" i="13" a="1"/>
  <c r="R115" i="13" s="1"/>
  <c r="Q115" i="13"/>
  <c r="Q115" i="13" a="1"/>
  <c r="P115" i="13" a="1"/>
  <c r="P115" i="13" s="1"/>
  <c r="O115" i="13"/>
  <c r="O115" i="13" a="1"/>
  <c r="N115" i="13" a="1"/>
  <c r="N115" i="13" s="1"/>
  <c r="M115" i="13" a="1"/>
  <c r="M115" i="13" s="1"/>
  <c r="L115" i="13" a="1"/>
  <c r="L115" i="13" s="1"/>
  <c r="K115" i="13" a="1"/>
  <c r="K115" i="13" s="1"/>
  <c r="J115" i="13" a="1"/>
  <c r="J115" i="13" s="1"/>
  <c r="I115" i="13" a="1"/>
  <c r="I115" i="13" s="1"/>
  <c r="H115" i="13" a="1"/>
  <c r="H115" i="13" s="1"/>
  <c r="G115" i="13" a="1"/>
  <c r="G115" i="13" s="1"/>
  <c r="F115" i="13"/>
  <c r="F115" i="13" a="1"/>
  <c r="T114" i="13" a="1"/>
  <c r="T114" i="13" s="1"/>
  <c r="S114" i="13" a="1"/>
  <c r="S114" i="13" s="1"/>
  <c r="R114" i="13" a="1"/>
  <c r="R114" i="13" s="1"/>
  <c r="Q114" i="13"/>
  <c r="Q114" i="13" a="1"/>
  <c r="P114" i="13" a="1"/>
  <c r="P114" i="13" s="1"/>
  <c r="O114" i="13" a="1"/>
  <c r="O114" i="13" s="1"/>
  <c r="N114" i="13" a="1"/>
  <c r="N114" i="13" s="1"/>
  <c r="M114" i="13" a="1"/>
  <c r="M114" i="13" s="1"/>
  <c r="L114" i="13" a="1"/>
  <c r="L114" i="13" s="1"/>
  <c r="K114" i="13"/>
  <c r="K114" i="13" a="1"/>
  <c r="J114" i="13" a="1"/>
  <c r="J114" i="13" s="1"/>
  <c r="I114" i="13" a="1"/>
  <c r="I114" i="13" s="1"/>
  <c r="H114" i="13" a="1"/>
  <c r="H114" i="13" s="1"/>
  <c r="G114" i="13" a="1"/>
  <c r="G114" i="13" s="1"/>
  <c r="F114" i="13" a="1"/>
  <c r="F114" i="13" s="1"/>
  <c r="T113" i="13" a="1"/>
  <c r="T113" i="13" s="1"/>
  <c r="S113" i="13"/>
  <c r="S113" i="13" a="1"/>
  <c r="R113" i="13" a="1"/>
  <c r="R113" i="13" s="1"/>
  <c r="Q113" i="13" a="1"/>
  <c r="Q113" i="13" s="1"/>
  <c r="P113" i="13" a="1"/>
  <c r="P113" i="13" s="1"/>
  <c r="O113" i="13" a="1"/>
  <c r="O113" i="13" s="1"/>
  <c r="N113" i="13" a="1"/>
  <c r="N113" i="13" s="1"/>
  <c r="M113" i="13" a="1"/>
  <c r="M113" i="13" s="1"/>
  <c r="L113" i="13" a="1"/>
  <c r="L113" i="13" s="1"/>
  <c r="K113" i="13" a="1"/>
  <c r="K113" i="13" s="1"/>
  <c r="J113" i="13" a="1"/>
  <c r="J113" i="13" s="1"/>
  <c r="I113" i="13" a="1"/>
  <c r="I113" i="13" s="1"/>
  <c r="H113" i="13" a="1"/>
  <c r="H113" i="13" s="1"/>
  <c r="G113" i="13" a="1"/>
  <c r="G113" i="13" s="1"/>
  <c r="F113" i="13" a="1"/>
  <c r="F113" i="13" s="1"/>
  <c r="T112" i="13" a="1"/>
  <c r="T112" i="13" s="1"/>
  <c r="S112" i="13"/>
  <c r="S112" i="13" a="1"/>
  <c r="R112" i="13" a="1"/>
  <c r="R112" i="13" s="1"/>
  <c r="Q112" i="13"/>
  <c r="Q112" i="13" a="1"/>
  <c r="P112" i="13" a="1"/>
  <c r="P112" i="13" s="1"/>
  <c r="O112" i="13" a="1"/>
  <c r="O112" i="13" s="1"/>
  <c r="N112" i="13" a="1"/>
  <c r="N112" i="13" s="1"/>
  <c r="M112" i="13" a="1"/>
  <c r="M112" i="13" s="1"/>
  <c r="L112" i="13" a="1"/>
  <c r="L112" i="13" s="1"/>
  <c r="K112" i="13"/>
  <c r="K112" i="13" a="1"/>
  <c r="J112" i="13" a="1"/>
  <c r="J112" i="13" s="1"/>
  <c r="I112" i="13" a="1"/>
  <c r="I112" i="13" s="1"/>
  <c r="H112" i="13" a="1"/>
  <c r="H112" i="13" s="1"/>
  <c r="G112" i="13" a="1"/>
  <c r="G112" i="13" s="1"/>
  <c r="F112" i="13" a="1"/>
  <c r="F112" i="13" s="1"/>
  <c r="T111" i="13" a="1"/>
  <c r="T111" i="13" s="1"/>
  <c r="S111" i="13" a="1"/>
  <c r="S111" i="13" s="1"/>
  <c r="R111" i="13" a="1"/>
  <c r="R111" i="13" s="1"/>
  <c r="Q111" i="13" a="1"/>
  <c r="Q111" i="13" s="1"/>
  <c r="P111" i="13" a="1"/>
  <c r="P111" i="13" s="1"/>
  <c r="O111" i="13"/>
  <c r="O111" i="13" a="1"/>
  <c r="N111" i="13" a="1"/>
  <c r="N111" i="13" s="1"/>
  <c r="M111" i="13" a="1"/>
  <c r="M111" i="13" s="1"/>
  <c r="L111" i="13" a="1"/>
  <c r="L111" i="13" s="1"/>
  <c r="K111" i="13" a="1"/>
  <c r="K111" i="13" s="1"/>
  <c r="J111" i="13" a="1"/>
  <c r="J111" i="13" s="1"/>
  <c r="I111" i="13" a="1"/>
  <c r="I111" i="13" s="1"/>
  <c r="H111" i="13" a="1"/>
  <c r="H111" i="13" s="1"/>
  <c r="G111" i="13" a="1"/>
  <c r="G111" i="13" s="1"/>
  <c r="F111" i="13" a="1"/>
  <c r="F111" i="13" s="1"/>
  <c r="T110" i="13" a="1"/>
  <c r="T110" i="13" s="1"/>
  <c r="S110" i="13" a="1"/>
  <c r="S110" i="13" s="1"/>
  <c r="R110" i="13" a="1"/>
  <c r="R110" i="13" s="1"/>
  <c r="Q110" i="13"/>
  <c r="Q110" i="13" a="1"/>
  <c r="P110" i="13" a="1"/>
  <c r="P110" i="13" s="1"/>
  <c r="O110" i="13" a="1"/>
  <c r="O110" i="13" s="1"/>
  <c r="N110" i="13" a="1"/>
  <c r="N110" i="13" s="1"/>
  <c r="M110" i="13"/>
  <c r="M110" i="13" a="1"/>
  <c r="L110" i="13" a="1"/>
  <c r="L110" i="13" s="1"/>
  <c r="K110" i="13" a="1"/>
  <c r="K110" i="13" s="1"/>
  <c r="J110" i="13" a="1"/>
  <c r="J110" i="13" s="1"/>
  <c r="I110" i="13" a="1"/>
  <c r="I110" i="13" s="1"/>
  <c r="H110" i="13" a="1"/>
  <c r="H110" i="13" s="1"/>
  <c r="G110" i="13"/>
  <c r="G110" i="13" a="1"/>
  <c r="F110" i="13" a="1"/>
  <c r="F110" i="13" s="1"/>
  <c r="T109" i="13" a="1"/>
  <c r="T109" i="13" s="1"/>
  <c r="S109" i="13" a="1"/>
  <c r="S109" i="13" s="1"/>
  <c r="R109" i="13" a="1"/>
  <c r="R109" i="13" s="1"/>
  <c r="Q109" i="13" a="1"/>
  <c r="Q109" i="13" s="1"/>
  <c r="P109" i="13" a="1"/>
  <c r="P109" i="13" s="1"/>
  <c r="O109" i="13" a="1"/>
  <c r="O109" i="13" s="1"/>
  <c r="N109" i="13" a="1"/>
  <c r="N109" i="13" s="1"/>
  <c r="M109" i="13" a="1"/>
  <c r="M109" i="13" s="1"/>
  <c r="L109" i="13" a="1"/>
  <c r="L109" i="13" s="1"/>
  <c r="K109" i="13" a="1"/>
  <c r="K109" i="13" s="1"/>
  <c r="J109" i="13" a="1"/>
  <c r="J109" i="13" s="1"/>
  <c r="I109" i="13"/>
  <c r="I109" i="13" a="1"/>
  <c r="H109" i="13"/>
  <c r="H109" i="13" a="1"/>
  <c r="G109" i="13" a="1"/>
  <c r="G109" i="13" s="1"/>
  <c r="F109" i="13" a="1"/>
  <c r="F109" i="13" s="1"/>
  <c r="T108" i="13"/>
  <c r="T108" i="13" a="1"/>
  <c r="S108" i="13" a="1"/>
  <c r="S108" i="13" s="1"/>
  <c r="R108" i="13" a="1"/>
  <c r="R108" i="13" s="1"/>
  <c r="Q108" i="13" a="1"/>
  <c r="Q108" i="13" s="1"/>
  <c r="P108" i="13" a="1"/>
  <c r="P108" i="13" s="1"/>
  <c r="O108" i="13" a="1"/>
  <c r="O108" i="13" s="1"/>
  <c r="N108" i="13" a="1"/>
  <c r="N108" i="13" s="1"/>
  <c r="M108" i="13"/>
  <c r="M108" i="13" a="1"/>
  <c r="L108" i="13" a="1"/>
  <c r="L108" i="13" s="1"/>
  <c r="K108" i="13" a="1"/>
  <c r="K108" i="13" s="1"/>
  <c r="J108" i="13" a="1"/>
  <c r="J108" i="13" s="1"/>
  <c r="I108" i="13" a="1"/>
  <c r="I108" i="13" s="1"/>
  <c r="H108" i="13" a="1"/>
  <c r="H108" i="13" s="1"/>
  <c r="G108" i="13"/>
  <c r="G108" i="13" a="1"/>
  <c r="F108" i="13"/>
  <c r="F108" i="13" a="1"/>
  <c r="T107" i="13" a="1"/>
  <c r="T107" i="13" s="1"/>
  <c r="S107" i="13" a="1"/>
  <c r="S107" i="13" s="1"/>
  <c r="R107" i="13" a="1"/>
  <c r="R107" i="13" s="1"/>
  <c r="Q107" i="13" a="1"/>
  <c r="Q107" i="13" s="1"/>
  <c r="P107" i="13" a="1"/>
  <c r="P107" i="13" s="1"/>
  <c r="O107" i="13"/>
  <c r="O107" i="13" a="1"/>
  <c r="N107" i="13" a="1"/>
  <c r="N107" i="13" s="1"/>
  <c r="M107" i="13" a="1"/>
  <c r="M107" i="13" s="1"/>
  <c r="L107" i="13" a="1"/>
  <c r="L107" i="13" s="1"/>
  <c r="K107" i="13" a="1"/>
  <c r="K107" i="13" s="1"/>
  <c r="J107" i="13" a="1"/>
  <c r="J107" i="13" s="1"/>
  <c r="I107" i="13"/>
  <c r="I107" i="13" a="1"/>
  <c r="H107" i="13" a="1"/>
  <c r="H107" i="13" s="1"/>
  <c r="G107" i="13" a="1"/>
  <c r="G107" i="13" s="1"/>
  <c r="F107" i="13" a="1"/>
  <c r="F107" i="13" s="1"/>
  <c r="T106" i="13" a="1"/>
  <c r="T106" i="13" s="1"/>
  <c r="S106" i="13" a="1"/>
  <c r="S106" i="13" s="1"/>
  <c r="R106" i="13" a="1"/>
  <c r="R106" i="13" s="1"/>
  <c r="Q106" i="13" a="1"/>
  <c r="Q106" i="13" s="1"/>
  <c r="P106" i="13" a="1"/>
  <c r="P106" i="13" s="1"/>
  <c r="O106" i="13" a="1"/>
  <c r="O106" i="13" s="1"/>
  <c r="N106" i="13" a="1"/>
  <c r="N106" i="13" s="1"/>
  <c r="M106" i="13" a="1"/>
  <c r="M106" i="13" s="1"/>
  <c r="L106" i="13" a="1"/>
  <c r="L106" i="13" s="1"/>
  <c r="K106" i="13" a="1"/>
  <c r="K106" i="13" s="1"/>
  <c r="J106" i="13" a="1"/>
  <c r="J106" i="13" s="1"/>
  <c r="I106" i="13" a="1"/>
  <c r="I106" i="13" s="1"/>
  <c r="H106" i="13" a="1"/>
  <c r="H106" i="13" s="1"/>
  <c r="G106" i="13" a="1"/>
  <c r="G106" i="13" s="1"/>
  <c r="F106" i="13" a="1"/>
  <c r="F106" i="13" s="1"/>
  <c r="T105" i="13" a="1"/>
  <c r="T105" i="13" s="1"/>
  <c r="S105" i="13" a="1"/>
  <c r="S105" i="13" s="1"/>
  <c r="R105" i="13" a="1"/>
  <c r="R105" i="13" s="1"/>
  <c r="Q105" i="13" a="1"/>
  <c r="Q105" i="13" s="1"/>
  <c r="P105" i="13" a="1"/>
  <c r="P105" i="13" s="1"/>
  <c r="O105" i="13" a="1"/>
  <c r="O105" i="13" s="1"/>
  <c r="N105" i="13" a="1"/>
  <c r="N105" i="13" s="1"/>
  <c r="M105" i="13" a="1"/>
  <c r="M105" i="13" s="1"/>
  <c r="L105" i="13" a="1"/>
  <c r="L105" i="13" s="1"/>
  <c r="K105" i="13" a="1"/>
  <c r="K105" i="13" s="1"/>
  <c r="J105" i="13" a="1"/>
  <c r="J105" i="13" s="1"/>
  <c r="I105" i="13" a="1"/>
  <c r="I105" i="13" s="1"/>
  <c r="H105" i="13" a="1"/>
  <c r="H105" i="13" s="1"/>
  <c r="G105" i="13"/>
  <c r="G105" i="13" a="1"/>
  <c r="F105" i="13" a="1"/>
  <c r="F105" i="13" s="1"/>
  <c r="T104" i="13" a="1"/>
  <c r="T104" i="13" s="1"/>
  <c r="S104" i="13" a="1"/>
  <c r="S104" i="13" s="1"/>
  <c r="R104" i="13"/>
  <c r="R104" i="13" a="1"/>
  <c r="Q104" i="13" a="1"/>
  <c r="Q104" i="13" s="1"/>
  <c r="P104" i="13"/>
  <c r="P104" i="13" a="1"/>
  <c r="O104" i="13" a="1"/>
  <c r="O104" i="13" s="1"/>
  <c r="N104" i="13" a="1"/>
  <c r="N104" i="13" s="1"/>
  <c r="M104" i="13" a="1"/>
  <c r="M104" i="13" s="1"/>
  <c r="L104" i="13" a="1"/>
  <c r="L104" i="13" s="1"/>
  <c r="K104" i="13"/>
  <c r="K104" i="13" a="1"/>
  <c r="J104" i="13" a="1"/>
  <c r="J104" i="13" s="1"/>
  <c r="I104" i="13" a="1"/>
  <c r="I104" i="13" s="1"/>
  <c r="H104" i="13" a="1"/>
  <c r="H104" i="13" s="1"/>
  <c r="G104" i="13" a="1"/>
  <c r="G104" i="13" s="1"/>
  <c r="F104" i="13" a="1"/>
  <c r="F104" i="13" s="1"/>
  <c r="T103" i="13" a="1"/>
  <c r="T103" i="13" s="1"/>
  <c r="S103" i="13" a="1"/>
  <c r="S103" i="13" s="1"/>
  <c r="R103" i="13" a="1"/>
  <c r="R103" i="13" s="1"/>
  <c r="Q103" i="13" a="1"/>
  <c r="Q103" i="13" s="1"/>
  <c r="P103" i="13" a="1"/>
  <c r="P103" i="13" s="1"/>
  <c r="O103" i="13" a="1"/>
  <c r="O103" i="13" s="1"/>
  <c r="N103" i="13"/>
  <c r="N103" i="13" a="1"/>
  <c r="M103" i="13"/>
  <c r="M103" i="13" a="1"/>
  <c r="L103" i="13" a="1"/>
  <c r="L103" i="13" s="1"/>
  <c r="K103" i="13" a="1"/>
  <c r="K103" i="13" s="1"/>
  <c r="J103" i="13" a="1"/>
  <c r="J103" i="13" s="1"/>
  <c r="I103" i="13" a="1"/>
  <c r="I103" i="13" s="1"/>
  <c r="H103" i="13" a="1"/>
  <c r="H103" i="13" s="1"/>
  <c r="G103" i="13"/>
  <c r="G103" i="13" a="1"/>
  <c r="F103" i="13" a="1"/>
  <c r="F103" i="13" s="1"/>
  <c r="T102" i="13" a="1"/>
  <c r="T102" i="13" s="1"/>
  <c r="S102" i="13" a="1"/>
  <c r="S102" i="13" s="1"/>
  <c r="R102" i="13" a="1"/>
  <c r="R102" i="13" s="1"/>
  <c r="Q102" i="13" a="1"/>
  <c r="Q102" i="13" s="1"/>
  <c r="P102" i="13" a="1"/>
  <c r="P102" i="13" s="1"/>
  <c r="O102" i="13" a="1"/>
  <c r="O102" i="13" s="1"/>
  <c r="N102" i="13"/>
  <c r="N102" i="13" a="1"/>
  <c r="M102" i="13" a="1"/>
  <c r="M102" i="13" s="1"/>
  <c r="L102" i="13"/>
  <c r="L102" i="13" a="1"/>
  <c r="K102" i="13" a="1"/>
  <c r="K102" i="13" s="1"/>
  <c r="J102" i="13" a="1"/>
  <c r="J102" i="13" s="1"/>
  <c r="I102" i="13" a="1"/>
  <c r="I102" i="13" s="1"/>
  <c r="H102" i="13" a="1"/>
  <c r="H102" i="13" s="1"/>
  <c r="G102" i="13"/>
  <c r="G102" i="13" a="1"/>
  <c r="F102" i="13"/>
  <c r="F102" i="13" a="1"/>
  <c r="T101" i="13"/>
  <c r="T101" i="13" a="1"/>
  <c r="S101" i="13" a="1"/>
  <c r="S101" i="13" s="1"/>
  <c r="R101" i="13" a="1"/>
  <c r="R101" i="13" s="1"/>
  <c r="Q101" i="13" a="1"/>
  <c r="Q101" i="13" s="1"/>
  <c r="P101" i="13" a="1"/>
  <c r="P101" i="13" s="1"/>
  <c r="O101" i="13" a="1"/>
  <c r="O101" i="13" s="1"/>
  <c r="N101" i="13" a="1"/>
  <c r="N101" i="13" s="1"/>
  <c r="M101" i="13" a="1"/>
  <c r="M101" i="13" s="1"/>
  <c r="L101" i="13"/>
  <c r="L101" i="13" a="1"/>
  <c r="K101" i="13" a="1"/>
  <c r="K101" i="13" s="1"/>
  <c r="J101" i="13" a="1"/>
  <c r="J101" i="13" s="1"/>
  <c r="I101" i="13" a="1"/>
  <c r="I101" i="13" s="1"/>
  <c r="H101" i="13" a="1"/>
  <c r="H101" i="13" s="1"/>
  <c r="G101" i="13"/>
  <c r="G101" i="13" a="1"/>
  <c r="F101" i="13" a="1"/>
  <c r="F101" i="13" s="1"/>
  <c r="T100" i="13"/>
  <c r="T100" i="13" a="1"/>
  <c r="S100" i="13"/>
  <c r="S100" i="13" a="1"/>
  <c r="R100" i="13" a="1"/>
  <c r="R100" i="13" s="1"/>
  <c r="Q100" i="13" a="1"/>
  <c r="Q100" i="13" s="1"/>
  <c r="P100" i="13" a="1"/>
  <c r="P100" i="13" s="1"/>
  <c r="O100" i="13" a="1"/>
  <c r="O100" i="13" s="1"/>
  <c r="N100" i="13"/>
  <c r="N100" i="13" a="1"/>
  <c r="M100" i="13" a="1"/>
  <c r="M100" i="13" s="1"/>
  <c r="L100" i="13" a="1"/>
  <c r="L100" i="13" s="1"/>
  <c r="K100" i="13" a="1"/>
  <c r="K100" i="13" s="1"/>
  <c r="J100" i="13"/>
  <c r="J100" i="13" a="1"/>
  <c r="I100" i="13" a="1"/>
  <c r="I100" i="13" s="1"/>
  <c r="H100" i="13" a="1"/>
  <c r="H100" i="13" s="1"/>
  <c r="G100" i="13" a="1"/>
  <c r="G100" i="13" s="1"/>
  <c r="F100" i="13" a="1"/>
  <c r="F100" i="13" s="1"/>
  <c r="T99" i="13" a="1"/>
  <c r="T99" i="13" s="1"/>
  <c r="S99" i="13"/>
  <c r="S99" i="13" a="1"/>
  <c r="R99" i="13" a="1"/>
  <c r="R99" i="13" s="1"/>
  <c r="Q99" i="13" a="1"/>
  <c r="Q99" i="13" s="1"/>
  <c r="P99" i="13" a="1"/>
  <c r="P99" i="13" s="1"/>
  <c r="O99" i="13" a="1"/>
  <c r="O99" i="13" s="1"/>
  <c r="N99" i="13" a="1"/>
  <c r="N99" i="13" s="1"/>
  <c r="M99" i="13"/>
  <c r="M99" i="13" a="1"/>
  <c r="L99" i="13" a="1"/>
  <c r="L99" i="13" s="1"/>
  <c r="K99" i="13" a="1"/>
  <c r="K99" i="13" s="1"/>
  <c r="J99" i="13" a="1"/>
  <c r="J99" i="13" s="1"/>
  <c r="I99" i="13" a="1"/>
  <c r="I99" i="13" s="1"/>
  <c r="H99" i="13" a="1"/>
  <c r="H99" i="13" s="1"/>
  <c r="G99" i="13" a="1"/>
  <c r="G99" i="13" s="1"/>
  <c r="F99" i="13" a="1"/>
  <c r="F99" i="13" s="1"/>
  <c r="T98" i="13"/>
  <c r="T98" i="13" a="1"/>
  <c r="S98" i="13" a="1"/>
  <c r="S98" i="13" s="1"/>
  <c r="R98" i="13" a="1"/>
  <c r="R98" i="13" s="1"/>
  <c r="Q98" i="13" a="1"/>
  <c r="Q98" i="13" s="1"/>
  <c r="P98" i="13"/>
  <c r="P98" i="13" a="1"/>
  <c r="O98" i="13"/>
  <c r="O98" i="13" a="1"/>
  <c r="N98" i="13" a="1"/>
  <c r="N98" i="13" s="1"/>
  <c r="M98" i="13" a="1"/>
  <c r="M98" i="13" s="1"/>
  <c r="L98" i="13" a="1"/>
  <c r="L98" i="13" s="1"/>
  <c r="K98" i="13" a="1"/>
  <c r="K98" i="13" s="1"/>
  <c r="J98" i="13" a="1"/>
  <c r="J98" i="13" s="1"/>
  <c r="I98" i="13" a="1"/>
  <c r="I98" i="13" s="1"/>
  <c r="H98" i="13"/>
  <c r="H98" i="13" a="1"/>
  <c r="G98" i="13"/>
  <c r="G98" i="13" a="1"/>
  <c r="F98" i="13" a="1"/>
  <c r="F98" i="13" s="1"/>
  <c r="T97" i="13" a="1"/>
  <c r="T97" i="13" s="1"/>
  <c r="S97" i="13" a="1"/>
  <c r="S97" i="13" s="1"/>
  <c r="R97" i="13" a="1"/>
  <c r="R97" i="13" s="1"/>
  <c r="Q97" i="13" a="1"/>
  <c r="Q97" i="13" s="1"/>
  <c r="P97" i="13" a="1"/>
  <c r="P97" i="13" s="1"/>
  <c r="O97" i="13" a="1"/>
  <c r="O97" i="13" s="1"/>
  <c r="N97" i="13" a="1"/>
  <c r="N97" i="13" s="1"/>
  <c r="M97" i="13" a="1"/>
  <c r="M97" i="13" s="1"/>
  <c r="L97" i="13" a="1"/>
  <c r="L97" i="13" s="1"/>
  <c r="K97" i="13" a="1"/>
  <c r="K97" i="13" s="1"/>
  <c r="J97" i="13" a="1"/>
  <c r="J97" i="13" s="1"/>
  <c r="I97" i="13" a="1"/>
  <c r="I97" i="13" s="1"/>
  <c r="H97" i="13" a="1"/>
  <c r="H97" i="13" s="1"/>
  <c r="G97" i="13" a="1"/>
  <c r="G97" i="13" s="1"/>
  <c r="F97" i="13" a="1"/>
  <c r="F97" i="13" s="1"/>
  <c r="T96" i="13" a="1"/>
  <c r="T96" i="13" s="1"/>
  <c r="S96" i="13" a="1"/>
  <c r="S96" i="13" s="1"/>
  <c r="R96" i="13" a="1"/>
  <c r="R96" i="13" s="1"/>
  <c r="Q96" i="13" a="1"/>
  <c r="Q96" i="13" s="1"/>
  <c r="P96" i="13" a="1"/>
  <c r="P96" i="13" s="1"/>
  <c r="O96" i="13" a="1"/>
  <c r="O96" i="13" s="1"/>
  <c r="N96" i="13" a="1"/>
  <c r="N96" i="13" s="1"/>
  <c r="M96" i="13"/>
  <c r="M96" i="13" a="1"/>
  <c r="L96" i="13" a="1"/>
  <c r="L96" i="13" s="1"/>
  <c r="K96" i="13" a="1"/>
  <c r="K96" i="13" s="1"/>
  <c r="J96" i="13" a="1"/>
  <c r="J96" i="13" s="1"/>
  <c r="I96" i="13" a="1"/>
  <c r="I96" i="13" s="1"/>
  <c r="H96" i="13" a="1"/>
  <c r="H96" i="13" s="1"/>
  <c r="G96" i="13" a="1"/>
  <c r="G96" i="13" s="1"/>
  <c r="F96" i="13" a="1"/>
  <c r="F96" i="13" s="1"/>
  <c r="T95" i="13"/>
  <c r="T95" i="13" a="1"/>
  <c r="S95" i="13" a="1"/>
  <c r="S95" i="13" s="1"/>
  <c r="R95" i="13" a="1"/>
  <c r="R95" i="13" s="1"/>
  <c r="Q95" i="13"/>
  <c r="Q95" i="13" a="1"/>
  <c r="P95" i="13" a="1"/>
  <c r="P95" i="13" s="1"/>
  <c r="O95" i="13"/>
  <c r="O95" i="13" a="1"/>
  <c r="N95" i="13" a="1"/>
  <c r="N95" i="13" s="1"/>
  <c r="M95" i="13" a="1"/>
  <c r="M95" i="13" s="1"/>
  <c r="L95" i="13" a="1"/>
  <c r="L95" i="13" s="1"/>
  <c r="K95" i="13" a="1"/>
  <c r="K95" i="13" s="1"/>
  <c r="J95" i="13" a="1"/>
  <c r="J95" i="13" s="1"/>
  <c r="I95" i="13"/>
  <c r="I95" i="13" a="1"/>
  <c r="H95" i="13" a="1"/>
  <c r="H95" i="13" s="1"/>
  <c r="G95" i="13" a="1"/>
  <c r="G95" i="13" s="1"/>
  <c r="F95" i="13" a="1"/>
  <c r="F95" i="13" s="1"/>
  <c r="T94" i="13" a="1"/>
  <c r="T94" i="13" s="1"/>
  <c r="S94" i="13"/>
  <c r="S94" i="13" a="1"/>
  <c r="R94" i="13" a="1"/>
  <c r="R94" i="13" s="1"/>
  <c r="Q94" i="13" a="1"/>
  <c r="Q94" i="13" s="1"/>
  <c r="P94" i="13" a="1"/>
  <c r="P94" i="13" s="1"/>
  <c r="O94" i="13" a="1"/>
  <c r="O94" i="13" s="1"/>
  <c r="N94" i="13" a="1"/>
  <c r="N94" i="13" s="1"/>
  <c r="M94" i="13"/>
  <c r="M94" i="13" a="1"/>
  <c r="L94" i="13"/>
  <c r="L94" i="13" a="1"/>
  <c r="K94" i="13"/>
  <c r="K94" i="13" a="1"/>
  <c r="J94" i="13" a="1"/>
  <c r="J94" i="13" s="1"/>
  <c r="I94" i="13" a="1"/>
  <c r="I94" i="13" s="1"/>
  <c r="H94" i="13"/>
  <c r="H94" i="13" a="1"/>
  <c r="G94" i="13" a="1"/>
  <c r="G94" i="13" s="1"/>
  <c r="F94" i="13" a="1"/>
  <c r="F94" i="13" s="1"/>
  <c r="T93" i="13" a="1"/>
  <c r="T93" i="13" s="1"/>
  <c r="S93" i="13" a="1"/>
  <c r="S93" i="13" s="1"/>
  <c r="R93" i="13" a="1"/>
  <c r="R93" i="13" s="1"/>
  <c r="Q93" i="13" a="1"/>
  <c r="Q93" i="13" s="1"/>
  <c r="P93" i="13" a="1"/>
  <c r="P93" i="13" s="1"/>
  <c r="O93" i="13"/>
  <c r="O93" i="13" a="1"/>
  <c r="N93" i="13" a="1"/>
  <c r="N93" i="13" s="1"/>
  <c r="M93" i="13" a="1"/>
  <c r="M93" i="13" s="1"/>
  <c r="L93" i="13" a="1"/>
  <c r="L93" i="13" s="1"/>
  <c r="K93" i="13" a="1"/>
  <c r="K93" i="13" s="1"/>
  <c r="J93" i="13" a="1"/>
  <c r="J93" i="13" s="1"/>
  <c r="I93" i="13" a="1"/>
  <c r="I93" i="13" s="1"/>
  <c r="H93" i="13" a="1"/>
  <c r="H93" i="13" s="1"/>
  <c r="G93" i="13" a="1"/>
  <c r="G93" i="13" s="1"/>
  <c r="F93" i="13" a="1"/>
  <c r="F93" i="13" s="1"/>
  <c r="T92" i="13" a="1"/>
  <c r="T92" i="13" s="1"/>
  <c r="S92" i="13"/>
  <c r="S92" i="13" a="1"/>
  <c r="R92" i="13"/>
  <c r="R92" i="13" a="1"/>
  <c r="Q92" i="13" a="1"/>
  <c r="Q92" i="13" s="1"/>
  <c r="P92" i="13" a="1"/>
  <c r="P92" i="13" s="1"/>
  <c r="O92" i="13" a="1"/>
  <c r="O92" i="13" s="1"/>
  <c r="N92" i="13" a="1"/>
  <c r="N92" i="13" s="1"/>
  <c r="M92" i="13" a="1"/>
  <c r="M92" i="13" s="1"/>
  <c r="L92" i="13" a="1"/>
  <c r="L92" i="13" s="1"/>
  <c r="K92" i="13" a="1"/>
  <c r="K92" i="13" s="1"/>
  <c r="J92" i="13"/>
  <c r="J92" i="13" a="1"/>
  <c r="I92" i="13" a="1"/>
  <c r="I92" i="13" s="1"/>
  <c r="H92" i="13" a="1"/>
  <c r="H92" i="13" s="1"/>
  <c r="G92" i="13" a="1"/>
  <c r="G92" i="13" s="1"/>
  <c r="F92" i="13" a="1"/>
  <c r="F92" i="13" s="1"/>
  <c r="T91" i="13" a="1"/>
  <c r="T91" i="13" s="1"/>
  <c r="S91" i="13"/>
  <c r="S91" i="13" a="1"/>
  <c r="R91" i="13"/>
  <c r="R91" i="13" a="1"/>
  <c r="Q91" i="13" a="1"/>
  <c r="Q91" i="13" s="1"/>
  <c r="P91" i="13" a="1"/>
  <c r="P91" i="13" s="1"/>
  <c r="O91" i="13" a="1"/>
  <c r="O91" i="13" s="1"/>
  <c r="N91" i="13" a="1"/>
  <c r="N91" i="13" s="1"/>
  <c r="M91" i="13" a="1"/>
  <c r="M91" i="13" s="1"/>
  <c r="L91" i="13" a="1"/>
  <c r="L91" i="13" s="1"/>
  <c r="K91" i="13" a="1"/>
  <c r="K91" i="13" s="1"/>
  <c r="J91" i="13" a="1"/>
  <c r="J91" i="13" s="1"/>
  <c r="I91" i="13" a="1"/>
  <c r="I91" i="13" s="1"/>
  <c r="H91" i="13" a="1"/>
  <c r="H91" i="13" s="1"/>
  <c r="G91" i="13"/>
  <c r="G91" i="13" a="1"/>
  <c r="F91" i="13" a="1"/>
  <c r="F91" i="13" s="1"/>
  <c r="T90" i="13" a="1"/>
  <c r="T90" i="13" s="1"/>
  <c r="S90" i="13" a="1"/>
  <c r="S90" i="13" s="1"/>
  <c r="R90" i="13" a="1"/>
  <c r="R90" i="13" s="1"/>
  <c r="Q90" i="13" a="1"/>
  <c r="Q90" i="13" s="1"/>
  <c r="P90" i="13"/>
  <c r="P90" i="13" a="1"/>
  <c r="O90" i="13"/>
  <c r="O90" i="13" a="1"/>
  <c r="N90" i="13"/>
  <c r="N90" i="13" a="1"/>
  <c r="M90" i="13" a="1"/>
  <c r="M90" i="13" s="1"/>
  <c r="L90" i="13"/>
  <c r="L90" i="13" a="1"/>
  <c r="K90" i="13" a="1"/>
  <c r="K90" i="13" s="1"/>
  <c r="J90" i="13" a="1"/>
  <c r="J90" i="13" s="1"/>
  <c r="I90" i="13" a="1"/>
  <c r="I90" i="13" s="1"/>
  <c r="H90" i="13" a="1"/>
  <c r="H90" i="13" s="1"/>
  <c r="G90" i="13"/>
  <c r="G90" i="13" a="1"/>
  <c r="F90" i="13"/>
  <c r="F90" i="13" a="1"/>
  <c r="T89" i="13" a="1"/>
  <c r="T89" i="13" s="1"/>
  <c r="S89" i="13" a="1"/>
  <c r="S89" i="13" s="1"/>
  <c r="R89" i="13" a="1"/>
  <c r="R89" i="13" s="1"/>
  <c r="Q89" i="13" a="1"/>
  <c r="Q89" i="13" s="1"/>
  <c r="P89" i="13" a="1"/>
  <c r="P89" i="13" s="1"/>
  <c r="O89" i="13" a="1"/>
  <c r="O89" i="13" s="1"/>
  <c r="N89" i="13" a="1"/>
  <c r="N89" i="13" s="1"/>
  <c r="M89" i="13" a="1"/>
  <c r="M89" i="13" s="1"/>
  <c r="L89" i="13" a="1"/>
  <c r="L89" i="13" s="1"/>
  <c r="K89" i="13"/>
  <c r="K89" i="13" a="1"/>
  <c r="J89" i="13" a="1"/>
  <c r="J89" i="13" s="1"/>
  <c r="I89" i="13" a="1"/>
  <c r="I89" i="13" s="1"/>
  <c r="H89" i="13" a="1"/>
  <c r="H89" i="13" s="1"/>
  <c r="G89" i="13" a="1"/>
  <c r="G89" i="13" s="1"/>
  <c r="F89" i="13"/>
  <c r="F89" i="13" a="1"/>
  <c r="T88" i="13" a="1"/>
  <c r="T88" i="13" s="1"/>
  <c r="S88" i="13" a="1"/>
  <c r="S88" i="13" s="1"/>
  <c r="R88" i="13" a="1"/>
  <c r="R88" i="13" s="1"/>
  <c r="Q88" i="13" a="1"/>
  <c r="Q88" i="13" s="1"/>
  <c r="P88" i="13" a="1"/>
  <c r="P88" i="13" s="1"/>
  <c r="O88" i="13" a="1"/>
  <c r="O88" i="13" s="1"/>
  <c r="N88" i="13" a="1"/>
  <c r="N88" i="13" s="1"/>
  <c r="M88" i="13" a="1"/>
  <c r="M88" i="13" s="1"/>
  <c r="L88" i="13"/>
  <c r="L88" i="13" a="1"/>
  <c r="K88" i="13" a="1"/>
  <c r="K88" i="13" s="1"/>
  <c r="J88" i="13" a="1"/>
  <c r="J88" i="13" s="1"/>
  <c r="I88" i="13" a="1"/>
  <c r="I88" i="13" s="1"/>
  <c r="H88" i="13"/>
  <c r="H88" i="13" a="1"/>
  <c r="G88" i="13" a="1"/>
  <c r="G88" i="13" s="1"/>
  <c r="F88" i="13" a="1"/>
  <c r="F88" i="13" s="1"/>
  <c r="T87" i="13" a="1"/>
  <c r="T87" i="13" s="1"/>
  <c r="S87" i="13" a="1"/>
  <c r="S87" i="13" s="1"/>
  <c r="R87" i="13" a="1"/>
  <c r="R87" i="13" s="1"/>
  <c r="Q87" i="13"/>
  <c r="Q87" i="13" a="1"/>
  <c r="P87" i="13" a="1"/>
  <c r="P87" i="13" s="1"/>
  <c r="O87" i="13" a="1"/>
  <c r="O87" i="13" s="1"/>
  <c r="N87" i="13" a="1"/>
  <c r="N87" i="13" s="1"/>
  <c r="M87" i="13" a="1"/>
  <c r="M87" i="13" s="1"/>
  <c r="L87" i="13"/>
  <c r="L87" i="13" a="1"/>
  <c r="K87" i="13" a="1"/>
  <c r="K87" i="13" s="1"/>
  <c r="J87" i="13" a="1"/>
  <c r="J87" i="13" s="1"/>
  <c r="I87" i="13" a="1"/>
  <c r="I87" i="13" s="1"/>
  <c r="H87" i="13" a="1"/>
  <c r="H87" i="13" s="1"/>
  <c r="G87" i="13" a="1"/>
  <c r="G87" i="13" s="1"/>
  <c r="F87" i="13" a="1"/>
  <c r="F87" i="13" s="1"/>
  <c r="T86" i="13" a="1"/>
  <c r="T86" i="13" s="1"/>
  <c r="S86" i="13" a="1"/>
  <c r="S86" i="13" s="1"/>
  <c r="R86" i="13" a="1"/>
  <c r="R86" i="13" s="1"/>
  <c r="Q86" i="13" a="1"/>
  <c r="Q86" i="13" s="1"/>
  <c r="P86" i="13"/>
  <c r="P86" i="13" a="1"/>
  <c r="O86" i="13" a="1"/>
  <c r="O86" i="13" s="1"/>
  <c r="N86" i="13" a="1"/>
  <c r="N86" i="13" s="1"/>
  <c r="M86" i="13" a="1"/>
  <c r="M86" i="13" s="1"/>
  <c r="L86" i="13" a="1"/>
  <c r="L86" i="13" s="1"/>
  <c r="K86" i="13" a="1"/>
  <c r="K86" i="13" s="1"/>
  <c r="J86" i="13" a="1"/>
  <c r="J86" i="13" s="1"/>
  <c r="I86" i="13" a="1"/>
  <c r="I86" i="13" s="1"/>
  <c r="H86" i="13"/>
  <c r="H86" i="13" a="1"/>
  <c r="G86" i="13" a="1"/>
  <c r="G86" i="13" s="1"/>
  <c r="F86" i="13" a="1"/>
  <c r="F86" i="13" s="1"/>
  <c r="T85" i="13" a="1"/>
  <c r="T85" i="13" s="1"/>
  <c r="S85" i="13" a="1"/>
  <c r="S85" i="13" s="1"/>
  <c r="R85" i="13" a="1"/>
  <c r="R85" i="13" s="1"/>
  <c r="Q85" i="13" a="1"/>
  <c r="Q85" i="13" s="1"/>
  <c r="P85" i="13" a="1"/>
  <c r="P85" i="13" s="1"/>
  <c r="O85" i="13"/>
  <c r="O85" i="13" a="1"/>
  <c r="N85" i="13" a="1"/>
  <c r="N85" i="13" s="1"/>
  <c r="M85" i="13" a="1"/>
  <c r="M85" i="13" s="1"/>
  <c r="L85" i="13" a="1"/>
  <c r="L85" i="13" s="1"/>
  <c r="K85" i="13" a="1"/>
  <c r="K85" i="13" s="1"/>
  <c r="J85" i="13" a="1"/>
  <c r="J85" i="13" s="1"/>
  <c r="I85" i="13" a="1"/>
  <c r="I85" i="13" s="1"/>
  <c r="H85" i="13" a="1"/>
  <c r="H85" i="13" s="1"/>
  <c r="G85" i="13" a="1"/>
  <c r="G85" i="13" s="1"/>
  <c r="F85" i="13" a="1"/>
  <c r="F85" i="13" s="1"/>
  <c r="T84" i="13" a="1"/>
  <c r="T84" i="13" s="1"/>
  <c r="S84" i="13" a="1"/>
  <c r="S84" i="13" s="1"/>
  <c r="R84" i="13" a="1"/>
  <c r="R84" i="13" s="1"/>
  <c r="Q84" i="13"/>
  <c r="Q84" i="13" a="1"/>
  <c r="P84" i="13" a="1"/>
  <c r="P84" i="13" s="1"/>
  <c r="O84" i="13" a="1"/>
  <c r="O84" i="13" s="1"/>
  <c r="N84" i="13" a="1"/>
  <c r="N84" i="13" s="1"/>
  <c r="M84" i="13" a="1"/>
  <c r="M84" i="13" s="1"/>
  <c r="L84" i="13"/>
  <c r="L84" i="13" a="1"/>
  <c r="K84" i="13" a="1"/>
  <c r="K84" i="13" s="1"/>
  <c r="J84" i="13" a="1"/>
  <c r="J84" i="13" s="1"/>
  <c r="I84" i="13" a="1"/>
  <c r="I84" i="13" s="1"/>
  <c r="H84" i="13" a="1"/>
  <c r="H84" i="13" s="1"/>
  <c r="G84" i="13" a="1"/>
  <c r="G84" i="13" s="1"/>
  <c r="F84" i="13" a="1"/>
  <c r="F84" i="13" s="1"/>
  <c r="T83" i="13" a="1"/>
  <c r="T83" i="13" s="1"/>
  <c r="S83" i="13" a="1"/>
  <c r="S83" i="13" s="1"/>
  <c r="R83" i="13" a="1"/>
  <c r="R83" i="13" s="1"/>
  <c r="Q83" i="13" a="1"/>
  <c r="Q83" i="13" s="1"/>
  <c r="P83" i="13" a="1"/>
  <c r="P83" i="13" s="1"/>
  <c r="O83" i="13" a="1"/>
  <c r="O83" i="13" s="1"/>
  <c r="N83" i="13" a="1"/>
  <c r="N83" i="13" s="1"/>
  <c r="M83" i="13" a="1"/>
  <c r="M83" i="13" s="1"/>
  <c r="L83" i="13" a="1"/>
  <c r="L83" i="13" s="1"/>
  <c r="K83" i="13" a="1"/>
  <c r="K83" i="13" s="1"/>
  <c r="J83" i="13" a="1"/>
  <c r="J83" i="13" s="1"/>
  <c r="I83" i="13" a="1"/>
  <c r="I83" i="13" s="1"/>
  <c r="H83" i="13" a="1"/>
  <c r="H83" i="13" s="1"/>
  <c r="G83" i="13" a="1"/>
  <c r="G83" i="13" s="1"/>
  <c r="F83" i="13" a="1"/>
  <c r="F83" i="13" s="1"/>
  <c r="T82" i="13" a="1"/>
  <c r="T82" i="13" s="1"/>
  <c r="S82" i="13" a="1"/>
  <c r="S82" i="13" s="1"/>
  <c r="R82" i="13" a="1"/>
  <c r="R82" i="13" s="1"/>
  <c r="Q82" i="13"/>
  <c r="Q82" i="13" a="1"/>
  <c r="P82" i="13" a="1"/>
  <c r="P82" i="13" s="1"/>
  <c r="O82" i="13" a="1"/>
  <c r="O82" i="13" s="1"/>
  <c r="N82" i="13" a="1"/>
  <c r="N82" i="13" s="1"/>
  <c r="M82" i="13" a="1"/>
  <c r="M82" i="13" s="1"/>
  <c r="L82" i="13"/>
  <c r="L82" i="13" a="1"/>
  <c r="K82" i="13" a="1"/>
  <c r="K82" i="13" s="1"/>
  <c r="J82" i="13" a="1"/>
  <c r="J82" i="13" s="1"/>
  <c r="I82" i="13" a="1"/>
  <c r="I82" i="13" s="1"/>
  <c r="H82" i="13" a="1"/>
  <c r="H82" i="13" s="1"/>
  <c r="G82" i="13" a="1"/>
  <c r="G82" i="13" s="1"/>
  <c r="F82" i="13" a="1"/>
  <c r="F82" i="13" s="1"/>
  <c r="T81" i="13" a="1"/>
  <c r="T81" i="13" s="1"/>
  <c r="S81" i="13"/>
  <c r="S81" i="13" a="1"/>
  <c r="R81" i="13" a="1"/>
  <c r="R81" i="13" s="1"/>
  <c r="Q81" i="13" a="1"/>
  <c r="Q81" i="13" s="1"/>
  <c r="P81" i="13" a="1"/>
  <c r="P81" i="13" s="1"/>
  <c r="O81" i="13" a="1"/>
  <c r="O81" i="13" s="1"/>
  <c r="N81" i="13"/>
  <c r="N81" i="13" a="1"/>
  <c r="M81" i="13"/>
  <c r="M81" i="13" a="1"/>
  <c r="L81" i="13" a="1"/>
  <c r="L81" i="13" s="1"/>
  <c r="K81" i="13" a="1"/>
  <c r="K81" i="13" s="1"/>
  <c r="J81" i="13" a="1"/>
  <c r="J81" i="13" s="1"/>
  <c r="I81" i="13" a="1"/>
  <c r="I81" i="13" s="1"/>
  <c r="H81" i="13" a="1"/>
  <c r="H81" i="13" s="1"/>
  <c r="G81" i="13"/>
  <c r="G81" i="13" a="1"/>
  <c r="F81" i="13" a="1"/>
  <c r="F81" i="13" s="1"/>
  <c r="T80" i="13" a="1"/>
  <c r="T80" i="13" s="1"/>
  <c r="S80" i="13" a="1"/>
  <c r="S80" i="13" s="1"/>
  <c r="R80" i="13" a="1"/>
  <c r="R80" i="13" s="1"/>
  <c r="Q80" i="13" a="1"/>
  <c r="Q80" i="13" s="1"/>
  <c r="P80" i="13" a="1"/>
  <c r="P80" i="13" s="1"/>
  <c r="O80" i="13" a="1"/>
  <c r="O80" i="13" s="1"/>
  <c r="N80" i="13" a="1"/>
  <c r="N80" i="13" s="1"/>
  <c r="M80" i="13" a="1"/>
  <c r="M80" i="13" s="1"/>
  <c r="L80" i="13" a="1"/>
  <c r="L80" i="13" s="1"/>
  <c r="K80" i="13" a="1"/>
  <c r="K80" i="13" s="1"/>
  <c r="J80" i="13" a="1"/>
  <c r="J80" i="13" s="1"/>
  <c r="I80" i="13" a="1"/>
  <c r="I80" i="13" s="1"/>
  <c r="H80" i="13" a="1"/>
  <c r="H80" i="13" s="1"/>
  <c r="G80" i="13"/>
  <c r="G80" i="13" a="1"/>
  <c r="F80" i="13" a="1"/>
  <c r="F80" i="13" s="1"/>
  <c r="T79" i="13" a="1"/>
  <c r="T79" i="13" s="1"/>
  <c r="S79" i="13" a="1"/>
  <c r="S79" i="13" s="1"/>
  <c r="R79" i="13" a="1"/>
  <c r="R79" i="13" s="1"/>
  <c r="Q79" i="13" a="1"/>
  <c r="Q79" i="13" s="1"/>
  <c r="P79" i="13" a="1"/>
  <c r="P79" i="13" s="1"/>
  <c r="O79" i="13" a="1"/>
  <c r="O79" i="13" s="1"/>
  <c r="N79" i="13" a="1"/>
  <c r="N79" i="13" s="1"/>
  <c r="M79" i="13" a="1"/>
  <c r="M79" i="13" s="1"/>
  <c r="L79" i="13" a="1"/>
  <c r="L79" i="13" s="1"/>
  <c r="K79" i="13" a="1"/>
  <c r="K79" i="13" s="1"/>
  <c r="J79" i="13" a="1"/>
  <c r="J79" i="13" s="1"/>
  <c r="I79" i="13" a="1"/>
  <c r="I79" i="13" s="1"/>
  <c r="H79" i="13" a="1"/>
  <c r="H79" i="13" s="1"/>
  <c r="G79" i="13" a="1"/>
  <c r="G79" i="13" s="1"/>
  <c r="F79" i="13"/>
  <c r="F79" i="13" a="1"/>
  <c r="T78" i="13" a="1"/>
  <c r="T78" i="13" s="1"/>
  <c r="S78" i="13" a="1"/>
  <c r="S78" i="13" s="1"/>
  <c r="R78" i="13" a="1"/>
  <c r="R78" i="13" s="1"/>
  <c r="Q78" i="13" a="1"/>
  <c r="Q78" i="13" s="1"/>
  <c r="P78" i="13" a="1"/>
  <c r="P78" i="13" s="1"/>
  <c r="O78" i="13" a="1"/>
  <c r="O78" i="13" s="1"/>
  <c r="N78" i="13" a="1"/>
  <c r="N78" i="13" s="1"/>
  <c r="M78" i="13" a="1"/>
  <c r="M78" i="13" s="1"/>
  <c r="L78" i="13"/>
  <c r="L78" i="13" a="1"/>
  <c r="K78" i="13" a="1"/>
  <c r="K78" i="13" s="1"/>
  <c r="J78" i="13" a="1"/>
  <c r="J78" i="13" s="1"/>
  <c r="I78" i="13" a="1"/>
  <c r="I78" i="13" s="1"/>
  <c r="H78" i="13" a="1"/>
  <c r="H78" i="13" s="1"/>
  <c r="G78" i="13" a="1"/>
  <c r="G78" i="13" s="1"/>
  <c r="F78" i="13"/>
  <c r="F78" i="13" a="1"/>
  <c r="T77" i="13" a="1"/>
  <c r="T77" i="13" s="1"/>
  <c r="S77" i="13" a="1"/>
  <c r="S77" i="13" s="1"/>
  <c r="R77" i="13"/>
  <c r="R77" i="13" a="1"/>
  <c r="Q77" i="13" a="1"/>
  <c r="Q77" i="13" s="1"/>
  <c r="P77" i="13" a="1"/>
  <c r="P77" i="13" s="1"/>
  <c r="O77" i="13" a="1"/>
  <c r="O77" i="13" s="1"/>
  <c r="N77" i="13" a="1"/>
  <c r="N77" i="13" s="1"/>
  <c r="M77" i="13" a="1"/>
  <c r="M77" i="13" s="1"/>
  <c r="L77" i="13"/>
  <c r="L77" i="13" a="1"/>
  <c r="K77" i="13" a="1"/>
  <c r="K77" i="13" s="1"/>
  <c r="J77" i="13" a="1"/>
  <c r="J77" i="13" s="1"/>
  <c r="I77" i="13"/>
  <c r="I77" i="13" a="1"/>
  <c r="H77" i="13" a="1"/>
  <c r="H77" i="13" s="1"/>
  <c r="G77" i="13" a="1"/>
  <c r="G77" i="13" s="1"/>
  <c r="F77" i="13" a="1"/>
  <c r="F77" i="13" s="1"/>
  <c r="T76" i="13" a="1"/>
  <c r="T76" i="13" s="1"/>
  <c r="S76" i="13" a="1"/>
  <c r="S76" i="13" s="1"/>
  <c r="R76" i="13" a="1"/>
  <c r="R76" i="13" s="1"/>
  <c r="Q76" i="13" a="1"/>
  <c r="Q76" i="13" s="1"/>
  <c r="P76" i="13" a="1"/>
  <c r="P76" i="13" s="1"/>
  <c r="O76" i="13" a="1"/>
  <c r="O76" i="13" s="1"/>
  <c r="N76" i="13" a="1"/>
  <c r="N76" i="13" s="1"/>
  <c r="M76" i="13" a="1"/>
  <c r="M76" i="13" s="1"/>
  <c r="L76" i="13"/>
  <c r="L76" i="13" a="1"/>
  <c r="K76" i="13" a="1"/>
  <c r="K76" i="13" s="1"/>
  <c r="J76" i="13" a="1"/>
  <c r="J76" i="13" s="1"/>
  <c r="I76" i="13"/>
  <c r="I76" i="13" a="1"/>
  <c r="H76" i="13" a="1"/>
  <c r="H76" i="13" s="1"/>
  <c r="G76" i="13" a="1"/>
  <c r="G76" i="13" s="1"/>
  <c r="F76" i="13" a="1"/>
  <c r="F76" i="13" s="1"/>
  <c r="T75" i="13" a="1"/>
  <c r="T75" i="13" s="1"/>
  <c r="S75" i="13" a="1"/>
  <c r="S75" i="13" s="1"/>
  <c r="R75" i="13"/>
  <c r="R75" i="13" a="1"/>
  <c r="Q75" i="13" a="1"/>
  <c r="Q75" i="13" s="1"/>
  <c r="P75" i="13" a="1"/>
  <c r="P75" i="13" s="1"/>
  <c r="O75" i="13" a="1"/>
  <c r="O75" i="13" s="1"/>
  <c r="N75" i="13" a="1"/>
  <c r="N75" i="13" s="1"/>
  <c r="M75" i="13" a="1"/>
  <c r="M75" i="13" s="1"/>
  <c r="L75" i="13" a="1"/>
  <c r="L75" i="13" s="1"/>
  <c r="K75" i="13"/>
  <c r="K75" i="13" a="1"/>
  <c r="J75" i="13"/>
  <c r="J75" i="13" a="1"/>
  <c r="I75" i="13" a="1"/>
  <c r="I75" i="13" s="1"/>
  <c r="H75" i="13" a="1"/>
  <c r="H75" i="13" s="1"/>
  <c r="G75" i="13" a="1"/>
  <c r="G75" i="13" s="1"/>
  <c r="F75" i="13" a="1"/>
  <c r="F75" i="13" s="1"/>
  <c r="T74" i="13"/>
  <c r="T74" i="13" a="1"/>
  <c r="S74" i="13" a="1"/>
  <c r="S74" i="13" s="1"/>
  <c r="R74" i="13" a="1"/>
  <c r="R74" i="13" s="1"/>
  <c r="Q74" i="13"/>
  <c r="Q74" i="13" a="1"/>
  <c r="P74" i="13" a="1"/>
  <c r="P74" i="13" s="1"/>
  <c r="O74" i="13" a="1"/>
  <c r="O74" i="13" s="1"/>
  <c r="N74" i="13" a="1"/>
  <c r="N74" i="13" s="1"/>
  <c r="M74" i="13" a="1"/>
  <c r="M74" i="13" s="1"/>
  <c r="L74" i="13" a="1"/>
  <c r="L74" i="13" s="1"/>
  <c r="K74" i="13" a="1"/>
  <c r="K74" i="13" s="1"/>
  <c r="J74" i="13" a="1"/>
  <c r="J74" i="13" s="1"/>
  <c r="I74" i="13" a="1"/>
  <c r="I74" i="13" s="1"/>
  <c r="H74" i="13" a="1"/>
  <c r="H74" i="13" s="1"/>
  <c r="G74" i="13" a="1"/>
  <c r="G74" i="13" s="1"/>
  <c r="F74" i="13"/>
  <c r="F74" i="13" a="1"/>
  <c r="T73" i="13" a="1"/>
  <c r="T73" i="13" s="1"/>
  <c r="S73" i="13" a="1"/>
  <c r="S73" i="13" s="1"/>
  <c r="R73" i="13" a="1"/>
  <c r="R73" i="13" s="1"/>
  <c r="Q73" i="13" a="1"/>
  <c r="Q73" i="13" s="1"/>
  <c r="P73" i="13" a="1"/>
  <c r="P73" i="13" s="1"/>
  <c r="O73" i="13" a="1"/>
  <c r="O73" i="13" s="1"/>
  <c r="N73" i="13" a="1"/>
  <c r="N73" i="13" s="1"/>
  <c r="M73" i="13"/>
  <c r="M73" i="13" a="1"/>
  <c r="L73" i="13" a="1"/>
  <c r="L73" i="13" s="1"/>
  <c r="K73" i="13"/>
  <c r="K73" i="13" a="1"/>
  <c r="J73" i="13" a="1"/>
  <c r="J73" i="13" s="1"/>
  <c r="I73" i="13" a="1"/>
  <c r="I73" i="13" s="1"/>
  <c r="H73" i="13" a="1"/>
  <c r="H73" i="13" s="1"/>
  <c r="G73" i="13" a="1"/>
  <c r="G73" i="13" s="1"/>
  <c r="F73" i="13" a="1"/>
  <c r="F73" i="13" s="1"/>
  <c r="T72" i="13" a="1"/>
  <c r="T72" i="13" s="1"/>
  <c r="S72" i="13" a="1"/>
  <c r="S72" i="13" s="1"/>
  <c r="R72" i="13" a="1"/>
  <c r="R72" i="13" s="1"/>
  <c r="Q72" i="13" a="1"/>
  <c r="Q72" i="13" s="1"/>
  <c r="P72" i="13" a="1"/>
  <c r="P72" i="13" s="1"/>
  <c r="O72" i="13" a="1"/>
  <c r="O72" i="13" s="1"/>
  <c r="N72" i="13"/>
  <c r="N72" i="13" a="1"/>
  <c r="M72" i="13" a="1"/>
  <c r="M72" i="13" s="1"/>
  <c r="L72" i="13" a="1"/>
  <c r="L72" i="13" s="1"/>
  <c r="K72" i="13" a="1"/>
  <c r="K72" i="13" s="1"/>
  <c r="J72" i="13" a="1"/>
  <c r="J72" i="13" s="1"/>
  <c r="I72" i="13" a="1"/>
  <c r="I72" i="13" s="1"/>
  <c r="H72" i="13" a="1"/>
  <c r="H72" i="13" s="1"/>
  <c r="G72" i="13" a="1"/>
  <c r="G72" i="13" s="1"/>
  <c r="F72" i="13" a="1"/>
  <c r="F72" i="13" s="1"/>
  <c r="T71" i="13" a="1"/>
  <c r="T71" i="13" s="1"/>
  <c r="S71" i="13" a="1"/>
  <c r="S71" i="13" s="1"/>
  <c r="R71" i="13" a="1"/>
  <c r="R71" i="13" s="1"/>
  <c r="Q71" i="13" a="1"/>
  <c r="Q71" i="13" s="1"/>
  <c r="P71" i="13" a="1"/>
  <c r="P71" i="13" s="1"/>
  <c r="O71" i="13" a="1"/>
  <c r="O71" i="13" s="1"/>
  <c r="N71" i="13"/>
  <c r="N71" i="13" a="1"/>
  <c r="M71" i="13" a="1"/>
  <c r="M71" i="13" s="1"/>
  <c r="L71" i="13" a="1"/>
  <c r="L71" i="13" s="1"/>
  <c r="K71" i="13" a="1"/>
  <c r="K71" i="13" s="1"/>
  <c r="J71" i="13" a="1"/>
  <c r="J71" i="13" s="1"/>
  <c r="I71" i="13"/>
  <c r="I71" i="13" a="1"/>
  <c r="H71" i="13" a="1"/>
  <c r="H71" i="13" s="1"/>
  <c r="G71" i="13" a="1"/>
  <c r="G71" i="13" s="1"/>
  <c r="F71" i="13" a="1"/>
  <c r="F71" i="13" s="1"/>
  <c r="T70" i="13" a="1"/>
  <c r="T70" i="13" s="1"/>
  <c r="S70" i="13" a="1"/>
  <c r="S70" i="13" s="1"/>
  <c r="R70" i="13" a="1"/>
  <c r="R70" i="13" s="1"/>
  <c r="Q70" i="13" a="1"/>
  <c r="Q70" i="13" s="1"/>
  <c r="P70" i="13"/>
  <c r="P70" i="13" a="1"/>
  <c r="O70" i="13" a="1"/>
  <c r="O70" i="13" s="1"/>
  <c r="N70" i="13" a="1"/>
  <c r="N70" i="13" s="1"/>
  <c r="M70" i="13" a="1"/>
  <c r="M70" i="13" s="1"/>
  <c r="L70" i="13" a="1"/>
  <c r="L70" i="13" s="1"/>
  <c r="K70" i="13" a="1"/>
  <c r="K70" i="13" s="1"/>
  <c r="J70" i="13" a="1"/>
  <c r="J70" i="13" s="1"/>
  <c r="I70" i="13" a="1"/>
  <c r="I70" i="13" s="1"/>
  <c r="H70" i="13" a="1"/>
  <c r="H70" i="13" s="1"/>
  <c r="G70" i="13" a="1"/>
  <c r="G70" i="13" s="1"/>
  <c r="F70" i="13" a="1"/>
  <c r="F70" i="13" s="1"/>
  <c r="T69" i="13" a="1"/>
  <c r="T69" i="13" s="1"/>
  <c r="S69" i="13" a="1"/>
  <c r="S69" i="13" s="1"/>
  <c r="R69" i="13" a="1"/>
  <c r="R69" i="13" s="1"/>
  <c r="Q69" i="13" a="1"/>
  <c r="Q69" i="13" s="1"/>
  <c r="P69" i="13" a="1"/>
  <c r="P69" i="13" s="1"/>
  <c r="O69" i="13"/>
  <c r="O69" i="13" a="1"/>
  <c r="N69" i="13" a="1"/>
  <c r="N69" i="13" s="1"/>
  <c r="M69" i="13" a="1"/>
  <c r="M69" i="13" s="1"/>
  <c r="L69" i="13" a="1"/>
  <c r="L69" i="13" s="1"/>
  <c r="K69" i="13" a="1"/>
  <c r="K69" i="13" s="1"/>
  <c r="J69" i="13" a="1"/>
  <c r="J69" i="13" s="1"/>
  <c r="I69" i="13"/>
  <c r="I69" i="13" a="1"/>
  <c r="H69" i="13" a="1"/>
  <c r="H69" i="13" s="1"/>
  <c r="G69" i="13" a="1"/>
  <c r="G69" i="13" s="1"/>
  <c r="F69" i="13" a="1"/>
  <c r="F69" i="13" s="1"/>
  <c r="T68" i="13" a="1"/>
  <c r="T68" i="13" s="1"/>
  <c r="S68" i="13" a="1"/>
  <c r="S68" i="13" s="1"/>
  <c r="R68" i="13" a="1"/>
  <c r="R68" i="13" s="1"/>
  <c r="Q68" i="13" a="1"/>
  <c r="Q68" i="13" s="1"/>
  <c r="P68" i="13" a="1"/>
  <c r="P68" i="13" s="1"/>
  <c r="O68" i="13" a="1"/>
  <c r="O68" i="13" s="1"/>
  <c r="N68" i="13" a="1"/>
  <c r="N68" i="13" s="1"/>
  <c r="M68" i="13" a="1"/>
  <c r="M68" i="13" s="1"/>
  <c r="L68" i="13" a="1"/>
  <c r="L68" i="13" s="1"/>
  <c r="K68" i="13" a="1"/>
  <c r="K68" i="13" s="1"/>
  <c r="J68" i="13" a="1"/>
  <c r="J68" i="13" s="1"/>
  <c r="I68" i="13" a="1"/>
  <c r="I68" i="13" s="1"/>
  <c r="H68" i="13" a="1"/>
  <c r="H68" i="13" s="1"/>
  <c r="G68" i="13" a="1"/>
  <c r="G68" i="13" s="1"/>
  <c r="F68" i="13" a="1"/>
  <c r="F68" i="13" s="1"/>
  <c r="T67" i="13" a="1"/>
  <c r="T67" i="13" s="1"/>
  <c r="S67" i="13"/>
  <c r="S67" i="13" a="1"/>
  <c r="R67" i="13" a="1"/>
  <c r="R67" i="13" s="1"/>
  <c r="Q67" i="13" a="1"/>
  <c r="Q67" i="13" s="1"/>
  <c r="P67" i="13" a="1"/>
  <c r="P67" i="13" s="1"/>
  <c r="O67" i="13" a="1"/>
  <c r="O67" i="13" s="1"/>
  <c r="N67" i="13" a="1"/>
  <c r="N67" i="13" s="1"/>
  <c r="M67" i="13" a="1"/>
  <c r="M67" i="13" s="1"/>
  <c r="L67" i="13" a="1"/>
  <c r="L67" i="13" s="1"/>
  <c r="K67" i="13"/>
  <c r="K67" i="13" a="1"/>
  <c r="J67" i="13" a="1"/>
  <c r="J67" i="13" s="1"/>
  <c r="I67" i="13" a="1"/>
  <c r="I67" i="13" s="1"/>
  <c r="H67" i="13" a="1"/>
  <c r="H67" i="13" s="1"/>
  <c r="G67" i="13" a="1"/>
  <c r="G67" i="13" s="1"/>
  <c r="F67" i="13" a="1"/>
  <c r="F67" i="13" s="1"/>
  <c r="T66" i="13" a="1"/>
  <c r="T66" i="13" s="1"/>
  <c r="S66" i="13" a="1"/>
  <c r="S66" i="13" s="1"/>
  <c r="R66" i="13" a="1"/>
  <c r="R66" i="13" s="1"/>
  <c r="Q66" i="13" a="1"/>
  <c r="Q66" i="13" s="1"/>
  <c r="P66" i="13" a="1"/>
  <c r="P66" i="13" s="1"/>
  <c r="O66" i="13" a="1"/>
  <c r="O66" i="13" s="1"/>
  <c r="N66" i="13" a="1"/>
  <c r="N66" i="13" s="1"/>
  <c r="M66" i="13" a="1"/>
  <c r="M66" i="13" s="1"/>
  <c r="L66" i="13" a="1"/>
  <c r="L66" i="13" s="1"/>
  <c r="K66" i="13" a="1"/>
  <c r="K66" i="13" s="1"/>
  <c r="J66" i="13" a="1"/>
  <c r="J66" i="13" s="1"/>
  <c r="I66" i="13" a="1"/>
  <c r="I66" i="13" s="1"/>
  <c r="H66" i="13" a="1"/>
  <c r="H66" i="13" s="1"/>
  <c r="G66" i="13"/>
  <c r="G66" i="13" a="1"/>
  <c r="F66" i="13" a="1"/>
  <c r="F66" i="13" s="1"/>
  <c r="T65" i="13" a="1"/>
  <c r="T65" i="13" s="1"/>
  <c r="S65" i="13" a="1"/>
  <c r="S65" i="13" s="1"/>
  <c r="R65" i="13" a="1"/>
  <c r="R65" i="13" s="1"/>
  <c r="Q65" i="13" a="1"/>
  <c r="Q65" i="13" s="1"/>
  <c r="P65" i="13" a="1"/>
  <c r="P65" i="13" s="1"/>
  <c r="O65" i="13" a="1"/>
  <c r="O65" i="13" s="1"/>
  <c r="N65" i="13"/>
  <c r="N65" i="13" a="1"/>
  <c r="M65" i="13" a="1"/>
  <c r="M65" i="13" s="1"/>
  <c r="L65" i="13" a="1"/>
  <c r="L65" i="13" s="1"/>
  <c r="K65" i="13"/>
  <c r="K65" i="13" a="1"/>
  <c r="J65" i="13" a="1"/>
  <c r="J65" i="13" s="1"/>
  <c r="I65" i="13" a="1"/>
  <c r="I65" i="13" s="1"/>
  <c r="H65" i="13" a="1"/>
  <c r="H65" i="13" s="1"/>
  <c r="G65" i="13" a="1"/>
  <c r="G65" i="13" s="1"/>
  <c r="F65" i="13" a="1"/>
  <c r="F65" i="13" s="1"/>
  <c r="T64" i="13" a="1"/>
  <c r="T64" i="13" s="1"/>
  <c r="S64" i="13" a="1"/>
  <c r="S64" i="13" s="1"/>
  <c r="R64" i="13" a="1"/>
  <c r="R64" i="13" s="1"/>
  <c r="Q64" i="13" a="1"/>
  <c r="Q64" i="13" s="1"/>
  <c r="P64" i="13" a="1"/>
  <c r="P64" i="13" s="1"/>
  <c r="O64" i="13" a="1"/>
  <c r="O64" i="13" s="1"/>
  <c r="N64" i="13" a="1"/>
  <c r="N64" i="13" s="1"/>
  <c r="M64" i="13" a="1"/>
  <c r="M64" i="13" s="1"/>
  <c r="L64" i="13" a="1"/>
  <c r="L64" i="13" s="1"/>
  <c r="K64" i="13" a="1"/>
  <c r="K64" i="13" s="1"/>
  <c r="J64" i="13" a="1"/>
  <c r="J64" i="13" s="1"/>
  <c r="I64" i="13" a="1"/>
  <c r="I64" i="13" s="1"/>
  <c r="H64" i="13" a="1"/>
  <c r="H64" i="13" s="1"/>
  <c r="G64" i="13" a="1"/>
  <c r="G64" i="13" s="1"/>
  <c r="F64" i="13" a="1"/>
  <c r="F64" i="13" s="1"/>
  <c r="T63" i="13" a="1"/>
  <c r="T63" i="13" s="1"/>
  <c r="S63" i="13" a="1"/>
  <c r="S63" i="13" s="1"/>
  <c r="R63" i="13" a="1"/>
  <c r="R63" i="13" s="1"/>
  <c r="Q63" i="13" a="1"/>
  <c r="Q63" i="13" s="1"/>
  <c r="P63" i="13" a="1"/>
  <c r="P63" i="13" s="1"/>
  <c r="O63" i="13"/>
  <c r="O63" i="13" a="1"/>
  <c r="N63" i="13" a="1"/>
  <c r="N63" i="13" s="1"/>
  <c r="M63" i="13" a="1"/>
  <c r="M63" i="13" s="1"/>
  <c r="L63" i="13" a="1"/>
  <c r="L63" i="13" s="1"/>
  <c r="K63" i="13" a="1"/>
  <c r="K63" i="13" s="1"/>
  <c r="J63" i="13" a="1"/>
  <c r="J63" i="13" s="1"/>
  <c r="I63" i="13"/>
  <c r="I63" i="13" a="1"/>
  <c r="H63" i="13" a="1"/>
  <c r="H63" i="13" s="1"/>
  <c r="G63" i="13" a="1"/>
  <c r="G63" i="13" s="1"/>
  <c r="F63" i="13"/>
  <c r="F63" i="13" a="1"/>
  <c r="T62" i="13" a="1"/>
  <c r="T62" i="13" s="1"/>
  <c r="S62" i="13" a="1"/>
  <c r="S62" i="13" s="1"/>
  <c r="R62" i="13"/>
  <c r="R62" i="13" a="1"/>
  <c r="Q62" i="13" a="1"/>
  <c r="Q62" i="13" s="1"/>
  <c r="P62" i="13" a="1"/>
  <c r="P62" i="13" s="1"/>
  <c r="O62" i="13" a="1"/>
  <c r="O62" i="13" s="1"/>
  <c r="N62" i="13" a="1"/>
  <c r="N62" i="13" s="1"/>
  <c r="M62" i="13" a="1"/>
  <c r="M62" i="13" s="1"/>
  <c r="L62" i="13" a="1"/>
  <c r="L62" i="13" s="1"/>
  <c r="K62" i="13" a="1"/>
  <c r="K62" i="13" s="1"/>
  <c r="J62" i="13" a="1"/>
  <c r="J62" i="13" s="1"/>
  <c r="I62" i="13" a="1"/>
  <c r="I62" i="13" s="1"/>
  <c r="H62" i="13" a="1"/>
  <c r="H62" i="13" s="1"/>
  <c r="G62" i="13" a="1"/>
  <c r="G62" i="13" s="1"/>
  <c r="F62" i="13" a="1"/>
  <c r="F62" i="13" s="1"/>
  <c r="T61" i="13" a="1"/>
  <c r="T61" i="13" s="1"/>
  <c r="S61" i="13" a="1"/>
  <c r="S61" i="13" s="1"/>
  <c r="R61" i="13" a="1"/>
  <c r="R61" i="13" s="1"/>
  <c r="Q61" i="13" a="1"/>
  <c r="Q61" i="13" s="1"/>
  <c r="P61" i="13" a="1"/>
  <c r="P61" i="13" s="1"/>
  <c r="O61" i="13"/>
  <c r="O61" i="13" a="1"/>
  <c r="N61" i="13" a="1"/>
  <c r="N61" i="13" s="1"/>
  <c r="M61" i="13" a="1"/>
  <c r="M61" i="13" s="1"/>
  <c r="L61" i="13" a="1"/>
  <c r="L61" i="13" s="1"/>
  <c r="K61" i="13" a="1"/>
  <c r="K61" i="13" s="1"/>
  <c r="J61" i="13"/>
  <c r="J61" i="13" a="1"/>
  <c r="I61" i="13" a="1"/>
  <c r="I61" i="13" s="1"/>
  <c r="H61" i="13" a="1"/>
  <c r="H61" i="13" s="1"/>
  <c r="G61" i="13"/>
  <c r="G61" i="13" a="1"/>
  <c r="F61" i="13" a="1"/>
  <c r="F61" i="13" s="1"/>
  <c r="T60" i="13" a="1"/>
  <c r="T60" i="13" s="1"/>
  <c r="S60" i="13" a="1"/>
  <c r="S60" i="13" s="1"/>
  <c r="R60" i="13" a="1"/>
  <c r="R60" i="13" s="1"/>
  <c r="Q60" i="13" a="1"/>
  <c r="Q60" i="13" s="1"/>
  <c r="P60" i="13"/>
  <c r="P60" i="13" a="1"/>
  <c r="O60" i="13" a="1"/>
  <c r="O60" i="13" s="1"/>
  <c r="N60" i="13" a="1"/>
  <c r="N60" i="13" s="1"/>
  <c r="M60" i="13" a="1"/>
  <c r="M60" i="13" s="1"/>
  <c r="L60" i="13" a="1"/>
  <c r="L60" i="13" s="1"/>
  <c r="K60" i="13" a="1"/>
  <c r="K60" i="13" s="1"/>
  <c r="J60" i="13" a="1"/>
  <c r="J60" i="13" s="1"/>
  <c r="I60" i="13" a="1"/>
  <c r="I60" i="13" s="1"/>
  <c r="H60" i="13" a="1"/>
  <c r="H60" i="13" s="1"/>
  <c r="G60" i="13" a="1"/>
  <c r="G60" i="13" s="1"/>
  <c r="F60" i="13" a="1"/>
  <c r="F60" i="13" s="1"/>
  <c r="T59" i="13" a="1"/>
  <c r="T59" i="13" s="1"/>
  <c r="S59" i="13" a="1"/>
  <c r="S59" i="13" s="1"/>
  <c r="R59" i="13" a="1"/>
  <c r="R59" i="13" s="1"/>
  <c r="Q59" i="13" a="1"/>
  <c r="Q59" i="13" s="1"/>
  <c r="P59" i="13" a="1"/>
  <c r="P59" i="13" s="1"/>
  <c r="O59" i="13" a="1"/>
  <c r="O59" i="13" s="1"/>
  <c r="N59" i="13" a="1"/>
  <c r="N59" i="13" s="1"/>
  <c r="M59" i="13" a="1"/>
  <c r="M59" i="13" s="1"/>
  <c r="L59" i="13" a="1"/>
  <c r="L59" i="13" s="1"/>
  <c r="K59" i="13" a="1"/>
  <c r="K59" i="13" s="1"/>
  <c r="J59" i="13" a="1"/>
  <c r="J59" i="13" s="1"/>
  <c r="I59" i="13" a="1"/>
  <c r="I59" i="13" s="1"/>
  <c r="H59" i="13" a="1"/>
  <c r="H59" i="13" s="1"/>
  <c r="G59" i="13" a="1"/>
  <c r="G59" i="13" s="1"/>
  <c r="F59" i="13" a="1"/>
  <c r="F59" i="13" s="1"/>
  <c r="T58" i="13" a="1"/>
  <c r="T58" i="13" s="1"/>
  <c r="S58" i="13" a="1"/>
  <c r="S58" i="13" s="1"/>
  <c r="R58" i="13" a="1"/>
  <c r="R58" i="13" s="1"/>
  <c r="Q58" i="13" a="1"/>
  <c r="Q58" i="13" s="1"/>
  <c r="P58" i="13" a="1"/>
  <c r="P58" i="13" s="1"/>
  <c r="O58" i="13" a="1"/>
  <c r="O58" i="13" s="1"/>
  <c r="N58" i="13" a="1"/>
  <c r="N58" i="13" s="1"/>
  <c r="M58" i="13" a="1"/>
  <c r="M58" i="13" s="1"/>
  <c r="L58" i="13"/>
  <c r="L58" i="13" a="1"/>
  <c r="K58" i="13" a="1"/>
  <c r="K58" i="13" s="1"/>
  <c r="J58" i="13" a="1"/>
  <c r="J58" i="13" s="1"/>
  <c r="I58" i="13" a="1"/>
  <c r="I58" i="13" s="1"/>
  <c r="H58" i="13" a="1"/>
  <c r="H58" i="13" s="1"/>
  <c r="G58" i="13" a="1"/>
  <c r="G58" i="13" s="1"/>
  <c r="F58" i="13" a="1"/>
  <c r="F58" i="13" s="1"/>
  <c r="T57" i="13" a="1"/>
  <c r="T57" i="13" s="1"/>
  <c r="S57" i="13" a="1"/>
  <c r="S57" i="13" s="1"/>
  <c r="R57" i="13" a="1"/>
  <c r="R57" i="13" s="1"/>
  <c r="Q57" i="13" a="1"/>
  <c r="Q57" i="13" s="1"/>
  <c r="P57" i="13" a="1"/>
  <c r="P57" i="13" s="1"/>
  <c r="O57" i="13" a="1"/>
  <c r="O57" i="13" s="1"/>
  <c r="N57" i="13"/>
  <c r="N57" i="13" a="1"/>
  <c r="M57" i="13" a="1"/>
  <c r="M57" i="13" s="1"/>
  <c r="L57" i="13" a="1"/>
  <c r="L57" i="13" s="1"/>
  <c r="K57" i="13"/>
  <c r="K57" i="13" a="1"/>
  <c r="J57" i="13" a="1"/>
  <c r="J57" i="13" s="1"/>
  <c r="I57" i="13" a="1"/>
  <c r="I57" i="13" s="1"/>
  <c r="H57" i="13" a="1"/>
  <c r="H57" i="13" s="1"/>
  <c r="G57" i="13" a="1"/>
  <c r="G57" i="13" s="1"/>
  <c r="F57" i="13" a="1"/>
  <c r="F57" i="13" s="1"/>
  <c r="T56" i="13" a="1"/>
  <c r="T56" i="13" s="1"/>
  <c r="S56" i="13" a="1"/>
  <c r="S56" i="13" s="1"/>
  <c r="R56" i="13" a="1"/>
  <c r="R56" i="13" s="1"/>
  <c r="Q56" i="13" a="1"/>
  <c r="Q56" i="13" s="1"/>
  <c r="P56" i="13" a="1"/>
  <c r="P56" i="13" s="1"/>
  <c r="O56" i="13" a="1"/>
  <c r="O56" i="13" s="1"/>
  <c r="N56" i="13" a="1"/>
  <c r="N56" i="13" s="1"/>
  <c r="M56" i="13" a="1"/>
  <c r="M56" i="13" s="1"/>
  <c r="L56" i="13" a="1"/>
  <c r="L56" i="13" s="1"/>
  <c r="K56" i="13" a="1"/>
  <c r="K56" i="13" s="1"/>
  <c r="J56" i="13"/>
  <c r="J56" i="13" a="1"/>
  <c r="I56" i="13" a="1"/>
  <c r="I56" i="13" s="1"/>
  <c r="H56" i="13" a="1"/>
  <c r="H56" i="13" s="1"/>
  <c r="G56" i="13" a="1"/>
  <c r="G56" i="13" s="1"/>
  <c r="F56" i="13" a="1"/>
  <c r="F56" i="13" s="1"/>
  <c r="T55" i="13" a="1"/>
  <c r="T55" i="13" s="1"/>
  <c r="S55" i="13" a="1"/>
  <c r="S55" i="13" s="1"/>
  <c r="R55" i="13" a="1"/>
  <c r="R55" i="13" s="1"/>
  <c r="Q55" i="13" a="1"/>
  <c r="Q55" i="13" s="1"/>
  <c r="P55" i="13" a="1"/>
  <c r="P55" i="13" s="1"/>
  <c r="O55" i="13" a="1"/>
  <c r="O55" i="13" s="1"/>
  <c r="N55" i="13" a="1"/>
  <c r="N55" i="13" s="1"/>
  <c r="M55" i="13" a="1"/>
  <c r="M55" i="13" s="1"/>
  <c r="L55" i="13" a="1"/>
  <c r="L55" i="13" s="1"/>
  <c r="K55" i="13" a="1"/>
  <c r="K55" i="13" s="1"/>
  <c r="J55" i="13" a="1"/>
  <c r="J55" i="13" s="1"/>
  <c r="I55" i="13" a="1"/>
  <c r="I55" i="13" s="1"/>
  <c r="H55" i="13" a="1"/>
  <c r="H55" i="13" s="1"/>
  <c r="G55" i="13" a="1"/>
  <c r="G55" i="13" s="1"/>
  <c r="F55" i="13" a="1"/>
  <c r="F55" i="13" s="1"/>
  <c r="T54" i="13" a="1"/>
  <c r="T54" i="13" s="1"/>
  <c r="S54" i="13" a="1"/>
  <c r="S54" i="13" s="1"/>
  <c r="R54" i="13" a="1"/>
  <c r="R54" i="13" s="1"/>
  <c r="Q54" i="13" a="1"/>
  <c r="Q54" i="13" s="1"/>
  <c r="P54" i="13"/>
  <c r="P54" i="13" a="1"/>
  <c r="O54" i="13" a="1"/>
  <c r="O54" i="13" s="1"/>
  <c r="N54" i="13" a="1"/>
  <c r="N54" i="13" s="1"/>
  <c r="M54" i="13" a="1"/>
  <c r="M54" i="13" s="1"/>
  <c r="L54" i="13" a="1"/>
  <c r="L54" i="13" s="1"/>
  <c r="K54" i="13" a="1"/>
  <c r="K54" i="13" s="1"/>
  <c r="J54" i="13" a="1"/>
  <c r="J54" i="13" s="1"/>
  <c r="I54" i="13" a="1"/>
  <c r="I54" i="13" s="1"/>
  <c r="H54" i="13"/>
  <c r="H54" i="13" a="1"/>
  <c r="G54" i="13" a="1"/>
  <c r="G54" i="13" s="1"/>
  <c r="F54" i="13" a="1"/>
  <c r="F54" i="13" s="1"/>
  <c r="T53" i="13" a="1"/>
  <c r="T53" i="13" s="1"/>
  <c r="S53" i="13" a="1"/>
  <c r="S53" i="13" s="1"/>
  <c r="R53" i="13" a="1"/>
  <c r="R53" i="13" s="1"/>
  <c r="Q53" i="13" a="1"/>
  <c r="Q53" i="13" s="1"/>
  <c r="P53" i="13" a="1"/>
  <c r="P53" i="13" s="1"/>
  <c r="O53" i="13"/>
  <c r="O53" i="13" a="1"/>
  <c r="N53" i="13" a="1"/>
  <c r="N53" i="13" s="1"/>
  <c r="M53" i="13" a="1"/>
  <c r="M53" i="13" s="1"/>
  <c r="L53" i="13" a="1"/>
  <c r="L53" i="13" s="1"/>
  <c r="K53" i="13" a="1"/>
  <c r="K53" i="13" s="1"/>
  <c r="J53" i="13" a="1"/>
  <c r="J53" i="13" s="1"/>
  <c r="I53" i="13" a="1"/>
  <c r="I53" i="13" s="1"/>
  <c r="H53" i="13" a="1"/>
  <c r="H53" i="13" s="1"/>
  <c r="G53" i="13" a="1"/>
  <c r="G53" i="13" s="1"/>
  <c r="F53" i="13" a="1"/>
  <c r="F53" i="13" s="1"/>
  <c r="T52" i="13" a="1"/>
  <c r="T52" i="13" s="1"/>
  <c r="S52" i="13" a="1"/>
  <c r="S52" i="13" s="1"/>
  <c r="R52" i="13" a="1"/>
  <c r="R52" i="13" s="1"/>
  <c r="Q52" i="13" a="1"/>
  <c r="Q52" i="13" s="1"/>
  <c r="P52" i="13" a="1"/>
  <c r="P52" i="13" s="1"/>
  <c r="O52" i="13" a="1"/>
  <c r="O52" i="13" s="1"/>
  <c r="N52" i="13"/>
  <c r="N52" i="13" a="1"/>
  <c r="M52" i="13" a="1"/>
  <c r="M52" i="13" s="1"/>
  <c r="L52" i="13" a="1"/>
  <c r="L52" i="13" s="1"/>
  <c r="K52" i="13" a="1"/>
  <c r="K52" i="13" s="1"/>
  <c r="J52" i="13" a="1"/>
  <c r="J52" i="13" s="1"/>
  <c r="I52" i="13" a="1"/>
  <c r="I52" i="13" s="1"/>
  <c r="H52" i="13" a="1"/>
  <c r="H52" i="13" s="1"/>
  <c r="G52" i="13" a="1"/>
  <c r="G52" i="13" s="1"/>
  <c r="F52" i="13" a="1"/>
  <c r="F52" i="13" s="1"/>
  <c r="T51" i="13" a="1"/>
  <c r="T51" i="13" s="1"/>
  <c r="S51" i="13" a="1"/>
  <c r="S51" i="13" s="1"/>
  <c r="R51" i="13" a="1"/>
  <c r="R51" i="13" s="1"/>
  <c r="Q51" i="13" a="1"/>
  <c r="Q51" i="13" s="1"/>
  <c r="P51" i="13" a="1"/>
  <c r="P51" i="13" s="1"/>
  <c r="O51" i="13" a="1"/>
  <c r="O51" i="13" s="1"/>
  <c r="N51" i="13" a="1"/>
  <c r="N51" i="13" s="1"/>
  <c r="M51" i="13" a="1"/>
  <c r="M51" i="13" s="1"/>
  <c r="L51" i="13" a="1"/>
  <c r="L51" i="13" s="1"/>
  <c r="K51" i="13" a="1"/>
  <c r="K51" i="13" s="1"/>
  <c r="J51" i="13" a="1"/>
  <c r="J51" i="13" s="1"/>
  <c r="I51" i="13" a="1"/>
  <c r="I51" i="13" s="1"/>
  <c r="H51" i="13" a="1"/>
  <c r="H51" i="13" s="1"/>
  <c r="G51" i="13" a="1"/>
  <c r="G51" i="13" s="1"/>
  <c r="F51" i="13" a="1"/>
  <c r="F51" i="13" s="1"/>
  <c r="T50" i="13" a="1"/>
  <c r="T50" i="13" s="1"/>
  <c r="S50" i="13" a="1"/>
  <c r="S50" i="13" s="1"/>
  <c r="R50" i="13" a="1"/>
  <c r="R50" i="13" s="1"/>
  <c r="Q50" i="13" a="1"/>
  <c r="Q50" i="13" s="1"/>
  <c r="P50" i="13" a="1"/>
  <c r="P50" i="13" s="1"/>
  <c r="O50" i="13" a="1"/>
  <c r="O50" i="13" s="1"/>
  <c r="N50" i="13" a="1"/>
  <c r="N50" i="13" s="1"/>
  <c r="M50" i="13" a="1"/>
  <c r="M50" i="13" s="1"/>
  <c r="L50" i="13"/>
  <c r="L50" i="13" a="1"/>
  <c r="K50" i="13" a="1"/>
  <c r="K50" i="13" s="1"/>
  <c r="J50" i="13"/>
  <c r="J50" i="13" a="1"/>
  <c r="I50" i="13" a="1"/>
  <c r="I50" i="13" s="1"/>
  <c r="H50" i="13" a="1"/>
  <c r="H50" i="13" s="1"/>
  <c r="G50" i="13" a="1"/>
  <c r="G50" i="13" s="1"/>
  <c r="F50" i="13" a="1"/>
  <c r="F50" i="13" s="1"/>
  <c r="T49" i="13" a="1"/>
  <c r="T49" i="13" s="1"/>
  <c r="S49" i="13"/>
  <c r="S49" i="13" a="1"/>
  <c r="R49" i="13" a="1"/>
  <c r="R49" i="13" s="1"/>
  <c r="Q49" i="13" a="1"/>
  <c r="Q49" i="13" s="1"/>
  <c r="P49" i="13"/>
  <c r="P49" i="13" a="1"/>
  <c r="O49" i="13" a="1"/>
  <c r="O49" i="13" s="1"/>
  <c r="N49" i="13" a="1"/>
  <c r="N49" i="13" s="1"/>
  <c r="M49" i="13" a="1"/>
  <c r="M49" i="13" s="1"/>
  <c r="L49" i="13" a="1"/>
  <c r="L49" i="13" s="1"/>
  <c r="K49" i="13" a="1"/>
  <c r="K49" i="13" s="1"/>
  <c r="J49" i="13" a="1"/>
  <c r="J49" i="13" s="1"/>
  <c r="I49" i="13" a="1"/>
  <c r="I49" i="13" s="1"/>
  <c r="H49" i="13" a="1"/>
  <c r="H49" i="13" s="1"/>
  <c r="G49" i="13" a="1"/>
  <c r="G49" i="13" s="1"/>
  <c r="F49" i="13" a="1"/>
  <c r="F49" i="13" s="1"/>
  <c r="T48" i="13" a="1"/>
  <c r="T48" i="13" s="1"/>
  <c r="S48" i="13" a="1"/>
  <c r="S48" i="13" s="1"/>
  <c r="R48" i="13" a="1"/>
  <c r="R48" i="13" s="1"/>
  <c r="Q48" i="13" a="1"/>
  <c r="Q48" i="13" s="1"/>
  <c r="P48" i="13" a="1"/>
  <c r="P48" i="13" s="1"/>
  <c r="O48" i="13" a="1"/>
  <c r="O48" i="13" s="1"/>
  <c r="N48" i="13" a="1"/>
  <c r="N48" i="13" s="1"/>
  <c r="M48" i="13" a="1"/>
  <c r="M48" i="13" s="1"/>
  <c r="L48" i="13" a="1"/>
  <c r="L48" i="13" s="1"/>
  <c r="K48" i="13" a="1"/>
  <c r="K48" i="13" s="1"/>
  <c r="J48" i="13"/>
  <c r="J48" i="13" a="1"/>
  <c r="I48" i="13" a="1"/>
  <c r="I48" i="13" s="1"/>
  <c r="H48" i="13" a="1"/>
  <c r="H48" i="13" s="1"/>
  <c r="G48" i="13" a="1"/>
  <c r="G48" i="13" s="1"/>
  <c r="F48" i="13" a="1"/>
  <c r="F48" i="13" s="1"/>
  <c r="T47" i="13" a="1"/>
  <c r="T47" i="13" s="1"/>
  <c r="S47" i="13" a="1"/>
  <c r="S47" i="13" s="1"/>
  <c r="R47" i="13" a="1"/>
  <c r="R47" i="13" s="1"/>
  <c r="Q47" i="13"/>
  <c r="Q47" i="13" a="1"/>
  <c r="P47" i="13" a="1"/>
  <c r="P47" i="13" s="1"/>
  <c r="O47" i="13" a="1"/>
  <c r="O47" i="13" s="1"/>
  <c r="N47" i="13" a="1"/>
  <c r="N47" i="13" s="1"/>
  <c r="M47" i="13" a="1"/>
  <c r="M47" i="13" s="1"/>
  <c r="L47" i="13" a="1"/>
  <c r="L47" i="13" s="1"/>
  <c r="K47" i="13" a="1"/>
  <c r="K47" i="13" s="1"/>
  <c r="J47" i="13" a="1"/>
  <c r="J47" i="13" s="1"/>
  <c r="I47" i="13" a="1"/>
  <c r="I47" i="13" s="1"/>
  <c r="H47" i="13" a="1"/>
  <c r="H47" i="13" s="1"/>
  <c r="G47" i="13" a="1"/>
  <c r="G47" i="13" s="1"/>
  <c r="F47" i="13" a="1"/>
  <c r="F47" i="13" s="1"/>
  <c r="T46" i="13" a="1"/>
  <c r="T46" i="13" s="1"/>
  <c r="S46" i="13" a="1"/>
  <c r="S46" i="13" s="1"/>
  <c r="R46" i="13" a="1"/>
  <c r="R46" i="13" s="1"/>
  <c r="Q46" i="13" a="1"/>
  <c r="Q46" i="13" s="1"/>
  <c r="P46" i="13" a="1"/>
  <c r="P46" i="13" s="1"/>
  <c r="O46" i="13" a="1"/>
  <c r="O46" i="13" s="1"/>
  <c r="N46" i="13" a="1"/>
  <c r="N46" i="13" s="1"/>
  <c r="M46" i="13" a="1"/>
  <c r="M46" i="13" s="1"/>
  <c r="L46" i="13" a="1"/>
  <c r="L46" i="13" s="1"/>
  <c r="K46" i="13" a="1"/>
  <c r="K46" i="13" s="1"/>
  <c r="J46" i="13" a="1"/>
  <c r="J46" i="13" s="1"/>
  <c r="I46" i="13" a="1"/>
  <c r="I46" i="13" s="1"/>
  <c r="H46" i="13" a="1"/>
  <c r="H46" i="13" s="1"/>
  <c r="G46" i="13" a="1"/>
  <c r="G46" i="13" s="1"/>
  <c r="F46" i="13" a="1"/>
  <c r="F46" i="13" s="1"/>
  <c r="T45" i="13" a="1"/>
  <c r="T45" i="13" s="1"/>
  <c r="S45" i="13"/>
  <c r="S45" i="13" a="1"/>
  <c r="R45" i="13" a="1"/>
  <c r="R45" i="13" s="1"/>
  <c r="Q45" i="13"/>
  <c r="Q45" i="13" a="1"/>
  <c r="P45" i="13" a="1"/>
  <c r="P45" i="13" s="1"/>
  <c r="O45" i="13"/>
  <c r="O45" i="13" a="1"/>
  <c r="N45" i="13" a="1"/>
  <c r="N45" i="13" s="1"/>
  <c r="M45" i="13" a="1"/>
  <c r="M45" i="13" s="1"/>
  <c r="L45" i="13" a="1"/>
  <c r="L45" i="13" s="1"/>
  <c r="K45" i="13" a="1"/>
  <c r="K45" i="13" s="1"/>
  <c r="J45" i="13" a="1"/>
  <c r="J45" i="13" s="1"/>
  <c r="I45" i="13" a="1"/>
  <c r="I45" i="13" s="1"/>
  <c r="H45" i="13" a="1"/>
  <c r="H45" i="13" s="1"/>
  <c r="G45" i="13"/>
  <c r="G45" i="13" a="1"/>
  <c r="F45" i="13" a="1"/>
  <c r="F45" i="13" s="1"/>
  <c r="T44" i="13"/>
  <c r="T44" i="13" a="1"/>
  <c r="S44" i="13" a="1"/>
  <c r="S44" i="13" s="1"/>
  <c r="R44" i="13" a="1"/>
  <c r="R44" i="13" s="1"/>
  <c r="Q44" i="13" a="1"/>
  <c r="Q44" i="13" s="1"/>
  <c r="P44" i="13" a="1"/>
  <c r="P44" i="13" s="1"/>
  <c r="O44" i="13" a="1"/>
  <c r="O44" i="13" s="1"/>
  <c r="N44" i="13" a="1"/>
  <c r="N44" i="13" s="1"/>
  <c r="M44" i="13" a="1"/>
  <c r="M44" i="13" s="1"/>
  <c r="L44" i="13" a="1"/>
  <c r="L44" i="13" s="1"/>
  <c r="K44" i="13" a="1"/>
  <c r="K44" i="13" s="1"/>
  <c r="J44" i="13" a="1"/>
  <c r="J44" i="13" s="1"/>
  <c r="I44" i="13" a="1"/>
  <c r="I44" i="13" s="1"/>
  <c r="H44" i="13" a="1"/>
  <c r="H44" i="13" s="1"/>
  <c r="G44" i="13" a="1"/>
  <c r="G44" i="13" s="1"/>
  <c r="F44" i="13"/>
  <c r="F44" i="13" a="1"/>
  <c r="T43" i="13" a="1"/>
  <c r="T43" i="13" s="1"/>
  <c r="S43" i="13" a="1"/>
  <c r="S43" i="13" s="1"/>
  <c r="R43" i="13" a="1"/>
  <c r="R43" i="13" s="1"/>
  <c r="Q43" i="13"/>
  <c r="Q43" i="13" a="1"/>
  <c r="P43" i="13"/>
  <c r="P43" i="13" a="1"/>
  <c r="O43" i="13"/>
  <c r="O43" i="13" a="1"/>
  <c r="N43" i="13" a="1"/>
  <c r="N43" i="13" s="1"/>
  <c r="M43" i="13" a="1"/>
  <c r="M43" i="13" s="1"/>
  <c r="L43" i="13" a="1"/>
  <c r="L43" i="13" s="1"/>
  <c r="K43" i="13" a="1"/>
  <c r="K43" i="13" s="1"/>
  <c r="J43" i="13" a="1"/>
  <c r="J43" i="13" s="1"/>
  <c r="I43" i="13" a="1"/>
  <c r="I43" i="13" s="1"/>
  <c r="H43" i="13" a="1"/>
  <c r="H43" i="13" s="1"/>
  <c r="G43" i="13" a="1"/>
  <c r="G43" i="13" s="1"/>
  <c r="F43" i="13" a="1"/>
  <c r="F43" i="13" s="1"/>
  <c r="T42" i="13" a="1"/>
  <c r="T42" i="13" s="1"/>
  <c r="S42" i="13" a="1"/>
  <c r="S42" i="13" s="1"/>
  <c r="R42" i="13" a="1"/>
  <c r="R42" i="13" s="1"/>
  <c r="Q42" i="13" a="1"/>
  <c r="Q42" i="13" s="1"/>
  <c r="P42" i="13"/>
  <c r="P42" i="13" a="1"/>
  <c r="O42" i="13" a="1"/>
  <c r="O42" i="13" s="1"/>
  <c r="N42" i="13" a="1"/>
  <c r="N42" i="13" s="1"/>
  <c r="M42" i="13" a="1"/>
  <c r="M42" i="13" s="1"/>
  <c r="L42" i="13" a="1"/>
  <c r="L42" i="13" s="1"/>
  <c r="K42" i="13" a="1"/>
  <c r="K42" i="13" s="1"/>
  <c r="J42" i="13" a="1"/>
  <c r="J42" i="13" s="1"/>
  <c r="I42" i="13" a="1"/>
  <c r="I42" i="13" s="1"/>
  <c r="H42" i="13" a="1"/>
  <c r="H42" i="13" s="1"/>
  <c r="G42" i="13" a="1"/>
  <c r="G42" i="13" s="1"/>
  <c r="F42" i="13" a="1"/>
  <c r="F42" i="13" s="1"/>
  <c r="T41" i="13" a="1"/>
  <c r="T41" i="13" s="1"/>
  <c r="S41" i="13" a="1"/>
  <c r="S41" i="13" s="1"/>
  <c r="R41" i="13" a="1"/>
  <c r="R41" i="13" s="1"/>
  <c r="Q41" i="13" a="1"/>
  <c r="Q41" i="13" s="1"/>
  <c r="P41" i="13"/>
  <c r="P41" i="13" a="1"/>
  <c r="O41" i="13" a="1"/>
  <c r="O41" i="13" s="1"/>
  <c r="N41" i="13" a="1"/>
  <c r="N41" i="13" s="1"/>
  <c r="M41" i="13" a="1"/>
  <c r="M41" i="13" s="1"/>
  <c r="L41" i="13" a="1"/>
  <c r="L41" i="13" s="1"/>
  <c r="K41" i="13" a="1"/>
  <c r="K41" i="13" s="1"/>
  <c r="J41" i="13" a="1"/>
  <c r="J41" i="13" s="1"/>
  <c r="I41" i="13" a="1"/>
  <c r="I41" i="13" s="1"/>
  <c r="H41" i="13" a="1"/>
  <c r="H41" i="13" s="1"/>
  <c r="G41" i="13" a="1"/>
  <c r="G41" i="13" s="1"/>
  <c r="F41" i="13" a="1"/>
  <c r="F41" i="13" s="1"/>
  <c r="T40" i="13" a="1"/>
  <c r="T40" i="13" s="1"/>
  <c r="S40" i="13" a="1"/>
  <c r="S40" i="13" s="1"/>
  <c r="R40" i="13"/>
  <c r="R40" i="13" a="1"/>
  <c r="Q40" i="13" a="1"/>
  <c r="Q40" i="13" s="1"/>
  <c r="P40" i="13" a="1"/>
  <c r="P40" i="13" s="1"/>
  <c r="O40" i="13" a="1"/>
  <c r="O40" i="13" s="1"/>
  <c r="N40" i="13" a="1"/>
  <c r="N40" i="13" s="1"/>
  <c r="M40" i="13" a="1"/>
  <c r="M40" i="13" s="1"/>
  <c r="L40" i="13"/>
  <c r="L40" i="13" a="1"/>
  <c r="K40" i="13" a="1"/>
  <c r="K40" i="13" s="1"/>
  <c r="J40" i="13" a="1"/>
  <c r="J40" i="13" s="1"/>
  <c r="I40" i="13" a="1"/>
  <c r="I40" i="13" s="1"/>
  <c r="H40" i="13" a="1"/>
  <c r="H40" i="13" s="1"/>
  <c r="G40" i="13" a="1"/>
  <c r="G40" i="13" s="1"/>
  <c r="F40" i="13" a="1"/>
  <c r="F40" i="13" s="1"/>
  <c r="T39" i="13" a="1"/>
  <c r="T39" i="13" s="1"/>
  <c r="S39" i="13" a="1"/>
  <c r="S39" i="13" s="1"/>
  <c r="R39" i="13" a="1"/>
  <c r="R39" i="13" s="1"/>
  <c r="Q39" i="13" a="1"/>
  <c r="Q39" i="13" s="1"/>
  <c r="P39" i="13" a="1"/>
  <c r="P39" i="13" s="1"/>
  <c r="O39" i="13" a="1"/>
  <c r="O39" i="13" s="1"/>
  <c r="N39" i="13" a="1"/>
  <c r="N39" i="13" s="1"/>
  <c r="M39" i="13" a="1"/>
  <c r="M39" i="13" s="1"/>
  <c r="L39" i="13" a="1"/>
  <c r="L39" i="13" s="1"/>
  <c r="K39" i="13" a="1"/>
  <c r="K39" i="13" s="1"/>
  <c r="J39" i="13" a="1"/>
  <c r="J39" i="13" s="1"/>
  <c r="I39" i="13" a="1"/>
  <c r="I39" i="13" s="1"/>
  <c r="H39" i="13" a="1"/>
  <c r="H39" i="13" s="1"/>
  <c r="G39" i="13" a="1"/>
  <c r="G39" i="13" s="1"/>
  <c r="F39" i="13" a="1"/>
  <c r="F39" i="13" s="1"/>
  <c r="T38" i="13" a="1"/>
  <c r="T38" i="13" s="1"/>
  <c r="S38" i="13"/>
  <c r="S38" i="13" a="1"/>
  <c r="R38" i="13" a="1"/>
  <c r="R38" i="13" s="1"/>
  <c r="Q38" i="13" a="1"/>
  <c r="Q38" i="13" s="1"/>
  <c r="P38" i="13" a="1"/>
  <c r="P38" i="13" s="1"/>
  <c r="O38" i="13" a="1"/>
  <c r="O38" i="13" s="1"/>
  <c r="N38" i="13"/>
  <c r="N38" i="13" a="1"/>
  <c r="M38" i="13" a="1"/>
  <c r="M38" i="13" s="1"/>
  <c r="L38" i="13" a="1"/>
  <c r="L38" i="13" s="1"/>
  <c r="K38" i="13" a="1"/>
  <c r="K38" i="13" s="1"/>
  <c r="J38" i="13"/>
  <c r="J38" i="13" a="1"/>
  <c r="I38" i="13" a="1"/>
  <c r="I38" i="13" s="1"/>
  <c r="H38" i="13" a="1"/>
  <c r="H38" i="13" s="1"/>
  <c r="G38" i="13" a="1"/>
  <c r="G38" i="13" s="1"/>
  <c r="F38" i="13" a="1"/>
  <c r="F38" i="13" s="1"/>
  <c r="T37" i="13" a="1"/>
  <c r="T37" i="13" s="1"/>
  <c r="S37" i="13" a="1"/>
  <c r="S37" i="13" s="1"/>
  <c r="R37" i="13" a="1"/>
  <c r="R37" i="13" s="1"/>
  <c r="Q37" i="13" a="1"/>
  <c r="Q37" i="13" s="1"/>
  <c r="P37" i="13" a="1"/>
  <c r="P37" i="13" s="1"/>
  <c r="O37" i="13" a="1"/>
  <c r="O37" i="13" s="1"/>
  <c r="N37" i="13" a="1"/>
  <c r="N37" i="13" s="1"/>
  <c r="M37" i="13" a="1"/>
  <c r="M37" i="13" s="1"/>
  <c r="L37" i="13" a="1"/>
  <c r="L37" i="13" s="1"/>
  <c r="K37" i="13" a="1"/>
  <c r="K37" i="13" s="1"/>
  <c r="J37" i="13" a="1"/>
  <c r="J37" i="13" s="1"/>
  <c r="I37" i="13" a="1"/>
  <c r="I37" i="13" s="1"/>
  <c r="H37" i="13" a="1"/>
  <c r="H37" i="13" s="1"/>
  <c r="G37" i="13" a="1"/>
  <c r="G37" i="13" s="1"/>
  <c r="F37" i="13" a="1"/>
  <c r="F37" i="13" s="1"/>
  <c r="T36" i="13" a="1"/>
  <c r="T36" i="13" s="1"/>
  <c r="S36" i="13" a="1"/>
  <c r="S36" i="13" s="1"/>
  <c r="R36" i="13" a="1"/>
  <c r="R36" i="13" s="1"/>
  <c r="Q36" i="13" a="1"/>
  <c r="Q36" i="13" s="1"/>
  <c r="P36" i="13" a="1"/>
  <c r="P36" i="13" s="1"/>
  <c r="O36" i="13" a="1"/>
  <c r="O36" i="13" s="1"/>
  <c r="N36" i="13"/>
  <c r="N36" i="13" a="1"/>
  <c r="M36" i="13" a="1"/>
  <c r="M36" i="13" s="1"/>
  <c r="L36" i="13" a="1"/>
  <c r="L36" i="13" s="1"/>
  <c r="K36" i="13"/>
  <c r="K36" i="13" a="1"/>
  <c r="J36" i="13" a="1"/>
  <c r="J36" i="13" s="1"/>
  <c r="I36" i="13" a="1"/>
  <c r="I36" i="13" s="1"/>
  <c r="H36" i="13" a="1"/>
  <c r="H36" i="13" s="1"/>
  <c r="G36" i="13" a="1"/>
  <c r="G36" i="13" s="1"/>
  <c r="F36" i="13"/>
  <c r="F36" i="13" a="1"/>
  <c r="T35" i="13" a="1"/>
  <c r="T35" i="13" s="1"/>
  <c r="S35" i="13" a="1"/>
  <c r="S35" i="13" s="1"/>
  <c r="R35" i="13" a="1"/>
  <c r="R35" i="13" s="1"/>
  <c r="Q35" i="13" a="1"/>
  <c r="Q35" i="13" s="1"/>
  <c r="P35" i="13" a="1"/>
  <c r="P35" i="13" s="1"/>
  <c r="O35" i="13" a="1"/>
  <c r="O35" i="13" s="1"/>
  <c r="N35" i="13" a="1"/>
  <c r="N35" i="13" s="1"/>
  <c r="M35" i="13" a="1"/>
  <c r="M35" i="13" s="1"/>
  <c r="L35" i="13" a="1"/>
  <c r="L35" i="13" s="1"/>
  <c r="K35" i="13" a="1"/>
  <c r="K35" i="13" s="1"/>
  <c r="J35" i="13" a="1"/>
  <c r="J35" i="13" s="1"/>
  <c r="I35" i="13"/>
  <c r="I35" i="13" a="1"/>
  <c r="H35" i="13" a="1"/>
  <c r="H35" i="13" s="1"/>
  <c r="G35" i="13" a="1"/>
  <c r="G35" i="13" s="1"/>
  <c r="F35" i="13" a="1"/>
  <c r="F35" i="13" s="1"/>
  <c r="T34" i="13" a="1"/>
  <c r="T34" i="13" s="1"/>
  <c r="S34" i="13" a="1"/>
  <c r="S34" i="13" s="1"/>
  <c r="R34" i="13" a="1"/>
  <c r="R34" i="13" s="1"/>
  <c r="Q34" i="13" a="1"/>
  <c r="Q34" i="13" s="1"/>
  <c r="P34" i="13" a="1"/>
  <c r="P34" i="13" s="1"/>
  <c r="O34" i="13" a="1"/>
  <c r="O34" i="13" s="1"/>
  <c r="N34" i="13" a="1"/>
  <c r="N34" i="13" s="1"/>
  <c r="M34" i="13" a="1"/>
  <c r="M34" i="13" s="1"/>
  <c r="L34" i="13" a="1"/>
  <c r="L34" i="13" s="1"/>
  <c r="K34" i="13" a="1"/>
  <c r="K34" i="13" s="1"/>
  <c r="J34" i="13"/>
  <c r="J34" i="13" a="1"/>
  <c r="I34" i="13" a="1"/>
  <c r="I34" i="13" s="1"/>
  <c r="H34" i="13" a="1"/>
  <c r="H34" i="13" s="1"/>
  <c r="G34" i="13" a="1"/>
  <c r="G34" i="13" s="1"/>
  <c r="F34" i="13" a="1"/>
  <c r="F34" i="13" s="1"/>
  <c r="T33" i="13" a="1"/>
  <c r="T33" i="13" s="1"/>
  <c r="S33" i="13" a="1"/>
  <c r="S33" i="13" s="1"/>
  <c r="R33" i="13" a="1"/>
  <c r="R33" i="13" s="1"/>
  <c r="Q33" i="13" a="1"/>
  <c r="Q33" i="13" s="1"/>
  <c r="P33" i="13" a="1"/>
  <c r="P33" i="13" s="1"/>
  <c r="O33" i="13" a="1"/>
  <c r="O33" i="13" s="1"/>
  <c r="N33" i="13" a="1"/>
  <c r="N33" i="13" s="1"/>
  <c r="M33" i="13" a="1"/>
  <c r="M33" i="13" s="1"/>
  <c r="L33" i="13" a="1"/>
  <c r="L33" i="13" s="1"/>
  <c r="K33" i="13" a="1"/>
  <c r="K33" i="13" s="1"/>
  <c r="J33" i="13" a="1"/>
  <c r="J33" i="13" s="1"/>
  <c r="I33" i="13" a="1"/>
  <c r="I33" i="13" s="1"/>
  <c r="H33" i="13" a="1"/>
  <c r="H33" i="13" s="1"/>
  <c r="G33" i="13" a="1"/>
  <c r="G33" i="13" s="1"/>
  <c r="F33" i="13" a="1"/>
  <c r="F33" i="13" s="1"/>
  <c r="T32" i="13" a="1"/>
  <c r="T32" i="13" s="1"/>
  <c r="S32" i="13" a="1"/>
  <c r="S32" i="13" s="1"/>
  <c r="R32" i="13"/>
  <c r="R32" i="13" a="1"/>
  <c r="Q32" i="13" a="1"/>
  <c r="Q32" i="13" s="1"/>
  <c r="P32" i="13" a="1"/>
  <c r="P32" i="13" s="1"/>
  <c r="O32" i="13" a="1"/>
  <c r="O32" i="13" s="1"/>
  <c r="N32" i="13" a="1"/>
  <c r="N32" i="13" s="1"/>
  <c r="M32" i="13" a="1"/>
  <c r="M32" i="13" s="1"/>
  <c r="L32" i="13" a="1"/>
  <c r="L32" i="13" s="1"/>
  <c r="K32" i="13" a="1"/>
  <c r="K32" i="13" s="1"/>
  <c r="J32" i="13" a="1"/>
  <c r="J32" i="13" s="1"/>
  <c r="I32" i="13" a="1"/>
  <c r="I32" i="13" s="1"/>
  <c r="H32" i="13"/>
  <c r="H32" i="13" a="1"/>
  <c r="G32" i="13" a="1"/>
  <c r="G32" i="13" s="1"/>
  <c r="F32" i="13" a="1"/>
  <c r="F32" i="13" s="1"/>
  <c r="T31" i="13" a="1"/>
  <c r="T31" i="13" s="1"/>
  <c r="S31" i="13"/>
  <c r="S31" i="13" a="1"/>
  <c r="R31" i="13" a="1"/>
  <c r="R31" i="13" s="1"/>
  <c r="Q31" i="13" a="1"/>
  <c r="Q31" i="13" s="1"/>
  <c r="P31" i="13" a="1"/>
  <c r="P31" i="13" s="1"/>
  <c r="O31" i="13" a="1"/>
  <c r="O31" i="13" s="1"/>
  <c r="N31" i="13" a="1"/>
  <c r="N31" i="13" s="1"/>
  <c r="M31" i="13" a="1"/>
  <c r="M31" i="13" s="1"/>
  <c r="L31" i="13" a="1"/>
  <c r="L31" i="13" s="1"/>
  <c r="K31" i="13"/>
  <c r="K31" i="13" a="1"/>
  <c r="J31" i="13" a="1"/>
  <c r="J31" i="13" s="1"/>
  <c r="I31" i="13"/>
  <c r="I31" i="13" a="1"/>
  <c r="H31" i="13" a="1"/>
  <c r="H31" i="13" s="1"/>
  <c r="G31" i="13"/>
  <c r="G31" i="13" a="1"/>
  <c r="F31" i="13" a="1"/>
  <c r="F31" i="13" s="1"/>
  <c r="T30" i="13" a="1"/>
  <c r="T30" i="13" s="1"/>
  <c r="S30" i="13" a="1"/>
  <c r="S30" i="13" s="1"/>
  <c r="R30" i="13" a="1"/>
  <c r="R30" i="13" s="1"/>
  <c r="Q30" i="13" a="1"/>
  <c r="Q30" i="13" s="1"/>
  <c r="P30" i="13"/>
  <c r="P30" i="13" a="1"/>
  <c r="O30" i="13" a="1"/>
  <c r="O30" i="13" s="1"/>
  <c r="N30" i="13" a="1"/>
  <c r="N30" i="13" s="1"/>
  <c r="M30" i="13" a="1"/>
  <c r="M30" i="13" s="1"/>
  <c r="L30" i="13" a="1"/>
  <c r="L30" i="13" s="1"/>
  <c r="K30" i="13"/>
  <c r="K30" i="13" a="1"/>
  <c r="J30" i="13"/>
  <c r="J30" i="13" a="1"/>
  <c r="I30" i="13" a="1"/>
  <c r="I30" i="13" s="1"/>
  <c r="H30" i="13" a="1"/>
  <c r="H30" i="13" s="1"/>
  <c r="G30" i="13" a="1"/>
  <c r="G30" i="13" s="1"/>
  <c r="F30" i="13" a="1"/>
  <c r="F30" i="13" s="1"/>
  <c r="T29" i="13" a="1"/>
  <c r="T29" i="13" s="1"/>
  <c r="S29" i="13" a="1"/>
  <c r="S29" i="13" s="1"/>
  <c r="R29" i="13" a="1"/>
  <c r="R29" i="13" s="1"/>
  <c r="Q29" i="13" a="1"/>
  <c r="Q29" i="13" s="1"/>
  <c r="P29" i="13" a="1"/>
  <c r="P29" i="13" s="1"/>
  <c r="O29" i="13" a="1"/>
  <c r="O29" i="13" s="1"/>
  <c r="N29" i="13" a="1"/>
  <c r="N29" i="13" s="1"/>
  <c r="M29" i="13" a="1"/>
  <c r="M29" i="13" s="1"/>
  <c r="L29" i="13" a="1"/>
  <c r="L29" i="13" s="1"/>
  <c r="K29" i="13" a="1"/>
  <c r="K29" i="13" s="1"/>
  <c r="J29" i="13" a="1"/>
  <c r="J29" i="13" s="1"/>
  <c r="I29" i="13" a="1"/>
  <c r="I29" i="13" s="1"/>
  <c r="H29" i="13" a="1"/>
  <c r="H29" i="13" s="1"/>
  <c r="G29" i="13" a="1"/>
  <c r="G29" i="13" s="1"/>
  <c r="F29" i="13" a="1"/>
  <c r="F29" i="13" s="1"/>
  <c r="T28" i="13" a="1"/>
  <c r="T28" i="13" s="1"/>
  <c r="S28" i="13"/>
  <c r="S28" i="13" a="1"/>
  <c r="R28" i="13"/>
  <c r="R28" i="13" a="1"/>
  <c r="Q28" i="13" a="1"/>
  <c r="Q28" i="13" s="1"/>
  <c r="P28" i="13" a="1"/>
  <c r="P28" i="13" s="1"/>
  <c r="O28" i="13" a="1"/>
  <c r="O28" i="13" s="1"/>
  <c r="N28" i="13" a="1"/>
  <c r="N28" i="13" s="1"/>
  <c r="M28" i="13" a="1"/>
  <c r="M28" i="13" s="1"/>
  <c r="L28" i="13" a="1"/>
  <c r="L28" i="13" s="1"/>
  <c r="K28" i="13" a="1"/>
  <c r="K28" i="13" s="1"/>
  <c r="J28" i="13" a="1"/>
  <c r="J28" i="13" s="1"/>
  <c r="I28" i="13" a="1"/>
  <c r="I28" i="13" s="1"/>
  <c r="H28" i="13" a="1"/>
  <c r="H28" i="13" s="1"/>
  <c r="G28" i="13" a="1"/>
  <c r="G28" i="13" s="1"/>
  <c r="F28" i="13"/>
  <c r="F28" i="13" a="1"/>
  <c r="T27" i="13" a="1"/>
  <c r="T27" i="13" s="1"/>
  <c r="S27" i="13" a="1"/>
  <c r="S27" i="13" s="1"/>
  <c r="R27" i="13" a="1"/>
  <c r="R27" i="13" s="1"/>
  <c r="Q27" i="13" a="1"/>
  <c r="Q27" i="13" s="1"/>
  <c r="P27" i="13"/>
  <c r="P27" i="13" a="1"/>
  <c r="O27" i="13"/>
  <c r="O27" i="13" a="1"/>
  <c r="N27" i="13" a="1"/>
  <c r="N27" i="13" s="1"/>
  <c r="M27" i="13" a="1"/>
  <c r="M27" i="13" s="1"/>
  <c r="L27" i="13" a="1"/>
  <c r="L27" i="13" s="1"/>
  <c r="K27" i="13" a="1"/>
  <c r="K27" i="13" s="1"/>
  <c r="J27" i="13"/>
  <c r="J27" i="13" a="1"/>
  <c r="I27" i="13" a="1"/>
  <c r="I27" i="13" s="1"/>
  <c r="H27" i="13" a="1"/>
  <c r="H27" i="13" s="1"/>
  <c r="G27" i="13" a="1"/>
  <c r="G27" i="13" s="1"/>
  <c r="F27" i="13" a="1"/>
  <c r="F27" i="13" s="1"/>
  <c r="T26" i="13" a="1"/>
  <c r="T26" i="13" s="1"/>
  <c r="S26" i="13" a="1"/>
  <c r="S26" i="13" s="1"/>
  <c r="R26" i="13" a="1"/>
  <c r="R26" i="13" s="1"/>
  <c r="Q26" i="13" a="1"/>
  <c r="Q26" i="13" s="1"/>
  <c r="P26" i="13" a="1"/>
  <c r="P26" i="13" s="1"/>
  <c r="O26" i="13" a="1"/>
  <c r="O26" i="13" s="1"/>
  <c r="N26" i="13"/>
  <c r="N26" i="13" a="1"/>
  <c r="M26" i="13" a="1"/>
  <c r="M26" i="13" s="1"/>
  <c r="L26" i="13"/>
  <c r="L26" i="13" a="1"/>
  <c r="K26" i="13" a="1"/>
  <c r="K26" i="13" s="1"/>
  <c r="J26" i="13" a="1"/>
  <c r="J26" i="13" s="1"/>
  <c r="I26" i="13" a="1"/>
  <c r="I26" i="13" s="1"/>
  <c r="H26" i="13" a="1"/>
  <c r="H26" i="13" s="1"/>
  <c r="G26" i="13" a="1"/>
  <c r="G26" i="13" s="1"/>
  <c r="F26" i="13" a="1"/>
  <c r="F26" i="13" s="1"/>
  <c r="T25" i="13" a="1"/>
  <c r="T25" i="13" s="1"/>
  <c r="S25" i="13" a="1"/>
  <c r="S25" i="13" s="1"/>
  <c r="R25" i="13" a="1"/>
  <c r="R25" i="13" s="1"/>
  <c r="Q25" i="13" a="1"/>
  <c r="Q25" i="13" s="1"/>
  <c r="P25" i="13" a="1"/>
  <c r="P25" i="13" s="1"/>
  <c r="O25" i="13" a="1"/>
  <c r="O25" i="13" s="1"/>
  <c r="N25" i="13" a="1"/>
  <c r="N25" i="13" s="1"/>
  <c r="M25" i="13"/>
  <c r="M25" i="13" a="1"/>
  <c r="L25" i="13" a="1"/>
  <c r="L25" i="13" s="1"/>
  <c r="K25" i="13" a="1"/>
  <c r="K25" i="13" s="1"/>
  <c r="J25" i="13" a="1"/>
  <c r="J25" i="13" s="1"/>
  <c r="I25" i="13" a="1"/>
  <c r="I25" i="13" s="1"/>
  <c r="H25" i="13" a="1"/>
  <c r="H25" i="13" s="1"/>
  <c r="G25" i="13" a="1"/>
  <c r="G25" i="13" s="1"/>
  <c r="F25" i="13"/>
  <c r="F25" i="13" a="1"/>
  <c r="T24" i="13" a="1"/>
  <c r="T24" i="13" s="1"/>
  <c r="S24" i="13" a="1"/>
  <c r="S24" i="13" s="1"/>
  <c r="R24" i="13" a="1"/>
  <c r="R24" i="13" s="1"/>
  <c r="Q24" i="13" a="1"/>
  <c r="Q24" i="13" s="1"/>
  <c r="P24" i="13"/>
  <c r="P24" i="13" a="1"/>
  <c r="O24" i="13" a="1"/>
  <c r="O24" i="13" s="1"/>
  <c r="N24" i="13" a="1"/>
  <c r="N24" i="13" s="1"/>
  <c r="M24" i="13" a="1"/>
  <c r="M24" i="13" s="1"/>
  <c r="L24" i="13" a="1"/>
  <c r="L24" i="13" s="1"/>
  <c r="K24" i="13" a="1"/>
  <c r="K24" i="13" s="1"/>
  <c r="J24" i="13" a="1"/>
  <c r="J24" i="13" s="1"/>
  <c r="I24" i="13" a="1"/>
  <c r="I24" i="13" s="1"/>
  <c r="H24" i="13" a="1"/>
  <c r="H24" i="13" s="1"/>
  <c r="G24" i="13" a="1"/>
  <c r="G24" i="13" s="1"/>
  <c r="F24" i="13" a="1"/>
  <c r="F24" i="13" s="1"/>
  <c r="T23" i="13" a="1"/>
  <c r="T23" i="13" s="1"/>
  <c r="S23" i="13" a="1"/>
  <c r="S23" i="13" s="1"/>
  <c r="R23" i="13" a="1"/>
  <c r="R23" i="13" s="1"/>
  <c r="Q23" i="13"/>
  <c r="Q23" i="13" a="1"/>
  <c r="P23" i="13" a="1"/>
  <c r="P23" i="13" s="1"/>
  <c r="O23" i="13" a="1"/>
  <c r="O23" i="13" s="1"/>
  <c r="N23" i="13"/>
  <c r="N23" i="13" a="1"/>
  <c r="M23" i="13"/>
  <c r="M23" i="13" a="1"/>
  <c r="L23" i="13"/>
  <c r="L23" i="13" a="1"/>
  <c r="K23" i="13" a="1"/>
  <c r="K23" i="13" s="1"/>
  <c r="J23" i="13" a="1"/>
  <c r="J23" i="13" s="1"/>
  <c r="I23" i="13" a="1"/>
  <c r="I23" i="13" s="1"/>
  <c r="H23" i="13" a="1"/>
  <c r="H23" i="13" s="1"/>
  <c r="G23" i="13" a="1"/>
  <c r="G23" i="13" s="1"/>
  <c r="F23" i="13"/>
  <c r="F23" i="13" a="1"/>
  <c r="T22" i="13" a="1"/>
  <c r="T22" i="13" s="1"/>
  <c r="S22" i="13" a="1"/>
  <c r="S22" i="13" s="1"/>
  <c r="R22" i="13" a="1"/>
  <c r="R22" i="13" s="1"/>
  <c r="Q22" i="13" a="1"/>
  <c r="Q22" i="13" s="1"/>
  <c r="P22" i="13" a="1"/>
  <c r="P22" i="13" s="1"/>
  <c r="O22" i="13" a="1"/>
  <c r="O22" i="13" s="1"/>
  <c r="N22" i="13" a="1"/>
  <c r="N22" i="13" s="1"/>
  <c r="M22" i="13" a="1"/>
  <c r="M22" i="13" s="1"/>
  <c r="L22" i="13" a="1"/>
  <c r="L22" i="13" s="1"/>
  <c r="K22" i="13" a="1"/>
  <c r="K22" i="13" s="1"/>
  <c r="J22" i="13" a="1"/>
  <c r="J22" i="13" s="1"/>
  <c r="I22" i="13" a="1"/>
  <c r="I22" i="13" s="1"/>
  <c r="H22" i="13" a="1"/>
  <c r="H22" i="13" s="1"/>
  <c r="G22" i="13" a="1"/>
  <c r="G22" i="13" s="1"/>
  <c r="F22" i="13" a="1"/>
  <c r="F22" i="13" s="1"/>
  <c r="T21" i="13" a="1"/>
  <c r="T21" i="13" s="1"/>
  <c r="S21" i="13" a="1"/>
  <c r="S21" i="13" s="1"/>
  <c r="R21" i="13"/>
  <c r="R21" i="13" a="1"/>
  <c r="Q21" i="13" a="1"/>
  <c r="Q21" i="13" s="1"/>
  <c r="P21" i="13" a="1"/>
  <c r="P21" i="13" s="1"/>
  <c r="O21" i="13" a="1"/>
  <c r="O21" i="13" s="1"/>
  <c r="N21" i="13" a="1"/>
  <c r="N21" i="13" s="1"/>
  <c r="M21" i="13"/>
  <c r="M21" i="13" a="1"/>
  <c r="L21" i="13" a="1"/>
  <c r="L21" i="13" s="1"/>
  <c r="K21" i="13" a="1"/>
  <c r="K21" i="13" s="1"/>
  <c r="J21" i="13" a="1"/>
  <c r="J21" i="13" s="1"/>
  <c r="I21" i="13" a="1"/>
  <c r="I21" i="13" s="1"/>
  <c r="H21" i="13" a="1"/>
  <c r="H21" i="13" s="1"/>
  <c r="G21" i="13" a="1"/>
  <c r="G21" i="13" s="1"/>
  <c r="F21" i="13" a="1"/>
  <c r="F21" i="13" s="1"/>
  <c r="T20" i="13" a="1"/>
  <c r="T20" i="13" s="1"/>
  <c r="S20" i="13" a="1"/>
  <c r="S20" i="13" s="1"/>
  <c r="R20" i="13" a="1"/>
  <c r="R20" i="13" s="1"/>
  <c r="Q20" i="13" a="1"/>
  <c r="Q20" i="13" s="1"/>
  <c r="P20" i="13" a="1"/>
  <c r="P20" i="13" s="1"/>
  <c r="O20" i="13" a="1"/>
  <c r="O20" i="13" s="1"/>
  <c r="N20" i="13" a="1"/>
  <c r="N20" i="13" s="1"/>
  <c r="M20" i="13" a="1"/>
  <c r="M20" i="13" s="1"/>
  <c r="L20" i="13" a="1"/>
  <c r="L20" i="13" s="1"/>
  <c r="K20" i="13"/>
  <c r="K20" i="13" a="1"/>
  <c r="J20" i="13" a="1"/>
  <c r="J20" i="13" s="1"/>
  <c r="I20" i="13" a="1"/>
  <c r="I20" i="13" s="1"/>
  <c r="H20" i="13" a="1"/>
  <c r="H20" i="13" s="1"/>
  <c r="G20" i="13" a="1"/>
  <c r="G20" i="13" s="1"/>
  <c r="F20" i="13"/>
  <c r="F20" i="13" a="1"/>
  <c r="T19" i="13" a="1"/>
  <c r="T19" i="13" s="1"/>
  <c r="S19" i="13" a="1"/>
  <c r="S19" i="13" s="1"/>
  <c r="R19" i="13" a="1"/>
  <c r="R19" i="13" s="1"/>
  <c r="Q19" i="13"/>
  <c r="Q19" i="13" a="1"/>
  <c r="P19" i="13"/>
  <c r="P19" i="13" a="1"/>
  <c r="O19" i="13" a="1"/>
  <c r="O19" i="13" s="1"/>
  <c r="N19" i="13" a="1"/>
  <c r="N19" i="13" s="1"/>
  <c r="M19" i="13" a="1"/>
  <c r="M19" i="13" s="1"/>
  <c r="L19" i="13" a="1"/>
  <c r="L19" i="13" s="1"/>
  <c r="K19" i="13" a="1"/>
  <c r="K19" i="13" s="1"/>
  <c r="J19" i="13" a="1"/>
  <c r="J19" i="13" s="1"/>
  <c r="I19" i="13" a="1"/>
  <c r="I19" i="13" s="1"/>
  <c r="H19" i="13"/>
  <c r="H19" i="13" a="1"/>
  <c r="G19" i="13"/>
  <c r="G19" i="13" a="1"/>
  <c r="F19" i="13" a="1"/>
  <c r="F19" i="13" s="1"/>
  <c r="T18" i="13" a="1"/>
  <c r="T18" i="13" s="1"/>
  <c r="S18" i="13" a="1"/>
  <c r="S18" i="13" s="1"/>
  <c r="R18" i="13" a="1"/>
  <c r="R18" i="13" s="1"/>
  <c r="Q18" i="13" a="1"/>
  <c r="Q18" i="13" s="1"/>
  <c r="P18" i="13" a="1"/>
  <c r="P18" i="13" s="1"/>
  <c r="O18" i="13" a="1"/>
  <c r="O18" i="13" s="1"/>
  <c r="N18" i="13"/>
  <c r="N18" i="13" a="1"/>
  <c r="M18" i="13" a="1"/>
  <c r="M18" i="13" s="1"/>
  <c r="L18" i="13" a="1"/>
  <c r="L18" i="13" s="1"/>
  <c r="K18" i="13" a="1"/>
  <c r="K18" i="13" s="1"/>
  <c r="J18" i="13" a="1"/>
  <c r="J18" i="13" s="1"/>
  <c r="I18" i="13" a="1"/>
  <c r="I18" i="13" s="1"/>
  <c r="H18" i="13" a="1"/>
  <c r="H18" i="13" s="1"/>
  <c r="G18" i="13" a="1"/>
  <c r="G18" i="13" s="1"/>
  <c r="F18" i="13" a="1"/>
  <c r="F18" i="13" s="1"/>
  <c r="T17" i="13" a="1"/>
  <c r="T17" i="13" s="1"/>
  <c r="S17" i="13" a="1"/>
  <c r="S17" i="13" s="1"/>
  <c r="R17" i="13" a="1"/>
  <c r="R17" i="13" s="1"/>
  <c r="Q17" i="13" a="1"/>
  <c r="Q17" i="13" s="1"/>
  <c r="P17" i="13" a="1"/>
  <c r="P17" i="13" s="1"/>
  <c r="O17" i="13" a="1"/>
  <c r="O17" i="13" s="1"/>
  <c r="N17" i="13" a="1"/>
  <c r="N17" i="13" s="1"/>
  <c r="M17" i="13" a="1"/>
  <c r="M17" i="13" s="1"/>
  <c r="L17" i="13" a="1"/>
  <c r="L17" i="13" s="1"/>
  <c r="K17" i="13"/>
  <c r="K17" i="13" a="1"/>
  <c r="J17" i="13" a="1"/>
  <c r="J17" i="13" s="1"/>
  <c r="I17" i="13"/>
  <c r="I17" i="13" a="1"/>
  <c r="H17" i="13" a="1"/>
  <c r="H17" i="13" s="1"/>
  <c r="G17" i="13" a="1"/>
  <c r="G17" i="13" s="1"/>
  <c r="F17" i="13" a="1"/>
  <c r="F17" i="13" s="1"/>
  <c r="T16" i="13" a="1"/>
  <c r="T16" i="13" s="1"/>
  <c r="S16" i="13" a="1"/>
  <c r="S16" i="13" s="1"/>
  <c r="R16" i="13"/>
  <c r="R16" i="13" a="1"/>
  <c r="Q16" i="13" a="1"/>
  <c r="Q16" i="13" s="1"/>
  <c r="P16" i="13" a="1"/>
  <c r="P16" i="13" s="1"/>
  <c r="O16" i="13" a="1"/>
  <c r="O16" i="13" s="1"/>
  <c r="N16" i="13"/>
  <c r="N16" i="13" a="1"/>
  <c r="M16" i="13" a="1"/>
  <c r="M16" i="13" s="1"/>
  <c r="L16" i="13" a="1"/>
  <c r="L16" i="13" s="1"/>
  <c r="K16" i="13" a="1"/>
  <c r="K16" i="13" s="1"/>
  <c r="J16" i="13" a="1"/>
  <c r="J16" i="13" s="1"/>
  <c r="I16" i="13" a="1"/>
  <c r="I16" i="13" s="1"/>
  <c r="H16" i="13" a="1"/>
  <c r="H16" i="13" s="1"/>
  <c r="G16" i="13" a="1"/>
  <c r="G16" i="13" s="1"/>
  <c r="F16" i="13" a="1"/>
  <c r="F16" i="13" s="1"/>
  <c r="T15" i="13" a="1"/>
  <c r="T15" i="13" s="1"/>
  <c r="S15" i="13" a="1"/>
  <c r="S15" i="13" s="1"/>
  <c r="R15" i="13" a="1"/>
  <c r="R15" i="13" s="1"/>
  <c r="Q15" i="13" a="1"/>
  <c r="Q15" i="13" s="1"/>
  <c r="P15" i="13" a="1"/>
  <c r="P15" i="13" s="1"/>
  <c r="O15" i="13" a="1"/>
  <c r="O15" i="13" s="1"/>
  <c r="N15" i="13"/>
  <c r="N15" i="13" a="1"/>
  <c r="M15" i="13" a="1"/>
  <c r="M15" i="13" s="1"/>
  <c r="L15" i="13" a="1"/>
  <c r="L15" i="13" s="1"/>
  <c r="K15" i="13" a="1"/>
  <c r="K15" i="13" s="1"/>
  <c r="J15" i="13" a="1"/>
  <c r="J15" i="13" s="1"/>
  <c r="I15" i="13"/>
  <c r="I15" i="13" a="1"/>
  <c r="H15" i="13" a="1"/>
  <c r="H15" i="13" s="1"/>
  <c r="G15" i="13" a="1"/>
  <c r="G15" i="13" s="1"/>
  <c r="F15" i="13" a="1"/>
  <c r="F15" i="13" s="1"/>
  <c r="T14" i="13" a="1"/>
  <c r="T14" i="13" s="1"/>
  <c r="S14" i="13" a="1"/>
  <c r="S14" i="13" s="1"/>
  <c r="R14" i="13" a="1"/>
  <c r="R14" i="13" s="1"/>
  <c r="Q14" i="13" a="1"/>
  <c r="Q14" i="13" s="1"/>
  <c r="P14" i="13" a="1"/>
  <c r="P14" i="13" s="1"/>
  <c r="O14" i="13" a="1"/>
  <c r="O14" i="13" s="1"/>
  <c r="N14" i="13" a="1"/>
  <c r="N14" i="13" s="1"/>
  <c r="M14" i="13" a="1"/>
  <c r="M14" i="13" s="1"/>
  <c r="L14" i="13" a="1"/>
  <c r="L14" i="13" s="1"/>
  <c r="K14" i="13" a="1"/>
  <c r="K14" i="13" s="1"/>
  <c r="J14" i="13" a="1"/>
  <c r="J14" i="13" s="1"/>
  <c r="I14" i="13" a="1"/>
  <c r="I14" i="13" s="1"/>
  <c r="H14" i="13" a="1"/>
  <c r="H14" i="13" s="1"/>
  <c r="G14" i="13" a="1"/>
  <c r="G14" i="13" s="1"/>
  <c r="F14" i="13"/>
  <c r="F14" i="13" a="1"/>
  <c r="T13" i="13" a="1"/>
  <c r="T13" i="13" s="1"/>
  <c r="S13" i="13" a="1"/>
  <c r="S13" i="13" s="1"/>
  <c r="R13" i="13" a="1"/>
  <c r="R13" i="13" s="1"/>
  <c r="Q13" i="13" a="1"/>
  <c r="Q13" i="13" s="1"/>
  <c r="P13" i="13" a="1"/>
  <c r="P13" i="13" s="1"/>
  <c r="O13" i="13" a="1"/>
  <c r="O13" i="13" s="1"/>
  <c r="N13" i="13" a="1"/>
  <c r="N13" i="13" s="1"/>
  <c r="M13" i="13" a="1"/>
  <c r="M13" i="13" s="1"/>
  <c r="L13" i="13"/>
  <c r="L13" i="13" a="1"/>
  <c r="K13" i="13" a="1"/>
  <c r="K13" i="13" s="1"/>
  <c r="J13" i="13" a="1"/>
  <c r="J13" i="13" s="1"/>
  <c r="I13" i="13" a="1"/>
  <c r="I13" i="13" s="1"/>
  <c r="H13" i="13" a="1"/>
  <c r="H13" i="13" s="1"/>
  <c r="G13" i="13" a="1"/>
  <c r="G13" i="13" s="1"/>
  <c r="F13" i="13" a="1"/>
  <c r="F13" i="13" s="1"/>
  <c r="T12" i="13" a="1"/>
  <c r="T12" i="13" s="1"/>
  <c r="S12" i="13" a="1"/>
  <c r="S12" i="13" s="1"/>
  <c r="R12" i="13" a="1"/>
  <c r="R12" i="13" s="1"/>
  <c r="Q12" i="13" a="1"/>
  <c r="Q12" i="13" s="1"/>
  <c r="P12" i="13" a="1"/>
  <c r="P12" i="13" s="1"/>
  <c r="O12" i="13" a="1"/>
  <c r="O12" i="13" s="1"/>
  <c r="N12" i="13" a="1"/>
  <c r="N12" i="13" s="1"/>
  <c r="M12" i="13" a="1"/>
  <c r="M12" i="13" s="1"/>
  <c r="L12" i="13" a="1"/>
  <c r="L12" i="13" s="1"/>
  <c r="K12" i="13" a="1"/>
  <c r="K12" i="13" s="1"/>
  <c r="J12" i="13" a="1"/>
  <c r="J12" i="13" s="1"/>
  <c r="I12" i="13" a="1"/>
  <c r="I12" i="13" s="1"/>
  <c r="H12" i="13" a="1"/>
  <c r="H12" i="13" s="1"/>
  <c r="G12" i="13" a="1"/>
  <c r="G12" i="13" s="1"/>
  <c r="F12" i="13" a="1"/>
  <c r="F12" i="13" s="1"/>
  <c r="T11" i="13" a="1"/>
  <c r="T11" i="13" s="1"/>
  <c r="S11" i="13" a="1"/>
  <c r="S11" i="13" s="1"/>
  <c r="R11" i="13" a="1"/>
  <c r="R11" i="13" s="1"/>
  <c r="Q11" i="13" a="1"/>
  <c r="Q11" i="13" s="1"/>
  <c r="P11" i="13" a="1"/>
  <c r="P11" i="13" s="1"/>
  <c r="O11" i="13"/>
  <c r="O11" i="13" a="1"/>
  <c r="N11" i="13" a="1"/>
  <c r="N11" i="13" s="1"/>
  <c r="M11" i="13" a="1"/>
  <c r="M11" i="13" s="1"/>
  <c r="L11" i="13" a="1"/>
  <c r="L11" i="13" s="1"/>
  <c r="K11" i="13" a="1"/>
  <c r="K11" i="13" s="1"/>
  <c r="J11" i="13" a="1"/>
  <c r="J11" i="13" s="1"/>
  <c r="I11" i="13" a="1"/>
  <c r="I11" i="13" s="1"/>
  <c r="H11" i="13" a="1"/>
  <c r="H11" i="13" s="1"/>
  <c r="G11" i="13" a="1"/>
  <c r="G11" i="13" s="1"/>
  <c r="F11" i="13" a="1"/>
  <c r="F11" i="13" s="1"/>
  <c r="T10" i="13"/>
  <c r="T10" i="13" a="1"/>
  <c r="S10" i="13" a="1"/>
  <c r="S10" i="13" s="1"/>
  <c r="R10" i="13" a="1"/>
  <c r="R10" i="13" s="1"/>
  <c r="Q10" i="13" a="1"/>
  <c r="Q10" i="13" s="1"/>
  <c r="P10" i="13"/>
  <c r="P10" i="13" a="1"/>
  <c r="O10" i="13" a="1"/>
  <c r="O10" i="13" s="1"/>
  <c r="N10" i="13" a="1"/>
  <c r="N10" i="13" s="1"/>
  <c r="M10" i="13" a="1"/>
  <c r="M10" i="13" s="1"/>
  <c r="L10" i="13" a="1"/>
  <c r="L10" i="13" s="1"/>
  <c r="K10" i="13" a="1"/>
  <c r="K10" i="13" s="1"/>
  <c r="J10" i="13" a="1"/>
  <c r="J10" i="13" s="1"/>
  <c r="I10" i="13" a="1"/>
  <c r="I10" i="13" s="1"/>
  <c r="H10" i="13" a="1"/>
  <c r="H10" i="13" s="1"/>
  <c r="G10" i="13" a="1"/>
  <c r="G10" i="13" s="1"/>
  <c r="F10" i="13" a="1"/>
  <c r="F10" i="13" s="1"/>
  <c r="T9" i="13" a="1"/>
  <c r="T9" i="13" s="1"/>
  <c r="S9" i="13" a="1"/>
  <c r="S9" i="13" s="1"/>
  <c r="R9" i="13" a="1"/>
  <c r="R9" i="13" s="1"/>
  <c r="Q9" i="13" a="1"/>
  <c r="Q9" i="13" s="1"/>
  <c r="P9" i="13" a="1"/>
  <c r="P9" i="13" s="1"/>
  <c r="O9" i="13" a="1"/>
  <c r="O9" i="13" s="1"/>
  <c r="N9" i="13"/>
  <c r="N9" i="13" a="1"/>
  <c r="M9" i="13" a="1"/>
  <c r="M9" i="13" s="1"/>
  <c r="L9" i="13" a="1"/>
  <c r="L9" i="13" s="1"/>
  <c r="K9" i="13" a="1"/>
  <c r="K9" i="13" s="1"/>
  <c r="J9" i="13" a="1"/>
  <c r="J9" i="13" s="1"/>
  <c r="I9" i="13" a="1"/>
  <c r="I9" i="13" s="1"/>
  <c r="H9" i="13" a="1"/>
  <c r="H9" i="13" s="1"/>
  <c r="G9" i="13" a="1"/>
  <c r="G9" i="13" s="1"/>
  <c r="F9" i="13" a="1"/>
  <c r="F9" i="13" s="1"/>
  <c r="T8" i="13" a="1"/>
  <c r="T8" i="13" s="1"/>
  <c r="S8" i="13" a="1"/>
  <c r="S8" i="13" s="1"/>
  <c r="R8" i="13" a="1"/>
  <c r="R8" i="13" s="1"/>
  <c r="Q8" i="13" a="1"/>
  <c r="Q8" i="13" s="1"/>
  <c r="P8" i="13" a="1"/>
  <c r="P8" i="13" s="1"/>
  <c r="O8" i="13" a="1"/>
  <c r="O8" i="13" s="1"/>
  <c r="N8" i="13" a="1"/>
  <c r="N8" i="13" s="1"/>
  <c r="M8" i="13" a="1"/>
  <c r="M8" i="13" s="1"/>
  <c r="L8" i="13" a="1"/>
  <c r="L8" i="13" s="1"/>
  <c r="K8" i="13" a="1"/>
  <c r="K8" i="13" s="1"/>
  <c r="J8" i="13"/>
  <c r="J8" i="13" a="1"/>
  <c r="I8" i="13" a="1"/>
  <c r="I8" i="13" s="1"/>
  <c r="H8" i="13" a="1"/>
  <c r="H8" i="13" s="1"/>
  <c r="G8" i="13"/>
  <c r="G8" i="13" a="1"/>
  <c r="F8" i="13" a="1"/>
  <c r="F8" i="13" s="1"/>
  <c r="T7" i="13" a="1"/>
  <c r="T7" i="13" s="1"/>
  <c r="S7" i="13" a="1"/>
  <c r="S7" i="13" s="1"/>
  <c r="R7" i="13" a="1"/>
  <c r="R7" i="13" s="1"/>
  <c r="Q7" i="13" a="1"/>
  <c r="Q7" i="13" s="1"/>
  <c r="P7" i="13" a="1"/>
  <c r="P7" i="13" s="1"/>
  <c r="O7" i="13" a="1"/>
  <c r="O7" i="13" s="1"/>
  <c r="N7" i="13" a="1"/>
  <c r="N7" i="13" s="1"/>
  <c r="M7" i="13" a="1"/>
  <c r="M7" i="13" s="1"/>
  <c r="L7" i="13" a="1"/>
  <c r="L7" i="13" s="1"/>
  <c r="K7" i="13" a="1"/>
  <c r="K7" i="13" s="1"/>
  <c r="J7" i="13" a="1"/>
  <c r="J7" i="13" s="1"/>
  <c r="I7" i="13" a="1"/>
  <c r="I7" i="13" s="1"/>
  <c r="H7" i="13" a="1"/>
  <c r="H7" i="13" s="1"/>
  <c r="G7" i="13" a="1"/>
  <c r="G7" i="13" s="1"/>
  <c r="F7" i="13"/>
  <c r="F7" i="13" a="1"/>
  <c r="T6" i="13" a="1"/>
  <c r="T6" i="13" s="1"/>
  <c r="S6" i="13" a="1"/>
  <c r="S6" i="13" s="1"/>
  <c r="R6" i="13" a="1"/>
  <c r="R6" i="13" s="1"/>
  <c r="Q6" i="13" a="1"/>
  <c r="Q6" i="13" s="1"/>
  <c r="P6" i="13" a="1"/>
  <c r="P6" i="13" s="1"/>
  <c r="O6" i="13" a="1"/>
  <c r="O6" i="13" s="1"/>
  <c r="N6" i="13" a="1"/>
  <c r="N6" i="13" s="1"/>
  <c r="M6" i="13" a="1"/>
  <c r="M6" i="13" s="1"/>
  <c r="L6" i="13"/>
  <c r="L6" i="13" a="1"/>
  <c r="K6" i="13" a="1"/>
  <c r="K6" i="13" s="1"/>
  <c r="J6" i="13" a="1"/>
  <c r="J6" i="13" s="1"/>
  <c r="I6" i="13" a="1"/>
  <c r="I6" i="13" s="1"/>
  <c r="H6" i="13" a="1"/>
  <c r="H6" i="13" s="1"/>
  <c r="G6" i="13" a="1"/>
  <c r="G6" i="13" s="1"/>
  <c r="F6" i="13" a="1"/>
  <c r="F6" i="13" s="1"/>
  <c r="F1" i="13"/>
  <c r="O1" i="13" s="1"/>
  <c r="D19" i="15"/>
  <c r="D23" i="15" s="1"/>
  <c r="D27" i="15" s="1"/>
  <c r="D31" i="15" s="1"/>
  <c r="D35" i="15" s="1"/>
  <c r="D39" i="15" s="1"/>
  <c r="D43" i="15" s="1"/>
  <c r="D47" i="15" s="1"/>
  <c r="D51" i="15" s="1"/>
  <c r="D55" i="15" s="1"/>
  <c r="D59" i="15" s="1"/>
  <c r="D63" i="15" s="1"/>
  <c r="D67" i="15" s="1"/>
  <c r="D71" i="15" s="1"/>
  <c r="D75" i="15" s="1"/>
  <c r="D79" i="15" s="1"/>
  <c r="D83" i="15" s="1"/>
  <c r="D87" i="15" s="1"/>
  <c r="D91" i="15" s="1"/>
  <c r="D95" i="15" s="1"/>
  <c r="D99" i="15" s="1"/>
  <c r="D103" i="15" s="1"/>
  <c r="D107" i="15" s="1"/>
  <c r="D111" i="15" s="1"/>
  <c r="D115" i="15" s="1"/>
  <c r="D119" i="15" s="1"/>
  <c r="D123" i="15" s="1"/>
  <c r="D127" i="15" s="1"/>
  <c r="D131" i="15" s="1"/>
  <c r="D135" i="15" s="1"/>
  <c r="D139" i="15" s="1"/>
  <c r="D143" i="15" s="1"/>
  <c r="D147" i="15" s="1"/>
  <c r="D151" i="15" s="1"/>
  <c r="D155" i="15" s="1"/>
  <c r="D159" i="15" s="1"/>
  <c r="D163" i="15" s="1"/>
  <c r="D167" i="15" s="1"/>
  <c r="D171" i="15" s="1"/>
  <c r="D175" i="15" s="1"/>
  <c r="D179" i="15" s="1"/>
  <c r="D183" i="15" s="1"/>
  <c r="D187" i="15" s="1"/>
  <c r="D191" i="15" s="1"/>
  <c r="D195" i="15" s="1"/>
  <c r="D199" i="15" s="1"/>
  <c r="D203" i="15" s="1"/>
  <c r="D207" i="15" s="1"/>
  <c r="D211" i="15" s="1"/>
  <c r="D215" i="15" s="1"/>
  <c r="D219" i="15" s="1"/>
  <c r="D223" i="15" s="1"/>
  <c r="D227" i="15" s="1"/>
  <c r="D231" i="15" s="1"/>
  <c r="D235" i="15" s="1"/>
  <c r="D239" i="15" s="1"/>
  <c r="D243" i="15" s="1"/>
  <c r="D247" i="15" s="1"/>
  <c r="D251" i="15" s="1"/>
  <c r="D255" i="15" s="1"/>
  <c r="D259" i="15" s="1"/>
  <c r="D263" i="15" s="1"/>
  <c r="D267" i="15" s="1"/>
  <c r="D271" i="15" s="1"/>
  <c r="D275" i="15" s="1"/>
  <c r="D279" i="15" s="1"/>
  <c r="D283" i="15" s="1"/>
  <c r="D287" i="15" s="1"/>
  <c r="D291" i="15" s="1"/>
  <c r="D295" i="15" s="1"/>
  <c r="D299" i="15" s="1"/>
  <c r="D303" i="15" s="1"/>
  <c r="D307" i="15" s="1"/>
  <c r="D311" i="15" s="1"/>
  <c r="D315" i="15" s="1"/>
  <c r="D319" i="15" s="1"/>
  <c r="D323" i="15" s="1"/>
  <c r="D327" i="15" s="1"/>
  <c r="C19" i="15"/>
  <c r="C23" i="15" s="1"/>
  <c r="C27" i="15" s="1"/>
  <c r="C31" i="15" s="1"/>
  <c r="C35" i="15" s="1"/>
  <c r="C39" i="15" s="1"/>
  <c r="C43" i="15" s="1"/>
  <c r="C47" i="15" s="1"/>
  <c r="C51" i="15" s="1"/>
  <c r="C55" i="15" s="1"/>
  <c r="C59" i="15" s="1"/>
  <c r="C63" i="15" s="1"/>
  <c r="C67" i="15" s="1"/>
  <c r="C71" i="15" s="1"/>
  <c r="C75" i="15" s="1"/>
  <c r="C79" i="15" s="1"/>
  <c r="C83" i="15" s="1"/>
  <c r="C87" i="15" s="1"/>
  <c r="C91" i="15" s="1"/>
  <c r="C95" i="15" s="1"/>
  <c r="C99" i="15" s="1"/>
  <c r="C103" i="15" s="1"/>
  <c r="C107" i="15" s="1"/>
  <c r="C111" i="15" s="1"/>
  <c r="C115" i="15" s="1"/>
  <c r="C119" i="15" s="1"/>
  <c r="C123" i="15" s="1"/>
  <c r="C127" i="15" s="1"/>
  <c r="C131" i="15" s="1"/>
  <c r="C135" i="15" s="1"/>
  <c r="C139" i="15" s="1"/>
  <c r="C143" i="15" s="1"/>
  <c r="C147" i="15" s="1"/>
  <c r="C151" i="15" s="1"/>
  <c r="C155" i="15" s="1"/>
  <c r="C159" i="15" s="1"/>
  <c r="C163" i="15" s="1"/>
  <c r="C167" i="15" s="1"/>
  <c r="C171" i="15" s="1"/>
  <c r="C175" i="15" s="1"/>
  <c r="C179" i="15" s="1"/>
  <c r="C183" i="15" s="1"/>
  <c r="C187" i="15" s="1"/>
  <c r="C191" i="15" s="1"/>
  <c r="C195" i="15" s="1"/>
  <c r="C199" i="15" s="1"/>
  <c r="C203" i="15" s="1"/>
  <c r="C207" i="15" s="1"/>
  <c r="C211" i="15" s="1"/>
  <c r="C215" i="15" s="1"/>
  <c r="C219" i="15" s="1"/>
  <c r="C223" i="15" s="1"/>
  <c r="C227" i="15" s="1"/>
  <c r="C231" i="15" s="1"/>
  <c r="C235" i="15" s="1"/>
  <c r="C239" i="15" s="1"/>
  <c r="C243" i="15" s="1"/>
  <c r="C247" i="15" s="1"/>
  <c r="C251" i="15" s="1"/>
  <c r="C255" i="15" s="1"/>
  <c r="C259" i="15" s="1"/>
  <c r="C263" i="15" s="1"/>
  <c r="C267" i="15" s="1"/>
  <c r="C271" i="15" s="1"/>
  <c r="C275" i="15" s="1"/>
  <c r="C279" i="15" s="1"/>
  <c r="C283" i="15" s="1"/>
  <c r="C287" i="15" s="1"/>
  <c r="C291" i="15" s="1"/>
  <c r="C295" i="15" s="1"/>
  <c r="C299" i="15" s="1"/>
  <c r="C303" i="15" s="1"/>
  <c r="C307" i="15" s="1"/>
  <c r="C311" i="15" s="1"/>
  <c r="C315" i="15" s="1"/>
  <c r="C319" i="15" s="1"/>
  <c r="C323" i="15" s="1"/>
  <c r="C327" i="15" s="1"/>
  <c r="D15" i="15"/>
  <c r="C15" i="15"/>
  <c r="C14" i="15"/>
  <c r="C18" i="15" s="1"/>
  <c r="C22" i="15" s="1"/>
  <c r="C26" i="15" s="1"/>
  <c r="C30" i="15" s="1"/>
  <c r="C34" i="15" s="1"/>
  <c r="C38" i="15" s="1"/>
  <c r="C42" i="15" s="1"/>
  <c r="C46" i="15" s="1"/>
  <c r="C50" i="15" s="1"/>
  <c r="C54" i="15" s="1"/>
  <c r="C58" i="15" s="1"/>
  <c r="C62" i="15" s="1"/>
  <c r="C66" i="15" s="1"/>
  <c r="C70" i="15" s="1"/>
  <c r="C74" i="15" s="1"/>
  <c r="C78" i="15" s="1"/>
  <c r="C82" i="15" s="1"/>
  <c r="C86" i="15" s="1"/>
  <c r="C90" i="15" s="1"/>
  <c r="C94" i="15" s="1"/>
  <c r="C98" i="15" s="1"/>
  <c r="C102" i="15" s="1"/>
  <c r="C106" i="15" s="1"/>
  <c r="C110" i="15" s="1"/>
  <c r="C114" i="15" s="1"/>
  <c r="C118" i="15" s="1"/>
  <c r="C122" i="15" s="1"/>
  <c r="C126" i="15" s="1"/>
  <c r="C130" i="15" s="1"/>
  <c r="C134" i="15" s="1"/>
  <c r="C138" i="15" s="1"/>
  <c r="C142" i="15" s="1"/>
  <c r="C146" i="15" s="1"/>
  <c r="C150" i="15" s="1"/>
  <c r="C154" i="15" s="1"/>
  <c r="C158" i="15" s="1"/>
  <c r="C162" i="15" s="1"/>
  <c r="C166" i="15" s="1"/>
  <c r="C170" i="15" s="1"/>
  <c r="C174" i="15" s="1"/>
  <c r="C178" i="15" s="1"/>
  <c r="C182" i="15" s="1"/>
  <c r="C186" i="15" s="1"/>
  <c r="C190" i="15" s="1"/>
  <c r="C194" i="15" s="1"/>
  <c r="C198" i="15" s="1"/>
  <c r="C202" i="15" s="1"/>
  <c r="C206" i="15" s="1"/>
  <c r="C210" i="15" s="1"/>
  <c r="C214" i="15" s="1"/>
  <c r="C218" i="15" s="1"/>
  <c r="C222" i="15" s="1"/>
  <c r="C226" i="15" s="1"/>
  <c r="C230" i="15" s="1"/>
  <c r="C234" i="15" s="1"/>
  <c r="C238" i="15" s="1"/>
  <c r="C242" i="15" s="1"/>
  <c r="C246" i="15" s="1"/>
  <c r="C250" i="15" s="1"/>
  <c r="C254" i="15" s="1"/>
  <c r="C258" i="15" s="1"/>
  <c r="C262" i="15" s="1"/>
  <c r="C266" i="15" s="1"/>
  <c r="C270" i="15" s="1"/>
  <c r="C274" i="15" s="1"/>
  <c r="C278" i="15" s="1"/>
  <c r="C282" i="15" s="1"/>
  <c r="C286" i="15" s="1"/>
  <c r="C290" i="15" s="1"/>
  <c r="C294" i="15" s="1"/>
  <c r="C298" i="15" s="1"/>
  <c r="C302" i="15" s="1"/>
  <c r="C306" i="15" s="1"/>
  <c r="C310" i="15" s="1"/>
  <c r="C314" i="15" s="1"/>
  <c r="C318" i="15" s="1"/>
  <c r="C322" i="15" s="1"/>
  <c r="C326" i="15" s="1"/>
  <c r="C330" i="15" s="1"/>
  <c r="B14" i="15"/>
  <c r="B18" i="15" s="1"/>
  <c r="B22" i="15" s="1"/>
  <c r="B26" i="15" s="1"/>
  <c r="B30" i="15" s="1"/>
  <c r="B34" i="15" s="1"/>
  <c r="B38" i="15" s="1"/>
  <c r="B42" i="15" s="1"/>
  <c r="B46" i="15" s="1"/>
  <c r="B50" i="15" s="1"/>
  <c r="B54" i="15" s="1"/>
  <c r="B58" i="15" s="1"/>
  <c r="B62" i="15" s="1"/>
  <c r="B66" i="15" s="1"/>
  <c r="B70" i="15" s="1"/>
  <c r="B74" i="15" s="1"/>
  <c r="B78" i="15" s="1"/>
  <c r="B82" i="15" s="1"/>
  <c r="B86" i="15" s="1"/>
  <c r="B90" i="15" s="1"/>
  <c r="B94" i="15" s="1"/>
  <c r="B98" i="15" s="1"/>
  <c r="B102" i="15" s="1"/>
  <c r="B106" i="15" s="1"/>
  <c r="B110" i="15" s="1"/>
  <c r="B114" i="15" s="1"/>
  <c r="B118" i="15" s="1"/>
  <c r="B122" i="15" s="1"/>
  <c r="B126" i="15" s="1"/>
  <c r="B130" i="15" s="1"/>
  <c r="B134" i="15" s="1"/>
  <c r="B138" i="15" s="1"/>
  <c r="B142" i="15" s="1"/>
  <c r="B146" i="15" s="1"/>
  <c r="B150" i="15" s="1"/>
  <c r="B154" i="15" s="1"/>
  <c r="B158" i="15" s="1"/>
  <c r="B162" i="15" s="1"/>
  <c r="B166" i="15" s="1"/>
  <c r="B170" i="15" s="1"/>
  <c r="B174" i="15" s="1"/>
  <c r="B178" i="15" s="1"/>
  <c r="B182" i="15" s="1"/>
  <c r="B186" i="15" s="1"/>
  <c r="B190" i="15" s="1"/>
  <c r="B194" i="15" s="1"/>
  <c r="B198" i="15" s="1"/>
  <c r="B202" i="15" s="1"/>
  <c r="B206" i="15" s="1"/>
  <c r="B210" i="15" s="1"/>
  <c r="B214" i="15" s="1"/>
  <c r="B218" i="15" s="1"/>
  <c r="B222" i="15" s="1"/>
  <c r="B226" i="15" s="1"/>
  <c r="B230" i="15" s="1"/>
  <c r="B234" i="15" s="1"/>
  <c r="B238" i="15" s="1"/>
  <c r="B242" i="15" s="1"/>
  <c r="B246" i="15" s="1"/>
  <c r="B250" i="15" s="1"/>
  <c r="B254" i="15" s="1"/>
  <c r="B258" i="15" s="1"/>
  <c r="B262" i="15" s="1"/>
  <c r="B266" i="15" s="1"/>
  <c r="B270" i="15" s="1"/>
  <c r="B274" i="15" s="1"/>
  <c r="B278" i="15" s="1"/>
  <c r="B282" i="15" s="1"/>
  <c r="B286" i="15" s="1"/>
  <c r="B290" i="15" s="1"/>
  <c r="B294" i="15" s="1"/>
  <c r="B298" i="15" s="1"/>
  <c r="B302" i="15" s="1"/>
  <c r="B306" i="15" s="1"/>
  <c r="B310" i="15" s="1"/>
  <c r="B314" i="15" s="1"/>
  <c r="B318" i="15" s="1"/>
  <c r="B322" i="15" s="1"/>
  <c r="B326" i="15" s="1"/>
  <c r="B330" i="15" s="1"/>
  <c r="C13" i="15"/>
  <c r="C17" i="15" s="1"/>
  <c r="C21" i="15" s="1"/>
  <c r="C25" i="15" s="1"/>
  <c r="C29" i="15" s="1"/>
  <c r="C33" i="15" s="1"/>
  <c r="C37" i="15" s="1"/>
  <c r="C41" i="15" s="1"/>
  <c r="C45" i="15" s="1"/>
  <c r="C49" i="15" s="1"/>
  <c r="C53" i="15" s="1"/>
  <c r="C57" i="15" s="1"/>
  <c r="C61" i="15" s="1"/>
  <c r="C65" i="15" s="1"/>
  <c r="C69" i="15" s="1"/>
  <c r="C73" i="15" s="1"/>
  <c r="C77" i="15" s="1"/>
  <c r="C81" i="15" s="1"/>
  <c r="C85" i="15" s="1"/>
  <c r="C89" i="15" s="1"/>
  <c r="C93" i="15" s="1"/>
  <c r="C97" i="15" s="1"/>
  <c r="C101" i="15" s="1"/>
  <c r="C105" i="15" s="1"/>
  <c r="C109" i="15" s="1"/>
  <c r="C113" i="15" s="1"/>
  <c r="C117" i="15" s="1"/>
  <c r="C121" i="15" s="1"/>
  <c r="C125" i="15" s="1"/>
  <c r="C129" i="15" s="1"/>
  <c r="C133" i="15" s="1"/>
  <c r="C137" i="15" s="1"/>
  <c r="C141" i="15" s="1"/>
  <c r="C145" i="15" s="1"/>
  <c r="C149" i="15" s="1"/>
  <c r="C153" i="15" s="1"/>
  <c r="C157" i="15" s="1"/>
  <c r="C161" i="15" s="1"/>
  <c r="C165" i="15" s="1"/>
  <c r="C169" i="15" s="1"/>
  <c r="C173" i="15" s="1"/>
  <c r="C177" i="15" s="1"/>
  <c r="C181" i="15" s="1"/>
  <c r="C185" i="15" s="1"/>
  <c r="C189" i="15" s="1"/>
  <c r="C193" i="15" s="1"/>
  <c r="C197" i="15" s="1"/>
  <c r="C201" i="15" s="1"/>
  <c r="C205" i="15" s="1"/>
  <c r="C209" i="15" s="1"/>
  <c r="C213" i="15" s="1"/>
  <c r="C217" i="15" s="1"/>
  <c r="C221" i="15" s="1"/>
  <c r="C225" i="15" s="1"/>
  <c r="C229" i="15" s="1"/>
  <c r="C233" i="15" s="1"/>
  <c r="C237" i="15" s="1"/>
  <c r="C241" i="15" s="1"/>
  <c r="C245" i="15" s="1"/>
  <c r="C249" i="15" s="1"/>
  <c r="C253" i="15" s="1"/>
  <c r="C257" i="15" s="1"/>
  <c r="C261" i="15" s="1"/>
  <c r="C265" i="15" s="1"/>
  <c r="C269" i="15" s="1"/>
  <c r="C273" i="15" s="1"/>
  <c r="C277" i="15" s="1"/>
  <c r="C281" i="15" s="1"/>
  <c r="C285" i="15" s="1"/>
  <c r="C289" i="15" s="1"/>
  <c r="C293" i="15" s="1"/>
  <c r="C297" i="15" s="1"/>
  <c r="C301" i="15" s="1"/>
  <c r="C305" i="15" s="1"/>
  <c r="C309" i="15" s="1"/>
  <c r="C313" i="15" s="1"/>
  <c r="C317" i="15" s="1"/>
  <c r="C321" i="15" s="1"/>
  <c r="C325" i="15" s="1"/>
  <c r="C329" i="15" s="1"/>
  <c r="B13" i="15"/>
  <c r="B17" i="15" s="1"/>
  <c r="B21" i="15" s="1"/>
  <c r="B25" i="15" s="1"/>
  <c r="B29" i="15" s="1"/>
  <c r="B33" i="15" s="1"/>
  <c r="B37" i="15" s="1"/>
  <c r="B41" i="15" s="1"/>
  <c r="B45" i="15" s="1"/>
  <c r="B49" i="15" s="1"/>
  <c r="B53" i="15" s="1"/>
  <c r="B57" i="15" s="1"/>
  <c r="B61" i="15" s="1"/>
  <c r="B65" i="15" s="1"/>
  <c r="B69" i="15" s="1"/>
  <c r="B73" i="15" s="1"/>
  <c r="B77" i="15" s="1"/>
  <c r="B81" i="15" s="1"/>
  <c r="B85" i="15" s="1"/>
  <c r="B89" i="15" s="1"/>
  <c r="B93" i="15" s="1"/>
  <c r="B97" i="15" s="1"/>
  <c r="B101" i="15" s="1"/>
  <c r="B105" i="15" s="1"/>
  <c r="B109" i="15" s="1"/>
  <c r="B113" i="15" s="1"/>
  <c r="B117" i="15" s="1"/>
  <c r="B121" i="15" s="1"/>
  <c r="B125" i="15" s="1"/>
  <c r="B129" i="15" s="1"/>
  <c r="B133" i="15" s="1"/>
  <c r="B137" i="15" s="1"/>
  <c r="B141" i="15" s="1"/>
  <c r="B145" i="15" s="1"/>
  <c r="B149" i="15" s="1"/>
  <c r="B153" i="15" s="1"/>
  <c r="B157" i="15" s="1"/>
  <c r="B161" i="15" s="1"/>
  <c r="B165" i="15" s="1"/>
  <c r="B169" i="15" s="1"/>
  <c r="B173" i="15" s="1"/>
  <c r="B177" i="15" s="1"/>
  <c r="B181" i="15" s="1"/>
  <c r="B185" i="15" s="1"/>
  <c r="B189" i="15" s="1"/>
  <c r="B193" i="15" s="1"/>
  <c r="B197" i="15" s="1"/>
  <c r="B201" i="15" s="1"/>
  <c r="B205" i="15" s="1"/>
  <c r="B209" i="15" s="1"/>
  <c r="B213" i="15" s="1"/>
  <c r="B217" i="15" s="1"/>
  <c r="B221" i="15" s="1"/>
  <c r="B225" i="15" s="1"/>
  <c r="B229" i="15" s="1"/>
  <c r="B233" i="15" s="1"/>
  <c r="B237" i="15" s="1"/>
  <c r="B241" i="15" s="1"/>
  <c r="B245" i="15" s="1"/>
  <c r="B249" i="15" s="1"/>
  <c r="B253" i="15" s="1"/>
  <c r="B257" i="15" s="1"/>
  <c r="B261" i="15" s="1"/>
  <c r="B265" i="15" s="1"/>
  <c r="B269" i="15" s="1"/>
  <c r="B273" i="15" s="1"/>
  <c r="B277" i="15" s="1"/>
  <c r="B281" i="15" s="1"/>
  <c r="B285" i="15" s="1"/>
  <c r="B289" i="15" s="1"/>
  <c r="B293" i="15" s="1"/>
  <c r="B297" i="15" s="1"/>
  <c r="B301" i="15" s="1"/>
  <c r="B305" i="15" s="1"/>
  <c r="B309" i="15" s="1"/>
  <c r="B313" i="15" s="1"/>
  <c r="B317" i="15" s="1"/>
  <c r="B321" i="15" s="1"/>
  <c r="B325" i="15" s="1"/>
  <c r="B329" i="15" s="1"/>
  <c r="C12" i="15"/>
  <c r="C16" i="15" s="1"/>
  <c r="C20" i="15" s="1"/>
  <c r="C24" i="15" s="1"/>
  <c r="C28" i="15" s="1"/>
  <c r="C32" i="15" s="1"/>
  <c r="C36" i="15" s="1"/>
  <c r="C40" i="15" s="1"/>
  <c r="C44" i="15" s="1"/>
  <c r="C48" i="15" s="1"/>
  <c r="C52" i="15" s="1"/>
  <c r="C56" i="15" s="1"/>
  <c r="C60" i="15" s="1"/>
  <c r="C64" i="15" s="1"/>
  <c r="C68" i="15" s="1"/>
  <c r="C72" i="15" s="1"/>
  <c r="C76" i="15" s="1"/>
  <c r="C80" i="15" s="1"/>
  <c r="C84" i="15" s="1"/>
  <c r="C88" i="15" s="1"/>
  <c r="C92" i="15" s="1"/>
  <c r="C96" i="15" s="1"/>
  <c r="C100" i="15" s="1"/>
  <c r="C104" i="15" s="1"/>
  <c r="C108" i="15" s="1"/>
  <c r="C112" i="15" s="1"/>
  <c r="C116" i="15" s="1"/>
  <c r="C120" i="15" s="1"/>
  <c r="C124" i="15" s="1"/>
  <c r="C128" i="15" s="1"/>
  <c r="C132" i="15" s="1"/>
  <c r="C136" i="15" s="1"/>
  <c r="C140" i="15" s="1"/>
  <c r="C144" i="15" s="1"/>
  <c r="C148" i="15" s="1"/>
  <c r="C152" i="15" s="1"/>
  <c r="C156" i="15" s="1"/>
  <c r="C160" i="15" s="1"/>
  <c r="C164" i="15" s="1"/>
  <c r="C168" i="15" s="1"/>
  <c r="C172" i="15" s="1"/>
  <c r="C176" i="15" s="1"/>
  <c r="C180" i="15" s="1"/>
  <c r="C184" i="15" s="1"/>
  <c r="C188" i="15" s="1"/>
  <c r="C192" i="15" s="1"/>
  <c r="C196" i="15" s="1"/>
  <c r="C200" i="15" s="1"/>
  <c r="C204" i="15" s="1"/>
  <c r="C208" i="15" s="1"/>
  <c r="C212" i="15" s="1"/>
  <c r="C216" i="15" s="1"/>
  <c r="C220" i="15" s="1"/>
  <c r="C224" i="15" s="1"/>
  <c r="C228" i="15" s="1"/>
  <c r="C232" i="15" s="1"/>
  <c r="C236" i="15" s="1"/>
  <c r="C240" i="15" s="1"/>
  <c r="C244" i="15" s="1"/>
  <c r="C248" i="15" s="1"/>
  <c r="C252" i="15" s="1"/>
  <c r="C256" i="15" s="1"/>
  <c r="C260" i="15" s="1"/>
  <c r="C264" i="15" s="1"/>
  <c r="C268" i="15" s="1"/>
  <c r="C272" i="15" s="1"/>
  <c r="C276" i="15" s="1"/>
  <c r="C280" i="15" s="1"/>
  <c r="C284" i="15" s="1"/>
  <c r="C288" i="15" s="1"/>
  <c r="C292" i="15" s="1"/>
  <c r="C296" i="15" s="1"/>
  <c r="C300" i="15" s="1"/>
  <c r="C304" i="15" s="1"/>
  <c r="C308" i="15" s="1"/>
  <c r="C312" i="15" s="1"/>
  <c r="C316" i="15" s="1"/>
  <c r="C320" i="15" s="1"/>
  <c r="C324" i="15" s="1"/>
  <c r="C328" i="15" s="1"/>
  <c r="B12" i="15"/>
  <c r="B16" i="15" s="1"/>
  <c r="B20" i="15" s="1"/>
  <c r="B24" i="15" s="1"/>
  <c r="B28" i="15" s="1"/>
  <c r="B32" i="15" s="1"/>
  <c r="B36" i="15" s="1"/>
  <c r="B40" i="15" s="1"/>
  <c r="B44" i="15" s="1"/>
  <c r="B48" i="15" s="1"/>
  <c r="B52" i="15" s="1"/>
  <c r="B56" i="15" s="1"/>
  <c r="B60" i="15" s="1"/>
  <c r="B64" i="15" s="1"/>
  <c r="B68" i="15" s="1"/>
  <c r="B72" i="15" s="1"/>
  <c r="B76" i="15" s="1"/>
  <c r="B80" i="15" s="1"/>
  <c r="B84" i="15" s="1"/>
  <c r="B88" i="15" s="1"/>
  <c r="B92" i="15" s="1"/>
  <c r="B96" i="15" s="1"/>
  <c r="B100" i="15" s="1"/>
  <c r="B104" i="15" s="1"/>
  <c r="B108" i="15" s="1"/>
  <c r="B112" i="15" s="1"/>
  <c r="B116" i="15" s="1"/>
  <c r="B120" i="15" s="1"/>
  <c r="B124" i="15" s="1"/>
  <c r="B128" i="15" s="1"/>
  <c r="B132" i="15" s="1"/>
  <c r="B136" i="15" s="1"/>
  <c r="B140" i="15" s="1"/>
  <c r="B144" i="15" s="1"/>
  <c r="B148" i="15" s="1"/>
  <c r="B152" i="15" s="1"/>
  <c r="B156" i="15" s="1"/>
  <c r="B160" i="15" s="1"/>
  <c r="B164" i="15" s="1"/>
  <c r="B168" i="15" s="1"/>
  <c r="B172" i="15" s="1"/>
  <c r="B176" i="15" s="1"/>
  <c r="B180" i="15" s="1"/>
  <c r="B184" i="15" s="1"/>
  <c r="B188" i="15" s="1"/>
  <c r="B192" i="15" s="1"/>
  <c r="B196" i="15" s="1"/>
  <c r="B200" i="15" s="1"/>
  <c r="B204" i="15" s="1"/>
  <c r="B208" i="15" s="1"/>
  <c r="B212" i="15" s="1"/>
  <c r="B216" i="15" s="1"/>
  <c r="B220" i="15" s="1"/>
  <c r="B224" i="15" s="1"/>
  <c r="B228" i="15" s="1"/>
  <c r="B232" i="15" s="1"/>
  <c r="B236" i="15" s="1"/>
  <c r="B240" i="15" s="1"/>
  <c r="B244" i="15" s="1"/>
  <c r="B248" i="15" s="1"/>
  <c r="B252" i="15" s="1"/>
  <c r="B256" i="15" s="1"/>
  <c r="B260" i="15" s="1"/>
  <c r="B264" i="15" s="1"/>
  <c r="B268" i="15" s="1"/>
  <c r="B272" i="15" s="1"/>
  <c r="B276" i="15" s="1"/>
  <c r="B280" i="15" s="1"/>
  <c r="B284" i="15" s="1"/>
  <c r="B288" i="15" s="1"/>
  <c r="B292" i="15" s="1"/>
  <c r="B296" i="15" s="1"/>
  <c r="B300" i="15" s="1"/>
  <c r="B304" i="15" s="1"/>
  <c r="B308" i="15" s="1"/>
  <c r="B312" i="15" s="1"/>
  <c r="B316" i="15" s="1"/>
  <c r="B320" i="15" s="1"/>
  <c r="B324" i="15" s="1"/>
  <c r="B328" i="15" s="1"/>
  <c r="B11" i="15"/>
  <c r="B15" i="15" s="1"/>
  <c r="B19" i="15" s="1"/>
  <c r="B23" i="15" s="1"/>
  <c r="B27" i="15" s="1"/>
  <c r="B31" i="15" s="1"/>
  <c r="B35" i="15" s="1"/>
  <c r="B39" i="15" s="1"/>
  <c r="B43" i="15" s="1"/>
  <c r="B47" i="15" s="1"/>
  <c r="B51" i="15" s="1"/>
  <c r="B55" i="15" s="1"/>
  <c r="B59" i="15" s="1"/>
  <c r="B63" i="15" s="1"/>
  <c r="B67" i="15" s="1"/>
  <c r="B71" i="15" s="1"/>
  <c r="B75" i="15" s="1"/>
  <c r="B79" i="15" s="1"/>
  <c r="B83" i="15" s="1"/>
  <c r="B87" i="15" s="1"/>
  <c r="B91" i="15" s="1"/>
  <c r="B95" i="15" s="1"/>
  <c r="B99" i="15" s="1"/>
  <c r="B103" i="15" s="1"/>
  <c r="B107" i="15" s="1"/>
  <c r="B111" i="15" s="1"/>
  <c r="B115" i="15" s="1"/>
  <c r="B119" i="15" s="1"/>
  <c r="B123" i="15" s="1"/>
  <c r="B127" i="15" s="1"/>
  <c r="B131" i="15" s="1"/>
  <c r="B135" i="15" s="1"/>
  <c r="B139" i="15" s="1"/>
  <c r="B143" i="15" s="1"/>
  <c r="B147" i="15" s="1"/>
  <c r="B151" i="15" s="1"/>
  <c r="B155" i="15" s="1"/>
  <c r="B159" i="15" s="1"/>
  <c r="B163" i="15" s="1"/>
  <c r="B167" i="15" s="1"/>
  <c r="B171" i="15" s="1"/>
  <c r="B175" i="15" s="1"/>
  <c r="B179" i="15" s="1"/>
  <c r="B183" i="15" s="1"/>
  <c r="B187" i="15" s="1"/>
  <c r="B191" i="15" s="1"/>
  <c r="B195" i="15" s="1"/>
  <c r="B199" i="15" s="1"/>
  <c r="B203" i="15" s="1"/>
  <c r="B207" i="15" s="1"/>
  <c r="B211" i="15" s="1"/>
  <c r="B215" i="15" s="1"/>
  <c r="B219" i="15" s="1"/>
  <c r="B223" i="15" s="1"/>
  <c r="B227" i="15" s="1"/>
  <c r="B231" i="15" s="1"/>
  <c r="B235" i="15" s="1"/>
  <c r="B239" i="15" s="1"/>
  <c r="B243" i="15" s="1"/>
  <c r="B247" i="15" s="1"/>
  <c r="B251" i="15" s="1"/>
  <c r="B255" i="15" s="1"/>
  <c r="B259" i="15" s="1"/>
  <c r="B263" i="15" s="1"/>
  <c r="B267" i="15" s="1"/>
  <c r="B271" i="15" s="1"/>
  <c r="B275" i="15" s="1"/>
  <c r="B279" i="15" s="1"/>
  <c r="B283" i="15" s="1"/>
  <c r="B287" i="15" s="1"/>
  <c r="B291" i="15" s="1"/>
  <c r="B295" i="15" s="1"/>
  <c r="B299" i="15" s="1"/>
  <c r="B303" i="15" s="1"/>
  <c r="B307" i="15" s="1"/>
  <c r="B311" i="15" s="1"/>
  <c r="B315" i="15" s="1"/>
  <c r="B319" i="15" s="1"/>
  <c r="B323" i="15" s="1"/>
  <c r="B327" i="15" s="1"/>
  <c r="E8" i="15"/>
  <c r="H8" i="15" s="1" a="1"/>
  <c r="H8" i="15" s="1"/>
  <c r="C61" i="14"/>
  <c r="C65" i="14" s="1"/>
  <c r="C69" i="14" s="1"/>
  <c r="C73" i="14" s="1"/>
  <c r="C77" i="14" s="1"/>
  <c r="C81" i="14" s="1"/>
  <c r="C85" i="14" s="1"/>
  <c r="C89" i="14" s="1"/>
  <c r="C93" i="14" s="1"/>
  <c r="C97" i="14" s="1"/>
  <c r="C101" i="14" s="1"/>
  <c r="C105" i="14" s="1"/>
  <c r="C109" i="14" s="1"/>
  <c r="C113" i="14" s="1"/>
  <c r="C117" i="14" s="1"/>
  <c r="C121" i="14" s="1"/>
  <c r="C125" i="14" s="1"/>
  <c r="C129" i="14" s="1"/>
  <c r="C133" i="14" s="1"/>
  <c r="C137" i="14" s="1"/>
  <c r="C141" i="14" s="1"/>
  <c r="C145" i="14" s="1"/>
  <c r="C149" i="14" s="1"/>
  <c r="C153" i="14" s="1"/>
  <c r="C157" i="14" s="1"/>
  <c r="C161" i="14" s="1"/>
  <c r="C165" i="14" s="1"/>
  <c r="C169" i="14" s="1"/>
  <c r="C173" i="14" s="1"/>
  <c r="C177" i="14" s="1"/>
  <c r="C181" i="14" s="1"/>
  <c r="C185" i="14" s="1"/>
  <c r="C189" i="14" s="1"/>
  <c r="C193" i="14" s="1"/>
  <c r="C197" i="14" s="1"/>
  <c r="C201" i="14" s="1"/>
  <c r="C205" i="14" s="1"/>
  <c r="C209" i="14" s="1"/>
  <c r="C213" i="14" s="1"/>
  <c r="C217" i="14" s="1"/>
  <c r="C221" i="14" s="1"/>
  <c r="C225" i="14" s="1"/>
  <c r="C229" i="14" s="1"/>
  <c r="C233" i="14" s="1"/>
  <c r="C237" i="14" s="1"/>
  <c r="C241" i="14" s="1"/>
  <c r="C245" i="14" s="1"/>
  <c r="C249" i="14" s="1"/>
  <c r="C253" i="14" s="1"/>
  <c r="C257" i="14" s="1"/>
  <c r="C261" i="14" s="1"/>
  <c r="C265" i="14" s="1"/>
  <c r="C269" i="14" s="1"/>
  <c r="C273" i="14" s="1"/>
  <c r="C277" i="14" s="1"/>
  <c r="C281" i="14" s="1"/>
  <c r="C285" i="14" s="1"/>
  <c r="C289" i="14" s="1"/>
  <c r="C293" i="14" s="1"/>
  <c r="C297" i="14" s="1"/>
  <c r="C301" i="14" s="1"/>
  <c r="C305" i="14" s="1"/>
  <c r="C309" i="14" s="1"/>
  <c r="C313" i="14" s="1"/>
  <c r="C317" i="14" s="1"/>
  <c r="C321" i="14" s="1"/>
  <c r="C325" i="14" s="1"/>
  <c r="C329" i="14" s="1"/>
  <c r="C30" i="14"/>
  <c r="C34" i="14" s="1"/>
  <c r="C38" i="14" s="1"/>
  <c r="C42" i="14" s="1"/>
  <c r="C46" i="14" s="1"/>
  <c r="C50" i="14" s="1"/>
  <c r="C54" i="14" s="1"/>
  <c r="C58" i="14" s="1"/>
  <c r="C62" i="14" s="1"/>
  <c r="C66" i="14" s="1"/>
  <c r="C70" i="14" s="1"/>
  <c r="C74" i="14" s="1"/>
  <c r="C78" i="14" s="1"/>
  <c r="C82" i="14" s="1"/>
  <c r="C86" i="14" s="1"/>
  <c r="C90" i="14" s="1"/>
  <c r="C94" i="14" s="1"/>
  <c r="C98" i="14" s="1"/>
  <c r="C102" i="14" s="1"/>
  <c r="C106" i="14" s="1"/>
  <c r="C110" i="14" s="1"/>
  <c r="C114" i="14" s="1"/>
  <c r="C118" i="14" s="1"/>
  <c r="C122" i="14" s="1"/>
  <c r="C126" i="14" s="1"/>
  <c r="C130" i="14" s="1"/>
  <c r="C134" i="14" s="1"/>
  <c r="C138" i="14" s="1"/>
  <c r="C142" i="14" s="1"/>
  <c r="C146" i="14" s="1"/>
  <c r="C150" i="14" s="1"/>
  <c r="C154" i="14" s="1"/>
  <c r="C158" i="14" s="1"/>
  <c r="C162" i="14" s="1"/>
  <c r="C166" i="14" s="1"/>
  <c r="C170" i="14" s="1"/>
  <c r="C174" i="14" s="1"/>
  <c r="C178" i="14" s="1"/>
  <c r="C182" i="14" s="1"/>
  <c r="C186" i="14" s="1"/>
  <c r="C190" i="14" s="1"/>
  <c r="C194" i="14" s="1"/>
  <c r="C198" i="14" s="1"/>
  <c r="C202" i="14" s="1"/>
  <c r="C206" i="14" s="1"/>
  <c r="C210" i="14" s="1"/>
  <c r="C214" i="14" s="1"/>
  <c r="C218" i="14" s="1"/>
  <c r="C222" i="14" s="1"/>
  <c r="C226" i="14" s="1"/>
  <c r="C230" i="14" s="1"/>
  <c r="C234" i="14" s="1"/>
  <c r="C238" i="14" s="1"/>
  <c r="C242" i="14" s="1"/>
  <c r="C246" i="14" s="1"/>
  <c r="C250" i="14" s="1"/>
  <c r="C254" i="14" s="1"/>
  <c r="C258" i="14" s="1"/>
  <c r="C262" i="14" s="1"/>
  <c r="C266" i="14" s="1"/>
  <c r="C270" i="14" s="1"/>
  <c r="C274" i="14" s="1"/>
  <c r="C278" i="14" s="1"/>
  <c r="C282" i="14" s="1"/>
  <c r="C286" i="14" s="1"/>
  <c r="C290" i="14" s="1"/>
  <c r="C294" i="14" s="1"/>
  <c r="C298" i="14" s="1"/>
  <c r="C302" i="14" s="1"/>
  <c r="C306" i="14" s="1"/>
  <c r="C310" i="14" s="1"/>
  <c r="C314" i="14" s="1"/>
  <c r="C318" i="14" s="1"/>
  <c r="C322" i="14" s="1"/>
  <c r="C326" i="14" s="1"/>
  <c r="C330" i="14" s="1"/>
  <c r="D27" i="14"/>
  <c r="D31" i="14" s="1"/>
  <c r="D35" i="14" s="1"/>
  <c r="D39" i="14" s="1"/>
  <c r="D43" i="14" s="1"/>
  <c r="D47" i="14" s="1"/>
  <c r="D51" i="14" s="1"/>
  <c r="D55" i="14" s="1"/>
  <c r="D59" i="14" s="1"/>
  <c r="D63" i="14" s="1"/>
  <c r="D67" i="14" s="1"/>
  <c r="D71" i="14" s="1"/>
  <c r="D75" i="14" s="1"/>
  <c r="D79" i="14" s="1"/>
  <c r="D83" i="14" s="1"/>
  <c r="D87" i="14" s="1"/>
  <c r="D91" i="14" s="1"/>
  <c r="D95" i="14" s="1"/>
  <c r="D99" i="14" s="1"/>
  <c r="D103" i="14" s="1"/>
  <c r="D107" i="14" s="1"/>
  <c r="D111" i="14" s="1"/>
  <c r="D115" i="14" s="1"/>
  <c r="D119" i="14" s="1"/>
  <c r="D123" i="14" s="1"/>
  <c r="D127" i="14" s="1"/>
  <c r="D131" i="14" s="1"/>
  <c r="D135" i="14" s="1"/>
  <c r="D139" i="14" s="1"/>
  <c r="D143" i="14" s="1"/>
  <c r="D147" i="14" s="1"/>
  <c r="D151" i="14" s="1"/>
  <c r="D155" i="14" s="1"/>
  <c r="D159" i="14" s="1"/>
  <c r="D163" i="14" s="1"/>
  <c r="D167" i="14" s="1"/>
  <c r="D171" i="14" s="1"/>
  <c r="D175" i="14" s="1"/>
  <c r="D179" i="14" s="1"/>
  <c r="D183" i="14" s="1"/>
  <c r="D187" i="14" s="1"/>
  <c r="D191" i="14" s="1"/>
  <c r="D195" i="14" s="1"/>
  <c r="D199" i="14" s="1"/>
  <c r="D203" i="14" s="1"/>
  <c r="D207" i="14" s="1"/>
  <c r="D211" i="14" s="1"/>
  <c r="D215" i="14" s="1"/>
  <c r="D219" i="14" s="1"/>
  <c r="D223" i="14" s="1"/>
  <c r="D227" i="14" s="1"/>
  <c r="D231" i="14" s="1"/>
  <c r="D235" i="14" s="1"/>
  <c r="D239" i="14" s="1"/>
  <c r="D243" i="14" s="1"/>
  <c r="D247" i="14" s="1"/>
  <c r="D251" i="14" s="1"/>
  <c r="D255" i="14" s="1"/>
  <c r="D259" i="14" s="1"/>
  <c r="D263" i="14" s="1"/>
  <c r="D267" i="14" s="1"/>
  <c r="D271" i="14" s="1"/>
  <c r="D275" i="14" s="1"/>
  <c r="D279" i="14" s="1"/>
  <c r="D283" i="14" s="1"/>
  <c r="D287" i="14" s="1"/>
  <c r="D291" i="14" s="1"/>
  <c r="D295" i="14" s="1"/>
  <c r="D299" i="14" s="1"/>
  <c r="D303" i="14" s="1"/>
  <c r="D307" i="14" s="1"/>
  <c r="D311" i="14" s="1"/>
  <c r="D315" i="14" s="1"/>
  <c r="D319" i="14" s="1"/>
  <c r="D323" i="14" s="1"/>
  <c r="D327" i="14" s="1"/>
  <c r="C18" i="14"/>
  <c r="C22" i="14" s="1"/>
  <c r="C26" i="14" s="1"/>
  <c r="B18" i="14"/>
  <c r="B22" i="14" s="1"/>
  <c r="B26" i="14" s="1"/>
  <c r="B30" i="14" s="1"/>
  <c r="B34" i="14" s="1"/>
  <c r="B38" i="14" s="1"/>
  <c r="B42" i="14" s="1"/>
  <c r="B46" i="14" s="1"/>
  <c r="B50" i="14" s="1"/>
  <c r="B54" i="14" s="1"/>
  <c r="B58" i="14" s="1"/>
  <c r="B62" i="14" s="1"/>
  <c r="B66" i="14" s="1"/>
  <c r="B70" i="14" s="1"/>
  <c r="B74" i="14" s="1"/>
  <c r="B78" i="14" s="1"/>
  <c r="B82" i="14" s="1"/>
  <c r="B86" i="14" s="1"/>
  <c r="B90" i="14" s="1"/>
  <c r="B94" i="14" s="1"/>
  <c r="B98" i="14" s="1"/>
  <c r="B102" i="14" s="1"/>
  <c r="B106" i="14" s="1"/>
  <c r="B110" i="14" s="1"/>
  <c r="B114" i="14" s="1"/>
  <c r="B118" i="14" s="1"/>
  <c r="B122" i="14" s="1"/>
  <c r="B126" i="14" s="1"/>
  <c r="B130" i="14" s="1"/>
  <c r="B134" i="14" s="1"/>
  <c r="B138" i="14" s="1"/>
  <c r="B142" i="14" s="1"/>
  <c r="B146" i="14" s="1"/>
  <c r="B150" i="14" s="1"/>
  <c r="B154" i="14" s="1"/>
  <c r="B158" i="14" s="1"/>
  <c r="B162" i="14" s="1"/>
  <c r="B166" i="14" s="1"/>
  <c r="B170" i="14" s="1"/>
  <c r="B174" i="14" s="1"/>
  <c r="B178" i="14" s="1"/>
  <c r="B182" i="14" s="1"/>
  <c r="B186" i="14" s="1"/>
  <c r="B190" i="14" s="1"/>
  <c r="B194" i="14" s="1"/>
  <c r="B198" i="14" s="1"/>
  <c r="B202" i="14" s="1"/>
  <c r="B206" i="14" s="1"/>
  <c r="B210" i="14" s="1"/>
  <c r="B214" i="14" s="1"/>
  <c r="B218" i="14" s="1"/>
  <c r="B222" i="14" s="1"/>
  <c r="B226" i="14" s="1"/>
  <c r="B230" i="14" s="1"/>
  <c r="B234" i="14" s="1"/>
  <c r="B238" i="14" s="1"/>
  <c r="B242" i="14" s="1"/>
  <c r="B246" i="14" s="1"/>
  <c r="B250" i="14" s="1"/>
  <c r="B254" i="14" s="1"/>
  <c r="B258" i="14" s="1"/>
  <c r="B262" i="14" s="1"/>
  <c r="B266" i="14" s="1"/>
  <c r="B270" i="14" s="1"/>
  <c r="B274" i="14" s="1"/>
  <c r="B278" i="14" s="1"/>
  <c r="B282" i="14" s="1"/>
  <c r="B286" i="14" s="1"/>
  <c r="B290" i="14" s="1"/>
  <c r="B294" i="14" s="1"/>
  <c r="B298" i="14" s="1"/>
  <c r="B302" i="14" s="1"/>
  <c r="B306" i="14" s="1"/>
  <c r="B310" i="14" s="1"/>
  <c r="B314" i="14" s="1"/>
  <c r="B318" i="14" s="1"/>
  <c r="B322" i="14" s="1"/>
  <c r="B326" i="14" s="1"/>
  <c r="B330" i="14" s="1"/>
  <c r="C17" i="14"/>
  <c r="C21" i="14" s="1"/>
  <c r="C25" i="14" s="1"/>
  <c r="C29" i="14" s="1"/>
  <c r="C33" i="14" s="1"/>
  <c r="C37" i="14" s="1"/>
  <c r="C41" i="14" s="1"/>
  <c r="C45" i="14" s="1"/>
  <c r="C49" i="14" s="1"/>
  <c r="C53" i="14" s="1"/>
  <c r="C57" i="14" s="1"/>
  <c r="B16" i="14"/>
  <c r="B20" i="14" s="1"/>
  <c r="B24" i="14" s="1"/>
  <c r="B28" i="14" s="1"/>
  <c r="B32" i="14" s="1"/>
  <c r="B36" i="14" s="1"/>
  <c r="B40" i="14" s="1"/>
  <c r="B44" i="14" s="1"/>
  <c r="B48" i="14" s="1"/>
  <c r="B52" i="14" s="1"/>
  <c r="B56" i="14" s="1"/>
  <c r="B60" i="14" s="1"/>
  <c r="B64" i="14" s="1"/>
  <c r="B68" i="14" s="1"/>
  <c r="B72" i="14" s="1"/>
  <c r="B76" i="14" s="1"/>
  <c r="B80" i="14" s="1"/>
  <c r="B84" i="14" s="1"/>
  <c r="B88" i="14" s="1"/>
  <c r="B92" i="14" s="1"/>
  <c r="B96" i="14" s="1"/>
  <c r="B100" i="14" s="1"/>
  <c r="B104" i="14" s="1"/>
  <c r="B108" i="14" s="1"/>
  <c r="B112" i="14" s="1"/>
  <c r="B116" i="14" s="1"/>
  <c r="B120" i="14" s="1"/>
  <c r="B124" i="14" s="1"/>
  <c r="B128" i="14" s="1"/>
  <c r="B132" i="14" s="1"/>
  <c r="B136" i="14" s="1"/>
  <c r="B140" i="14" s="1"/>
  <c r="B144" i="14" s="1"/>
  <c r="B148" i="14" s="1"/>
  <c r="B152" i="14" s="1"/>
  <c r="B156" i="14" s="1"/>
  <c r="B160" i="14" s="1"/>
  <c r="B164" i="14" s="1"/>
  <c r="B168" i="14" s="1"/>
  <c r="B172" i="14" s="1"/>
  <c r="B176" i="14" s="1"/>
  <c r="B180" i="14" s="1"/>
  <c r="B184" i="14" s="1"/>
  <c r="B188" i="14" s="1"/>
  <c r="B192" i="14" s="1"/>
  <c r="B196" i="14" s="1"/>
  <c r="B200" i="14" s="1"/>
  <c r="B204" i="14" s="1"/>
  <c r="B208" i="14" s="1"/>
  <c r="B212" i="14" s="1"/>
  <c r="B216" i="14" s="1"/>
  <c r="B220" i="14" s="1"/>
  <c r="B224" i="14" s="1"/>
  <c r="B228" i="14" s="1"/>
  <c r="B232" i="14" s="1"/>
  <c r="B236" i="14" s="1"/>
  <c r="B240" i="14" s="1"/>
  <c r="B244" i="14" s="1"/>
  <c r="B248" i="14" s="1"/>
  <c r="B252" i="14" s="1"/>
  <c r="B256" i="14" s="1"/>
  <c r="B260" i="14" s="1"/>
  <c r="B264" i="14" s="1"/>
  <c r="B268" i="14" s="1"/>
  <c r="B272" i="14" s="1"/>
  <c r="B276" i="14" s="1"/>
  <c r="B280" i="14" s="1"/>
  <c r="B284" i="14" s="1"/>
  <c r="B288" i="14" s="1"/>
  <c r="B292" i="14" s="1"/>
  <c r="B296" i="14" s="1"/>
  <c r="B300" i="14" s="1"/>
  <c r="B304" i="14" s="1"/>
  <c r="B308" i="14" s="1"/>
  <c r="B312" i="14" s="1"/>
  <c r="B316" i="14" s="1"/>
  <c r="B320" i="14" s="1"/>
  <c r="B324" i="14" s="1"/>
  <c r="B328" i="14" s="1"/>
  <c r="D15" i="14"/>
  <c r="D19" i="14" s="1"/>
  <c r="D23" i="14" s="1"/>
  <c r="C15" i="14"/>
  <c r="C19" i="14" s="1"/>
  <c r="C23" i="14" s="1"/>
  <c r="C27" i="14" s="1"/>
  <c r="C31" i="14" s="1"/>
  <c r="C35" i="14" s="1"/>
  <c r="C39" i="14" s="1"/>
  <c r="C43" i="14" s="1"/>
  <c r="C47" i="14" s="1"/>
  <c r="C51" i="14" s="1"/>
  <c r="C55" i="14" s="1"/>
  <c r="C59" i="14" s="1"/>
  <c r="C63" i="14" s="1"/>
  <c r="C67" i="14" s="1"/>
  <c r="C71" i="14" s="1"/>
  <c r="C75" i="14" s="1"/>
  <c r="C79" i="14" s="1"/>
  <c r="C83" i="14" s="1"/>
  <c r="C87" i="14" s="1"/>
  <c r="C91" i="14" s="1"/>
  <c r="C95" i="14" s="1"/>
  <c r="C99" i="14" s="1"/>
  <c r="C103" i="14" s="1"/>
  <c r="C107" i="14" s="1"/>
  <c r="C111" i="14" s="1"/>
  <c r="C115" i="14" s="1"/>
  <c r="C119" i="14" s="1"/>
  <c r="C123" i="14" s="1"/>
  <c r="C127" i="14" s="1"/>
  <c r="C131" i="14" s="1"/>
  <c r="C135" i="14" s="1"/>
  <c r="C139" i="14" s="1"/>
  <c r="C143" i="14" s="1"/>
  <c r="C147" i="14" s="1"/>
  <c r="C151" i="14" s="1"/>
  <c r="C155" i="14" s="1"/>
  <c r="C159" i="14" s="1"/>
  <c r="C163" i="14" s="1"/>
  <c r="C167" i="14" s="1"/>
  <c r="C171" i="14" s="1"/>
  <c r="C175" i="14" s="1"/>
  <c r="C179" i="14" s="1"/>
  <c r="C183" i="14" s="1"/>
  <c r="C187" i="14" s="1"/>
  <c r="C191" i="14" s="1"/>
  <c r="C195" i="14" s="1"/>
  <c r="C199" i="14" s="1"/>
  <c r="C203" i="14" s="1"/>
  <c r="C207" i="14" s="1"/>
  <c r="C211" i="14" s="1"/>
  <c r="C215" i="14" s="1"/>
  <c r="C219" i="14" s="1"/>
  <c r="C223" i="14" s="1"/>
  <c r="C227" i="14" s="1"/>
  <c r="C231" i="14" s="1"/>
  <c r="C235" i="14" s="1"/>
  <c r="C239" i="14" s="1"/>
  <c r="C243" i="14" s="1"/>
  <c r="C247" i="14" s="1"/>
  <c r="C251" i="14" s="1"/>
  <c r="C255" i="14" s="1"/>
  <c r="C259" i="14" s="1"/>
  <c r="C263" i="14" s="1"/>
  <c r="C267" i="14" s="1"/>
  <c r="C271" i="14" s="1"/>
  <c r="C275" i="14" s="1"/>
  <c r="C279" i="14" s="1"/>
  <c r="C283" i="14" s="1"/>
  <c r="C287" i="14" s="1"/>
  <c r="C291" i="14" s="1"/>
  <c r="C295" i="14" s="1"/>
  <c r="C299" i="14" s="1"/>
  <c r="C303" i="14" s="1"/>
  <c r="C307" i="14" s="1"/>
  <c r="C311" i="14" s="1"/>
  <c r="C315" i="14" s="1"/>
  <c r="C319" i="14" s="1"/>
  <c r="C323" i="14" s="1"/>
  <c r="C327" i="14" s="1"/>
  <c r="C14" i="14"/>
  <c r="B14" i="14"/>
  <c r="C13" i="14"/>
  <c r="B13" i="14"/>
  <c r="B17" i="14" s="1"/>
  <c r="B21" i="14" s="1"/>
  <c r="B25" i="14" s="1"/>
  <c r="B29" i="14" s="1"/>
  <c r="B33" i="14" s="1"/>
  <c r="B37" i="14" s="1"/>
  <c r="B41" i="14" s="1"/>
  <c r="B45" i="14" s="1"/>
  <c r="B49" i="14" s="1"/>
  <c r="B53" i="14" s="1"/>
  <c r="B57" i="14" s="1"/>
  <c r="B61" i="14" s="1"/>
  <c r="B65" i="14" s="1"/>
  <c r="B69" i="14" s="1"/>
  <c r="B73" i="14" s="1"/>
  <c r="B77" i="14" s="1"/>
  <c r="B81" i="14" s="1"/>
  <c r="B85" i="14" s="1"/>
  <c r="B89" i="14" s="1"/>
  <c r="B93" i="14" s="1"/>
  <c r="B97" i="14" s="1"/>
  <c r="B101" i="14" s="1"/>
  <c r="B105" i="14" s="1"/>
  <c r="B109" i="14" s="1"/>
  <c r="B113" i="14" s="1"/>
  <c r="B117" i="14" s="1"/>
  <c r="B121" i="14" s="1"/>
  <c r="B125" i="14" s="1"/>
  <c r="B129" i="14" s="1"/>
  <c r="B133" i="14" s="1"/>
  <c r="B137" i="14" s="1"/>
  <c r="B141" i="14" s="1"/>
  <c r="B145" i="14" s="1"/>
  <c r="B149" i="14" s="1"/>
  <c r="B153" i="14" s="1"/>
  <c r="B157" i="14" s="1"/>
  <c r="B161" i="14" s="1"/>
  <c r="B165" i="14" s="1"/>
  <c r="B169" i="14" s="1"/>
  <c r="B173" i="14" s="1"/>
  <c r="B177" i="14" s="1"/>
  <c r="B181" i="14" s="1"/>
  <c r="B185" i="14" s="1"/>
  <c r="B189" i="14" s="1"/>
  <c r="B193" i="14" s="1"/>
  <c r="B197" i="14" s="1"/>
  <c r="B201" i="14" s="1"/>
  <c r="B205" i="14" s="1"/>
  <c r="B209" i="14" s="1"/>
  <c r="B213" i="14" s="1"/>
  <c r="B217" i="14" s="1"/>
  <c r="B221" i="14" s="1"/>
  <c r="B225" i="14" s="1"/>
  <c r="B229" i="14" s="1"/>
  <c r="B233" i="14" s="1"/>
  <c r="B237" i="14" s="1"/>
  <c r="B241" i="14" s="1"/>
  <c r="B245" i="14" s="1"/>
  <c r="B249" i="14" s="1"/>
  <c r="B253" i="14" s="1"/>
  <c r="B257" i="14" s="1"/>
  <c r="B261" i="14" s="1"/>
  <c r="B265" i="14" s="1"/>
  <c r="B269" i="14" s="1"/>
  <c r="B273" i="14" s="1"/>
  <c r="B277" i="14" s="1"/>
  <c r="B281" i="14" s="1"/>
  <c r="B285" i="14" s="1"/>
  <c r="B289" i="14" s="1"/>
  <c r="B293" i="14" s="1"/>
  <c r="B297" i="14" s="1"/>
  <c r="B301" i="14" s="1"/>
  <c r="B305" i="14" s="1"/>
  <c r="B309" i="14" s="1"/>
  <c r="B313" i="14" s="1"/>
  <c r="B317" i="14" s="1"/>
  <c r="B321" i="14" s="1"/>
  <c r="B325" i="14" s="1"/>
  <c r="B329" i="14" s="1"/>
  <c r="C12" i="14"/>
  <c r="C16" i="14" s="1"/>
  <c r="C20" i="14" s="1"/>
  <c r="C24" i="14" s="1"/>
  <c r="C28" i="14" s="1"/>
  <c r="C32" i="14" s="1"/>
  <c r="C36" i="14" s="1"/>
  <c r="C40" i="14" s="1"/>
  <c r="C44" i="14" s="1"/>
  <c r="C48" i="14" s="1"/>
  <c r="C52" i="14" s="1"/>
  <c r="C56" i="14" s="1"/>
  <c r="C60" i="14" s="1"/>
  <c r="C64" i="14" s="1"/>
  <c r="C68" i="14" s="1"/>
  <c r="C72" i="14" s="1"/>
  <c r="C76" i="14" s="1"/>
  <c r="C80" i="14" s="1"/>
  <c r="C84" i="14" s="1"/>
  <c r="C88" i="14" s="1"/>
  <c r="C92" i="14" s="1"/>
  <c r="C96" i="14" s="1"/>
  <c r="C100" i="14" s="1"/>
  <c r="C104" i="14" s="1"/>
  <c r="C108" i="14" s="1"/>
  <c r="C112" i="14" s="1"/>
  <c r="C116" i="14" s="1"/>
  <c r="C120" i="14" s="1"/>
  <c r="C124" i="14" s="1"/>
  <c r="C128" i="14" s="1"/>
  <c r="C132" i="14" s="1"/>
  <c r="C136" i="14" s="1"/>
  <c r="C140" i="14" s="1"/>
  <c r="C144" i="14" s="1"/>
  <c r="C148" i="14" s="1"/>
  <c r="C152" i="14" s="1"/>
  <c r="C156" i="14" s="1"/>
  <c r="C160" i="14" s="1"/>
  <c r="C164" i="14" s="1"/>
  <c r="C168" i="14" s="1"/>
  <c r="C172" i="14" s="1"/>
  <c r="C176" i="14" s="1"/>
  <c r="C180" i="14" s="1"/>
  <c r="C184" i="14" s="1"/>
  <c r="C188" i="14" s="1"/>
  <c r="C192" i="14" s="1"/>
  <c r="C196" i="14" s="1"/>
  <c r="C200" i="14" s="1"/>
  <c r="C204" i="14" s="1"/>
  <c r="C208" i="14" s="1"/>
  <c r="C212" i="14" s="1"/>
  <c r="C216" i="14" s="1"/>
  <c r="C220" i="14" s="1"/>
  <c r="C224" i="14" s="1"/>
  <c r="C228" i="14" s="1"/>
  <c r="C232" i="14" s="1"/>
  <c r="C236" i="14" s="1"/>
  <c r="C240" i="14" s="1"/>
  <c r="C244" i="14" s="1"/>
  <c r="C248" i="14" s="1"/>
  <c r="C252" i="14" s="1"/>
  <c r="C256" i="14" s="1"/>
  <c r="C260" i="14" s="1"/>
  <c r="C264" i="14" s="1"/>
  <c r="C268" i="14" s="1"/>
  <c r="C272" i="14" s="1"/>
  <c r="C276" i="14" s="1"/>
  <c r="C280" i="14" s="1"/>
  <c r="C284" i="14" s="1"/>
  <c r="C288" i="14" s="1"/>
  <c r="C292" i="14" s="1"/>
  <c r="C296" i="14" s="1"/>
  <c r="C300" i="14" s="1"/>
  <c r="C304" i="14" s="1"/>
  <c r="C308" i="14" s="1"/>
  <c r="C312" i="14" s="1"/>
  <c r="C316" i="14" s="1"/>
  <c r="C320" i="14" s="1"/>
  <c r="C324" i="14" s="1"/>
  <c r="C328" i="14" s="1"/>
  <c r="B12" i="14"/>
  <c r="B11" i="14"/>
  <c r="B15" i="14" s="1"/>
  <c r="B19" i="14" s="1"/>
  <c r="B23" i="14" s="1"/>
  <c r="B27" i="14" s="1"/>
  <c r="B31" i="14" s="1"/>
  <c r="B35" i="14" s="1"/>
  <c r="B39" i="14" s="1"/>
  <c r="B43" i="14" s="1"/>
  <c r="B47" i="14" s="1"/>
  <c r="B51" i="14" s="1"/>
  <c r="B55" i="14" s="1"/>
  <c r="B59" i="14" s="1"/>
  <c r="B63" i="14" s="1"/>
  <c r="B67" i="14" s="1"/>
  <c r="B71" i="14" s="1"/>
  <c r="B75" i="14" s="1"/>
  <c r="B79" i="14" s="1"/>
  <c r="B83" i="14" s="1"/>
  <c r="B87" i="14" s="1"/>
  <c r="B91" i="14" s="1"/>
  <c r="B95" i="14" s="1"/>
  <c r="B99" i="14" s="1"/>
  <c r="B103" i="14" s="1"/>
  <c r="B107" i="14" s="1"/>
  <c r="B111" i="14" s="1"/>
  <c r="B115" i="14" s="1"/>
  <c r="B119" i="14" s="1"/>
  <c r="B123" i="14" s="1"/>
  <c r="B127" i="14" s="1"/>
  <c r="B131" i="14" s="1"/>
  <c r="B135" i="14" s="1"/>
  <c r="B139" i="14" s="1"/>
  <c r="B143" i="14" s="1"/>
  <c r="B147" i="14" s="1"/>
  <c r="B151" i="14" s="1"/>
  <c r="B155" i="14" s="1"/>
  <c r="B159" i="14" s="1"/>
  <c r="B163" i="14" s="1"/>
  <c r="B167" i="14" s="1"/>
  <c r="B171" i="14" s="1"/>
  <c r="B175" i="14" s="1"/>
  <c r="B179" i="14" s="1"/>
  <c r="B183" i="14" s="1"/>
  <c r="B187" i="14" s="1"/>
  <c r="B191" i="14" s="1"/>
  <c r="B195" i="14" s="1"/>
  <c r="B199" i="14" s="1"/>
  <c r="B203" i="14" s="1"/>
  <c r="B207" i="14" s="1"/>
  <c r="B211" i="14" s="1"/>
  <c r="B215" i="14" s="1"/>
  <c r="B219" i="14" s="1"/>
  <c r="B223" i="14" s="1"/>
  <c r="B227" i="14" s="1"/>
  <c r="B231" i="14" s="1"/>
  <c r="B235" i="14" s="1"/>
  <c r="B239" i="14" s="1"/>
  <c r="B243" i="14" s="1"/>
  <c r="B247" i="14" s="1"/>
  <c r="B251" i="14" s="1"/>
  <c r="B255" i="14" s="1"/>
  <c r="B259" i="14" s="1"/>
  <c r="B263" i="14" s="1"/>
  <c r="B267" i="14" s="1"/>
  <c r="B271" i="14" s="1"/>
  <c r="B275" i="14" s="1"/>
  <c r="B279" i="14" s="1"/>
  <c r="B283" i="14" s="1"/>
  <c r="B287" i="14" s="1"/>
  <c r="B291" i="14" s="1"/>
  <c r="B295" i="14" s="1"/>
  <c r="B299" i="14" s="1"/>
  <c r="B303" i="14" s="1"/>
  <c r="B307" i="14" s="1"/>
  <c r="B311" i="14" s="1"/>
  <c r="B315" i="14" s="1"/>
  <c r="B319" i="14" s="1"/>
  <c r="B323" i="14" s="1"/>
  <c r="B327" i="14" s="1"/>
  <c r="E10" i="14"/>
  <c r="E9" i="14"/>
  <c r="E8" i="14"/>
  <c r="T1" i="14"/>
  <c r="P1" i="14"/>
  <c r="C19" i="13"/>
  <c r="C23" i="13" s="1"/>
  <c r="C27" i="13" s="1"/>
  <c r="C31" i="13" s="1"/>
  <c r="C35" i="13" s="1"/>
  <c r="C39" i="13" s="1"/>
  <c r="C43" i="13" s="1"/>
  <c r="C47" i="13" s="1"/>
  <c r="C51" i="13" s="1"/>
  <c r="C55" i="13" s="1"/>
  <c r="C59" i="13" s="1"/>
  <c r="C63" i="13" s="1"/>
  <c r="C67" i="13" s="1"/>
  <c r="C71" i="13" s="1"/>
  <c r="C75" i="13" s="1"/>
  <c r="C79" i="13" s="1"/>
  <c r="C83" i="13" s="1"/>
  <c r="C87" i="13" s="1"/>
  <c r="C91" i="13" s="1"/>
  <c r="C95" i="13" s="1"/>
  <c r="C99" i="13" s="1"/>
  <c r="C103" i="13" s="1"/>
  <c r="C107" i="13" s="1"/>
  <c r="C111" i="13" s="1"/>
  <c r="C115" i="13" s="1"/>
  <c r="C119" i="13" s="1"/>
  <c r="C123" i="13" s="1"/>
  <c r="C127" i="13" s="1"/>
  <c r="C131" i="13" s="1"/>
  <c r="C135" i="13" s="1"/>
  <c r="C139" i="13" s="1"/>
  <c r="C143" i="13" s="1"/>
  <c r="C147" i="13" s="1"/>
  <c r="C151" i="13" s="1"/>
  <c r="C155" i="13" s="1"/>
  <c r="C159" i="13" s="1"/>
  <c r="C163" i="13" s="1"/>
  <c r="C167" i="13" s="1"/>
  <c r="C171" i="13" s="1"/>
  <c r="C175" i="13" s="1"/>
  <c r="C179" i="13" s="1"/>
  <c r="C183" i="13" s="1"/>
  <c r="C187" i="13" s="1"/>
  <c r="C191" i="13" s="1"/>
  <c r="C195" i="13" s="1"/>
  <c r="C199" i="13" s="1"/>
  <c r="C203" i="13" s="1"/>
  <c r="C207" i="13" s="1"/>
  <c r="C211" i="13" s="1"/>
  <c r="C215" i="13" s="1"/>
  <c r="C219" i="13" s="1"/>
  <c r="C223" i="13" s="1"/>
  <c r="C227" i="13" s="1"/>
  <c r="C231" i="13" s="1"/>
  <c r="C235" i="13" s="1"/>
  <c r="C239" i="13" s="1"/>
  <c r="C243" i="13" s="1"/>
  <c r="C247" i="13" s="1"/>
  <c r="C251" i="13" s="1"/>
  <c r="C255" i="13" s="1"/>
  <c r="C259" i="13" s="1"/>
  <c r="C263" i="13" s="1"/>
  <c r="C267" i="13" s="1"/>
  <c r="C271" i="13" s="1"/>
  <c r="C275" i="13" s="1"/>
  <c r="C279" i="13" s="1"/>
  <c r="C283" i="13" s="1"/>
  <c r="C287" i="13" s="1"/>
  <c r="C291" i="13" s="1"/>
  <c r="C295" i="13" s="1"/>
  <c r="C299" i="13" s="1"/>
  <c r="C303" i="13" s="1"/>
  <c r="C307" i="13" s="1"/>
  <c r="C311" i="13" s="1"/>
  <c r="C315" i="13" s="1"/>
  <c r="C319" i="13" s="1"/>
  <c r="C323" i="13" s="1"/>
  <c r="C327" i="13" s="1"/>
  <c r="B18" i="13"/>
  <c r="B22" i="13" s="1"/>
  <c r="B26" i="13" s="1"/>
  <c r="B30" i="13" s="1"/>
  <c r="B34" i="13" s="1"/>
  <c r="B38" i="13" s="1"/>
  <c r="B42" i="13" s="1"/>
  <c r="B46" i="13" s="1"/>
  <c r="B50" i="13" s="1"/>
  <c r="B54" i="13" s="1"/>
  <c r="B58" i="13" s="1"/>
  <c r="B62" i="13" s="1"/>
  <c r="B66" i="13" s="1"/>
  <c r="B70" i="13" s="1"/>
  <c r="B74" i="13" s="1"/>
  <c r="B78" i="13" s="1"/>
  <c r="B82" i="13" s="1"/>
  <c r="B86" i="13" s="1"/>
  <c r="B90" i="13" s="1"/>
  <c r="B94" i="13" s="1"/>
  <c r="B98" i="13" s="1"/>
  <c r="B102" i="13" s="1"/>
  <c r="B106" i="13" s="1"/>
  <c r="B110" i="13" s="1"/>
  <c r="B114" i="13" s="1"/>
  <c r="B118" i="13" s="1"/>
  <c r="B122" i="13" s="1"/>
  <c r="B126" i="13" s="1"/>
  <c r="B130" i="13" s="1"/>
  <c r="B134" i="13" s="1"/>
  <c r="B138" i="13" s="1"/>
  <c r="B142" i="13" s="1"/>
  <c r="B146" i="13" s="1"/>
  <c r="B150" i="13" s="1"/>
  <c r="B154" i="13" s="1"/>
  <c r="B158" i="13" s="1"/>
  <c r="B162" i="13" s="1"/>
  <c r="B166" i="13" s="1"/>
  <c r="B170" i="13" s="1"/>
  <c r="B174" i="13" s="1"/>
  <c r="B178" i="13" s="1"/>
  <c r="B182" i="13" s="1"/>
  <c r="B186" i="13" s="1"/>
  <c r="B190" i="13" s="1"/>
  <c r="B194" i="13" s="1"/>
  <c r="B198" i="13" s="1"/>
  <c r="B202" i="13" s="1"/>
  <c r="B206" i="13" s="1"/>
  <c r="B210" i="13" s="1"/>
  <c r="B214" i="13" s="1"/>
  <c r="B218" i="13" s="1"/>
  <c r="B222" i="13" s="1"/>
  <c r="B226" i="13" s="1"/>
  <c r="B230" i="13" s="1"/>
  <c r="B234" i="13" s="1"/>
  <c r="B238" i="13" s="1"/>
  <c r="B242" i="13" s="1"/>
  <c r="B246" i="13" s="1"/>
  <c r="B250" i="13" s="1"/>
  <c r="B254" i="13" s="1"/>
  <c r="B258" i="13" s="1"/>
  <c r="B262" i="13" s="1"/>
  <c r="B266" i="13" s="1"/>
  <c r="B270" i="13" s="1"/>
  <c r="B274" i="13" s="1"/>
  <c r="B278" i="13" s="1"/>
  <c r="B282" i="13" s="1"/>
  <c r="B286" i="13" s="1"/>
  <c r="B290" i="13" s="1"/>
  <c r="B294" i="13" s="1"/>
  <c r="B298" i="13" s="1"/>
  <c r="B302" i="13" s="1"/>
  <c r="B306" i="13" s="1"/>
  <c r="B310" i="13" s="1"/>
  <c r="B314" i="13" s="1"/>
  <c r="B318" i="13" s="1"/>
  <c r="B322" i="13" s="1"/>
  <c r="B326" i="13" s="1"/>
  <c r="B330" i="13" s="1"/>
  <c r="C17" i="13"/>
  <c r="C21" i="13" s="1"/>
  <c r="C25" i="13" s="1"/>
  <c r="C29" i="13" s="1"/>
  <c r="C33" i="13" s="1"/>
  <c r="C37" i="13" s="1"/>
  <c r="C41" i="13" s="1"/>
  <c r="C45" i="13" s="1"/>
  <c r="C49" i="13" s="1"/>
  <c r="C53" i="13" s="1"/>
  <c r="C57" i="13" s="1"/>
  <c r="C61" i="13" s="1"/>
  <c r="C65" i="13" s="1"/>
  <c r="C69" i="13" s="1"/>
  <c r="C73" i="13" s="1"/>
  <c r="C77" i="13" s="1"/>
  <c r="C81" i="13" s="1"/>
  <c r="C85" i="13" s="1"/>
  <c r="C89" i="13" s="1"/>
  <c r="C93" i="13" s="1"/>
  <c r="C97" i="13" s="1"/>
  <c r="C101" i="13" s="1"/>
  <c r="C105" i="13" s="1"/>
  <c r="C109" i="13" s="1"/>
  <c r="C113" i="13" s="1"/>
  <c r="C117" i="13" s="1"/>
  <c r="C121" i="13" s="1"/>
  <c r="C125" i="13" s="1"/>
  <c r="C129" i="13" s="1"/>
  <c r="C133" i="13" s="1"/>
  <c r="C137" i="13" s="1"/>
  <c r="C141" i="13" s="1"/>
  <c r="C145" i="13" s="1"/>
  <c r="C149" i="13" s="1"/>
  <c r="C153" i="13" s="1"/>
  <c r="C157" i="13" s="1"/>
  <c r="C161" i="13" s="1"/>
  <c r="C165" i="13" s="1"/>
  <c r="C169" i="13" s="1"/>
  <c r="C173" i="13" s="1"/>
  <c r="C177" i="13" s="1"/>
  <c r="C181" i="13" s="1"/>
  <c r="C185" i="13" s="1"/>
  <c r="C189" i="13" s="1"/>
  <c r="C193" i="13" s="1"/>
  <c r="C197" i="13" s="1"/>
  <c r="C201" i="13" s="1"/>
  <c r="C205" i="13" s="1"/>
  <c r="C209" i="13" s="1"/>
  <c r="C213" i="13" s="1"/>
  <c r="C217" i="13" s="1"/>
  <c r="C221" i="13" s="1"/>
  <c r="C225" i="13" s="1"/>
  <c r="C229" i="13" s="1"/>
  <c r="C233" i="13" s="1"/>
  <c r="C237" i="13" s="1"/>
  <c r="C241" i="13" s="1"/>
  <c r="C245" i="13" s="1"/>
  <c r="C249" i="13" s="1"/>
  <c r="C253" i="13" s="1"/>
  <c r="C257" i="13" s="1"/>
  <c r="C261" i="13" s="1"/>
  <c r="C265" i="13" s="1"/>
  <c r="C269" i="13" s="1"/>
  <c r="C273" i="13" s="1"/>
  <c r="C277" i="13" s="1"/>
  <c r="C281" i="13" s="1"/>
  <c r="C285" i="13" s="1"/>
  <c r="C289" i="13" s="1"/>
  <c r="C293" i="13" s="1"/>
  <c r="C297" i="13" s="1"/>
  <c r="C301" i="13" s="1"/>
  <c r="C305" i="13" s="1"/>
  <c r="C309" i="13" s="1"/>
  <c r="C313" i="13" s="1"/>
  <c r="C317" i="13" s="1"/>
  <c r="C321" i="13" s="1"/>
  <c r="C325" i="13" s="1"/>
  <c r="C329" i="13" s="1"/>
  <c r="B16" i="13"/>
  <c r="B20" i="13" s="1"/>
  <c r="B24" i="13" s="1"/>
  <c r="B28" i="13" s="1"/>
  <c r="B32" i="13" s="1"/>
  <c r="B36" i="13" s="1"/>
  <c r="B40" i="13" s="1"/>
  <c r="B44" i="13" s="1"/>
  <c r="B48" i="13" s="1"/>
  <c r="B52" i="13" s="1"/>
  <c r="B56" i="13" s="1"/>
  <c r="B60" i="13" s="1"/>
  <c r="B64" i="13" s="1"/>
  <c r="B68" i="13" s="1"/>
  <c r="B72" i="13" s="1"/>
  <c r="B76" i="13" s="1"/>
  <c r="B80" i="13" s="1"/>
  <c r="B84" i="13" s="1"/>
  <c r="B88" i="13" s="1"/>
  <c r="B92" i="13" s="1"/>
  <c r="B96" i="13" s="1"/>
  <c r="B100" i="13" s="1"/>
  <c r="B104" i="13" s="1"/>
  <c r="B108" i="13" s="1"/>
  <c r="B112" i="13" s="1"/>
  <c r="B116" i="13" s="1"/>
  <c r="B120" i="13" s="1"/>
  <c r="B124" i="13" s="1"/>
  <c r="B128" i="13" s="1"/>
  <c r="B132" i="13" s="1"/>
  <c r="B136" i="13" s="1"/>
  <c r="B140" i="13" s="1"/>
  <c r="B144" i="13" s="1"/>
  <c r="B148" i="13" s="1"/>
  <c r="B152" i="13" s="1"/>
  <c r="B156" i="13" s="1"/>
  <c r="B160" i="13" s="1"/>
  <c r="B164" i="13" s="1"/>
  <c r="B168" i="13" s="1"/>
  <c r="B172" i="13" s="1"/>
  <c r="B176" i="13" s="1"/>
  <c r="B180" i="13" s="1"/>
  <c r="B184" i="13" s="1"/>
  <c r="B188" i="13" s="1"/>
  <c r="B192" i="13" s="1"/>
  <c r="B196" i="13" s="1"/>
  <c r="B200" i="13" s="1"/>
  <c r="B204" i="13" s="1"/>
  <c r="B208" i="13" s="1"/>
  <c r="B212" i="13" s="1"/>
  <c r="B216" i="13" s="1"/>
  <c r="B220" i="13" s="1"/>
  <c r="B224" i="13" s="1"/>
  <c r="B228" i="13" s="1"/>
  <c r="B232" i="13" s="1"/>
  <c r="B236" i="13" s="1"/>
  <c r="B240" i="13" s="1"/>
  <c r="B244" i="13" s="1"/>
  <c r="B248" i="13" s="1"/>
  <c r="B252" i="13" s="1"/>
  <c r="B256" i="13" s="1"/>
  <c r="B260" i="13" s="1"/>
  <c r="B264" i="13" s="1"/>
  <c r="B268" i="13" s="1"/>
  <c r="B272" i="13" s="1"/>
  <c r="B276" i="13" s="1"/>
  <c r="B280" i="13" s="1"/>
  <c r="B284" i="13" s="1"/>
  <c r="B288" i="13" s="1"/>
  <c r="B292" i="13" s="1"/>
  <c r="B296" i="13" s="1"/>
  <c r="B300" i="13" s="1"/>
  <c r="B304" i="13" s="1"/>
  <c r="B308" i="13" s="1"/>
  <c r="B312" i="13" s="1"/>
  <c r="B316" i="13" s="1"/>
  <c r="B320" i="13" s="1"/>
  <c r="B324" i="13" s="1"/>
  <c r="B328" i="13" s="1"/>
  <c r="D15" i="13"/>
  <c r="D19" i="13" s="1"/>
  <c r="D23" i="13" s="1"/>
  <c r="D27" i="13" s="1"/>
  <c r="D31" i="13" s="1"/>
  <c r="D35" i="13" s="1"/>
  <c r="D39" i="13" s="1"/>
  <c r="D43" i="13" s="1"/>
  <c r="D47" i="13" s="1"/>
  <c r="D51" i="13" s="1"/>
  <c r="D55" i="13" s="1"/>
  <c r="D59" i="13" s="1"/>
  <c r="D63" i="13" s="1"/>
  <c r="D67" i="13" s="1"/>
  <c r="D71" i="13" s="1"/>
  <c r="D75" i="13" s="1"/>
  <c r="D79" i="13" s="1"/>
  <c r="D83" i="13" s="1"/>
  <c r="D87" i="13" s="1"/>
  <c r="D91" i="13" s="1"/>
  <c r="D95" i="13" s="1"/>
  <c r="D99" i="13" s="1"/>
  <c r="D103" i="13" s="1"/>
  <c r="D107" i="13" s="1"/>
  <c r="D111" i="13" s="1"/>
  <c r="D115" i="13" s="1"/>
  <c r="D119" i="13" s="1"/>
  <c r="D123" i="13" s="1"/>
  <c r="D127" i="13" s="1"/>
  <c r="D131" i="13" s="1"/>
  <c r="D135" i="13" s="1"/>
  <c r="D139" i="13" s="1"/>
  <c r="D143" i="13" s="1"/>
  <c r="D147" i="13" s="1"/>
  <c r="D151" i="13" s="1"/>
  <c r="D155" i="13" s="1"/>
  <c r="D159" i="13" s="1"/>
  <c r="D163" i="13" s="1"/>
  <c r="D167" i="13" s="1"/>
  <c r="D171" i="13" s="1"/>
  <c r="D175" i="13" s="1"/>
  <c r="D179" i="13" s="1"/>
  <c r="D183" i="13" s="1"/>
  <c r="D187" i="13" s="1"/>
  <c r="D191" i="13" s="1"/>
  <c r="D195" i="13" s="1"/>
  <c r="D199" i="13" s="1"/>
  <c r="D203" i="13" s="1"/>
  <c r="D207" i="13" s="1"/>
  <c r="D211" i="13" s="1"/>
  <c r="D215" i="13" s="1"/>
  <c r="D219" i="13" s="1"/>
  <c r="D223" i="13" s="1"/>
  <c r="D227" i="13" s="1"/>
  <c r="D231" i="13" s="1"/>
  <c r="D235" i="13" s="1"/>
  <c r="D239" i="13" s="1"/>
  <c r="D243" i="13" s="1"/>
  <c r="D247" i="13" s="1"/>
  <c r="D251" i="13" s="1"/>
  <c r="D255" i="13" s="1"/>
  <c r="D259" i="13" s="1"/>
  <c r="D263" i="13" s="1"/>
  <c r="D267" i="13" s="1"/>
  <c r="D271" i="13" s="1"/>
  <c r="D275" i="13" s="1"/>
  <c r="D279" i="13" s="1"/>
  <c r="D283" i="13" s="1"/>
  <c r="D287" i="13" s="1"/>
  <c r="D291" i="13" s="1"/>
  <c r="D295" i="13" s="1"/>
  <c r="D299" i="13" s="1"/>
  <c r="D303" i="13" s="1"/>
  <c r="D307" i="13" s="1"/>
  <c r="D311" i="13" s="1"/>
  <c r="D315" i="13" s="1"/>
  <c r="D319" i="13" s="1"/>
  <c r="D323" i="13" s="1"/>
  <c r="D327" i="13" s="1"/>
  <c r="C15" i="13"/>
  <c r="B15" i="13"/>
  <c r="B19" i="13" s="1"/>
  <c r="B23" i="13" s="1"/>
  <c r="B27" i="13" s="1"/>
  <c r="B31" i="13" s="1"/>
  <c r="B35" i="13" s="1"/>
  <c r="B39" i="13" s="1"/>
  <c r="B43" i="13" s="1"/>
  <c r="B47" i="13" s="1"/>
  <c r="B51" i="13" s="1"/>
  <c r="B55" i="13" s="1"/>
  <c r="B59" i="13" s="1"/>
  <c r="B63" i="13" s="1"/>
  <c r="B67" i="13" s="1"/>
  <c r="B71" i="13" s="1"/>
  <c r="B75" i="13" s="1"/>
  <c r="B79" i="13" s="1"/>
  <c r="B83" i="13" s="1"/>
  <c r="B87" i="13" s="1"/>
  <c r="B91" i="13" s="1"/>
  <c r="B95" i="13" s="1"/>
  <c r="B99" i="13" s="1"/>
  <c r="B103" i="13" s="1"/>
  <c r="B107" i="13" s="1"/>
  <c r="B111" i="13" s="1"/>
  <c r="B115" i="13" s="1"/>
  <c r="B119" i="13" s="1"/>
  <c r="B123" i="13" s="1"/>
  <c r="B127" i="13" s="1"/>
  <c r="B131" i="13" s="1"/>
  <c r="B135" i="13" s="1"/>
  <c r="B139" i="13" s="1"/>
  <c r="B143" i="13" s="1"/>
  <c r="B147" i="13" s="1"/>
  <c r="B151" i="13" s="1"/>
  <c r="B155" i="13" s="1"/>
  <c r="B159" i="13" s="1"/>
  <c r="B163" i="13" s="1"/>
  <c r="B167" i="13" s="1"/>
  <c r="B171" i="13" s="1"/>
  <c r="B175" i="13" s="1"/>
  <c r="B179" i="13" s="1"/>
  <c r="B183" i="13" s="1"/>
  <c r="B187" i="13" s="1"/>
  <c r="B191" i="13" s="1"/>
  <c r="B195" i="13" s="1"/>
  <c r="B199" i="13" s="1"/>
  <c r="B203" i="13" s="1"/>
  <c r="B207" i="13" s="1"/>
  <c r="B211" i="13" s="1"/>
  <c r="B215" i="13" s="1"/>
  <c r="B219" i="13" s="1"/>
  <c r="B223" i="13" s="1"/>
  <c r="B227" i="13" s="1"/>
  <c r="B231" i="13" s="1"/>
  <c r="B235" i="13" s="1"/>
  <c r="B239" i="13" s="1"/>
  <c r="B243" i="13" s="1"/>
  <c r="B247" i="13" s="1"/>
  <c r="B251" i="13" s="1"/>
  <c r="B255" i="13" s="1"/>
  <c r="B259" i="13" s="1"/>
  <c r="B263" i="13" s="1"/>
  <c r="B267" i="13" s="1"/>
  <c r="B271" i="13" s="1"/>
  <c r="B275" i="13" s="1"/>
  <c r="B279" i="13" s="1"/>
  <c r="B283" i="13" s="1"/>
  <c r="B287" i="13" s="1"/>
  <c r="B291" i="13" s="1"/>
  <c r="B295" i="13" s="1"/>
  <c r="B299" i="13" s="1"/>
  <c r="B303" i="13" s="1"/>
  <c r="B307" i="13" s="1"/>
  <c r="B311" i="13" s="1"/>
  <c r="B315" i="13" s="1"/>
  <c r="B319" i="13" s="1"/>
  <c r="B323" i="13" s="1"/>
  <c r="B327" i="13" s="1"/>
  <c r="C14" i="13"/>
  <c r="C18" i="13" s="1"/>
  <c r="C22" i="13" s="1"/>
  <c r="C26" i="13" s="1"/>
  <c r="C30" i="13" s="1"/>
  <c r="C34" i="13" s="1"/>
  <c r="C38" i="13" s="1"/>
  <c r="C42" i="13" s="1"/>
  <c r="C46" i="13" s="1"/>
  <c r="C50" i="13" s="1"/>
  <c r="C54" i="13" s="1"/>
  <c r="C58" i="13" s="1"/>
  <c r="C62" i="13" s="1"/>
  <c r="C66" i="13" s="1"/>
  <c r="C70" i="13" s="1"/>
  <c r="C74" i="13" s="1"/>
  <c r="C78" i="13" s="1"/>
  <c r="C82" i="13" s="1"/>
  <c r="C86" i="13" s="1"/>
  <c r="C90" i="13" s="1"/>
  <c r="C94" i="13" s="1"/>
  <c r="C98" i="13" s="1"/>
  <c r="C102" i="13" s="1"/>
  <c r="C106" i="13" s="1"/>
  <c r="C110" i="13" s="1"/>
  <c r="C114" i="13" s="1"/>
  <c r="C118" i="13" s="1"/>
  <c r="C122" i="13" s="1"/>
  <c r="C126" i="13" s="1"/>
  <c r="C130" i="13" s="1"/>
  <c r="C134" i="13" s="1"/>
  <c r="C138" i="13" s="1"/>
  <c r="C142" i="13" s="1"/>
  <c r="C146" i="13" s="1"/>
  <c r="C150" i="13" s="1"/>
  <c r="C154" i="13" s="1"/>
  <c r="C158" i="13" s="1"/>
  <c r="C162" i="13" s="1"/>
  <c r="C166" i="13" s="1"/>
  <c r="C170" i="13" s="1"/>
  <c r="C174" i="13" s="1"/>
  <c r="C178" i="13" s="1"/>
  <c r="C182" i="13" s="1"/>
  <c r="C186" i="13" s="1"/>
  <c r="C190" i="13" s="1"/>
  <c r="C194" i="13" s="1"/>
  <c r="C198" i="13" s="1"/>
  <c r="C202" i="13" s="1"/>
  <c r="C206" i="13" s="1"/>
  <c r="C210" i="13" s="1"/>
  <c r="C214" i="13" s="1"/>
  <c r="C218" i="13" s="1"/>
  <c r="C222" i="13" s="1"/>
  <c r="C226" i="13" s="1"/>
  <c r="C230" i="13" s="1"/>
  <c r="C234" i="13" s="1"/>
  <c r="C238" i="13" s="1"/>
  <c r="C242" i="13" s="1"/>
  <c r="C246" i="13" s="1"/>
  <c r="C250" i="13" s="1"/>
  <c r="C254" i="13" s="1"/>
  <c r="C258" i="13" s="1"/>
  <c r="C262" i="13" s="1"/>
  <c r="C266" i="13" s="1"/>
  <c r="C270" i="13" s="1"/>
  <c r="C274" i="13" s="1"/>
  <c r="C278" i="13" s="1"/>
  <c r="C282" i="13" s="1"/>
  <c r="C286" i="13" s="1"/>
  <c r="C290" i="13" s="1"/>
  <c r="C294" i="13" s="1"/>
  <c r="C298" i="13" s="1"/>
  <c r="C302" i="13" s="1"/>
  <c r="C306" i="13" s="1"/>
  <c r="C310" i="13" s="1"/>
  <c r="C314" i="13" s="1"/>
  <c r="C318" i="13" s="1"/>
  <c r="C322" i="13" s="1"/>
  <c r="C326" i="13" s="1"/>
  <c r="C330" i="13" s="1"/>
  <c r="B14" i="13"/>
  <c r="C13" i="13"/>
  <c r="B13" i="13"/>
  <c r="B17" i="13" s="1"/>
  <c r="B21" i="13" s="1"/>
  <c r="B25" i="13" s="1"/>
  <c r="B29" i="13" s="1"/>
  <c r="B33" i="13" s="1"/>
  <c r="B37" i="13" s="1"/>
  <c r="B41" i="13" s="1"/>
  <c r="B45" i="13" s="1"/>
  <c r="B49" i="13" s="1"/>
  <c r="B53" i="13" s="1"/>
  <c r="B57" i="13" s="1"/>
  <c r="B61" i="13" s="1"/>
  <c r="B65" i="13" s="1"/>
  <c r="B69" i="13" s="1"/>
  <c r="B73" i="13" s="1"/>
  <c r="B77" i="13" s="1"/>
  <c r="B81" i="13" s="1"/>
  <c r="B85" i="13" s="1"/>
  <c r="B89" i="13" s="1"/>
  <c r="B93" i="13" s="1"/>
  <c r="B97" i="13" s="1"/>
  <c r="B101" i="13" s="1"/>
  <c r="B105" i="13" s="1"/>
  <c r="B109" i="13" s="1"/>
  <c r="B113" i="13" s="1"/>
  <c r="B117" i="13" s="1"/>
  <c r="B121" i="13" s="1"/>
  <c r="B125" i="13" s="1"/>
  <c r="B129" i="13" s="1"/>
  <c r="B133" i="13" s="1"/>
  <c r="B137" i="13" s="1"/>
  <c r="B141" i="13" s="1"/>
  <c r="B145" i="13" s="1"/>
  <c r="B149" i="13" s="1"/>
  <c r="B153" i="13" s="1"/>
  <c r="B157" i="13" s="1"/>
  <c r="B161" i="13" s="1"/>
  <c r="B165" i="13" s="1"/>
  <c r="B169" i="13" s="1"/>
  <c r="B173" i="13" s="1"/>
  <c r="B177" i="13" s="1"/>
  <c r="B181" i="13" s="1"/>
  <c r="B185" i="13" s="1"/>
  <c r="B189" i="13" s="1"/>
  <c r="B193" i="13" s="1"/>
  <c r="B197" i="13" s="1"/>
  <c r="B201" i="13" s="1"/>
  <c r="B205" i="13" s="1"/>
  <c r="B209" i="13" s="1"/>
  <c r="B213" i="13" s="1"/>
  <c r="B217" i="13" s="1"/>
  <c r="B221" i="13" s="1"/>
  <c r="B225" i="13" s="1"/>
  <c r="B229" i="13" s="1"/>
  <c r="B233" i="13" s="1"/>
  <c r="B237" i="13" s="1"/>
  <c r="B241" i="13" s="1"/>
  <c r="B245" i="13" s="1"/>
  <c r="B249" i="13" s="1"/>
  <c r="B253" i="13" s="1"/>
  <c r="B257" i="13" s="1"/>
  <c r="B261" i="13" s="1"/>
  <c r="B265" i="13" s="1"/>
  <c r="B269" i="13" s="1"/>
  <c r="B273" i="13" s="1"/>
  <c r="B277" i="13" s="1"/>
  <c r="B281" i="13" s="1"/>
  <c r="B285" i="13" s="1"/>
  <c r="B289" i="13" s="1"/>
  <c r="B293" i="13" s="1"/>
  <c r="B297" i="13" s="1"/>
  <c r="B301" i="13" s="1"/>
  <c r="B305" i="13" s="1"/>
  <c r="B309" i="13" s="1"/>
  <c r="B313" i="13" s="1"/>
  <c r="B317" i="13" s="1"/>
  <c r="B321" i="13" s="1"/>
  <c r="B325" i="13" s="1"/>
  <c r="B329" i="13" s="1"/>
  <c r="C12" i="13"/>
  <c r="C16" i="13" s="1"/>
  <c r="C20" i="13" s="1"/>
  <c r="C24" i="13" s="1"/>
  <c r="C28" i="13" s="1"/>
  <c r="C32" i="13" s="1"/>
  <c r="C36" i="13" s="1"/>
  <c r="C40" i="13" s="1"/>
  <c r="C44" i="13" s="1"/>
  <c r="C48" i="13" s="1"/>
  <c r="C52" i="13" s="1"/>
  <c r="C56" i="13" s="1"/>
  <c r="C60" i="13" s="1"/>
  <c r="C64" i="13" s="1"/>
  <c r="C68" i="13" s="1"/>
  <c r="C72" i="13" s="1"/>
  <c r="C76" i="13" s="1"/>
  <c r="C80" i="13" s="1"/>
  <c r="C84" i="13" s="1"/>
  <c r="C88" i="13" s="1"/>
  <c r="C92" i="13" s="1"/>
  <c r="C96" i="13" s="1"/>
  <c r="C100" i="13" s="1"/>
  <c r="C104" i="13" s="1"/>
  <c r="C108" i="13" s="1"/>
  <c r="C112" i="13" s="1"/>
  <c r="C116" i="13" s="1"/>
  <c r="C120" i="13" s="1"/>
  <c r="C124" i="13" s="1"/>
  <c r="C128" i="13" s="1"/>
  <c r="C132" i="13" s="1"/>
  <c r="C136" i="13" s="1"/>
  <c r="C140" i="13" s="1"/>
  <c r="C144" i="13" s="1"/>
  <c r="C148" i="13" s="1"/>
  <c r="C152" i="13" s="1"/>
  <c r="C156" i="13" s="1"/>
  <c r="C160" i="13" s="1"/>
  <c r="C164" i="13" s="1"/>
  <c r="C168" i="13" s="1"/>
  <c r="C172" i="13" s="1"/>
  <c r="C176" i="13" s="1"/>
  <c r="C180" i="13" s="1"/>
  <c r="C184" i="13" s="1"/>
  <c r="C188" i="13" s="1"/>
  <c r="C192" i="13" s="1"/>
  <c r="C196" i="13" s="1"/>
  <c r="C200" i="13" s="1"/>
  <c r="C204" i="13" s="1"/>
  <c r="C208" i="13" s="1"/>
  <c r="C212" i="13" s="1"/>
  <c r="C216" i="13" s="1"/>
  <c r="C220" i="13" s="1"/>
  <c r="C224" i="13" s="1"/>
  <c r="C228" i="13" s="1"/>
  <c r="C232" i="13" s="1"/>
  <c r="C236" i="13" s="1"/>
  <c r="C240" i="13" s="1"/>
  <c r="C244" i="13" s="1"/>
  <c r="C248" i="13" s="1"/>
  <c r="C252" i="13" s="1"/>
  <c r="C256" i="13" s="1"/>
  <c r="C260" i="13" s="1"/>
  <c r="C264" i="13" s="1"/>
  <c r="C268" i="13" s="1"/>
  <c r="C272" i="13" s="1"/>
  <c r="C276" i="13" s="1"/>
  <c r="C280" i="13" s="1"/>
  <c r="C284" i="13" s="1"/>
  <c r="C288" i="13" s="1"/>
  <c r="C292" i="13" s="1"/>
  <c r="C296" i="13" s="1"/>
  <c r="C300" i="13" s="1"/>
  <c r="C304" i="13" s="1"/>
  <c r="C308" i="13" s="1"/>
  <c r="C312" i="13" s="1"/>
  <c r="C316" i="13" s="1"/>
  <c r="C320" i="13" s="1"/>
  <c r="C324" i="13" s="1"/>
  <c r="C328" i="13" s="1"/>
  <c r="B12" i="13"/>
  <c r="B11" i="13"/>
  <c r="E8" i="13"/>
  <c r="P1" i="13"/>
  <c r="J1" i="13"/>
  <c r="H1" i="13"/>
  <c r="J8" i="15" l="1" a="1"/>
  <c r="J8" i="15" s="1"/>
  <c r="K8" i="15" a="1"/>
  <c r="K8" i="15" s="1"/>
  <c r="M8" i="15" a="1"/>
  <c r="M8" i="15" s="1"/>
  <c r="N8" i="15" a="1"/>
  <c r="N8" i="15" s="1"/>
  <c r="O8" i="15" a="1"/>
  <c r="O8" i="15" s="1"/>
  <c r="E9" i="15"/>
  <c r="P8" i="15" a="1"/>
  <c r="P8" i="15" s="1"/>
  <c r="Q8" i="15" a="1"/>
  <c r="Q8" i="15" s="1"/>
  <c r="R8" i="15" a="1"/>
  <c r="R8" i="15" s="1"/>
  <c r="S8" i="15" a="1"/>
  <c r="S8" i="15" s="1"/>
  <c r="F8" i="15" a="1"/>
  <c r="F8" i="15" s="1"/>
  <c r="G8" i="15" a="1"/>
  <c r="G8" i="15" s="1"/>
  <c r="L1" i="15"/>
  <c r="O1" i="15"/>
  <c r="G1" i="15"/>
  <c r="T1" i="13"/>
  <c r="Q1" i="13"/>
  <c r="E9" i="13"/>
  <c r="R1" i="13"/>
  <c r="S1" i="13"/>
  <c r="G1" i="13"/>
  <c r="I1" i="13"/>
  <c r="K1" i="13"/>
  <c r="L1" i="13"/>
  <c r="M1" i="13"/>
  <c r="N1" i="13"/>
  <c r="L1" i="14"/>
  <c r="K1" i="14"/>
  <c r="J1" i="14"/>
  <c r="R1" i="14"/>
  <c r="Q1" i="14"/>
  <c r="G1" i="14"/>
  <c r="E11" i="14"/>
  <c r="H1" i="14"/>
  <c r="I1" i="14"/>
  <c r="M1" i="14"/>
  <c r="N1" i="14"/>
  <c r="O1" i="14"/>
  <c r="S1" i="14"/>
  <c r="S1" i="15"/>
  <c r="R1" i="15"/>
  <c r="Q1" i="15"/>
  <c r="P1" i="15"/>
  <c r="N1" i="15"/>
  <c r="M1" i="15"/>
  <c r="J1" i="15"/>
  <c r="I1" i="15"/>
  <c r="H1" i="15"/>
  <c r="I9" i="15" l="1" a="1"/>
  <c r="I9" i="15" s="1"/>
  <c r="M9" i="15" a="1"/>
  <c r="M9" i="15" s="1"/>
  <c r="H9" i="15" a="1"/>
  <c r="H9" i="15" s="1"/>
  <c r="G9" i="15" a="1"/>
  <c r="G9" i="15" s="1"/>
  <c r="F9" i="15" a="1"/>
  <c r="F9" i="15" s="1"/>
  <c r="S9" i="15" a="1"/>
  <c r="S9" i="15" s="1"/>
  <c r="R9" i="15" a="1"/>
  <c r="R9" i="15" s="1"/>
  <c r="E10" i="15"/>
  <c r="Q9" i="15" a="1"/>
  <c r="Q9" i="15" s="1"/>
  <c r="P9" i="15" a="1"/>
  <c r="P9" i="15" s="1"/>
  <c r="O9" i="15" a="1"/>
  <c r="O9" i="15" s="1"/>
  <c r="N9" i="15" a="1"/>
  <c r="N9" i="15" s="1"/>
  <c r="L9" i="15" a="1"/>
  <c r="L9" i="15" s="1"/>
  <c r="K9" i="15" a="1"/>
  <c r="K9" i="15" s="1"/>
  <c r="J9" i="15" a="1"/>
  <c r="J9" i="15" s="1"/>
  <c r="E12" i="14"/>
  <c r="E10" i="13"/>
  <c r="I10" i="15" l="1" a="1"/>
  <c r="I10" i="15" s="1"/>
  <c r="H10" i="15" a="1"/>
  <c r="H10" i="15" s="1"/>
  <c r="G10" i="15" a="1"/>
  <c r="G10" i="15" s="1"/>
  <c r="F10" i="15" a="1"/>
  <c r="F10" i="15" s="1"/>
  <c r="S10" i="15" a="1"/>
  <c r="S10" i="15" s="1"/>
  <c r="R10" i="15" a="1"/>
  <c r="R10" i="15" s="1"/>
  <c r="Q10" i="15" a="1"/>
  <c r="Q10" i="15" s="1"/>
  <c r="P10" i="15" a="1"/>
  <c r="P10" i="15" s="1"/>
  <c r="M10" i="15" a="1"/>
  <c r="M10" i="15" s="1"/>
  <c r="O10" i="15" a="1"/>
  <c r="O10" i="15" s="1"/>
  <c r="N10" i="15" a="1"/>
  <c r="N10" i="15" s="1"/>
  <c r="L10" i="15" a="1"/>
  <c r="L10" i="15" s="1"/>
  <c r="K10" i="15" a="1"/>
  <c r="K10" i="15" s="1"/>
  <c r="J10" i="15" a="1"/>
  <c r="J10" i="15" s="1"/>
  <c r="E11" i="15"/>
  <c r="E11" i="13"/>
  <c r="E13" i="14"/>
  <c r="J11" i="15" l="1" a="1"/>
  <c r="J11" i="15" s="1"/>
  <c r="I11" i="15" a="1"/>
  <c r="I11" i="15" s="1"/>
  <c r="H11" i="15" a="1"/>
  <c r="H11" i="15" s="1"/>
  <c r="G11" i="15" a="1"/>
  <c r="G11" i="15" s="1"/>
  <c r="F11" i="15" a="1"/>
  <c r="F11" i="15" s="1"/>
  <c r="N11" i="15" a="1"/>
  <c r="N11" i="15" s="1"/>
  <c r="S11" i="15" a="1"/>
  <c r="S11" i="15" s="1"/>
  <c r="R11" i="15" a="1"/>
  <c r="R11" i="15" s="1"/>
  <c r="Q11" i="15" a="1"/>
  <c r="Q11" i="15" s="1"/>
  <c r="P11" i="15" a="1"/>
  <c r="P11" i="15" s="1"/>
  <c r="O11" i="15" a="1"/>
  <c r="O11" i="15" s="1"/>
  <c r="M11" i="15" a="1"/>
  <c r="M11" i="15" s="1"/>
  <c r="L11" i="15" a="1"/>
  <c r="L11" i="15" s="1"/>
  <c r="K11" i="15" a="1"/>
  <c r="K11" i="15" s="1"/>
  <c r="E12" i="15"/>
  <c r="E12" i="13"/>
  <c r="E14" i="14"/>
  <c r="I12" i="15" l="1" a="1"/>
  <c r="I12" i="15" s="1"/>
  <c r="H12" i="15" a="1"/>
  <c r="H12" i="15" s="1"/>
  <c r="G12" i="15" a="1"/>
  <c r="G12" i="15" s="1"/>
  <c r="S12" i="15" a="1"/>
  <c r="S12" i="15" s="1"/>
  <c r="F12" i="15" a="1"/>
  <c r="F12" i="15" s="1"/>
  <c r="R12" i="15" a="1"/>
  <c r="R12" i="15" s="1"/>
  <c r="Q12" i="15" a="1"/>
  <c r="Q12" i="15" s="1"/>
  <c r="N12" i="15" a="1"/>
  <c r="N12" i="15" s="1"/>
  <c r="P12" i="15" a="1"/>
  <c r="P12" i="15" s="1"/>
  <c r="O12" i="15" a="1"/>
  <c r="O12" i="15" s="1"/>
  <c r="M12" i="15" a="1"/>
  <c r="M12" i="15" s="1"/>
  <c r="L12" i="15" a="1"/>
  <c r="L12" i="15" s="1"/>
  <c r="K12" i="15" a="1"/>
  <c r="K12" i="15" s="1"/>
  <c r="J12" i="15" a="1"/>
  <c r="J12" i="15" s="1"/>
  <c r="E13" i="15"/>
  <c r="E13" i="13"/>
  <c r="E15" i="14"/>
  <c r="J13" i="15" l="1" a="1"/>
  <c r="J13" i="15" s="1"/>
  <c r="I13" i="15" a="1"/>
  <c r="I13" i="15" s="1"/>
  <c r="H13" i="15" a="1"/>
  <c r="H13" i="15" s="1"/>
  <c r="O13" i="15" a="1"/>
  <c r="O13" i="15" s="1"/>
  <c r="G13" i="15" a="1"/>
  <c r="G13" i="15" s="1"/>
  <c r="F13" i="15" a="1"/>
  <c r="F13" i="15" s="1"/>
  <c r="S13" i="15" a="1"/>
  <c r="S13" i="15" s="1"/>
  <c r="R13" i="15" a="1"/>
  <c r="R13" i="15" s="1"/>
  <c r="Q13" i="15" a="1"/>
  <c r="Q13" i="15" s="1"/>
  <c r="P13" i="15" a="1"/>
  <c r="P13" i="15" s="1"/>
  <c r="N13" i="15" a="1"/>
  <c r="N13" i="15" s="1"/>
  <c r="M13" i="15" a="1"/>
  <c r="M13" i="15" s="1"/>
  <c r="L13" i="15" a="1"/>
  <c r="L13" i="15" s="1"/>
  <c r="K13" i="15" a="1"/>
  <c r="K13" i="15" s="1"/>
  <c r="E14" i="15"/>
  <c r="E14" i="13"/>
  <c r="E16" i="14"/>
  <c r="J14" i="15" l="1" a="1"/>
  <c r="J14" i="15" s="1"/>
  <c r="I14" i="15" a="1"/>
  <c r="I14" i="15" s="1"/>
  <c r="H14" i="15" a="1"/>
  <c r="H14" i="15" s="1"/>
  <c r="G14" i="15" a="1"/>
  <c r="G14" i="15" s="1"/>
  <c r="N14" i="15" a="1"/>
  <c r="N14" i="15" s="1"/>
  <c r="S14" i="15" a="1"/>
  <c r="S14" i="15" s="1"/>
  <c r="F14" i="15" a="1"/>
  <c r="F14" i="15" s="1"/>
  <c r="R14" i="15" a="1"/>
  <c r="R14" i="15" s="1"/>
  <c r="Q14" i="15" a="1"/>
  <c r="Q14" i="15" s="1"/>
  <c r="P14" i="15" a="1"/>
  <c r="P14" i="15" s="1"/>
  <c r="O14" i="15" a="1"/>
  <c r="O14" i="15" s="1"/>
  <c r="M14" i="15" a="1"/>
  <c r="M14" i="15" s="1"/>
  <c r="L14" i="15" a="1"/>
  <c r="L14" i="15" s="1"/>
  <c r="K14" i="15" a="1"/>
  <c r="K14" i="15" s="1"/>
  <c r="E15" i="15"/>
  <c r="E15" i="13"/>
  <c r="E17" i="14"/>
  <c r="J15" i="15" l="1" a="1"/>
  <c r="J15" i="15" s="1"/>
  <c r="I15" i="15" a="1"/>
  <c r="I15" i="15" s="1"/>
  <c r="O15" i="15" a="1"/>
  <c r="O15" i="15" s="1"/>
  <c r="H15" i="15" a="1"/>
  <c r="H15" i="15" s="1"/>
  <c r="G15" i="15" a="1"/>
  <c r="G15" i="15" s="1"/>
  <c r="F15" i="15" a="1"/>
  <c r="F15" i="15" s="1"/>
  <c r="S15" i="15" a="1"/>
  <c r="S15" i="15" s="1"/>
  <c r="R15" i="15" a="1"/>
  <c r="R15" i="15" s="1"/>
  <c r="Q15" i="15" a="1"/>
  <c r="Q15" i="15" s="1"/>
  <c r="P15" i="15" a="1"/>
  <c r="P15" i="15" s="1"/>
  <c r="N15" i="15" a="1"/>
  <c r="N15" i="15" s="1"/>
  <c r="M15" i="15" a="1"/>
  <c r="M15" i="15" s="1"/>
  <c r="L15" i="15" a="1"/>
  <c r="L15" i="15" s="1"/>
  <c r="K15" i="15" a="1"/>
  <c r="K15" i="15" s="1"/>
  <c r="E16" i="15"/>
  <c r="E18" i="14"/>
  <c r="E16" i="13"/>
  <c r="J16" i="15" l="1" a="1"/>
  <c r="J16" i="15" s="1"/>
  <c r="I16" i="15" a="1"/>
  <c r="I16" i="15" s="1"/>
  <c r="H16" i="15" a="1"/>
  <c r="H16" i="15" s="1"/>
  <c r="G16" i="15" a="1"/>
  <c r="G16" i="15" s="1"/>
  <c r="S16" i="15" a="1"/>
  <c r="S16" i="15" s="1"/>
  <c r="F16" i="15" a="1"/>
  <c r="F16" i="15" s="1"/>
  <c r="R16" i="15" a="1"/>
  <c r="R16" i="15" s="1"/>
  <c r="Q16" i="15" a="1"/>
  <c r="Q16" i="15" s="1"/>
  <c r="P16" i="15" a="1"/>
  <c r="P16" i="15" s="1"/>
  <c r="N16" i="15" a="1"/>
  <c r="N16" i="15" s="1"/>
  <c r="O16" i="15" a="1"/>
  <c r="O16" i="15" s="1"/>
  <c r="M16" i="15" a="1"/>
  <c r="M16" i="15" s="1"/>
  <c r="L16" i="15" a="1"/>
  <c r="L16" i="15" s="1"/>
  <c r="K16" i="15" a="1"/>
  <c r="K16" i="15" s="1"/>
  <c r="E17" i="15"/>
  <c r="E19" i="14"/>
  <c r="E17" i="13"/>
  <c r="J17" i="15" l="1" a="1"/>
  <c r="J17" i="15" s="1"/>
  <c r="I17" i="15" a="1"/>
  <c r="I17" i="15" s="1"/>
  <c r="H17" i="15" a="1"/>
  <c r="H17" i="15" s="1"/>
  <c r="G17" i="15" a="1"/>
  <c r="G17" i="15" s="1"/>
  <c r="F17" i="15" a="1"/>
  <c r="F17" i="15" s="1"/>
  <c r="S17" i="15" a="1"/>
  <c r="S17" i="15" s="1"/>
  <c r="R17" i="15" a="1"/>
  <c r="R17" i="15" s="1"/>
  <c r="O17" i="15" a="1"/>
  <c r="O17" i="15" s="1"/>
  <c r="Q17" i="15" a="1"/>
  <c r="Q17" i="15" s="1"/>
  <c r="P17" i="15" a="1"/>
  <c r="P17" i="15" s="1"/>
  <c r="N17" i="15" a="1"/>
  <c r="N17" i="15" s="1"/>
  <c r="M17" i="15" a="1"/>
  <c r="M17" i="15" s="1"/>
  <c r="L17" i="15" a="1"/>
  <c r="L17" i="15" s="1"/>
  <c r="K17" i="15" a="1"/>
  <c r="K17" i="15" s="1"/>
  <c r="E18" i="15"/>
  <c r="E20" i="14"/>
  <c r="E18" i="13"/>
  <c r="K18" i="15" l="1" a="1"/>
  <c r="K18" i="15" s="1"/>
  <c r="J18" i="15" a="1"/>
  <c r="J18" i="15" s="1"/>
  <c r="I18" i="15" a="1"/>
  <c r="I18" i="15" s="1"/>
  <c r="H18" i="15" a="1"/>
  <c r="H18" i="15" s="1"/>
  <c r="G18" i="15" a="1"/>
  <c r="G18" i="15" s="1"/>
  <c r="F18" i="15" a="1"/>
  <c r="F18" i="15" s="1"/>
  <c r="O18" i="15" a="1"/>
  <c r="O18" i="15" s="1"/>
  <c r="S18" i="15" a="1"/>
  <c r="S18" i="15" s="1"/>
  <c r="R18" i="15" a="1"/>
  <c r="R18" i="15" s="1"/>
  <c r="Q18" i="15" a="1"/>
  <c r="Q18" i="15" s="1"/>
  <c r="P18" i="15" a="1"/>
  <c r="P18" i="15" s="1"/>
  <c r="N18" i="15" a="1"/>
  <c r="N18" i="15" s="1"/>
  <c r="M18" i="15" a="1"/>
  <c r="M18" i="15" s="1"/>
  <c r="L18" i="15" a="1"/>
  <c r="L18" i="15" s="1"/>
  <c r="E19" i="15"/>
  <c r="E19" i="13"/>
  <c r="E21" i="14"/>
  <c r="J19" i="15" l="1" a="1"/>
  <c r="J19" i="15" s="1"/>
  <c r="I19" i="15" a="1"/>
  <c r="I19" i="15" s="1"/>
  <c r="H19" i="15" a="1"/>
  <c r="H19" i="15" s="1"/>
  <c r="G19" i="15" a="1"/>
  <c r="G19" i="15" s="1"/>
  <c r="F19" i="15" a="1"/>
  <c r="F19" i="15" s="1"/>
  <c r="S19" i="15" a="1"/>
  <c r="S19" i="15" s="1"/>
  <c r="R19" i="15" a="1"/>
  <c r="R19" i="15" s="1"/>
  <c r="Q19" i="15" a="1"/>
  <c r="Q19" i="15" s="1"/>
  <c r="P19" i="15" a="1"/>
  <c r="P19" i="15" s="1"/>
  <c r="O19" i="15" a="1"/>
  <c r="O19" i="15" s="1"/>
  <c r="N19" i="15" a="1"/>
  <c r="N19" i="15" s="1"/>
  <c r="M19" i="15" a="1"/>
  <c r="M19" i="15" s="1"/>
  <c r="L19" i="15" a="1"/>
  <c r="L19" i="15" s="1"/>
  <c r="K19" i="15" a="1"/>
  <c r="K19" i="15" s="1"/>
  <c r="E20" i="15"/>
  <c r="E20" i="13"/>
  <c r="E22" i="14"/>
  <c r="K20" i="15" l="1" a="1"/>
  <c r="K20" i="15" s="1"/>
  <c r="O20" i="15" a="1"/>
  <c r="O20" i="15" s="1"/>
  <c r="J20" i="15" a="1"/>
  <c r="J20" i="15" s="1"/>
  <c r="I20" i="15" a="1"/>
  <c r="I20" i="15" s="1"/>
  <c r="H20" i="15" a="1"/>
  <c r="H20" i="15" s="1"/>
  <c r="G20" i="15" a="1"/>
  <c r="G20" i="15" s="1"/>
  <c r="S20" i="15" a="1"/>
  <c r="S20" i="15" s="1"/>
  <c r="F20" i="15" a="1"/>
  <c r="F20" i="15" s="1"/>
  <c r="R20" i="15" a="1"/>
  <c r="R20" i="15" s="1"/>
  <c r="Q20" i="15" a="1"/>
  <c r="Q20" i="15" s="1"/>
  <c r="P20" i="15" a="1"/>
  <c r="P20" i="15" s="1"/>
  <c r="N20" i="15" a="1"/>
  <c r="N20" i="15" s="1"/>
  <c r="M20" i="15" a="1"/>
  <c r="M20" i="15" s="1"/>
  <c r="L20" i="15" a="1"/>
  <c r="L20" i="15" s="1"/>
  <c r="E21" i="15"/>
  <c r="E21" i="13"/>
  <c r="E23" i="14"/>
  <c r="K21" i="15" l="1" a="1"/>
  <c r="K21" i="15" s="1"/>
  <c r="J21" i="15" a="1"/>
  <c r="J21" i="15" s="1"/>
  <c r="I21" i="15" a="1"/>
  <c r="I21" i="15" s="1"/>
  <c r="H21" i="15" a="1"/>
  <c r="H21" i="15" s="1"/>
  <c r="G21" i="15" a="1"/>
  <c r="G21" i="15" s="1"/>
  <c r="F21" i="15" a="1"/>
  <c r="F21" i="15" s="1"/>
  <c r="P21" i="15" a="1"/>
  <c r="P21" i="15" s="1"/>
  <c r="S21" i="15" a="1"/>
  <c r="S21" i="15" s="1"/>
  <c r="R21" i="15" a="1"/>
  <c r="R21" i="15" s="1"/>
  <c r="Q21" i="15" a="1"/>
  <c r="Q21" i="15" s="1"/>
  <c r="O21" i="15" a="1"/>
  <c r="O21" i="15" s="1"/>
  <c r="N21" i="15" a="1"/>
  <c r="N21" i="15" s="1"/>
  <c r="M21" i="15" a="1"/>
  <c r="M21" i="15" s="1"/>
  <c r="L21" i="15" a="1"/>
  <c r="L21" i="15" s="1"/>
  <c r="E22" i="15"/>
  <c r="E24" i="14"/>
  <c r="E22" i="13"/>
  <c r="L22" i="15" l="1" a="1"/>
  <c r="L22" i="15" s="1"/>
  <c r="K22" i="15" a="1"/>
  <c r="K22" i="15" s="1"/>
  <c r="J22" i="15" a="1"/>
  <c r="J22" i="15" s="1"/>
  <c r="I22" i="15" a="1"/>
  <c r="I22" i="15" s="1"/>
  <c r="H22" i="15" a="1"/>
  <c r="H22" i="15" s="1"/>
  <c r="G22" i="15" a="1"/>
  <c r="G22" i="15" s="1"/>
  <c r="F22" i="15" a="1"/>
  <c r="F22" i="15" s="1"/>
  <c r="S22" i="15" a="1"/>
  <c r="S22" i="15" s="1"/>
  <c r="R22" i="15" a="1"/>
  <c r="R22" i="15" s="1"/>
  <c r="Q22" i="15" a="1"/>
  <c r="Q22" i="15" s="1"/>
  <c r="P22" i="15" a="1"/>
  <c r="P22" i="15" s="1"/>
  <c r="O22" i="15" a="1"/>
  <c r="O22" i="15" s="1"/>
  <c r="N22" i="15" a="1"/>
  <c r="N22" i="15" s="1"/>
  <c r="M22" i="15" a="1"/>
  <c r="M22" i="15" s="1"/>
  <c r="E23" i="15"/>
  <c r="E25" i="14"/>
  <c r="E23" i="13"/>
  <c r="K23" i="15" l="1" a="1"/>
  <c r="K23" i="15" s="1"/>
  <c r="J23" i="15" a="1"/>
  <c r="J23" i="15" s="1"/>
  <c r="P23" i="15" a="1"/>
  <c r="P23" i="15" s="1"/>
  <c r="I23" i="15" a="1"/>
  <c r="I23" i="15" s="1"/>
  <c r="H23" i="15" a="1"/>
  <c r="H23" i="15" s="1"/>
  <c r="G23" i="15" a="1"/>
  <c r="G23" i="15" s="1"/>
  <c r="F23" i="15" a="1"/>
  <c r="F23" i="15" s="1"/>
  <c r="S23" i="15" a="1"/>
  <c r="S23" i="15" s="1"/>
  <c r="R23" i="15" a="1"/>
  <c r="R23" i="15" s="1"/>
  <c r="Q23" i="15" a="1"/>
  <c r="Q23" i="15" s="1"/>
  <c r="O23" i="15" a="1"/>
  <c r="O23" i="15" s="1"/>
  <c r="N23" i="15" a="1"/>
  <c r="N23" i="15" s="1"/>
  <c r="M23" i="15" a="1"/>
  <c r="M23" i="15" s="1"/>
  <c r="L23" i="15" a="1"/>
  <c r="L23" i="15" s="1"/>
  <c r="E24" i="15"/>
  <c r="E26" i="14"/>
  <c r="E24" i="13"/>
  <c r="L24" i="15" l="1" a="1"/>
  <c r="L24" i="15" s="1"/>
  <c r="K24" i="15" a="1"/>
  <c r="K24" i="15" s="1"/>
  <c r="J24" i="15" a="1"/>
  <c r="J24" i="15" s="1"/>
  <c r="I24" i="15" a="1"/>
  <c r="I24" i="15" s="1"/>
  <c r="Q24" i="15" a="1"/>
  <c r="Q24" i="15" s="1"/>
  <c r="H24" i="15" a="1"/>
  <c r="H24" i="15" s="1"/>
  <c r="G24" i="15" a="1"/>
  <c r="G24" i="15" s="1"/>
  <c r="F24" i="15" a="1"/>
  <c r="F24" i="15" s="1"/>
  <c r="S24" i="15" a="1"/>
  <c r="S24" i="15" s="1"/>
  <c r="R24" i="15" a="1"/>
  <c r="R24" i="15" s="1"/>
  <c r="P24" i="15" a="1"/>
  <c r="P24" i="15" s="1"/>
  <c r="O24" i="15" a="1"/>
  <c r="O24" i="15" s="1"/>
  <c r="N24" i="15" a="1"/>
  <c r="N24" i="15" s="1"/>
  <c r="M24" i="15" a="1"/>
  <c r="M24" i="15" s="1"/>
  <c r="E25" i="15"/>
  <c r="E27" i="14"/>
  <c r="E25" i="13"/>
  <c r="M25" i="15" l="1" a="1"/>
  <c r="M25" i="15" s="1"/>
  <c r="L25" i="15" a="1"/>
  <c r="L25" i="15" s="1"/>
  <c r="Q25" i="15" a="1"/>
  <c r="Q25" i="15" s="1"/>
  <c r="K25" i="15" a="1"/>
  <c r="K25" i="15" s="1"/>
  <c r="J25" i="15" a="1"/>
  <c r="J25" i="15" s="1"/>
  <c r="I25" i="15" a="1"/>
  <c r="I25" i="15" s="1"/>
  <c r="H25" i="15" a="1"/>
  <c r="H25" i="15" s="1"/>
  <c r="G25" i="15" a="1"/>
  <c r="G25" i="15" s="1"/>
  <c r="F25" i="15" a="1"/>
  <c r="F25" i="15" s="1"/>
  <c r="S25" i="15" a="1"/>
  <c r="S25" i="15" s="1"/>
  <c r="R25" i="15" a="1"/>
  <c r="R25" i="15" s="1"/>
  <c r="P25" i="15" a="1"/>
  <c r="P25" i="15" s="1"/>
  <c r="O25" i="15" a="1"/>
  <c r="O25" i="15" s="1"/>
  <c r="N25" i="15" a="1"/>
  <c r="N25" i="15" s="1"/>
  <c r="E26" i="15"/>
  <c r="E26" i="13"/>
  <c r="E28" i="14"/>
  <c r="N26" i="15" l="1" a="1"/>
  <c r="N26" i="15" s="1"/>
  <c r="M26" i="15" a="1"/>
  <c r="M26" i="15" s="1"/>
  <c r="L26" i="15" a="1"/>
  <c r="L26" i="15" s="1"/>
  <c r="K26" i="15" a="1"/>
  <c r="K26" i="15" s="1"/>
  <c r="J26" i="15" a="1"/>
  <c r="J26" i="15" s="1"/>
  <c r="I26" i="15" a="1"/>
  <c r="I26" i="15" s="1"/>
  <c r="H26" i="15" a="1"/>
  <c r="H26" i="15" s="1"/>
  <c r="G26" i="15" a="1"/>
  <c r="G26" i="15" s="1"/>
  <c r="F26" i="15" a="1"/>
  <c r="F26" i="15" s="1"/>
  <c r="R26" i="15" a="1"/>
  <c r="R26" i="15" s="1"/>
  <c r="S26" i="15" a="1"/>
  <c r="S26" i="15" s="1"/>
  <c r="Q26" i="15" a="1"/>
  <c r="Q26" i="15" s="1"/>
  <c r="P26" i="15" a="1"/>
  <c r="P26" i="15" s="1"/>
  <c r="O26" i="15" a="1"/>
  <c r="O26" i="15" s="1"/>
  <c r="E27" i="15"/>
  <c r="E29" i="14"/>
  <c r="E27" i="13"/>
  <c r="O27" i="15" l="1" a="1"/>
  <c r="O27" i="15" s="1"/>
  <c r="N27" i="15" a="1"/>
  <c r="N27" i="15" s="1"/>
  <c r="M27" i="15" a="1"/>
  <c r="M27" i="15" s="1"/>
  <c r="L27" i="15" a="1"/>
  <c r="L27" i="15" s="1"/>
  <c r="K27" i="15" a="1"/>
  <c r="K27" i="15" s="1"/>
  <c r="J27" i="15" a="1"/>
  <c r="J27" i="15" s="1"/>
  <c r="S27" i="15" a="1"/>
  <c r="S27" i="15" s="1"/>
  <c r="I27" i="15" a="1"/>
  <c r="I27" i="15" s="1"/>
  <c r="H27" i="15" a="1"/>
  <c r="H27" i="15" s="1"/>
  <c r="G27" i="15" a="1"/>
  <c r="G27" i="15" s="1"/>
  <c r="F27" i="15" a="1"/>
  <c r="F27" i="15" s="1"/>
  <c r="R27" i="15" a="1"/>
  <c r="R27" i="15" s="1"/>
  <c r="Q27" i="15" a="1"/>
  <c r="Q27" i="15" s="1"/>
  <c r="P27" i="15" a="1"/>
  <c r="P27" i="15" s="1"/>
  <c r="E28" i="15"/>
  <c r="E30" i="14"/>
  <c r="E28" i="13"/>
  <c r="S28" i="15" l="1" a="1"/>
  <c r="S28" i="15" s="1"/>
  <c r="N28" i="15" a="1"/>
  <c r="N28" i="15" s="1"/>
  <c r="M28" i="15" a="1"/>
  <c r="M28" i="15" s="1"/>
  <c r="L28" i="15" a="1"/>
  <c r="L28" i="15" s="1"/>
  <c r="K28" i="15" a="1"/>
  <c r="K28" i="15" s="1"/>
  <c r="J28" i="15" a="1"/>
  <c r="J28" i="15" s="1"/>
  <c r="I28" i="15" a="1"/>
  <c r="I28" i="15" s="1"/>
  <c r="H28" i="15" a="1"/>
  <c r="H28" i="15" s="1"/>
  <c r="G28" i="15" a="1"/>
  <c r="G28" i="15" s="1"/>
  <c r="F28" i="15" a="1"/>
  <c r="F28" i="15" s="1"/>
  <c r="R28" i="15" a="1"/>
  <c r="R28" i="15" s="1"/>
  <c r="Q28" i="15" a="1"/>
  <c r="Q28" i="15" s="1"/>
  <c r="O28" i="15" a="1"/>
  <c r="O28" i="15" s="1"/>
  <c r="P28" i="15" a="1"/>
  <c r="P28" i="15" s="1"/>
  <c r="E29" i="15"/>
  <c r="E29" i="13"/>
  <c r="E31" i="14"/>
  <c r="O29" i="15" l="1" a="1"/>
  <c r="O29" i="15" s="1"/>
  <c r="N29" i="15" a="1"/>
  <c r="N29" i="15" s="1"/>
  <c r="M29" i="15" a="1"/>
  <c r="M29" i="15" s="1"/>
  <c r="L29" i="15" a="1"/>
  <c r="L29" i="15" s="1"/>
  <c r="K29" i="15" a="1"/>
  <c r="K29" i="15" s="1"/>
  <c r="J29" i="15" a="1"/>
  <c r="J29" i="15" s="1"/>
  <c r="I29" i="15" a="1"/>
  <c r="I29" i="15" s="1"/>
  <c r="H29" i="15" a="1"/>
  <c r="H29" i="15" s="1"/>
  <c r="G29" i="15" a="1"/>
  <c r="G29" i="15" s="1"/>
  <c r="S29" i="15" a="1"/>
  <c r="S29" i="15" s="1"/>
  <c r="F29" i="15" a="1"/>
  <c r="F29" i="15" s="1"/>
  <c r="R29" i="15" a="1"/>
  <c r="R29" i="15" s="1"/>
  <c r="Q29" i="15" a="1"/>
  <c r="Q29" i="15" s="1"/>
  <c r="P29" i="15" a="1"/>
  <c r="P29" i="15" s="1"/>
  <c r="E30" i="15"/>
  <c r="E32" i="14"/>
  <c r="E30" i="13"/>
  <c r="P30" i="15" l="1" a="1"/>
  <c r="P30" i="15" s="1"/>
  <c r="O30" i="15" a="1"/>
  <c r="O30" i="15" s="1"/>
  <c r="N30" i="15" a="1"/>
  <c r="N30" i="15" s="1"/>
  <c r="M30" i="15" a="1"/>
  <c r="M30" i="15" s="1"/>
  <c r="L30" i="15" a="1"/>
  <c r="L30" i="15" s="1"/>
  <c r="K30" i="15" a="1"/>
  <c r="K30" i="15" s="1"/>
  <c r="J30" i="15" a="1"/>
  <c r="J30" i="15" s="1"/>
  <c r="I30" i="15" a="1"/>
  <c r="I30" i="15" s="1"/>
  <c r="H30" i="15" a="1"/>
  <c r="H30" i="15" s="1"/>
  <c r="G30" i="15" a="1"/>
  <c r="G30" i="15" s="1"/>
  <c r="F30" i="15" a="1"/>
  <c r="F30" i="15" s="1"/>
  <c r="S30" i="15" a="1"/>
  <c r="S30" i="15" s="1"/>
  <c r="Q30" i="15" a="1"/>
  <c r="Q30" i="15" s="1"/>
  <c r="R30" i="15" a="1"/>
  <c r="R30" i="15" s="1"/>
  <c r="E31" i="15"/>
  <c r="E33" i="14"/>
  <c r="E31" i="13"/>
  <c r="Q31" i="15" l="1" a="1"/>
  <c r="Q31" i="15" s="1"/>
  <c r="P31" i="15" a="1"/>
  <c r="P31" i="15" s="1"/>
  <c r="O31" i="15" a="1"/>
  <c r="O31" i="15" s="1"/>
  <c r="N31" i="15" a="1"/>
  <c r="N31" i="15" s="1"/>
  <c r="M31" i="15" a="1"/>
  <c r="M31" i="15" s="1"/>
  <c r="L31" i="15" a="1"/>
  <c r="L31" i="15" s="1"/>
  <c r="K31" i="15" a="1"/>
  <c r="K31" i="15" s="1"/>
  <c r="J31" i="15" a="1"/>
  <c r="J31" i="15" s="1"/>
  <c r="F31" i="15" a="1"/>
  <c r="F31" i="15" s="1"/>
  <c r="I31" i="15" a="1"/>
  <c r="I31" i="15" s="1"/>
  <c r="H31" i="15" a="1"/>
  <c r="H31" i="15" s="1"/>
  <c r="G31" i="15" a="1"/>
  <c r="G31" i="15" s="1"/>
  <c r="R31" i="15" a="1"/>
  <c r="R31" i="15" s="1"/>
  <c r="S31" i="15" a="1"/>
  <c r="S31" i="15" s="1"/>
  <c r="E32" i="15"/>
  <c r="E32" i="13"/>
  <c r="E34" i="14"/>
  <c r="P32" i="15" l="1" a="1"/>
  <c r="P32" i="15" s="1"/>
  <c r="O32" i="15" a="1"/>
  <c r="O32" i="15" s="1"/>
  <c r="N32" i="15" a="1"/>
  <c r="N32" i="15" s="1"/>
  <c r="M32" i="15" a="1"/>
  <c r="M32" i="15" s="1"/>
  <c r="L32" i="15" a="1"/>
  <c r="L32" i="15" s="1"/>
  <c r="K32" i="15" a="1"/>
  <c r="K32" i="15" s="1"/>
  <c r="J32" i="15" a="1"/>
  <c r="J32" i="15" s="1"/>
  <c r="I32" i="15" a="1"/>
  <c r="I32" i="15" s="1"/>
  <c r="H32" i="15" a="1"/>
  <c r="H32" i="15" s="1"/>
  <c r="G32" i="15" a="1"/>
  <c r="G32" i="15" s="1"/>
  <c r="S32" i="15" a="1"/>
  <c r="S32" i="15" s="1"/>
  <c r="F32" i="15" a="1"/>
  <c r="F32" i="15" s="1"/>
  <c r="R32" i="15" a="1"/>
  <c r="R32" i="15" s="1"/>
  <c r="Q32" i="15" a="1"/>
  <c r="Q32" i="15" s="1"/>
  <c r="E33" i="15"/>
  <c r="E33" i="13"/>
  <c r="E35" i="14"/>
  <c r="O33" i="15" l="1" a="1"/>
  <c r="O33" i="15" s="1"/>
  <c r="N33" i="15" a="1"/>
  <c r="N33" i="15" s="1"/>
  <c r="M33" i="15" a="1"/>
  <c r="M33" i="15" s="1"/>
  <c r="L33" i="15" a="1"/>
  <c r="L33" i="15" s="1"/>
  <c r="K33" i="15" a="1"/>
  <c r="K33" i="15" s="1"/>
  <c r="J33" i="15" a="1"/>
  <c r="J33" i="15" s="1"/>
  <c r="I33" i="15" a="1"/>
  <c r="I33" i="15" s="1"/>
  <c r="F33" i="15" a="1"/>
  <c r="F33" i="15" s="1"/>
  <c r="H33" i="15" a="1"/>
  <c r="H33" i="15" s="1"/>
  <c r="G33" i="15" a="1"/>
  <c r="G33" i="15" s="1"/>
  <c r="S33" i="15" a="1"/>
  <c r="S33" i="15" s="1"/>
  <c r="P33" i="15" a="1"/>
  <c r="P33" i="15" s="1"/>
  <c r="R33" i="15" a="1"/>
  <c r="R33" i="15" s="1"/>
  <c r="Q33" i="15" a="1"/>
  <c r="Q33" i="15" s="1"/>
  <c r="E34" i="15"/>
  <c r="E34" i="13"/>
  <c r="E36" i="14"/>
  <c r="N34" i="15" l="1" a="1"/>
  <c r="N34" i="15" s="1"/>
  <c r="M34" i="15" a="1"/>
  <c r="M34" i="15" s="1"/>
  <c r="S34" i="15" a="1"/>
  <c r="S34" i="15" s="1"/>
  <c r="L34" i="15" a="1"/>
  <c r="L34" i="15" s="1"/>
  <c r="K34" i="15" a="1"/>
  <c r="K34" i="15" s="1"/>
  <c r="J34" i="15" a="1"/>
  <c r="J34" i="15" s="1"/>
  <c r="I34" i="15" a="1"/>
  <c r="I34" i="15" s="1"/>
  <c r="H34" i="15" a="1"/>
  <c r="H34" i="15" s="1"/>
  <c r="G34" i="15" a="1"/>
  <c r="G34" i="15" s="1"/>
  <c r="F34" i="15" a="1"/>
  <c r="F34" i="15" s="1"/>
  <c r="R34" i="15" a="1"/>
  <c r="R34" i="15" s="1"/>
  <c r="Q34" i="15" a="1"/>
  <c r="Q34" i="15" s="1"/>
  <c r="O34" i="15" a="1"/>
  <c r="O34" i="15" s="1"/>
  <c r="P34" i="15" a="1"/>
  <c r="P34" i="15" s="1"/>
  <c r="E35" i="15"/>
  <c r="E37" i="14"/>
  <c r="E35" i="13"/>
  <c r="N35" i="15" l="1" a="1"/>
  <c r="N35" i="15" s="1"/>
  <c r="S35" i="15" a="1"/>
  <c r="S35" i="15" s="1"/>
  <c r="M35" i="15" a="1"/>
  <c r="M35" i="15" s="1"/>
  <c r="L35" i="15" a="1"/>
  <c r="L35" i="15" s="1"/>
  <c r="K35" i="15" a="1"/>
  <c r="K35" i="15" s="1"/>
  <c r="J35" i="15" a="1"/>
  <c r="J35" i="15" s="1"/>
  <c r="I35" i="15" a="1"/>
  <c r="I35" i="15" s="1"/>
  <c r="H35" i="15" a="1"/>
  <c r="H35" i="15" s="1"/>
  <c r="G35" i="15" a="1"/>
  <c r="G35" i="15" s="1"/>
  <c r="F35" i="15" a="1"/>
  <c r="F35" i="15" s="1"/>
  <c r="R35" i="15" a="1"/>
  <c r="R35" i="15" s="1"/>
  <c r="Q35" i="15" a="1"/>
  <c r="Q35" i="15" s="1"/>
  <c r="P35" i="15" a="1"/>
  <c r="P35" i="15" s="1"/>
  <c r="O35" i="15" a="1"/>
  <c r="O35" i="15" s="1"/>
  <c r="E36" i="15"/>
  <c r="E38" i="14"/>
  <c r="E36" i="13"/>
  <c r="N36" i="15" l="1" a="1"/>
  <c r="N36" i="15" s="1"/>
  <c r="M36" i="15" a="1"/>
  <c r="M36" i="15" s="1"/>
  <c r="L36" i="15" a="1"/>
  <c r="L36" i="15" s="1"/>
  <c r="K36" i="15" a="1"/>
  <c r="K36" i="15" s="1"/>
  <c r="J36" i="15" a="1"/>
  <c r="J36" i="15" s="1"/>
  <c r="Q36" i="15" a="1"/>
  <c r="Q36" i="15" s="1"/>
  <c r="I36" i="15" a="1"/>
  <c r="I36" i="15" s="1"/>
  <c r="H36" i="15" a="1"/>
  <c r="H36" i="15" s="1"/>
  <c r="S36" i="15" a="1"/>
  <c r="S36" i="15" s="1"/>
  <c r="G36" i="15" a="1"/>
  <c r="G36" i="15" s="1"/>
  <c r="R36" i="15" a="1"/>
  <c r="R36" i="15" s="1"/>
  <c r="F36" i="15" a="1"/>
  <c r="F36" i="15" s="1"/>
  <c r="P36" i="15" a="1"/>
  <c r="P36" i="15" s="1"/>
  <c r="O36" i="15" a="1"/>
  <c r="O36" i="15" s="1"/>
  <c r="E37" i="15"/>
  <c r="E37" i="13"/>
  <c r="E39" i="14"/>
  <c r="N37" i="15" l="1" a="1"/>
  <c r="N37" i="15" s="1"/>
  <c r="M37" i="15" a="1"/>
  <c r="M37" i="15" s="1"/>
  <c r="L37" i="15" a="1"/>
  <c r="L37" i="15" s="1"/>
  <c r="K37" i="15" a="1"/>
  <c r="K37" i="15" s="1"/>
  <c r="J37" i="15" a="1"/>
  <c r="J37" i="15" s="1"/>
  <c r="I37" i="15" a="1"/>
  <c r="I37" i="15" s="1"/>
  <c r="R37" i="15" a="1"/>
  <c r="R37" i="15" s="1"/>
  <c r="H37" i="15" a="1"/>
  <c r="H37" i="15" s="1"/>
  <c r="G37" i="15" a="1"/>
  <c r="G37" i="15" s="1"/>
  <c r="F37" i="15" a="1"/>
  <c r="F37" i="15" s="1"/>
  <c r="S37" i="15" a="1"/>
  <c r="S37" i="15" s="1"/>
  <c r="Q37" i="15" a="1"/>
  <c r="Q37" i="15" s="1"/>
  <c r="O37" i="15" a="1"/>
  <c r="O37" i="15" s="1"/>
  <c r="P37" i="15" a="1"/>
  <c r="P37" i="15" s="1"/>
  <c r="E38" i="15"/>
  <c r="E38" i="13"/>
  <c r="E40" i="14"/>
  <c r="M38" i="15" l="1" a="1"/>
  <c r="M38" i="15" s="1"/>
  <c r="Q38" i="15" a="1"/>
  <c r="Q38" i="15" s="1"/>
  <c r="L38" i="15" a="1"/>
  <c r="L38" i="15" s="1"/>
  <c r="K38" i="15" a="1"/>
  <c r="K38" i="15" s="1"/>
  <c r="J38" i="15" a="1"/>
  <c r="J38" i="15" s="1"/>
  <c r="I38" i="15" a="1"/>
  <c r="I38" i="15" s="1"/>
  <c r="H38" i="15" a="1"/>
  <c r="H38" i="15" s="1"/>
  <c r="S38" i="15" a="1"/>
  <c r="S38" i="15" s="1"/>
  <c r="G38" i="15" a="1"/>
  <c r="G38" i="15" s="1"/>
  <c r="F38" i="15" a="1"/>
  <c r="F38" i="15" s="1"/>
  <c r="R38" i="15" a="1"/>
  <c r="R38" i="15" s="1"/>
  <c r="P38" i="15" a="1"/>
  <c r="P38" i="15" s="1"/>
  <c r="N38" i="15" a="1"/>
  <c r="N38" i="15" s="1"/>
  <c r="O38" i="15" a="1"/>
  <c r="O38" i="15" s="1"/>
  <c r="E39" i="15"/>
  <c r="E41" i="14"/>
  <c r="E39" i="13"/>
  <c r="K39" i="15" l="1" a="1"/>
  <c r="K39" i="15" s="1"/>
  <c r="J39" i="15" a="1"/>
  <c r="J39" i="15" s="1"/>
  <c r="I39" i="15" a="1"/>
  <c r="I39" i="15" s="1"/>
  <c r="H39" i="15" a="1"/>
  <c r="H39" i="15" s="1"/>
  <c r="G39" i="15" a="1"/>
  <c r="G39" i="15" s="1"/>
  <c r="P39" i="15" a="1"/>
  <c r="P39" i="15" s="1"/>
  <c r="S39" i="15" a="1"/>
  <c r="S39" i="15" s="1"/>
  <c r="F39" i="15" a="1"/>
  <c r="F39" i="15" s="1"/>
  <c r="R39" i="15" a="1"/>
  <c r="R39" i="15" s="1"/>
  <c r="Q39" i="15" a="1"/>
  <c r="Q39" i="15" s="1"/>
  <c r="O39" i="15" a="1"/>
  <c r="O39" i="15" s="1"/>
  <c r="N39" i="15" a="1"/>
  <c r="N39" i="15" s="1"/>
  <c r="M39" i="15" a="1"/>
  <c r="M39" i="15" s="1"/>
  <c r="L39" i="15" a="1"/>
  <c r="L39" i="15" s="1"/>
  <c r="E40" i="15"/>
  <c r="E40" i="13"/>
  <c r="E42" i="14"/>
  <c r="J40" i="15" l="1" a="1"/>
  <c r="J40" i="15" s="1"/>
  <c r="I40" i="15" a="1"/>
  <c r="I40" i="15" s="1"/>
  <c r="H40" i="15" a="1"/>
  <c r="H40" i="15" s="1"/>
  <c r="G40" i="15" a="1"/>
  <c r="G40" i="15" s="1"/>
  <c r="S40" i="15" a="1"/>
  <c r="S40" i="15" s="1"/>
  <c r="F40" i="15" a="1"/>
  <c r="F40" i="15" s="1"/>
  <c r="R40" i="15" a="1"/>
  <c r="R40" i="15" s="1"/>
  <c r="N40" i="15" a="1"/>
  <c r="N40" i="15" s="1"/>
  <c r="Q40" i="15" a="1"/>
  <c r="Q40" i="15" s="1"/>
  <c r="P40" i="15" a="1"/>
  <c r="P40" i="15" s="1"/>
  <c r="O40" i="15" a="1"/>
  <c r="O40" i="15" s="1"/>
  <c r="M40" i="15" a="1"/>
  <c r="M40" i="15" s="1"/>
  <c r="K40" i="15" a="1"/>
  <c r="K40" i="15" s="1"/>
  <c r="L40" i="15" a="1"/>
  <c r="L40" i="15" s="1"/>
  <c r="E41" i="15"/>
  <c r="E43" i="14"/>
  <c r="E41" i="13"/>
  <c r="I41" i="15" l="1" a="1"/>
  <c r="I41" i="15" s="1"/>
  <c r="H41" i="15" a="1"/>
  <c r="H41" i="15" s="1"/>
  <c r="G41" i="15" a="1"/>
  <c r="G41" i="15" s="1"/>
  <c r="S41" i="15" a="1"/>
  <c r="S41" i="15" s="1"/>
  <c r="F41" i="15" a="1"/>
  <c r="F41" i="15" s="1"/>
  <c r="R41" i="15" a="1"/>
  <c r="R41" i="15" s="1"/>
  <c r="Q41" i="15" a="1"/>
  <c r="Q41" i="15" s="1"/>
  <c r="P41" i="15" a="1"/>
  <c r="P41" i="15" s="1"/>
  <c r="O41" i="15" a="1"/>
  <c r="O41" i="15" s="1"/>
  <c r="N41" i="15" a="1"/>
  <c r="N41" i="15" s="1"/>
  <c r="M41" i="15" a="1"/>
  <c r="M41" i="15" s="1"/>
  <c r="L41" i="15" a="1"/>
  <c r="L41" i="15" s="1"/>
  <c r="J41" i="15" a="1"/>
  <c r="J41" i="15" s="1"/>
  <c r="K41" i="15" a="1"/>
  <c r="K41" i="15" s="1"/>
  <c r="E42" i="15"/>
  <c r="E42" i="13"/>
  <c r="E44" i="14"/>
  <c r="H42" i="15" l="1" a="1"/>
  <c r="H42" i="15" s="1"/>
  <c r="R42" i="15" a="1"/>
  <c r="R42" i="15" s="1"/>
  <c r="G42" i="15" a="1"/>
  <c r="G42" i="15" s="1"/>
  <c r="F42" i="15" a="1"/>
  <c r="F42" i="15" s="1"/>
  <c r="S42" i="15" a="1"/>
  <c r="S42" i="15" s="1"/>
  <c r="Q42" i="15" a="1"/>
  <c r="Q42" i="15" s="1"/>
  <c r="P42" i="15" a="1"/>
  <c r="P42" i="15" s="1"/>
  <c r="O42" i="15" a="1"/>
  <c r="O42" i="15" s="1"/>
  <c r="N42" i="15" a="1"/>
  <c r="N42" i="15" s="1"/>
  <c r="M42" i="15" a="1"/>
  <c r="M42" i="15" s="1"/>
  <c r="L42" i="15" a="1"/>
  <c r="L42" i="15" s="1"/>
  <c r="K42" i="15" a="1"/>
  <c r="K42" i="15" s="1"/>
  <c r="J42" i="15" a="1"/>
  <c r="J42" i="15" s="1"/>
  <c r="I42" i="15" a="1"/>
  <c r="I42" i="15" s="1"/>
  <c r="E43" i="15"/>
  <c r="E43" i="13"/>
  <c r="E45" i="14"/>
  <c r="Q43" i="15" l="1" a="1"/>
  <c r="Q43" i="15" s="1"/>
  <c r="P43" i="15" a="1"/>
  <c r="P43" i="15" s="1"/>
  <c r="F43" i="15" a="1"/>
  <c r="F43" i="15" s="1"/>
  <c r="O43" i="15" a="1"/>
  <c r="O43" i="15" s="1"/>
  <c r="H43" i="15" a="1"/>
  <c r="H43" i="15" s="1"/>
  <c r="G43" i="15" a="1"/>
  <c r="G43" i="15" s="1"/>
  <c r="S43" i="15" a="1"/>
  <c r="S43" i="15" s="1"/>
  <c r="R43" i="15" a="1"/>
  <c r="R43" i="15" s="1"/>
  <c r="N43" i="15" a="1"/>
  <c r="N43" i="15" s="1"/>
  <c r="L43" i="15" a="1"/>
  <c r="L43" i="15" s="1"/>
  <c r="M43" i="15" a="1"/>
  <c r="M43" i="15" s="1"/>
  <c r="I43" i="15" a="1"/>
  <c r="I43" i="15" s="1"/>
  <c r="K43" i="15" a="1"/>
  <c r="K43" i="15" s="1"/>
  <c r="J43" i="15" a="1"/>
  <c r="J43" i="15" s="1"/>
  <c r="E44" i="15"/>
  <c r="E46" i="14"/>
  <c r="E44" i="13"/>
  <c r="N44" i="15" l="1" a="1"/>
  <c r="N44" i="15" s="1"/>
  <c r="G44" i="15" a="1"/>
  <c r="G44" i="15" s="1"/>
  <c r="S44" i="15" a="1"/>
  <c r="S44" i="15" s="1"/>
  <c r="F44" i="15" a="1"/>
  <c r="F44" i="15" s="1"/>
  <c r="R44" i="15" a="1"/>
  <c r="R44" i="15" s="1"/>
  <c r="Q44" i="15" a="1"/>
  <c r="Q44" i="15" s="1"/>
  <c r="K44" i="15" a="1"/>
  <c r="K44" i="15" s="1"/>
  <c r="P44" i="15" a="1"/>
  <c r="P44" i="15" s="1"/>
  <c r="O44" i="15" a="1"/>
  <c r="O44" i="15" s="1"/>
  <c r="M44" i="15" a="1"/>
  <c r="M44" i="15" s="1"/>
  <c r="L44" i="15" a="1"/>
  <c r="L44" i="15" s="1"/>
  <c r="J44" i="15" a="1"/>
  <c r="J44" i="15" s="1"/>
  <c r="I44" i="15" a="1"/>
  <c r="I44" i="15" s="1"/>
  <c r="H44" i="15" a="1"/>
  <c r="H44" i="15" s="1"/>
  <c r="E45" i="15"/>
  <c r="E45" i="13"/>
  <c r="E47" i="14"/>
  <c r="K45" i="15" l="1" a="1"/>
  <c r="K45" i="15" s="1"/>
  <c r="J45" i="15" a="1"/>
  <c r="J45" i="15" s="1"/>
  <c r="I45" i="15" a="1"/>
  <c r="I45" i="15" s="1"/>
  <c r="S45" i="15" a="1"/>
  <c r="S45" i="15" s="1"/>
  <c r="R45" i="15" a="1"/>
  <c r="R45" i="15" s="1"/>
  <c r="F45" i="15" a="1"/>
  <c r="F45" i="15" s="1"/>
  <c r="L45" i="15" a="1"/>
  <c r="L45" i="15" s="1"/>
  <c r="Q45" i="15" a="1"/>
  <c r="Q45" i="15" s="1"/>
  <c r="P45" i="15" a="1"/>
  <c r="P45" i="15" s="1"/>
  <c r="O45" i="15" a="1"/>
  <c r="O45" i="15" s="1"/>
  <c r="N45" i="15" a="1"/>
  <c r="N45" i="15" s="1"/>
  <c r="M45" i="15" a="1"/>
  <c r="M45" i="15" s="1"/>
  <c r="H45" i="15" a="1"/>
  <c r="H45" i="15" s="1"/>
  <c r="G45" i="15" a="1"/>
  <c r="G45" i="15" s="1"/>
  <c r="E46" i="15"/>
  <c r="E46" i="13"/>
  <c r="E48" i="14"/>
  <c r="R46" i="15" l="1" a="1"/>
  <c r="R46" i="15" s="1"/>
  <c r="H46" i="15" a="1"/>
  <c r="H46" i="15" s="1"/>
  <c r="F46" i="15" a="1"/>
  <c r="F46" i="15" s="1"/>
  <c r="S46" i="15" a="1"/>
  <c r="S46" i="15" s="1"/>
  <c r="J46" i="15" a="1"/>
  <c r="J46" i="15" s="1"/>
  <c r="Q46" i="15" a="1"/>
  <c r="Q46" i="15" s="1"/>
  <c r="P46" i="15" a="1"/>
  <c r="P46" i="15" s="1"/>
  <c r="O46" i="15" a="1"/>
  <c r="O46" i="15" s="1"/>
  <c r="N46" i="15" a="1"/>
  <c r="N46" i="15" s="1"/>
  <c r="M46" i="15" a="1"/>
  <c r="M46" i="15" s="1"/>
  <c r="L46" i="15" a="1"/>
  <c r="L46" i="15" s="1"/>
  <c r="K46" i="15" a="1"/>
  <c r="K46" i="15" s="1"/>
  <c r="G46" i="15" a="1"/>
  <c r="G46" i="15" s="1"/>
  <c r="I46" i="15" a="1"/>
  <c r="I46" i="15" s="1"/>
  <c r="E47" i="15"/>
  <c r="E49" i="14"/>
  <c r="E47" i="13"/>
  <c r="Q47" i="15" l="1" a="1"/>
  <c r="Q47" i="15" s="1"/>
  <c r="O47" i="15" a="1"/>
  <c r="O47" i="15" s="1"/>
  <c r="S47" i="15" a="1"/>
  <c r="S47" i="15" s="1"/>
  <c r="R47" i="15" a="1"/>
  <c r="R47" i="15" s="1"/>
  <c r="J47" i="15" a="1"/>
  <c r="J47" i="15" s="1"/>
  <c r="P47" i="15" a="1"/>
  <c r="P47" i="15" s="1"/>
  <c r="N47" i="15" a="1"/>
  <c r="N47" i="15" s="1"/>
  <c r="M47" i="15" a="1"/>
  <c r="M47" i="15" s="1"/>
  <c r="L47" i="15" a="1"/>
  <c r="L47" i="15" s="1"/>
  <c r="K47" i="15" a="1"/>
  <c r="K47" i="15" s="1"/>
  <c r="I47" i="15" a="1"/>
  <c r="I47" i="15" s="1"/>
  <c r="H47" i="15" a="1"/>
  <c r="H47" i="15" s="1"/>
  <c r="F47" i="15" a="1"/>
  <c r="F47" i="15" s="1"/>
  <c r="G47" i="15" a="1"/>
  <c r="G47" i="15" s="1"/>
  <c r="E48" i="15"/>
  <c r="E50" i="14"/>
  <c r="E48" i="13"/>
  <c r="N48" i="15" l="1" a="1"/>
  <c r="N48" i="15" s="1"/>
  <c r="L48" i="15" a="1"/>
  <c r="L48" i="15" s="1"/>
  <c r="J48" i="15" a="1"/>
  <c r="J48" i="15" s="1"/>
  <c r="F48" i="15" a="1"/>
  <c r="F48" i="15" s="1"/>
  <c r="S48" i="15" a="1"/>
  <c r="S48" i="15" s="1"/>
  <c r="R48" i="15" a="1"/>
  <c r="R48" i="15" s="1"/>
  <c r="Q48" i="15" a="1"/>
  <c r="Q48" i="15" s="1"/>
  <c r="P48" i="15" a="1"/>
  <c r="P48" i="15" s="1"/>
  <c r="O48" i="15" a="1"/>
  <c r="O48" i="15" s="1"/>
  <c r="M48" i="15" a="1"/>
  <c r="M48" i="15" s="1"/>
  <c r="K48" i="15" a="1"/>
  <c r="K48" i="15" s="1"/>
  <c r="I48" i="15" a="1"/>
  <c r="I48" i="15" s="1"/>
  <c r="H48" i="15" a="1"/>
  <c r="H48" i="15" s="1"/>
  <c r="G48" i="15" a="1"/>
  <c r="G48" i="15" s="1"/>
  <c r="E49" i="15"/>
  <c r="E51" i="14"/>
  <c r="E49" i="13"/>
  <c r="K49" i="15" l="1" a="1"/>
  <c r="K49" i="15" s="1"/>
  <c r="H49" i="15" a="1"/>
  <c r="H49" i="15" s="1"/>
  <c r="N49" i="15" a="1"/>
  <c r="N49" i="15" s="1"/>
  <c r="M49" i="15" a="1"/>
  <c r="M49" i="15" s="1"/>
  <c r="G49" i="15" a="1"/>
  <c r="G49" i="15" s="1"/>
  <c r="F49" i="15" a="1"/>
  <c r="F49" i="15" s="1"/>
  <c r="O49" i="15" a="1"/>
  <c r="O49" i="15" s="1"/>
  <c r="S49" i="15" a="1"/>
  <c r="S49" i="15" s="1"/>
  <c r="R49" i="15" a="1"/>
  <c r="R49" i="15" s="1"/>
  <c r="Q49" i="15" a="1"/>
  <c r="Q49" i="15" s="1"/>
  <c r="P49" i="15" a="1"/>
  <c r="P49" i="15" s="1"/>
  <c r="L49" i="15" a="1"/>
  <c r="L49" i="15" s="1"/>
  <c r="J49" i="15" a="1"/>
  <c r="J49" i="15" s="1"/>
  <c r="I49" i="15" a="1"/>
  <c r="I49" i="15" s="1"/>
  <c r="E50" i="15"/>
  <c r="E52" i="14"/>
  <c r="E50" i="13"/>
  <c r="K50" i="15" l="1" a="1"/>
  <c r="K50" i="15" s="1"/>
  <c r="J50" i="15" a="1"/>
  <c r="J50" i="15" s="1"/>
  <c r="S50" i="15" a="1"/>
  <c r="S50" i="15" s="1"/>
  <c r="G50" i="15" a="1"/>
  <c r="G50" i="15" s="1"/>
  <c r="M50" i="15" a="1"/>
  <c r="M50" i="15" s="1"/>
  <c r="L50" i="15" a="1"/>
  <c r="L50" i="15" s="1"/>
  <c r="N50" i="15" a="1"/>
  <c r="N50" i="15" s="1"/>
  <c r="I50" i="15" a="1"/>
  <c r="I50" i="15" s="1"/>
  <c r="H50" i="15" a="1"/>
  <c r="H50" i="15" s="1"/>
  <c r="F50" i="15" a="1"/>
  <c r="F50" i="15" s="1"/>
  <c r="R50" i="15" a="1"/>
  <c r="R50" i="15" s="1"/>
  <c r="Q50" i="15" a="1"/>
  <c r="Q50" i="15" s="1"/>
  <c r="P50" i="15" a="1"/>
  <c r="P50" i="15" s="1"/>
  <c r="O50" i="15" a="1"/>
  <c r="O50" i="15" s="1"/>
  <c r="E51" i="15"/>
  <c r="E53" i="14"/>
  <c r="E51" i="13"/>
  <c r="I51" i="15" l="1" a="1"/>
  <c r="I51" i="15" s="1"/>
  <c r="G51" i="15" a="1"/>
  <c r="G51" i="15" s="1"/>
  <c r="R51" i="15" a="1"/>
  <c r="R51" i="15" s="1"/>
  <c r="L51" i="15" a="1"/>
  <c r="L51" i="15" s="1"/>
  <c r="K51" i="15" a="1"/>
  <c r="K51" i="15" s="1"/>
  <c r="S51" i="15" a="1"/>
  <c r="S51" i="15" s="1"/>
  <c r="Q51" i="15" a="1"/>
  <c r="Q51" i="15" s="1"/>
  <c r="P51" i="15" a="1"/>
  <c r="P51" i="15" s="1"/>
  <c r="O51" i="15" a="1"/>
  <c r="O51" i="15" s="1"/>
  <c r="N51" i="15" a="1"/>
  <c r="N51" i="15" s="1"/>
  <c r="M51" i="15" a="1"/>
  <c r="M51" i="15" s="1"/>
  <c r="J51" i="15" a="1"/>
  <c r="J51" i="15" s="1"/>
  <c r="H51" i="15" a="1"/>
  <c r="H51" i="15" s="1"/>
  <c r="F51" i="15" a="1"/>
  <c r="F51" i="15" s="1"/>
  <c r="E52" i="15"/>
  <c r="E54" i="14"/>
  <c r="E52" i="13"/>
  <c r="G52" i="15" l="1" a="1"/>
  <c r="G52" i="15" s="1"/>
  <c r="S52" i="15" a="1"/>
  <c r="S52" i="15" s="1"/>
  <c r="P52" i="15" a="1"/>
  <c r="P52" i="15" s="1"/>
  <c r="I52" i="15" a="1"/>
  <c r="I52" i="15" s="1"/>
  <c r="R52" i="15" a="1"/>
  <c r="R52" i="15" s="1"/>
  <c r="Q52" i="15" a="1"/>
  <c r="Q52" i="15" s="1"/>
  <c r="L52" i="15" a="1"/>
  <c r="L52" i="15" s="1"/>
  <c r="O52" i="15" a="1"/>
  <c r="O52" i="15" s="1"/>
  <c r="N52" i="15" a="1"/>
  <c r="N52" i="15" s="1"/>
  <c r="M52" i="15" a="1"/>
  <c r="M52" i="15" s="1"/>
  <c r="K52" i="15" a="1"/>
  <c r="K52" i="15" s="1"/>
  <c r="F52" i="15" a="1"/>
  <c r="F52" i="15" s="1"/>
  <c r="J52" i="15" a="1"/>
  <c r="J52" i="15" s="1"/>
  <c r="H52" i="15" a="1"/>
  <c r="H52" i="15" s="1"/>
  <c r="E53" i="15"/>
  <c r="E53" i="13"/>
  <c r="E55" i="14"/>
  <c r="R53" i="15" l="1" a="1"/>
  <c r="R53" i="15" s="1"/>
  <c r="F53" i="15" a="1"/>
  <c r="F53" i="15" s="1"/>
  <c r="P53" i="15" a="1"/>
  <c r="P53" i="15" s="1"/>
  <c r="N53" i="15" a="1"/>
  <c r="N53" i="15" s="1"/>
  <c r="G53" i="15" a="1"/>
  <c r="G53" i="15" s="1"/>
  <c r="K53" i="15" a="1"/>
  <c r="K53" i="15" s="1"/>
  <c r="J53" i="15" a="1"/>
  <c r="J53" i="15" s="1"/>
  <c r="I53" i="15" a="1"/>
  <c r="I53" i="15" s="1"/>
  <c r="H53" i="15" a="1"/>
  <c r="H53" i="15" s="1"/>
  <c r="Q53" i="15" a="1"/>
  <c r="Q53" i="15" s="1"/>
  <c r="S53" i="15" a="1"/>
  <c r="S53" i="15" s="1"/>
  <c r="O53" i="15" a="1"/>
  <c r="O53" i="15" s="1"/>
  <c r="M53" i="15" a="1"/>
  <c r="M53" i="15" s="1"/>
  <c r="L53" i="15" a="1"/>
  <c r="L53" i="15" s="1"/>
  <c r="E54" i="15"/>
  <c r="E54" i="13"/>
  <c r="E56" i="14"/>
  <c r="Q54" i="15" l="1" a="1"/>
  <c r="Q54" i="15" s="1"/>
  <c r="P54" i="15" a="1"/>
  <c r="P54" i="15" s="1"/>
  <c r="N54" i="15" a="1"/>
  <c r="N54" i="15" s="1"/>
  <c r="L54" i="15" a="1"/>
  <c r="L54" i="15" s="1"/>
  <c r="S54" i="15" a="1"/>
  <c r="S54" i="15" s="1"/>
  <c r="F54" i="15" a="1"/>
  <c r="F54" i="15" s="1"/>
  <c r="R54" i="15" a="1"/>
  <c r="R54" i="15" s="1"/>
  <c r="O54" i="15" a="1"/>
  <c r="O54" i="15" s="1"/>
  <c r="M54" i="15" a="1"/>
  <c r="M54" i="15" s="1"/>
  <c r="K54" i="15" a="1"/>
  <c r="K54" i="15" s="1"/>
  <c r="J54" i="15" a="1"/>
  <c r="J54" i="15" s="1"/>
  <c r="I54" i="15" a="1"/>
  <c r="I54" i="15" s="1"/>
  <c r="H54" i="15" a="1"/>
  <c r="H54" i="15" s="1"/>
  <c r="G54" i="15" a="1"/>
  <c r="G54" i="15" s="1"/>
  <c r="E55" i="15"/>
  <c r="E57" i="14"/>
  <c r="E55" i="13"/>
  <c r="N55" i="15" l="1" a="1"/>
  <c r="N55" i="15" s="1"/>
  <c r="M55" i="15" a="1"/>
  <c r="M55" i="15" s="1"/>
  <c r="L55" i="15" a="1"/>
  <c r="L55" i="15" s="1"/>
  <c r="P55" i="15" a="1"/>
  <c r="P55" i="15" s="1"/>
  <c r="S55" i="15" a="1"/>
  <c r="S55" i="15" s="1"/>
  <c r="R55" i="15" a="1"/>
  <c r="R55" i="15" s="1"/>
  <c r="I55" i="15" a="1"/>
  <c r="I55" i="15" s="1"/>
  <c r="Q55" i="15" a="1"/>
  <c r="Q55" i="15" s="1"/>
  <c r="O55" i="15" a="1"/>
  <c r="O55" i="15" s="1"/>
  <c r="K55" i="15" a="1"/>
  <c r="K55" i="15" s="1"/>
  <c r="J55" i="15" a="1"/>
  <c r="J55" i="15" s="1"/>
  <c r="H55" i="15" a="1"/>
  <c r="H55" i="15" s="1"/>
  <c r="G55" i="15" a="1"/>
  <c r="G55" i="15" s="1"/>
  <c r="F55" i="15" a="1"/>
  <c r="F55" i="15" s="1"/>
  <c r="E56" i="15"/>
  <c r="E58" i="14"/>
  <c r="E56" i="13"/>
  <c r="L56" i="15" l="1" a="1"/>
  <c r="L56" i="15" s="1"/>
  <c r="K56" i="15" a="1"/>
  <c r="K56" i="15" s="1"/>
  <c r="J56" i="15" a="1"/>
  <c r="J56" i="15" s="1"/>
  <c r="I56" i="15" a="1"/>
  <c r="I56" i="15" s="1"/>
  <c r="M56" i="15" a="1"/>
  <c r="M56" i="15" s="1"/>
  <c r="H56" i="15" a="1"/>
  <c r="H56" i="15" s="1"/>
  <c r="G56" i="15" a="1"/>
  <c r="G56" i="15" s="1"/>
  <c r="F56" i="15" a="1"/>
  <c r="F56" i="15" s="1"/>
  <c r="S56" i="15" a="1"/>
  <c r="S56" i="15" s="1"/>
  <c r="R56" i="15" a="1"/>
  <c r="R56" i="15" s="1"/>
  <c r="P56" i="15" a="1"/>
  <c r="P56" i="15" s="1"/>
  <c r="Q56" i="15" a="1"/>
  <c r="Q56" i="15" s="1"/>
  <c r="O56" i="15" a="1"/>
  <c r="O56" i="15" s="1"/>
  <c r="N56" i="15" a="1"/>
  <c r="N56" i="15" s="1"/>
  <c r="E57" i="15"/>
  <c r="E57" i="13"/>
  <c r="E59" i="14"/>
  <c r="K57" i="15" l="1" a="1"/>
  <c r="K57" i="15" s="1"/>
  <c r="J57" i="15" a="1"/>
  <c r="J57" i="15" s="1"/>
  <c r="I57" i="15" a="1"/>
  <c r="I57" i="15" s="1"/>
  <c r="S57" i="15" a="1"/>
  <c r="S57" i="15" s="1"/>
  <c r="H57" i="15" a="1"/>
  <c r="H57" i="15" s="1"/>
  <c r="R57" i="15" a="1"/>
  <c r="R57" i="15" s="1"/>
  <c r="G57" i="15" a="1"/>
  <c r="G57" i="15" s="1"/>
  <c r="F57" i="15" a="1"/>
  <c r="F57" i="15" s="1"/>
  <c r="Q57" i="15" a="1"/>
  <c r="Q57" i="15" s="1"/>
  <c r="M57" i="15" a="1"/>
  <c r="M57" i="15" s="1"/>
  <c r="L57" i="15" a="1"/>
  <c r="L57" i="15" s="1"/>
  <c r="P57" i="15" a="1"/>
  <c r="P57" i="15" s="1"/>
  <c r="O57" i="15" a="1"/>
  <c r="O57" i="15" s="1"/>
  <c r="N57" i="15" a="1"/>
  <c r="N57" i="15" s="1"/>
  <c r="E58" i="15"/>
  <c r="E58" i="13"/>
  <c r="E60" i="14"/>
  <c r="G58" i="15" l="1" a="1"/>
  <c r="G58" i="15" s="1"/>
  <c r="S58" i="15" a="1"/>
  <c r="S58" i="15" s="1"/>
  <c r="F58" i="15" a="1"/>
  <c r="F58" i="15" s="1"/>
  <c r="R58" i="15" a="1"/>
  <c r="R58" i="15" s="1"/>
  <c r="Q58" i="15" a="1"/>
  <c r="Q58" i="15" s="1"/>
  <c r="P58" i="15" a="1"/>
  <c r="P58" i="15" s="1"/>
  <c r="J58" i="15" a="1"/>
  <c r="J58" i="15" s="1"/>
  <c r="I58" i="15" a="1"/>
  <c r="I58" i="15" s="1"/>
  <c r="O58" i="15" a="1"/>
  <c r="O58" i="15" s="1"/>
  <c r="N58" i="15" a="1"/>
  <c r="N58" i="15" s="1"/>
  <c r="M58" i="15" a="1"/>
  <c r="M58" i="15" s="1"/>
  <c r="L58" i="15" a="1"/>
  <c r="L58" i="15" s="1"/>
  <c r="H58" i="15" a="1"/>
  <c r="H58" i="15" s="1"/>
  <c r="K58" i="15" a="1"/>
  <c r="K58" i="15" s="1"/>
  <c r="E59" i="15"/>
  <c r="E59" i="13"/>
  <c r="E61" i="14"/>
  <c r="Q59" i="15" l="1" a="1"/>
  <c r="Q59" i="15" s="1"/>
  <c r="P59" i="15" a="1"/>
  <c r="P59" i="15" s="1"/>
  <c r="O59" i="15" a="1"/>
  <c r="O59" i="15" s="1"/>
  <c r="N59" i="15" a="1"/>
  <c r="N59" i="15" s="1"/>
  <c r="M59" i="15" a="1"/>
  <c r="M59" i="15" s="1"/>
  <c r="H59" i="15" a="1"/>
  <c r="H59" i="15" s="1"/>
  <c r="S59" i="15" a="1"/>
  <c r="S59" i="15" s="1"/>
  <c r="G59" i="15" a="1"/>
  <c r="G59" i="15" s="1"/>
  <c r="R59" i="15" a="1"/>
  <c r="R59" i="15" s="1"/>
  <c r="L59" i="15" a="1"/>
  <c r="L59" i="15" s="1"/>
  <c r="K59" i="15" a="1"/>
  <c r="K59" i="15" s="1"/>
  <c r="J59" i="15" a="1"/>
  <c r="J59" i="15" s="1"/>
  <c r="I59" i="15" a="1"/>
  <c r="I59" i="15" s="1"/>
  <c r="F59" i="15" a="1"/>
  <c r="F59" i="15" s="1"/>
  <c r="E60" i="15"/>
  <c r="E62" i="14"/>
  <c r="E60" i="13"/>
  <c r="O60" i="15" l="1" a="1"/>
  <c r="O60" i="15" s="1"/>
  <c r="N60" i="15" a="1"/>
  <c r="N60" i="15" s="1"/>
  <c r="M60" i="15" a="1"/>
  <c r="M60" i="15" s="1"/>
  <c r="L60" i="15" a="1"/>
  <c r="L60" i="15" s="1"/>
  <c r="K60" i="15" a="1"/>
  <c r="K60" i="15" s="1"/>
  <c r="R60" i="15" a="1"/>
  <c r="R60" i="15" s="1"/>
  <c r="G60" i="15" a="1"/>
  <c r="G60" i="15" s="1"/>
  <c r="F60" i="15" a="1"/>
  <c r="F60" i="15" s="1"/>
  <c r="Q60" i="15" a="1"/>
  <c r="Q60" i="15" s="1"/>
  <c r="H60" i="15" a="1"/>
  <c r="H60" i="15" s="1"/>
  <c r="S60" i="15" a="1"/>
  <c r="S60" i="15" s="1"/>
  <c r="P60" i="15" a="1"/>
  <c r="P60" i="15" s="1"/>
  <c r="J60" i="15" a="1"/>
  <c r="J60" i="15" s="1"/>
  <c r="I60" i="15" a="1"/>
  <c r="I60" i="15" s="1"/>
  <c r="E61" i="15"/>
  <c r="E63" i="14"/>
  <c r="E61" i="13"/>
  <c r="M61" i="15" l="1" a="1"/>
  <c r="M61" i="15" s="1"/>
  <c r="L61" i="15" a="1"/>
  <c r="L61" i="15" s="1"/>
  <c r="K61" i="15" a="1"/>
  <c r="K61" i="15" s="1"/>
  <c r="J61" i="15" a="1"/>
  <c r="J61" i="15" s="1"/>
  <c r="I61" i="15" a="1"/>
  <c r="I61" i="15" s="1"/>
  <c r="O61" i="15" a="1"/>
  <c r="O61" i="15" s="1"/>
  <c r="S61" i="15" a="1"/>
  <c r="S61" i="15" s="1"/>
  <c r="R61" i="15" a="1"/>
  <c r="R61" i="15" s="1"/>
  <c r="Q61" i="15" a="1"/>
  <c r="Q61" i="15" s="1"/>
  <c r="P61" i="15" a="1"/>
  <c r="P61" i="15" s="1"/>
  <c r="N61" i="15" a="1"/>
  <c r="N61" i="15" s="1"/>
  <c r="H61" i="15" a="1"/>
  <c r="H61" i="15" s="1"/>
  <c r="G61" i="15" a="1"/>
  <c r="G61" i="15" s="1"/>
  <c r="F61" i="15" a="1"/>
  <c r="F61" i="15" s="1"/>
  <c r="E62" i="15"/>
  <c r="E64" i="14"/>
  <c r="E62" i="13"/>
  <c r="K62" i="15" l="1" a="1"/>
  <c r="K62" i="15" s="1"/>
  <c r="J62" i="15" a="1"/>
  <c r="J62" i="15" s="1"/>
  <c r="I62" i="15" a="1"/>
  <c r="I62" i="15" s="1"/>
  <c r="S62" i="15" a="1"/>
  <c r="S62" i="15" s="1"/>
  <c r="H62" i="15" a="1"/>
  <c r="H62" i="15" s="1"/>
  <c r="R62" i="15" a="1"/>
  <c r="R62" i="15" s="1"/>
  <c r="G62" i="15" a="1"/>
  <c r="G62" i="15" s="1"/>
  <c r="F62" i="15" a="1"/>
  <c r="F62" i="15" s="1"/>
  <c r="N62" i="15" a="1"/>
  <c r="N62" i="15" s="1"/>
  <c r="M62" i="15" a="1"/>
  <c r="M62" i="15" s="1"/>
  <c r="L62" i="15" a="1"/>
  <c r="L62" i="15" s="1"/>
  <c r="Q62" i="15" a="1"/>
  <c r="Q62" i="15" s="1"/>
  <c r="O62" i="15" a="1"/>
  <c r="O62" i="15" s="1"/>
  <c r="P62" i="15" a="1"/>
  <c r="P62" i="15" s="1"/>
  <c r="E63" i="15"/>
  <c r="E65" i="14"/>
  <c r="E63" i="13"/>
  <c r="I63" i="15" l="1" a="1"/>
  <c r="I63" i="15" s="1"/>
  <c r="H63" i="15" a="1"/>
  <c r="H63" i="15" s="1"/>
  <c r="S63" i="15" a="1"/>
  <c r="S63" i="15" s="1"/>
  <c r="G63" i="15" a="1"/>
  <c r="G63" i="15" s="1"/>
  <c r="F63" i="15" a="1"/>
  <c r="F63" i="15" s="1"/>
  <c r="R63" i="15" a="1"/>
  <c r="R63" i="15" s="1"/>
  <c r="Q63" i="15" a="1"/>
  <c r="Q63" i="15" s="1"/>
  <c r="L63" i="15" a="1"/>
  <c r="L63" i="15" s="1"/>
  <c r="K63" i="15" a="1"/>
  <c r="K63" i="15" s="1"/>
  <c r="P63" i="15" a="1"/>
  <c r="P63" i="15" s="1"/>
  <c r="O63" i="15" a="1"/>
  <c r="O63" i="15" s="1"/>
  <c r="N63" i="15" a="1"/>
  <c r="N63" i="15" s="1"/>
  <c r="M63" i="15" a="1"/>
  <c r="M63" i="15" s="1"/>
  <c r="J63" i="15" a="1"/>
  <c r="J63" i="15" s="1"/>
  <c r="E64" i="15"/>
  <c r="E66" i="14"/>
  <c r="E64" i="13"/>
  <c r="S64" i="15" l="1" a="1"/>
  <c r="S64" i="15" s="1"/>
  <c r="F64" i="15" a="1"/>
  <c r="F64" i="15" s="1"/>
  <c r="R64" i="15" a="1"/>
  <c r="R64" i="15" s="1"/>
  <c r="Q64" i="15" a="1"/>
  <c r="Q64" i="15" s="1"/>
  <c r="P64" i="15" a="1"/>
  <c r="P64" i="15" s="1"/>
  <c r="O64" i="15" a="1"/>
  <c r="O64" i="15" s="1"/>
  <c r="I64" i="15" a="1"/>
  <c r="I64" i="15" s="1"/>
  <c r="H64" i="15" a="1"/>
  <c r="H64" i="15" s="1"/>
  <c r="M64" i="15" a="1"/>
  <c r="M64" i="15" s="1"/>
  <c r="L64" i="15" a="1"/>
  <c r="L64" i="15" s="1"/>
  <c r="K64" i="15" a="1"/>
  <c r="K64" i="15" s="1"/>
  <c r="J64" i="15" a="1"/>
  <c r="J64" i="15" s="1"/>
  <c r="G64" i="15" a="1"/>
  <c r="G64" i="15" s="1"/>
  <c r="N64" i="15" a="1"/>
  <c r="N64" i="15" s="1"/>
  <c r="E65" i="15"/>
  <c r="E67" i="14"/>
  <c r="E65" i="13"/>
  <c r="Q65" i="15" l="1" a="1"/>
  <c r="Q65" i="15" s="1"/>
  <c r="P65" i="15" a="1"/>
  <c r="P65" i="15" s="1"/>
  <c r="O65" i="15" a="1"/>
  <c r="O65" i="15" s="1"/>
  <c r="N65" i="15" a="1"/>
  <c r="N65" i="15" s="1"/>
  <c r="M65" i="15" a="1"/>
  <c r="M65" i="15" s="1"/>
  <c r="L65" i="15" a="1"/>
  <c r="L65" i="15" s="1"/>
  <c r="K65" i="15" a="1"/>
  <c r="K65" i="15" s="1"/>
  <c r="G65" i="15" a="1"/>
  <c r="G65" i="15" s="1"/>
  <c r="S65" i="15" a="1"/>
  <c r="S65" i="15" s="1"/>
  <c r="F65" i="15" a="1"/>
  <c r="F65" i="15" s="1"/>
  <c r="R65" i="15" a="1"/>
  <c r="R65" i="15" s="1"/>
  <c r="I65" i="15" a="1"/>
  <c r="I65" i="15" s="1"/>
  <c r="J65" i="15" a="1"/>
  <c r="J65" i="15" s="1"/>
  <c r="H65" i="15" a="1"/>
  <c r="H65" i="15" s="1"/>
  <c r="E66" i="15"/>
  <c r="E68" i="14"/>
  <c r="E66" i="13"/>
  <c r="N66" i="15" l="1" a="1"/>
  <c r="N66" i="15" s="1"/>
  <c r="M66" i="15" a="1"/>
  <c r="M66" i="15" s="1"/>
  <c r="L66" i="15" a="1"/>
  <c r="L66" i="15" s="1"/>
  <c r="K66" i="15" a="1"/>
  <c r="K66" i="15" s="1"/>
  <c r="J66" i="15" a="1"/>
  <c r="J66" i="15" s="1"/>
  <c r="H66" i="15" a="1"/>
  <c r="H66" i="15" s="1"/>
  <c r="R66" i="15" a="1"/>
  <c r="R66" i="15" s="1"/>
  <c r="F66" i="15" a="1"/>
  <c r="F66" i="15" s="1"/>
  <c r="Q66" i="15" a="1"/>
  <c r="Q66" i="15" s="1"/>
  <c r="P66" i="15" a="1"/>
  <c r="P66" i="15" s="1"/>
  <c r="S66" i="15" a="1"/>
  <c r="S66" i="15" s="1"/>
  <c r="O66" i="15" a="1"/>
  <c r="O66" i="15" s="1"/>
  <c r="I66" i="15" a="1"/>
  <c r="I66" i="15" s="1"/>
  <c r="G66" i="15" a="1"/>
  <c r="G66" i="15" s="1"/>
  <c r="E67" i="15"/>
  <c r="E67" i="13"/>
  <c r="E69" i="14"/>
  <c r="L67" i="15" l="1" a="1"/>
  <c r="L67" i="15" s="1"/>
  <c r="K67" i="15" a="1"/>
  <c r="K67" i="15" s="1"/>
  <c r="J67" i="15" a="1"/>
  <c r="J67" i="15" s="1"/>
  <c r="I67" i="15" a="1"/>
  <c r="I67" i="15" s="1"/>
  <c r="Q67" i="15" a="1"/>
  <c r="Q67" i="15" s="1"/>
  <c r="G67" i="15" a="1"/>
  <c r="G67" i="15" s="1"/>
  <c r="N67" i="15" a="1"/>
  <c r="N67" i="15" s="1"/>
  <c r="M67" i="15" a="1"/>
  <c r="M67" i="15" s="1"/>
  <c r="F67" i="15" a="1"/>
  <c r="F67" i="15" s="1"/>
  <c r="R67" i="15" a="1"/>
  <c r="R67" i="15" s="1"/>
  <c r="S67" i="15" a="1"/>
  <c r="S67" i="15" s="1"/>
  <c r="P67" i="15" a="1"/>
  <c r="P67" i="15" s="1"/>
  <c r="O67" i="15" a="1"/>
  <c r="O67" i="15" s="1"/>
  <c r="H67" i="15" a="1"/>
  <c r="H67" i="15" s="1"/>
  <c r="E68" i="15"/>
  <c r="E68" i="13"/>
  <c r="E70" i="14"/>
  <c r="J68" i="15" l="1" a="1"/>
  <c r="J68" i="15" s="1"/>
  <c r="I68" i="15" a="1"/>
  <c r="I68" i="15" s="1"/>
  <c r="S68" i="15" a="1"/>
  <c r="S68" i="15" s="1"/>
  <c r="H68" i="15" a="1"/>
  <c r="H68" i="15" s="1"/>
  <c r="R68" i="15" a="1"/>
  <c r="R68" i="15" s="1"/>
  <c r="G68" i="15" a="1"/>
  <c r="G68" i="15" s="1"/>
  <c r="Q68" i="15" a="1"/>
  <c r="Q68" i="15" s="1"/>
  <c r="F68" i="15" a="1"/>
  <c r="F68" i="15" s="1"/>
  <c r="M68" i="15" a="1"/>
  <c r="M68" i="15" s="1"/>
  <c r="L68" i="15" a="1"/>
  <c r="L68" i="15" s="1"/>
  <c r="K68" i="15" a="1"/>
  <c r="K68" i="15" s="1"/>
  <c r="P68" i="15" a="1"/>
  <c r="P68" i="15" s="1"/>
  <c r="O68" i="15" a="1"/>
  <c r="O68" i="15" s="1"/>
  <c r="N68" i="15" a="1"/>
  <c r="N68" i="15" s="1"/>
  <c r="E69" i="15"/>
  <c r="E69" i="13"/>
  <c r="E71" i="14"/>
  <c r="S69" i="15" l="1" a="1"/>
  <c r="S69" i="15" s="1"/>
  <c r="G69" i="15" a="1"/>
  <c r="G69" i="15" s="1"/>
  <c r="R69" i="15" a="1"/>
  <c r="R69" i="15" s="1"/>
  <c r="F69" i="15" a="1"/>
  <c r="F69" i="15" s="1"/>
  <c r="Q69" i="15" a="1"/>
  <c r="Q69" i="15" s="1"/>
  <c r="P69" i="15" a="1"/>
  <c r="P69" i="15" s="1"/>
  <c r="O69" i="15" a="1"/>
  <c r="O69" i="15" s="1"/>
  <c r="L69" i="15" a="1"/>
  <c r="L69" i="15" s="1"/>
  <c r="J69" i="15" a="1"/>
  <c r="J69" i="15" s="1"/>
  <c r="I69" i="15" a="1"/>
  <c r="I69" i="15" s="1"/>
  <c r="H69" i="15" a="1"/>
  <c r="H69" i="15" s="1"/>
  <c r="N69" i="15" a="1"/>
  <c r="N69" i="15" s="1"/>
  <c r="M69" i="15" a="1"/>
  <c r="M69" i="15" s="1"/>
  <c r="K69" i="15" a="1"/>
  <c r="K69" i="15" s="1"/>
  <c r="E70" i="15"/>
  <c r="E70" i="13"/>
  <c r="E72" i="14"/>
  <c r="R70" i="15" l="1" a="1"/>
  <c r="R70" i="15" s="1"/>
  <c r="Q70" i="15" a="1"/>
  <c r="Q70" i="15" s="1"/>
  <c r="P70" i="15" a="1"/>
  <c r="P70" i="15" s="1"/>
  <c r="O70" i="15" a="1"/>
  <c r="O70" i="15" s="1"/>
  <c r="N70" i="15" a="1"/>
  <c r="N70" i="15" s="1"/>
  <c r="M70" i="15" a="1"/>
  <c r="M70" i="15" s="1"/>
  <c r="J70" i="15" a="1"/>
  <c r="J70" i="15" s="1"/>
  <c r="H70" i="15" a="1"/>
  <c r="H70" i="15" s="1"/>
  <c r="S70" i="15" a="1"/>
  <c r="S70" i="15" s="1"/>
  <c r="G70" i="15" a="1"/>
  <c r="G70" i="15" s="1"/>
  <c r="L70" i="15" a="1"/>
  <c r="L70" i="15" s="1"/>
  <c r="K70" i="15" a="1"/>
  <c r="K70" i="15" s="1"/>
  <c r="F70" i="15" a="1"/>
  <c r="F70" i="15" s="1"/>
  <c r="I70" i="15" a="1"/>
  <c r="I70" i="15" s="1"/>
  <c r="E71" i="15"/>
  <c r="E71" i="13"/>
  <c r="E73" i="14"/>
  <c r="O71" i="15" l="1" a="1"/>
  <c r="O71" i="15" s="1"/>
  <c r="N71" i="15" a="1"/>
  <c r="N71" i="15" s="1"/>
  <c r="M71" i="15" a="1"/>
  <c r="M71" i="15" s="1"/>
  <c r="L71" i="15" a="1"/>
  <c r="L71" i="15" s="1"/>
  <c r="K71" i="15" a="1"/>
  <c r="K71" i="15" s="1"/>
  <c r="J71" i="15" a="1"/>
  <c r="J71" i="15" s="1"/>
  <c r="S71" i="15" a="1"/>
  <c r="S71" i="15" s="1"/>
  <c r="R71" i="15" a="1"/>
  <c r="R71" i="15" s="1"/>
  <c r="F71" i="15" a="1"/>
  <c r="F71" i="15" s="1"/>
  <c r="Q71" i="15" a="1"/>
  <c r="Q71" i="15" s="1"/>
  <c r="P71" i="15" a="1"/>
  <c r="P71" i="15" s="1"/>
  <c r="I71" i="15" a="1"/>
  <c r="I71" i="15" s="1"/>
  <c r="H71" i="15" a="1"/>
  <c r="H71" i="15" s="1"/>
  <c r="G71" i="15" a="1"/>
  <c r="G71" i="15" s="1"/>
  <c r="E72" i="15"/>
  <c r="E72" i="13"/>
  <c r="E74" i="14"/>
  <c r="L72" i="15" l="1" a="1"/>
  <c r="L72" i="15" s="1"/>
  <c r="K72" i="15" a="1"/>
  <c r="K72" i="15" s="1"/>
  <c r="J72" i="15" a="1"/>
  <c r="J72" i="15" s="1"/>
  <c r="I72" i="15" a="1"/>
  <c r="I72" i="15" s="1"/>
  <c r="Q72" i="15" a="1"/>
  <c r="Q72" i="15" s="1"/>
  <c r="O72" i="15" a="1"/>
  <c r="O72" i="15" s="1"/>
  <c r="N72" i="15" a="1"/>
  <c r="N72" i="15" s="1"/>
  <c r="M72" i="15" a="1"/>
  <c r="M72" i="15" s="1"/>
  <c r="P72" i="15" a="1"/>
  <c r="P72" i="15" s="1"/>
  <c r="H72" i="15" a="1"/>
  <c r="H72" i="15" s="1"/>
  <c r="G72" i="15" a="1"/>
  <c r="G72" i="15" s="1"/>
  <c r="F72" i="15" a="1"/>
  <c r="F72" i="15" s="1"/>
  <c r="S72" i="15" a="1"/>
  <c r="S72" i="15" s="1"/>
  <c r="R72" i="15" a="1"/>
  <c r="R72" i="15" s="1"/>
  <c r="E73" i="15"/>
  <c r="E75" i="14"/>
  <c r="E73" i="13"/>
  <c r="K73" i="15" l="1" a="1"/>
  <c r="K73" i="15" s="1"/>
  <c r="J73" i="15" a="1"/>
  <c r="J73" i="15" s="1"/>
  <c r="I73" i="15" a="1"/>
  <c r="I73" i="15" s="1"/>
  <c r="S73" i="15" a="1"/>
  <c r="S73" i="15" s="1"/>
  <c r="H73" i="15" a="1"/>
  <c r="H73" i="15" s="1"/>
  <c r="G73" i="15" a="1"/>
  <c r="G73" i="15" s="1"/>
  <c r="R73" i="15" a="1"/>
  <c r="R73" i="15" s="1"/>
  <c r="F73" i="15" a="1"/>
  <c r="F73" i="15" s="1"/>
  <c r="O73" i="15" a="1"/>
  <c r="O73" i="15" s="1"/>
  <c r="M73" i="15" a="1"/>
  <c r="M73" i="15" s="1"/>
  <c r="L73" i="15" a="1"/>
  <c r="L73" i="15" s="1"/>
  <c r="P73" i="15" a="1"/>
  <c r="P73" i="15" s="1"/>
  <c r="Q73" i="15" a="1"/>
  <c r="Q73" i="15" s="1"/>
  <c r="N73" i="15" a="1"/>
  <c r="N73" i="15" s="1"/>
  <c r="E74" i="15"/>
  <c r="E76" i="14"/>
  <c r="E74" i="13"/>
  <c r="S74" i="15" l="1" a="1"/>
  <c r="S74" i="15" s="1"/>
  <c r="H74" i="15" a="1"/>
  <c r="H74" i="15" s="1"/>
  <c r="R74" i="15" a="1"/>
  <c r="R74" i="15" s="1"/>
  <c r="G74" i="15" a="1"/>
  <c r="G74" i="15" s="1"/>
  <c r="Q74" i="15" a="1"/>
  <c r="Q74" i="15" s="1"/>
  <c r="F74" i="15" a="1"/>
  <c r="F74" i="15" s="1"/>
  <c r="P74" i="15" a="1"/>
  <c r="P74" i="15" s="1"/>
  <c r="N74" i="15" a="1"/>
  <c r="N74" i="15" s="1"/>
  <c r="L74" i="15" a="1"/>
  <c r="L74" i="15" s="1"/>
  <c r="K74" i="15" a="1"/>
  <c r="K74" i="15" s="1"/>
  <c r="J74" i="15" a="1"/>
  <c r="J74" i="15" s="1"/>
  <c r="I74" i="15" a="1"/>
  <c r="I74" i="15" s="1"/>
  <c r="O74" i="15" a="1"/>
  <c r="O74" i="15" s="1"/>
  <c r="M74" i="15" a="1"/>
  <c r="M74" i="15" s="1"/>
  <c r="E75" i="15"/>
  <c r="E75" i="13"/>
  <c r="E77" i="14"/>
  <c r="Q75" i="15" l="1" a="1"/>
  <c r="Q75" i="15" s="1"/>
  <c r="P75" i="15" a="1"/>
  <c r="P75" i="15" s="1"/>
  <c r="O75" i="15" a="1"/>
  <c r="O75" i="15" s="1"/>
  <c r="N75" i="15" a="1"/>
  <c r="N75" i="15" s="1"/>
  <c r="K75" i="15" a="1"/>
  <c r="K75" i="15" s="1"/>
  <c r="H75" i="15" a="1"/>
  <c r="H75" i="15" s="1"/>
  <c r="G75" i="15" a="1"/>
  <c r="G75" i="15" s="1"/>
  <c r="S75" i="15" a="1"/>
  <c r="S75" i="15" s="1"/>
  <c r="R75" i="15" a="1"/>
  <c r="R75" i="15" s="1"/>
  <c r="F75" i="15" a="1"/>
  <c r="F75" i="15" s="1"/>
  <c r="M75" i="15" a="1"/>
  <c r="M75" i="15" s="1"/>
  <c r="L75" i="15" a="1"/>
  <c r="L75" i="15" s="1"/>
  <c r="J75" i="15" a="1"/>
  <c r="J75" i="15" s="1"/>
  <c r="I75" i="15" a="1"/>
  <c r="I75" i="15" s="1"/>
  <c r="E76" i="15"/>
  <c r="E78" i="14"/>
  <c r="E76" i="13"/>
  <c r="P76" i="15" l="1" a="1"/>
  <c r="P76" i="15" s="1"/>
  <c r="O76" i="15" a="1"/>
  <c r="O76" i="15" s="1"/>
  <c r="N76" i="15" a="1"/>
  <c r="N76" i="15" s="1"/>
  <c r="M76" i="15" a="1"/>
  <c r="M76" i="15" s="1"/>
  <c r="L76" i="15" a="1"/>
  <c r="L76" i="15" s="1"/>
  <c r="I76" i="15" a="1"/>
  <c r="I76" i="15" s="1"/>
  <c r="S76" i="15" a="1"/>
  <c r="S76" i="15" s="1"/>
  <c r="F76" i="15" a="1"/>
  <c r="F76" i="15" s="1"/>
  <c r="R76" i="15" a="1"/>
  <c r="R76" i="15" s="1"/>
  <c r="Q76" i="15" a="1"/>
  <c r="Q76" i="15" s="1"/>
  <c r="H76" i="15" a="1"/>
  <c r="H76" i="15" s="1"/>
  <c r="G76" i="15" a="1"/>
  <c r="G76" i="15" s="1"/>
  <c r="J76" i="15" a="1"/>
  <c r="J76" i="15" s="1"/>
  <c r="K76" i="15" a="1"/>
  <c r="K76" i="15" s="1"/>
  <c r="E77" i="15"/>
  <c r="E79" i="14"/>
  <c r="E77" i="13"/>
  <c r="N77" i="15" l="1" a="1"/>
  <c r="N77" i="15" s="1"/>
  <c r="M77" i="15" a="1"/>
  <c r="M77" i="15" s="1"/>
  <c r="L77" i="15" a="1"/>
  <c r="L77" i="15" s="1"/>
  <c r="K77" i="15" a="1"/>
  <c r="K77" i="15" s="1"/>
  <c r="J77" i="15" a="1"/>
  <c r="J77" i="15" s="1"/>
  <c r="S77" i="15" a="1"/>
  <c r="S77" i="15" s="1"/>
  <c r="H77" i="15" a="1"/>
  <c r="H77" i="15" s="1"/>
  <c r="Q77" i="15" a="1"/>
  <c r="Q77" i="15" s="1"/>
  <c r="P77" i="15" a="1"/>
  <c r="P77" i="15" s="1"/>
  <c r="O77" i="15" a="1"/>
  <c r="O77" i="15" s="1"/>
  <c r="I77" i="15" a="1"/>
  <c r="I77" i="15" s="1"/>
  <c r="R77" i="15" a="1"/>
  <c r="R77" i="15" s="1"/>
  <c r="G77" i="15" a="1"/>
  <c r="G77" i="15" s="1"/>
  <c r="F77" i="15" a="1"/>
  <c r="F77" i="15" s="1"/>
  <c r="E78" i="15"/>
  <c r="E80" i="14"/>
  <c r="E78" i="13"/>
  <c r="K78" i="15" l="1" a="1"/>
  <c r="K78" i="15" s="1"/>
  <c r="J78" i="15" a="1"/>
  <c r="J78" i="15" s="1"/>
  <c r="I78" i="15" a="1"/>
  <c r="I78" i="15" s="1"/>
  <c r="S78" i="15" a="1"/>
  <c r="S78" i="15" s="1"/>
  <c r="R78" i="15" a="1"/>
  <c r="R78" i="15" s="1"/>
  <c r="H78" i="15" a="1"/>
  <c r="H78" i="15" s="1"/>
  <c r="P78" i="15" a="1"/>
  <c r="P78" i="15" s="1"/>
  <c r="N78" i="15" a="1"/>
  <c r="N78" i="15" s="1"/>
  <c r="M78" i="15" a="1"/>
  <c r="M78" i="15" s="1"/>
  <c r="L78" i="15" a="1"/>
  <c r="L78" i="15" s="1"/>
  <c r="Q78" i="15" a="1"/>
  <c r="Q78" i="15" s="1"/>
  <c r="O78" i="15" a="1"/>
  <c r="O78" i="15" s="1"/>
  <c r="G78" i="15" a="1"/>
  <c r="G78" i="15" s="1"/>
  <c r="F78" i="15" a="1"/>
  <c r="F78" i="15" s="1"/>
  <c r="E79" i="15"/>
  <c r="E81" i="14"/>
  <c r="E79" i="13"/>
  <c r="J79" i="15" l="1" a="1"/>
  <c r="J79" i="15" s="1"/>
  <c r="S79" i="15" a="1"/>
  <c r="S79" i="15" s="1"/>
  <c r="I79" i="15" a="1"/>
  <c r="I79" i="15" s="1"/>
  <c r="H79" i="15" a="1"/>
  <c r="H79" i="15" s="1"/>
  <c r="R79" i="15" a="1"/>
  <c r="R79" i="15" s="1"/>
  <c r="G79" i="15" a="1"/>
  <c r="G79" i="15" s="1"/>
  <c r="Q79" i="15" a="1"/>
  <c r="Q79" i="15" s="1"/>
  <c r="F79" i="15" a="1"/>
  <c r="F79" i="15" s="1"/>
  <c r="P79" i="15" a="1"/>
  <c r="P79" i="15" s="1"/>
  <c r="K79" i="15" a="1"/>
  <c r="K79" i="15" s="1"/>
  <c r="M79" i="15" a="1"/>
  <c r="M79" i="15" s="1"/>
  <c r="L79" i="15" a="1"/>
  <c r="L79" i="15" s="1"/>
  <c r="N79" i="15" a="1"/>
  <c r="N79" i="15" s="1"/>
  <c r="O79" i="15" a="1"/>
  <c r="O79" i="15" s="1"/>
  <c r="E80" i="15"/>
  <c r="E80" i="13"/>
  <c r="E82" i="14"/>
  <c r="F80" i="15" l="1" a="1"/>
  <c r="F80" i="15" s="1"/>
  <c r="S80" i="15" a="1"/>
  <c r="S80" i="15" s="1"/>
  <c r="R80" i="15" a="1"/>
  <c r="R80" i="15" s="1"/>
  <c r="Q80" i="15" a="1"/>
  <c r="Q80" i="15" s="1"/>
  <c r="P80" i="15" a="1"/>
  <c r="P80" i="15" s="1"/>
  <c r="O80" i="15" a="1"/>
  <c r="O80" i="15" s="1"/>
  <c r="N80" i="15" a="1"/>
  <c r="N80" i="15" s="1"/>
  <c r="L80" i="15" a="1"/>
  <c r="L80" i="15" s="1"/>
  <c r="J80" i="15" a="1"/>
  <c r="J80" i="15" s="1"/>
  <c r="I80" i="15" a="1"/>
  <c r="I80" i="15" s="1"/>
  <c r="H80" i="15" a="1"/>
  <c r="H80" i="15" s="1"/>
  <c r="G80" i="15" a="1"/>
  <c r="G80" i="15" s="1"/>
  <c r="M80" i="15" a="1"/>
  <c r="M80" i="15" s="1"/>
  <c r="K80" i="15" a="1"/>
  <c r="K80" i="15" s="1"/>
  <c r="E81" i="15"/>
  <c r="E81" i="13"/>
  <c r="E83" i="14"/>
  <c r="Q81" i="15" l="1" a="1"/>
  <c r="Q81" i="15" s="1"/>
  <c r="P81" i="15" a="1"/>
  <c r="P81" i="15" s="1"/>
  <c r="O81" i="15" a="1"/>
  <c r="O81" i="15" s="1"/>
  <c r="N81" i="15" a="1"/>
  <c r="N81" i="15" s="1"/>
  <c r="M81" i="15" a="1"/>
  <c r="M81" i="15" s="1"/>
  <c r="L81" i="15" a="1"/>
  <c r="L81" i="15" s="1"/>
  <c r="G81" i="15" a="1"/>
  <c r="G81" i="15" s="1"/>
  <c r="S81" i="15" a="1"/>
  <c r="S81" i="15" s="1"/>
  <c r="F81" i="15" a="1"/>
  <c r="F81" i="15" s="1"/>
  <c r="R81" i="15" a="1"/>
  <c r="R81" i="15" s="1"/>
  <c r="K81" i="15" a="1"/>
  <c r="K81" i="15" s="1"/>
  <c r="J81" i="15" a="1"/>
  <c r="J81" i="15" s="1"/>
  <c r="I81" i="15" a="1"/>
  <c r="I81" i="15" s="1"/>
  <c r="H81" i="15" a="1"/>
  <c r="H81" i="15" s="1"/>
  <c r="E82" i="15"/>
  <c r="E82" i="13"/>
  <c r="E84" i="14"/>
  <c r="L82" i="15" l="1" a="1"/>
  <c r="L82" i="15" s="1"/>
  <c r="N82" i="15" a="1"/>
  <c r="N82" i="15" s="1"/>
  <c r="M82" i="15" a="1"/>
  <c r="M82" i="15" s="1"/>
  <c r="K82" i="15" a="1"/>
  <c r="K82" i="15" s="1"/>
  <c r="J82" i="15" a="1"/>
  <c r="J82" i="15" s="1"/>
  <c r="I82" i="15" a="1"/>
  <c r="I82" i="15" s="1"/>
  <c r="G82" i="15" a="1"/>
  <c r="G82" i="15" s="1"/>
  <c r="R82" i="15" a="1"/>
  <c r="R82" i="15" s="1"/>
  <c r="Q82" i="15" a="1"/>
  <c r="Q82" i="15" s="1"/>
  <c r="P82" i="15" a="1"/>
  <c r="P82" i="15" s="1"/>
  <c r="O82" i="15" a="1"/>
  <c r="O82" i="15" s="1"/>
  <c r="S82" i="15" a="1"/>
  <c r="S82" i="15" s="1"/>
  <c r="H82" i="15" a="1"/>
  <c r="H82" i="15" s="1"/>
  <c r="F82" i="15" a="1"/>
  <c r="F82" i="15" s="1"/>
  <c r="E83" i="15"/>
  <c r="E83" i="13"/>
  <c r="E85" i="14"/>
  <c r="J83" i="15" l="1" a="1"/>
  <c r="J83" i="15" s="1"/>
  <c r="M83" i="15" a="1"/>
  <c r="M83" i="15" s="1"/>
  <c r="L83" i="15" a="1"/>
  <c r="L83" i="15" s="1"/>
  <c r="K83" i="15" a="1"/>
  <c r="K83" i="15" s="1"/>
  <c r="I83" i="15" a="1"/>
  <c r="I83" i="15" s="1"/>
  <c r="S83" i="15" a="1"/>
  <c r="S83" i="15" s="1"/>
  <c r="P83" i="15" a="1"/>
  <c r="P83" i="15" s="1"/>
  <c r="O83" i="15" a="1"/>
  <c r="O83" i="15" s="1"/>
  <c r="N83" i="15" a="1"/>
  <c r="N83" i="15" s="1"/>
  <c r="F83" i="15" a="1"/>
  <c r="F83" i="15" s="1"/>
  <c r="R83" i="15" a="1"/>
  <c r="R83" i="15" s="1"/>
  <c r="Q83" i="15" a="1"/>
  <c r="Q83" i="15" s="1"/>
  <c r="H83" i="15" a="1"/>
  <c r="H83" i="15" s="1"/>
  <c r="G83" i="15" a="1"/>
  <c r="G83" i="15" s="1"/>
  <c r="E84" i="15"/>
  <c r="E84" i="13"/>
  <c r="E86" i="14"/>
  <c r="I84" i="15" l="1" a="1"/>
  <c r="I84" i="15" s="1"/>
  <c r="L84" i="15" a="1"/>
  <c r="L84" i="15" s="1"/>
  <c r="K84" i="15" a="1"/>
  <c r="K84" i="15" s="1"/>
  <c r="J84" i="15" a="1"/>
  <c r="J84" i="15" s="1"/>
  <c r="H84" i="15" a="1"/>
  <c r="H84" i="15" s="1"/>
  <c r="S84" i="15" a="1"/>
  <c r="S84" i="15" s="1"/>
  <c r="P84" i="15" a="1"/>
  <c r="P84" i="15" s="1"/>
  <c r="N84" i="15" a="1"/>
  <c r="N84" i="15" s="1"/>
  <c r="M84" i="15" a="1"/>
  <c r="M84" i="15" s="1"/>
  <c r="F84" i="15" a="1"/>
  <c r="F84" i="15" s="1"/>
  <c r="R84" i="15" a="1"/>
  <c r="R84" i="15" s="1"/>
  <c r="Q84" i="15" a="1"/>
  <c r="Q84" i="15" s="1"/>
  <c r="O84" i="15" a="1"/>
  <c r="O84" i="15" s="1"/>
  <c r="G84" i="15" a="1"/>
  <c r="G84" i="15" s="1"/>
  <c r="E85" i="15"/>
  <c r="E87" i="14"/>
  <c r="E85" i="13"/>
  <c r="F85" i="15" l="1" a="1"/>
  <c r="F85" i="15" s="1"/>
  <c r="J85" i="15" a="1"/>
  <c r="J85" i="15" s="1"/>
  <c r="I85" i="15" a="1"/>
  <c r="I85" i="15" s="1"/>
  <c r="H85" i="15" a="1"/>
  <c r="H85" i="15" s="1"/>
  <c r="G85" i="15" a="1"/>
  <c r="G85" i="15" s="1"/>
  <c r="S85" i="15" a="1"/>
  <c r="S85" i="15" s="1"/>
  <c r="R85" i="15" a="1"/>
  <c r="R85" i="15" s="1"/>
  <c r="M85" i="15" a="1"/>
  <c r="M85" i="15" s="1"/>
  <c r="L85" i="15" a="1"/>
  <c r="L85" i="15" s="1"/>
  <c r="K85" i="15" a="1"/>
  <c r="K85" i="15" s="1"/>
  <c r="Q85" i="15" a="1"/>
  <c r="Q85" i="15" s="1"/>
  <c r="P85" i="15" a="1"/>
  <c r="P85" i="15" s="1"/>
  <c r="O85" i="15" a="1"/>
  <c r="O85" i="15" s="1"/>
  <c r="N85" i="15" a="1"/>
  <c r="N85" i="15" s="1"/>
  <c r="E86" i="15"/>
  <c r="E88" i="14"/>
  <c r="E86" i="13"/>
  <c r="P86" i="15" l="1" a="1"/>
  <c r="P86" i="15" s="1"/>
  <c r="H86" i="15" a="1"/>
  <c r="H86" i="15" s="1"/>
  <c r="S86" i="15" a="1"/>
  <c r="S86" i="15" s="1"/>
  <c r="G86" i="15" a="1"/>
  <c r="G86" i="15" s="1"/>
  <c r="R86" i="15" a="1"/>
  <c r="R86" i="15" s="1"/>
  <c r="F86" i="15" a="1"/>
  <c r="F86" i="15" s="1"/>
  <c r="Q86" i="15" a="1"/>
  <c r="Q86" i="15" s="1"/>
  <c r="N86" i="15" a="1"/>
  <c r="N86" i="15" s="1"/>
  <c r="K86" i="15" a="1"/>
  <c r="K86" i="15" s="1"/>
  <c r="J86" i="15" a="1"/>
  <c r="J86" i="15" s="1"/>
  <c r="I86" i="15" a="1"/>
  <c r="I86" i="15" s="1"/>
  <c r="M86" i="15" a="1"/>
  <c r="M86" i="15" s="1"/>
  <c r="L86" i="15" a="1"/>
  <c r="L86" i="15" s="1"/>
  <c r="O86" i="15" a="1"/>
  <c r="O86" i="15" s="1"/>
  <c r="E87" i="15"/>
  <c r="E89" i="14"/>
  <c r="E87" i="13"/>
  <c r="O87" i="15" l="1" a="1"/>
  <c r="O87" i="15" s="1"/>
  <c r="H87" i="15" a="1"/>
  <c r="H87" i="15" s="1"/>
  <c r="G87" i="15" a="1"/>
  <c r="G87" i="15" s="1"/>
  <c r="F87" i="15" a="1"/>
  <c r="F87" i="15" s="1"/>
  <c r="S87" i="15" a="1"/>
  <c r="S87" i="15" s="1"/>
  <c r="R87" i="15" a="1"/>
  <c r="R87" i="15" s="1"/>
  <c r="Q87" i="15" a="1"/>
  <c r="Q87" i="15" s="1"/>
  <c r="M87" i="15" a="1"/>
  <c r="M87" i="15" s="1"/>
  <c r="J87" i="15" a="1"/>
  <c r="J87" i="15" s="1"/>
  <c r="I87" i="15" a="1"/>
  <c r="I87" i="15" s="1"/>
  <c r="N87" i="15" a="1"/>
  <c r="N87" i="15" s="1"/>
  <c r="P87" i="15" a="1"/>
  <c r="P87" i="15" s="1"/>
  <c r="L87" i="15" a="1"/>
  <c r="L87" i="15" s="1"/>
  <c r="K87" i="15" a="1"/>
  <c r="K87" i="15" s="1"/>
  <c r="E88" i="15"/>
  <c r="E90" i="14"/>
  <c r="E88" i="13"/>
  <c r="L88" i="15" l="1" a="1"/>
  <c r="L88" i="15" s="1"/>
  <c r="K88" i="15" a="1"/>
  <c r="K88" i="15" s="1"/>
  <c r="G88" i="15" a="1"/>
  <c r="G88" i="15" s="1"/>
  <c r="F88" i="15" a="1"/>
  <c r="F88" i="15" s="1"/>
  <c r="S88" i="15" a="1"/>
  <c r="S88" i="15" s="1"/>
  <c r="R88" i="15" a="1"/>
  <c r="R88" i="15" s="1"/>
  <c r="Q88" i="15" a="1"/>
  <c r="Q88" i="15" s="1"/>
  <c r="P88" i="15" a="1"/>
  <c r="P88" i="15" s="1"/>
  <c r="M88" i="15" a="1"/>
  <c r="M88" i="15" s="1"/>
  <c r="J88" i="15" a="1"/>
  <c r="J88" i="15" s="1"/>
  <c r="I88" i="15" a="1"/>
  <c r="I88" i="15" s="1"/>
  <c r="H88" i="15" a="1"/>
  <c r="H88" i="15" s="1"/>
  <c r="O88" i="15" a="1"/>
  <c r="O88" i="15" s="1"/>
  <c r="N88" i="15" a="1"/>
  <c r="N88" i="15" s="1"/>
  <c r="E89" i="15"/>
  <c r="E91" i="14"/>
  <c r="E89" i="13"/>
  <c r="K89" i="15" l="1" a="1"/>
  <c r="K89" i="15" s="1"/>
  <c r="G89" i="15" a="1"/>
  <c r="G89" i="15" s="1"/>
  <c r="S89" i="15" a="1"/>
  <c r="S89" i="15" s="1"/>
  <c r="F89" i="15" a="1"/>
  <c r="F89" i="15" s="1"/>
  <c r="R89" i="15" a="1"/>
  <c r="R89" i="15" s="1"/>
  <c r="Q89" i="15" a="1"/>
  <c r="Q89" i="15" s="1"/>
  <c r="P89" i="15" a="1"/>
  <c r="P89" i="15" s="1"/>
  <c r="O89" i="15" a="1"/>
  <c r="O89" i="15" s="1"/>
  <c r="N89" i="15" a="1"/>
  <c r="N89" i="15" s="1"/>
  <c r="J89" i="15" a="1"/>
  <c r="J89" i="15" s="1"/>
  <c r="I89" i="15" a="1"/>
  <c r="I89" i="15" s="1"/>
  <c r="H89" i="15" a="1"/>
  <c r="H89" i="15" s="1"/>
  <c r="M89" i="15" a="1"/>
  <c r="M89" i="15" s="1"/>
  <c r="L89" i="15" a="1"/>
  <c r="L89" i="15" s="1"/>
  <c r="E90" i="15"/>
  <c r="E92" i="14"/>
  <c r="E90" i="13"/>
  <c r="R90" i="15" l="1" a="1"/>
  <c r="R90" i="15" s="1"/>
  <c r="H90" i="15" a="1"/>
  <c r="H90" i="15" s="1"/>
  <c r="P90" i="15" a="1"/>
  <c r="P90" i="15" s="1"/>
  <c r="G90" i="15" a="1"/>
  <c r="G90" i="15" s="1"/>
  <c r="Q90" i="15" a="1"/>
  <c r="Q90" i="15" s="1"/>
  <c r="O90" i="15" a="1"/>
  <c r="O90" i="15" s="1"/>
  <c r="N90" i="15" a="1"/>
  <c r="N90" i="15" s="1"/>
  <c r="M90" i="15" a="1"/>
  <c r="M90" i="15" s="1"/>
  <c r="I90" i="15" a="1"/>
  <c r="I90" i="15" s="1"/>
  <c r="S90" i="15" a="1"/>
  <c r="S90" i="15" s="1"/>
  <c r="F90" i="15" a="1"/>
  <c r="F90" i="15" s="1"/>
  <c r="K90" i="15" a="1"/>
  <c r="K90" i="15" s="1"/>
  <c r="J90" i="15" a="1"/>
  <c r="J90" i="15" s="1"/>
  <c r="L90" i="15" a="1"/>
  <c r="L90" i="15" s="1"/>
  <c r="E91" i="15"/>
  <c r="E93" i="14"/>
  <c r="E91" i="13"/>
  <c r="Q91" i="15" l="1" a="1"/>
  <c r="Q91" i="15" s="1"/>
  <c r="P91" i="15" a="1"/>
  <c r="P91" i="15" s="1"/>
  <c r="O91" i="15" a="1"/>
  <c r="O91" i="15" s="1"/>
  <c r="N91" i="15" a="1"/>
  <c r="N91" i="15" s="1"/>
  <c r="M91" i="15" a="1"/>
  <c r="M91" i="15" s="1"/>
  <c r="J91" i="15" a="1"/>
  <c r="J91" i="15" s="1"/>
  <c r="G91" i="15" a="1"/>
  <c r="G91" i="15" s="1"/>
  <c r="S91" i="15" a="1"/>
  <c r="S91" i="15" s="1"/>
  <c r="F91" i="15" a="1"/>
  <c r="F91" i="15" s="1"/>
  <c r="R91" i="15" a="1"/>
  <c r="R91" i="15" s="1"/>
  <c r="K91" i="15" a="1"/>
  <c r="K91" i="15" s="1"/>
  <c r="L91" i="15" a="1"/>
  <c r="L91" i="15" s="1"/>
  <c r="I91" i="15" a="1"/>
  <c r="I91" i="15" s="1"/>
  <c r="H91" i="15" a="1"/>
  <c r="H91" i="15" s="1"/>
  <c r="E92" i="15"/>
  <c r="E92" i="13"/>
  <c r="E94" i="14"/>
  <c r="N92" i="15" l="1" a="1"/>
  <c r="N92" i="15" s="1"/>
  <c r="M92" i="15" a="1"/>
  <c r="M92" i="15" s="1"/>
  <c r="L92" i="15" a="1"/>
  <c r="L92" i="15" s="1"/>
  <c r="K92" i="15" a="1"/>
  <c r="K92" i="15" s="1"/>
  <c r="J92" i="15" a="1"/>
  <c r="J92" i="15" s="1"/>
  <c r="R92" i="15" a="1"/>
  <c r="R92" i="15" s="1"/>
  <c r="H92" i="15" a="1"/>
  <c r="H92" i="15" s="1"/>
  <c r="F92" i="15" a="1"/>
  <c r="F92" i="15" s="1"/>
  <c r="P92" i="15" a="1"/>
  <c r="P92" i="15" s="1"/>
  <c r="O92" i="15" a="1"/>
  <c r="O92" i="15" s="1"/>
  <c r="S92" i="15" a="1"/>
  <c r="S92" i="15" s="1"/>
  <c r="Q92" i="15" a="1"/>
  <c r="Q92" i="15" s="1"/>
  <c r="I92" i="15" a="1"/>
  <c r="I92" i="15" s="1"/>
  <c r="G92" i="15" a="1"/>
  <c r="G92" i="15" s="1"/>
  <c r="E93" i="15"/>
  <c r="E93" i="13"/>
  <c r="E95" i="14"/>
  <c r="S93" i="15" l="1" a="1"/>
  <c r="S93" i="15" s="1"/>
  <c r="G93" i="15" a="1"/>
  <c r="G93" i="15" s="1"/>
  <c r="R93" i="15" a="1"/>
  <c r="R93" i="15" s="1"/>
  <c r="K93" i="15" a="1"/>
  <c r="K93" i="15" s="1"/>
  <c r="J93" i="15" a="1"/>
  <c r="J93" i="15" s="1"/>
  <c r="I93" i="15" a="1"/>
  <c r="I93" i="15" s="1"/>
  <c r="H93" i="15" a="1"/>
  <c r="H93" i="15" s="1"/>
  <c r="F93" i="15" a="1"/>
  <c r="F93" i="15" s="1"/>
  <c r="Q93" i="15" a="1"/>
  <c r="Q93" i="15" s="1"/>
  <c r="N93" i="15" a="1"/>
  <c r="N93" i="15" s="1"/>
  <c r="M93" i="15" a="1"/>
  <c r="M93" i="15" s="1"/>
  <c r="L93" i="15" a="1"/>
  <c r="L93" i="15" s="1"/>
  <c r="P93" i="15" a="1"/>
  <c r="P93" i="15" s="1"/>
  <c r="O93" i="15" a="1"/>
  <c r="O93" i="15" s="1"/>
  <c r="E94" i="15"/>
  <c r="E96" i="14"/>
  <c r="E94" i="13"/>
  <c r="R94" i="15" l="1" a="1"/>
  <c r="R94" i="15" s="1"/>
  <c r="F94" i="15" a="1"/>
  <c r="F94" i="15" s="1"/>
  <c r="Q94" i="15" a="1"/>
  <c r="Q94" i="15" s="1"/>
  <c r="O94" i="15" a="1"/>
  <c r="O94" i="15" s="1"/>
  <c r="L94" i="15" a="1"/>
  <c r="L94" i="15" s="1"/>
  <c r="K94" i="15" a="1"/>
  <c r="K94" i="15" s="1"/>
  <c r="J94" i="15" a="1"/>
  <c r="J94" i="15" s="1"/>
  <c r="I94" i="15" a="1"/>
  <c r="I94" i="15" s="1"/>
  <c r="H94" i="15" a="1"/>
  <c r="H94" i="15" s="1"/>
  <c r="G94" i="15" a="1"/>
  <c r="G94" i="15" s="1"/>
  <c r="S94" i="15" a="1"/>
  <c r="S94" i="15" s="1"/>
  <c r="N94" i="15" a="1"/>
  <c r="N94" i="15" s="1"/>
  <c r="M94" i="15" a="1"/>
  <c r="M94" i="15" s="1"/>
  <c r="P94" i="15" a="1"/>
  <c r="P94" i="15" s="1"/>
  <c r="E95" i="15"/>
  <c r="E95" i="13"/>
  <c r="E97" i="14"/>
  <c r="O95" i="15" l="1" a="1"/>
  <c r="O95" i="15" s="1"/>
  <c r="N95" i="15" a="1"/>
  <c r="N95" i="15" s="1"/>
  <c r="K95" i="15" a="1"/>
  <c r="K95" i="15" s="1"/>
  <c r="J95" i="15" a="1"/>
  <c r="J95" i="15" s="1"/>
  <c r="I95" i="15" a="1"/>
  <c r="I95" i="15" s="1"/>
  <c r="H95" i="15" a="1"/>
  <c r="H95" i="15" s="1"/>
  <c r="P95" i="15" a="1"/>
  <c r="P95" i="15" s="1"/>
  <c r="M95" i="15" a="1"/>
  <c r="M95" i="15" s="1"/>
  <c r="L95" i="15" a="1"/>
  <c r="L95" i="15" s="1"/>
  <c r="F95" i="15" a="1"/>
  <c r="F95" i="15" s="1"/>
  <c r="S95" i="15" a="1"/>
  <c r="S95" i="15" s="1"/>
  <c r="R95" i="15" a="1"/>
  <c r="R95" i="15" s="1"/>
  <c r="Q95" i="15" a="1"/>
  <c r="Q95" i="15" s="1"/>
  <c r="G95" i="15" a="1"/>
  <c r="G95" i="15" s="1"/>
  <c r="E96" i="15"/>
  <c r="E96" i="13"/>
  <c r="E98" i="14"/>
  <c r="N96" i="15" l="1" a="1"/>
  <c r="N96" i="15" s="1"/>
  <c r="M96" i="15" a="1"/>
  <c r="M96" i="15" s="1"/>
  <c r="L96" i="15" a="1"/>
  <c r="L96" i="15" s="1"/>
  <c r="J96" i="15" a="1"/>
  <c r="J96" i="15" s="1"/>
  <c r="O96" i="15" a="1"/>
  <c r="O96" i="15" s="1"/>
  <c r="K96" i="15" a="1"/>
  <c r="K96" i="15" s="1"/>
  <c r="I96" i="15" a="1"/>
  <c r="I96" i="15" s="1"/>
  <c r="H96" i="15" a="1"/>
  <c r="H96" i="15" s="1"/>
  <c r="G96" i="15" a="1"/>
  <c r="G96" i="15" s="1"/>
  <c r="R96" i="15" a="1"/>
  <c r="R96" i="15" s="1"/>
  <c r="Q96" i="15" a="1"/>
  <c r="Q96" i="15" s="1"/>
  <c r="P96" i="15" a="1"/>
  <c r="P96" i="15" s="1"/>
  <c r="S96" i="15" a="1"/>
  <c r="S96" i="15" s="1"/>
  <c r="F96" i="15" a="1"/>
  <c r="F96" i="15" s="1"/>
  <c r="E97" i="15"/>
  <c r="E97" i="13"/>
  <c r="E99" i="14"/>
  <c r="K97" i="15" l="1" a="1"/>
  <c r="K97" i="15" s="1"/>
  <c r="J97" i="15" a="1"/>
  <c r="J97" i="15" s="1"/>
  <c r="H97" i="15" a="1"/>
  <c r="H97" i="15" s="1"/>
  <c r="G97" i="15" a="1"/>
  <c r="G97" i="15" s="1"/>
  <c r="P97" i="15" a="1"/>
  <c r="P97" i="15" s="1"/>
  <c r="O97" i="15" a="1"/>
  <c r="O97" i="15" s="1"/>
  <c r="N97" i="15" a="1"/>
  <c r="N97" i="15" s="1"/>
  <c r="M97" i="15" a="1"/>
  <c r="M97" i="15" s="1"/>
  <c r="L97" i="15" a="1"/>
  <c r="L97" i="15" s="1"/>
  <c r="I97" i="15" a="1"/>
  <c r="I97" i="15" s="1"/>
  <c r="F97" i="15" a="1"/>
  <c r="F97" i="15" s="1"/>
  <c r="S97" i="15" a="1"/>
  <c r="S97" i="15" s="1"/>
  <c r="R97" i="15" a="1"/>
  <c r="R97" i="15" s="1"/>
  <c r="Q97" i="15" a="1"/>
  <c r="Q97" i="15" s="1"/>
  <c r="E98" i="15"/>
  <c r="E100" i="14"/>
  <c r="E98" i="13"/>
  <c r="K98" i="15" l="1" a="1"/>
  <c r="K98" i="15" s="1"/>
  <c r="J98" i="15" a="1"/>
  <c r="J98" i="15" s="1"/>
  <c r="H98" i="15" a="1"/>
  <c r="H98" i="15" s="1"/>
  <c r="S98" i="15" a="1"/>
  <c r="S98" i="15" s="1"/>
  <c r="R98" i="15" a="1"/>
  <c r="R98" i="15" s="1"/>
  <c r="Q98" i="15" a="1"/>
  <c r="Q98" i="15" s="1"/>
  <c r="P98" i="15" a="1"/>
  <c r="P98" i="15" s="1"/>
  <c r="O98" i="15" a="1"/>
  <c r="O98" i="15" s="1"/>
  <c r="L98" i="15" a="1"/>
  <c r="L98" i="15" s="1"/>
  <c r="F98" i="15" a="1"/>
  <c r="F98" i="15" s="1"/>
  <c r="I98" i="15" a="1"/>
  <c r="I98" i="15" s="1"/>
  <c r="G98" i="15" a="1"/>
  <c r="G98" i="15" s="1"/>
  <c r="N98" i="15" a="1"/>
  <c r="N98" i="15" s="1"/>
  <c r="M98" i="15" a="1"/>
  <c r="M98" i="15" s="1"/>
  <c r="E99" i="15"/>
  <c r="E101" i="14"/>
  <c r="E99" i="13"/>
  <c r="J99" i="15" l="1" a="1"/>
  <c r="J99" i="15" s="1"/>
  <c r="I99" i="15" a="1"/>
  <c r="I99" i="15" s="1"/>
  <c r="S99" i="15" a="1"/>
  <c r="S99" i="15" s="1"/>
  <c r="G99" i="15" a="1"/>
  <c r="G99" i="15" s="1"/>
  <c r="F99" i="15" a="1"/>
  <c r="F99" i="15" s="1"/>
  <c r="R99" i="15" a="1"/>
  <c r="R99" i="15" s="1"/>
  <c r="Q99" i="15" a="1"/>
  <c r="Q99" i="15" s="1"/>
  <c r="O99" i="15" a="1"/>
  <c r="O99" i="15" s="1"/>
  <c r="L99" i="15" a="1"/>
  <c r="L99" i="15" s="1"/>
  <c r="K99" i="15" a="1"/>
  <c r="K99" i="15" s="1"/>
  <c r="H99" i="15" a="1"/>
  <c r="H99" i="15" s="1"/>
  <c r="P99" i="15" a="1"/>
  <c r="P99" i="15" s="1"/>
  <c r="N99" i="15" a="1"/>
  <c r="N99" i="15" s="1"/>
  <c r="M99" i="15" a="1"/>
  <c r="M99" i="15" s="1"/>
  <c r="E100" i="15"/>
  <c r="E102" i="14"/>
  <c r="E100" i="13"/>
  <c r="H100" i="15" l="1" a="1"/>
  <c r="H100" i="15" s="1"/>
  <c r="G100" i="15" a="1"/>
  <c r="G100" i="15" s="1"/>
  <c r="R100" i="15" a="1"/>
  <c r="R100" i="15" s="1"/>
  <c r="Q100" i="15" a="1"/>
  <c r="Q100" i="15" s="1"/>
  <c r="P100" i="15" a="1"/>
  <c r="P100" i="15" s="1"/>
  <c r="J100" i="15" a="1"/>
  <c r="J100" i="15" s="1"/>
  <c r="L100" i="15" a="1"/>
  <c r="L100" i="15" s="1"/>
  <c r="K100" i="15" a="1"/>
  <c r="K100" i="15" s="1"/>
  <c r="I100" i="15" a="1"/>
  <c r="I100" i="15" s="1"/>
  <c r="F100" i="15" a="1"/>
  <c r="F100" i="15" s="1"/>
  <c r="N100" i="15" a="1"/>
  <c r="N100" i="15" s="1"/>
  <c r="M100" i="15" a="1"/>
  <c r="M100" i="15" s="1"/>
  <c r="S100" i="15" a="1"/>
  <c r="S100" i="15" s="1"/>
  <c r="O100" i="15" a="1"/>
  <c r="O100" i="15" s="1"/>
  <c r="E101" i="15"/>
  <c r="E103" i="14"/>
  <c r="E101" i="13"/>
  <c r="R101" i="15" l="1" a="1"/>
  <c r="R101" i="15" s="1"/>
  <c r="F101" i="15" a="1"/>
  <c r="F101" i="15" s="1"/>
  <c r="Q101" i="15" a="1"/>
  <c r="Q101" i="15" s="1"/>
  <c r="P101" i="15" a="1"/>
  <c r="P101" i="15" s="1"/>
  <c r="I101" i="15" a="1"/>
  <c r="I101" i="15" s="1"/>
  <c r="O101" i="15" a="1"/>
  <c r="O101" i="15" s="1"/>
  <c r="N101" i="15" a="1"/>
  <c r="N101" i="15" s="1"/>
  <c r="M101" i="15" a="1"/>
  <c r="M101" i="15" s="1"/>
  <c r="L101" i="15" a="1"/>
  <c r="L101" i="15" s="1"/>
  <c r="K101" i="15" a="1"/>
  <c r="K101" i="15" s="1"/>
  <c r="G101" i="15" a="1"/>
  <c r="G101" i="15" s="1"/>
  <c r="S101" i="15" a="1"/>
  <c r="S101" i="15" s="1"/>
  <c r="J101" i="15" a="1"/>
  <c r="J101" i="15" s="1"/>
  <c r="H101" i="15" a="1"/>
  <c r="H101" i="15" s="1"/>
  <c r="E102" i="15"/>
  <c r="E104" i="14"/>
  <c r="E102" i="13"/>
  <c r="P102" i="15" l="1" a="1"/>
  <c r="P102" i="15" s="1"/>
  <c r="O102" i="15" a="1"/>
  <c r="O102" i="15" s="1"/>
  <c r="M102" i="15" a="1"/>
  <c r="M102" i="15" s="1"/>
  <c r="L102" i="15" a="1"/>
  <c r="L102" i="15" s="1"/>
  <c r="S102" i="15" a="1"/>
  <c r="S102" i="15" s="1"/>
  <c r="R102" i="15" a="1"/>
  <c r="R102" i="15" s="1"/>
  <c r="Q102" i="15" a="1"/>
  <c r="Q102" i="15" s="1"/>
  <c r="N102" i="15" a="1"/>
  <c r="N102" i="15" s="1"/>
  <c r="J102" i="15" a="1"/>
  <c r="J102" i="15" s="1"/>
  <c r="G102" i="15" a="1"/>
  <c r="G102" i="15" s="1"/>
  <c r="F102" i="15" a="1"/>
  <c r="F102" i="15" s="1"/>
  <c r="K102" i="15" a="1"/>
  <c r="K102" i="15" s="1"/>
  <c r="I102" i="15" a="1"/>
  <c r="I102" i="15" s="1"/>
  <c r="H102" i="15" a="1"/>
  <c r="H102" i="15" s="1"/>
  <c r="E103" i="15"/>
  <c r="E105" i="14"/>
  <c r="E103" i="13"/>
  <c r="N103" i="15" l="1" a="1"/>
  <c r="N103" i="15" s="1"/>
  <c r="M103" i="15" a="1"/>
  <c r="M103" i="15" s="1"/>
  <c r="L103" i="15" a="1"/>
  <c r="L103" i="15" s="1"/>
  <c r="K103" i="15" a="1"/>
  <c r="K103" i="15" s="1"/>
  <c r="J103" i="15" a="1"/>
  <c r="J103" i="15" s="1"/>
  <c r="G103" i="15" a="1"/>
  <c r="G103" i="15" s="1"/>
  <c r="F103" i="15" a="1"/>
  <c r="F103" i="15" s="1"/>
  <c r="S103" i="15" a="1"/>
  <c r="S103" i="15" s="1"/>
  <c r="R103" i="15" a="1"/>
  <c r="R103" i="15" s="1"/>
  <c r="P103" i="15" a="1"/>
  <c r="P103" i="15" s="1"/>
  <c r="I103" i="15" a="1"/>
  <c r="I103" i="15" s="1"/>
  <c r="H103" i="15" a="1"/>
  <c r="H103" i="15" s="1"/>
  <c r="O103" i="15" a="1"/>
  <c r="O103" i="15" s="1"/>
  <c r="Q103" i="15" a="1"/>
  <c r="Q103" i="15" s="1"/>
  <c r="E104" i="15"/>
  <c r="E104" i="13"/>
  <c r="E106" i="14"/>
  <c r="K104" i="15" l="1" a="1"/>
  <c r="K104" i="15" s="1"/>
  <c r="I104" i="15" a="1"/>
  <c r="I104" i="15" s="1"/>
  <c r="H104" i="15" a="1"/>
  <c r="H104" i="15" s="1"/>
  <c r="M104" i="15" a="1"/>
  <c r="M104" i="15" s="1"/>
  <c r="L104" i="15" a="1"/>
  <c r="L104" i="15" s="1"/>
  <c r="J104" i="15" a="1"/>
  <c r="J104" i="15" s="1"/>
  <c r="G104" i="15" a="1"/>
  <c r="G104" i="15" s="1"/>
  <c r="F104" i="15" a="1"/>
  <c r="F104" i="15" s="1"/>
  <c r="S104" i="15" a="1"/>
  <c r="S104" i="15" s="1"/>
  <c r="P104" i="15" a="1"/>
  <c r="P104" i="15" s="1"/>
  <c r="O104" i="15" a="1"/>
  <c r="O104" i="15" s="1"/>
  <c r="N104" i="15" a="1"/>
  <c r="N104" i="15" s="1"/>
  <c r="R104" i="15" a="1"/>
  <c r="R104" i="15" s="1"/>
  <c r="Q104" i="15" a="1"/>
  <c r="Q104" i="15" s="1"/>
  <c r="E105" i="15"/>
  <c r="E107" i="14"/>
  <c r="E105" i="13"/>
  <c r="H105" i="15" l="1" a="1"/>
  <c r="H105" i="15" s="1"/>
  <c r="S105" i="15" a="1"/>
  <c r="S105" i="15" s="1"/>
  <c r="R105" i="15" a="1"/>
  <c r="R105" i="15" s="1"/>
  <c r="F105" i="15" a="1"/>
  <c r="F105" i="15" s="1"/>
  <c r="Q105" i="15" a="1"/>
  <c r="Q105" i="15" s="1"/>
  <c r="J105" i="15" a="1"/>
  <c r="J105" i="15" s="1"/>
  <c r="O105" i="15" a="1"/>
  <c r="O105" i="15" s="1"/>
  <c r="N105" i="15" a="1"/>
  <c r="N105" i="15" s="1"/>
  <c r="M105" i="15" a="1"/>
  <c r="M105" i="15" s="1"/>
  <c r="L105" i="15" a="1"/>
  <c r="L105" i="15" s="1"/>
  <c r="K105" i="15" a="1"/>
  <c r="K105" i="15" s="1"/>
  <c r="P105" i="15" a="1"/>
  <c r="P105" i="15" s="1"/>
  <c r="G105" i="15" a="1"/>
  <c r="G105" i="15" s="1"/>
  <c r="I105" i="15" a="1"/>
  <c r="I105" i="15" s="1"/>
  <c r="E106" i="15"/>
  <c r="E106" i="13"/>
  <c r="E108" i="14"/>
  <c r="G106" i="15" l="1" a="1"/>
  <c r="G106" i="15" s="1"/>
  <c r="F106" i="15" a="1"/>
  <c r="F106" i="15" s="1"/>
  <c r="R106" i="15" a="1"/>
  <c r="R106" i="15" s="1"/>
  <c r="Q106" i="15" a="1"/>
  <c r="Q106" i="15" s="1"/>
  <c r="N106" i="15" a="1"/>
  <c r="N106" i="15" s="1"/>
  <c r="I106" i="15" a="1"/>
  <c r="I106" i="15" s="1"/>
  <c r="S106" i="15" a="1"/>
  <c r="S106" i="15" s="1"/>
  <c r="P106" i="15" a="1"/>
  <c r="P106" i="15" s="1"/>
  <c r="L106" i="15" a="1"/>
  <c r="L106" i="15" s="1"/>
  <c r="H106" i="15" a="1"/>
  <c r="H106" i="15" s="1"/>
  <c r="O106" i="15" a="1"/>
  <c r="O106" i="15" s="1"/>
  <c r="M106" i="15" a="1"/>
  <c r="M106" i="15" s="1"/>
  <c r="K106" i="15" a="1"/>
  <c r="K106" i="15" s="1"/>
  <c r="J106" i="15" a="1"/>
  <c r="J106" i="15" s="1"/>
  <c r="E107" i="15"/>
  <c r="E107" i="13"/>
  <c r="E109" i="14"/>
  <c r="G107" i="15" l="1" a="1"/>
  <c r="G107" i="15" s="1"/>
  <c r="R107" i="15" a="1"/>
  <c r="R107" i="15" s="1"/>
  <c r="F107" i="15" a="1"/>
  <c r="F107" i="15" s="1"/>
  <c r="P107" i="15" a="1"/>
  <c r="P107" i="15" s="1"/>
  <c r="O107" i="15" a="1"/>
  <c r="O107" i="15" s="1"/>
  <c r="M107" i="15" a="1"/>
  <c r="M107" i="15" s="1"/>
  <c r="I107" i="15" a="1"/>
  <c r="I107" i="15" s="1"/>
  <c r="K107" i="15" a="1"/>
  <c r="K107" i="15" s="1"/>
  <c r="J107" i="15" a="1"/>
  <c r="J107" i="15" s="1"/>
  <c r="H107" i="15" a="1"/>
  <c r="H107" i="15" s="1"/>
  <c r="Q107" i="15" a="1"/>
  <c r="Q107" i="15" s="1"/>
  <c r="N107" i="15" a="1"/>
  <c r="N107" i="15" s="1"/>
  <c r="L107" i="15" a="1"/>
  <c r="L107" i="15" s="1"/>
  <c r="S107" i="15" a="1"/>
  <c r="S107" i="15" s="1"/>
  <c r="E108" i="15"/>
  <c r="E108" i="13"/>
  <c r="E110" i="14"/>
  <c r="P108" i="15" l="1" a="1"/>
  <c r="P108" i="15" s="1"/>
  <c r="O108" i="15" a="1"/>
  <c r="O108" i="15" s="1"/>
  <c r="N108" i="15" a="1"/>
  <c r="N108" i="15" s="1"/>
  <c r="M108" i="15" a="1"/>
  <c r="M108" i="15" s="1"/>
  <c r="K108" i="15" a="1"/>
  <c r="K108" i="15" s="1"/>
  <c r="G108" i="15" a="1"/>
  <c r="G108" i="15" s="1"/>
  <c r="R108" i="15" a="1"/>
  <c r="R108" i="15" s="1"/>
  <c r="Q108" i="15" a="1"/>
  <c r="Q108" i="15" s="1"/>
  <c r="L108" i="15" a="1"/>
  <c r="L108" i="15" s="1"/>
  <c r="J108" i="15" a="1"/>
  <c r="J108" i="15" s="1"/>
  <c r="H108" i="15" a="1"/>
  <c r="H108" i="15" s="1"/>
  <c r="S108" i="15" a="1"/>
  <c r="S108" i="15" s="1"/>
  <c r="I108" i="15" a="1"/>
  <c r="I108" i="15" s="1"/>
  <c r="F108" i="15" a="1"/>
  <c r="F108" i="15" s="1"/>
  <c r="E109" i="15"/>
  <c r="E111" i="14"/>
  <c r="E109" i="13"/>
  <c r="L109" i="15" l="1" a="1"/>
  <c r="L109" i="15" s="1"/>
  <c r="K109" i="15" a="1"/>
  <c r="K109" i="15" s="1"/>
  <c r="J109" i="15" a="1"/>
  <c r="J109" i="15" s="1"/>
  <c r="I109" i="15" a="1"/>
  <c r="I109" i="15" s="1"/>
  <c r="R109" i="15" a="1"/>
  <c r="R109" i="15" s="1"/>
  <c r="Q109" i="15" a="1"/>
  <c r="Q109" i="15" s="1"/>
  <c r="N109" i="15" a="1"/>
  <c r="N109" i="15" s="1"/>
  <c r="S109" i="15" a="1"/>
  <c r="S109" i="15" s="1"/>
  <c r="P109" i="15" a="1"/>
  <c r="P109" i="15" s="1"/>
  <c r="O109" i="15" a="1"/>
  <c r="O109" i="15" s="1"/>
  <c r="M109" i="15" a="1"/>
  <c r="M109" i="15" s="1"/>
  <c r="G109" i="15" a="1"/>
  <c r="G109" i="15" s="1"/>
  <c r="F109" i="15" a="1"/>
  <c r="F109" i="15" s="1"/>
  <c r="H109" i="15" a="1"/>
  <c r="H109" i="15" s="1"/>
  <c r="E110" i="15"/>
  <c r="E110" i="13"/>
  <c r="E112" i="14"/>
  <c r="I110" i="15" l="1" a="1"/>
  <c r="I110" i="15" s="1"/>
  <c r="S110" i="15" a="1"/>
  <c r="S110" i="15" s="1"/>
  <c r="R110" i="15" a="1"/>
  <c r="R110" i="15" s="1"/>
  <c r="G110" i="15" a="1"/>
  <c r="G110" i="15" s="1"/>
  <c r="Q110" i="15" a="1"/>
  <c r="Q110" i="15" s="1"/>
  <c r="O110" i="15" a="1"/>
  <c r="O110" i="15" s="1"/>
  <c r="K110" i="15" a="1"/>
  <c r="K110" i="15" s="1"/>
  <c r="J110" i="15" a="1"/>
  <c r="J110" i="15" s="1"/>
  <c r="H110" i="15" a="1"/>
  <c r="H110" i="15" s="1"/>
  <c r="F110" i="15" a="1"/>
  <c r="F110" i="15" s="1"/>
  <c r="P110" i="15" a="1"/>
  <c r="P110" i="15" s="1"/>
  <c r="N110" i="15" a="1"/>
  <c r="N110" i="15" s="1"/>
  <c r="M110" i="15" a="1"/>
  <c r="M110" i="15" s="1"/>
  <c r="L110" i="15" a="1"/>
  <c r="L110" i="15" s="1"/>
  <c r="E111" i="15"/>
  <c r="E111" i="13"/>
  <c r="E113" i="14"/>
  <c r="R111" i="15" l="1" a="1"/>
  <c r="R111" i="15" s="1"/>
  <c r="G111" i="15" a="1"/>
  <c r="G111" i="15" s="1"/>
  <c r="F111" i="15" a="1"/>
  <c r="F111" i="15" s="1"/>
  <c r="P111" i="15" a="1"/>
  <c r="P111" i="15" s="1"/>
  <c r="O111" i="15" a="1"/>
  <c r="O111" i="15" s="1"/>
  <c r="M111" i="15" a="1"/>
  <c r="M111" i="15" s="1"/>
  <c r="L111" i="15" a="1"/>
  <c r="L111" i="15" s="1"/>
  <c r="I111" i="15" a="1"/>
  <c r="I111" i="15" s="1"/>
  <c r="S111" i="15" a="1"/>
  <c r="S111" i="15" s="1"/>
  <c r="Q111" i="15" a="1"/>
  <c r="Q111" i="15" s="1"/>
  <c r="N111" i="15" a="1"/>
  <c r="N111" i="15" s="1"/>
  <c r="K111" i="15" a="1"/>
  <c r="K111" i="15" s="1"/>
  <c r="J111" i="15" a="1"/>
  <c r="J111" i="15" s="1"/>
  <c r="H111" i="15" a="1"/>
  <c r="H111" i="15" s="1"/>
  <c r="E112" i="15"/>
  <c r="E112" i="13"/>
  <c r="E114" i="14"/>
  <c r="O112" i="15" l="1" a="1"/>
  <c r="O112" i="15" s="1"/>
  <c r="N112" i="15" a="1"/>
  <c r="N112" i="15" s="1"/>
  <c r="M112" i="15" a="1"/>
  <c r="M112" i="15" s="1"/>
  <c r="L112" i="15" a="1"/>
  <c r="L112" i="15" s="1"/>
  <c r="I112" i="15" a="1"/>
  <c r="I112" i="15" s="1"/>
  <c r="Q112" i="15" a="1"/>
  <c r="Q112" i="15" s="1"/>
  <c r="F112" i="15" a="1"/>
  <c r="F112" i="15" s="1"/>
  <c r="S112" i="15" a="1"/>
  <c r="S112" i="15" s="1"/>
  <c r="R112" i="15" a="1"/>
  <c r="R112" i="15" s="1"/>
  <c r="P112" i="15" a="1"/>
  <c r="P112" i="15" s="1"/>
  <c r="J112" i="15" a="1"/>
  <c r="J112" i="15" s="1"/>
  <c r="H112" i="15" a="1"/>
  <c r="H112" i="15" s="1"/>
  <c r="G112" i="15" a="1"/>
  <c r="G112" i="15" s="1"/>
  <c r="K112" i="15" a="1"/>
  <c r="K112" i="15" s="1"/>
  <c r="E113" i="15"/>
  <c r="E115" i="14"/>
  <c r="E113" i="13"/>
  <c r="N113" i="15" l="1" a="1"/>
  <c r="N113" i="15" s="1"/>
  <c r="L113" i="15" a="1"/>
  <c r="L113" i="15" s="1"/>
  <c r="K113" i="15" a="1"/>
  <c r="K113" i="15" s="1"/>
  <c r="J113" i="15" a="1"/>
  <c r="J113" i="15" s="1"/>
  <c r="G113" i="15" a="1"/>
  <c r="G113" i="15" s="1"/>
  <c r="P113" i="15" a="1"/>
  <c r="P113" i="15" s="1"/>
  <c r="O113" i="15" a="1"/>
  <c r="O113" i="15" s="1"/>
  <c r="M113" i="15" a="1"/>
  <c r="M113" i="15" s="1"/>
  <c r="I113" i="15" a="1"/>
  <c r="I113" i="15" s="1"/>
  <c r="H113" i="15" a="1"/>
  <c r="H113" i="15" s="1"/>
  <c r="F113" i="15" a="1"/>
  <c r="F113" i="15" s="1"/>
  <c r="S113" i="15" a="1"/>
  <c r="S113" i="15" s="1"/>
  <c r="R113" i="15" a="1"/>
  <c r="R113" i="15" s="1"/>
  <c r="Q113" i="15" a="1"/>
  <c r="Q113" i="15" s="1"/>
  <c r="E114" i="15"/>
  <c r="E116" i="14"/>
  <c r="E114" i="13"/>
  <c r="L114" i="15" l="1" a="1"/>
  <c r="L114" i="15" s="1"/>
  <c r="K114" i="15" a="1"/>
  <c r="K114" i="15" s="1"/>
  <c r="I114" i="15" a="1"/>
  <c r="I114" i="15" s="1"/>
  <c r="H114" i="15" a="1"/>
  <c r="H114" i="15" s="1"/>
  <c r="S114" i="15" a="1"/>
  <c r="S114" i="15" s="1"/>
  <c r="R114" i="15" a="1"/>
  <c r="R114" i="15" s="1"/>
  <c r="F114" i="15" a="1"/>
  <c r="F114" i="15" s="1"/>
  <c r="O114" i="15" a="1"/>
  <c r="O114" i="15" s="1"/>
  <c r="Q114" i="15" a="1"/>
  <c r="Q114" i="15" s="1"/>
  <c r="P114" i="15" a="1"/>
  <c r="P114" i="15" s="1"/>
  <c r="M114" i="15" a="1"/>
  <c r="M114" i="15" s="1"/>
  <c r="G114" i="15" a="1"/>
  <c r="G114" i="15" s="1"/>
  <c r="N114" i="15" a="1"/>
  <c r="N114" i="15" s="1"/>
  <c r="J114" i="15" a="1"/>
  <c r="J114" i="15" s="1"/>
  <c r="E115" i="15"/>
  <c r="E117" i="14"/>
  <c r="E115" i="13"/>
  <c r="L115" i="15" l="1" a="1"/>
  <c r="L115" i="15" s="1"/>
  <c r="K115" i="15" a="1"/>
  <c r="K115" i="15" s="1"/>
  <c r="I115" i="15" a="1"/>
  <c r="I115" i="15" s="1"/>
  <c r="H115" i="15" a="1"/>
  <c r="H115" i="15" s="1"/>
  <c r="F115" i="15" a="1"/>
  <c r="F115" i="15" s="1"/>
  <c r="S115" i="15" a="1"/>
  <c r="S115" i="15" s="1"/>
  <c r="R115" i="15" a="1"/>
  <c r="R115" i="15" s="1"/>
  <c r="O115" i="15" a="1"/>
  <c r="O115" i="15" s="1"/>
  <c r="N115" i="15" a="1"/>
  <c r="N115" i="15" s="1"/>
  <c r="M115" i="15" a="1"/>
  <c r="M115" i="15" s="1"/>
  <c r="J115" i="15" a="1"/>
  <c r="J115" i="15" s="1"/>
  <c r="G115" i="15" a="1"/>
  <c r="G115" i="15" s="1"/>
  <c r="Q115" i="15" a="1"/>
  <c r="Q115" i="15" s="1"/>
  <c r="P115" i="15" a="1"/>
  <c r="P115" i="15" s="1"/>
  <c r="E116" i="15"/>
  <c r="E116" i="13"/>
  <c r="E118" i="14"/>
  <c r="K116" i="15" l="1" a="1"/>
  <c r="K116" i="15" s="1"/>
  <c r="J116" i="15" a="1"/>
  <c r="J116" i="15" s="1"/>
  <c r="I116" i="15" a="1"/>
  <c r="I116" i="15" s="1"/>
  <c r="H116" i="15" a="1"/>
  <c r="H116" i="15" s="1"/>
  <c r="G116" i="15" a="1"/>
  <c r="G116" i="15" s="1"/>
  <c r="R116" i="15" a="1"/>
  <c r="R116" i="15" s="1"/>
  <c r="Q116" i="15" a="1"/>
  <c r="Q116" i="15" s="1"/>
  <c r="M116" i="15" a="1"/>
  <c r="M116" i="15" s="1"/>
  <c r="S116" i="15" a="1"/>
  <c r="S116" i="15" s="1"/>
  <c r="O116" i="15" a="1"/>
  <c r="O116" i="15" s="1"/>
  <c r="F116" i="15" a="1"/>
  <c r="F116" i="15" s="1"/>
  <c r="P116" i="15" a="1"/>
  <c r="P116" i="15" s="1"/>
  <c r="N116" i="15" a="1"/>
  <c r="N116" i="15" s="1"/>
  <c r="L116" i="15" a="1"/>
  <c r="L116" i="15" s="1"/>
  <c r="E117" i="15"/>
  <c r="E117" i="13"/>
  <c r="E119" i="14"/>
  <c r="I117" i="15" l="1" a="1"/>
  <c r="I117" i="15" s="1"/>
  <c r="H117" i="15" a="1"/>
  <c r="H117" i="15" s="1"/>
  <c r="G117" i="15" a="1"/>
  <c r="G117" i="15" s="1"/>
  <c r="S117" i="15" a="1"/>
  <c r="S117" i="15" s="1"/>
  <c r="R117" i="15" a="1"/>
  <c r="R117" i="15" s="1"/>
  <c r="F117" i="15" a="1"/>
  <c r="F117" i="15" s="1"/>
  <c r="Q117" i="15" a="1"/>
  <c r="Q117" i="15" s="1"/>
  <c r="O117" i="15" a="1"/>
  <c r="O117" i="15" s="1"/>
  <c r="N117" i="15" a="1"/>
  <c r="N117" i="15" s="1"/>
  <c r="K117" i="15" a="1"/>
  <c r="K117" i="15" s="1"/>
  <c r="P117" i="15" a="1"/>
  <c r="P117" i="15" s="1"/>
  <c r="M117" i="15" a="1"/>
  <c r="M117" i="15" s="1"/>
  <c r="L117" i="15" a="1"/>
  <c r="L117" i="15" s="1"/>
  <c r="J117" i="15" a="1"/>
  <c r="J117" i="15" s="1"/>
  <c r="E118" i="15"/>
  <c r="E118" i="13"/>
  <c r="E120" i="14"/>
  <c r="H118" i="15" l="1" a="1"/>
  <c r="H118" i="15" s="1"/>
  <c r="S118" i="15" a="1"/>
  <c r="S118" i="15" s="1"/>
  <c r="G118" i="15" a="1"/>
  <c r="G118" i="15" s="1"/>
  <c r="F118" i="15" a="1"/>
  <c r="F118" i="15" s="1"/>
  <c r="R118" i="15" a="1"/>
  <c r="R118" i="15" s="1"/>
  <c r="Q118" i="15" a="1"/>
  <c r="Q118" i="15" s="1"/>
  <c r="P118" i="15" a="1"/>
  <c r="P118" i="15" s="1"/>
  <c r="N118" i="15" a="1"/>
  <c r="N118" i="15" s="1"/>
  <c r="M118" i="15" a="1"/>
  <c r="M118" i="15" s="1"/>
  <c r="J118" i="15" a="1"/>
  <c r="J118" i="15" s="1"/>
  <c r="I118" i="15" a="1"/>
  <c r="I118" i="15" s="1"/>
  <c r="L118" i="15" a="1"/>
  <c r="L118" i="15" s="1"/>
  <c r="K118" i="15" a="1"/>
  <c r="K118" i="15" s="1"/>
  <c r="O118" i="15" a="1"/>
  <c r="O118" i="15" s="1"/>
  <c r="E119" i="15"/>
  <c r="E119" i="13"/>
  <c r="E121" i="14"/>
  <c r="P119" i="15" l="1" a="1"/>
  <c r="P119" i="15" s="1"/>
  <c r="O119" i="15" a="1"/>
  <c r="O119" i="15" s="1"/>
  <c r="N119" i="15" a="1"/>
  <c r="N119" i="15" s="1"/>
  <c r="M119" i="15" a="1"/>
  <c r="M119" i="15" s="1"/>
  <c r="K119" i="15" a="1"/>
  <c r="K119" i="15" s="1"/>
  <c r="J119" i="15" a="1"/>
  <c r="J119" i="15" s="1"/>
  <c r="R119" i="15" a="1"/>
  <c r="R119" i="15" s="1"/>
  <c r="S119" i="15" a="1"/>
  <c r="S119" i="15" s="1"/>
  <c r="Q119" i="15" a="1"/>
  <c r="Q119" i="15" s="1"/>
  <c r="L119" i="15" a="1"/>
  <c r="L119" i="15" s="1"/>
  <c r="I119" i="15" a="1"/>
  <c r="I119" i="15" s="1"/>
  <c r="G119" i="15" a="1"/>
  <c r="G119" i="15" s="1"/>
  <c r="H119" i="15" a="1"/>
  <c r="H119" i="15" s="1"/>
  <c r="F119" i="15" a="1"/>
  <c r="F119" i="15" s="1"/>
  <c r="E120" i="15"/>
  <c r="E122" i="14"/>
  <c r="E120" i="13"/>
  <c r="O120" i="15" l="1" a="1"/>
  <c r="O120" i="15" s="1"/>
  <c r="N120" i="15" a="1"/>
  <c r="N120" i="15" s="1"/>
  <c r="M120" i="15" a="1"/>
  <c r="M120" i="15" s="1"/>
  <c r="L120" i="15" a="1"/>
  <c r="L120" i="15" s="1"/>
  <c r="K120" i="15" a="1"/>
  <c r="K120" i="15" s="1"/>
  <c r="I120" i="15" a="1"/>
  <c r="I120" i="15" s="1"/>
  <c r="H120" i="15" a="1"/>
  <c r="H120" i="15" s="1"/>
  <c r="G120" i="15" a="1"/>
  <c r="G120" i="15" s="1"/>
  <c r="Q120" i="15" a="1"/>
  <c r="Q120" i="15" s="1"/>
  <c r="F120" i="15" a="1"/>
  <c r="F120" i="15" s="1"/>
  <c r="R120" i="15" a="1"/>
  <c r="R120" i="15" s="1"/>
  <c r="P120" i="15" a="1"/>
  <c r="P120" i="15" s="1"/>
  <c r="J120" i="15" a="1"/>
  <c r="J120" i="15" s="1"/>
  <c r="S120" i="15" a="1"/>
  <c r="S120" i="15" s="1"/>
  <c r="E121" i="15"/>
  <c r="E123" i="14"/>
  <c r="E121" i="13"/>
  <c r="L121" i="15" l="1" a="1"/>
  <c r="L121" i="15" s="1"/>
  <c r="K121" i="15" a="1"/>
  <c r="K121" i="15" s="1"/>
  <c r="J121" i="15" a="1"/>
  <c r="J121" i="15" s="1"/>
  <c r="H121" i="15" a="1"/>
  <c r="H121" i="15" s="1"/>
  <c r="S121" i="15" a="1"/>
  <c r="S121" i="15" s="1"/>
  <c r="G121" i="15" a="1"/>
  <c r="G121" i="15" s="1"/>
  <c r="R121" i="15" a="1"/>
  <c r="R121" i="15" s="1"/>
  <c r="F121" i="15" a="1"/>
  <c r="F121" i="15" s="1"/>
  <c r="O121" i="15" a="1"/>
  <c r="O121" i="15" s="1"/>
  <c r="N121" i="15" a="1"/>
  <c r="N121" i="15" s="1"/>
  <c r="Q121" i="15" a="1"/>
  <c r="Q121" i="15" s="1"/>
  <c r="P121" i="15" a="1"/>
  <c r="P121" i="15" s="1"/>
  <c r="I121" i="15" a="1"/>
  <c r="I121" i="15" s="1"/>
  <c r="M121" i="15" a="1"/>
  <c r="M121" i="15" s="1"/>
  <c r="E122" i="15"/>
  <c r="E122" i="13"/>
  <c r="E124" i="14"/>
  <c r="J122" i="15" l="1" a="1"/>
  <c r="J122" i="15" s="1"/>
  <c r="I122" i="15" a="1"/>
  <c r="I122" i="15" s="1"/>
  <c r="H122" i="15" a="1"/>
  <c r="H122" i="15" s="1"/>
  <c r="S122" i="15" a="1"/>
  <c r="S122" i="15" s="1"/>
  <c r="G122" i="15" a="1"/>
  <c r="G122" i="15" s="1"/>
  <c r="R122" i="15" a="1"/>
  <c r="R122" i="15" s="1"/>
  <c r="P122" i="15" a="1"/>
  <c r="P122" i="15" s="1"/>
  <c r="O122" i="15" a="1"/>
  <c r="O122" i="15" s="1"/>
  <c r="L122" i="15" a="1"/>
  <c r="L122" i="15" s="1"/>
  <c r="K122" i="15" a="1"/>
  <c r="K122" i="15" s="1"/>
  <c r="N122" i="15" a="1"/>
  <c r="N122" i="15" s="1"/>
  <c r="M122" i="15" a="1"/>
  <c r="M122" i="15" s="1"/>
  <c r="F122" i="15" a="1"/>
  <c r="F122" i="15" s="1"/>
  <c r="Q122" i="15" a="1"/>
  <c r="Q122" i="15" s="1"/>
  <c r="E123" i="15"/>
  <c r="E125" i="14"/>
  <c r="E123" i="13"/>
  <c r="H123" i="15" l="1" a="1"/>
  <c r="H123" i="15" s="1"/>
  <c r="G123" i="15" a="1"/>
  <c r="G123" i="15" s="1"/>
  <c r="F123" i="15" a="1"/>
  <c r="F123" i="15" s="1"/>
  <c r="S123" i="15" a="1"/>
  <c r="S123" i="15" s="1"/>
  <c r="R123" i="15" a="1"/>
  <c r="R123" i="15" s="1"/>
  <c r="P123" i="15" a="1"/>
  <c r="P123" i="15" s="1"/>
  <c r="O123" i="15" a="1"/>
  <c r="O123" i="15" s="1"/>
  <c r="K123" i="15" a="1"/>
  <c r="K123" i="15" s="1"/>
  <c r="J123" i="15" a="1"/>
  <c r="J123" i="15" s="1"/>
  <c r="M123" i="15" a="1"/>
  <c r="M123" i="15" s="1"/>
  <c r="L123" i="15" a="1"/>
  <c r="L123" i="15" s="1"/>
  <c r="I123" i="15" a="1"/>
  <c r="I123" i="15" s="1"/>
  <c r="Q123" i="15" a="1"/>
  <c r="Q123" i="15" s="1"/>
  <c r="N123" i="15" a="1"/>
  <c r="N123" i="15" s="1"/>
  <c r="E124" i="15"/>
  <c r="E126" i="14"/>
  <c r="E124" i="13"/>
  <c r="H124" i="15" l="1" a="1"/>
  <c r="H124" i="15" s="1"/>
  <c r="G124" i="15" a="1"/>
  <c r="G124" i="15" s="1"/>
  <c r="S124" i="15" a="1"/>
  <c r="S124" i="15" s="1"/>
  <c r="F124" i="15" a="1"/>
  <c r="F124" i="15" s="1"/>
  <c r="R124" i="15" a="1"/>
  <c r="R124" i="15" s="1"/>
  <c r="Q124" i="15" a="1"/>
  <c r="Q124" i="15" s="1"/>
  <c r="O124" i="15" a="1"/>
  <c r="O124" i="15" s="1"/>
  <c r="K124" i="15" a="1"/>
  <c r="K124" i="15" s="1"/>
  <c r="J124" i="15" a="1"/>
  <c r="J124" i="15" s="1"/>
  <c r="P124" i="15" a="1"/>
  <c r="P124" i="15" s="1"/>
  <c r="N124" i="15" a="1"/>
  <c r="N124" i="15" s="1"/>
  <c r="M124" i="15" a="1"/>
  <c r="M124" i="15" s="1"/>
  <c r="I124" i="15" a="1"/>
  <c r="I124" i="15" s="1"/>
  <c r="L124" i="15" a="1"/>
  <c r="L124" i="15" s="1"/>
  <c r="E125" i="15"/>
  <c r="E127" i="14"/>
  <c r="E125" i="13"/>
  <c r="F125" i="15" l="1" a="1"/>
  <c r="F125" i="15" s="1"/>
  <c r="Q125" i="15" a="1"/>
  <c r="Q125" i="15" s="1"/>
  <c r="P125" i="15" a="1"/>
  <c r="P125" i="15" s="1"/>
  <c r="O125" i="15" a="1"/>
  <c r="O125" i="15" s="1"/>
  <c r="N125" i="15" a="1"/>
  <c r="N125" i="15" s="1"/>
  <c r="M125" i="15" a="1"/>
  <c r="M125" i="15" s="1"/>
  <c r="L125" i="15" a="1"/>
  <c r="L125" i="15" s="1"/>
  <c r="K125" i="15" a="1"/>
  <c r="K125" i="15" s="1"/>
  <c r="S125" i="15" a="1"/>
  <c r="S125" i="15" s="1"/>
  <c r="H125" i="15" a="1"/>
  <c r="H125" i="15" s="1"/>
  <c r="J125" i="15" a="1"/>
  <c r="J125" i="15" s="1"/>
  <c r="I125" i="15" a="1"/>
  <c r="I125" i="15" s="1"/>
  <c r="G125" i="15" a="1"/>
  <c r="G125" i="15" s="1"/>
  <c r="R125" i="15" a="1"/>
  <c r="R125" i="15" s="1"/>
  <c r="E126" i="15"/>
  <c r="E126" i="13"/>
  <c r="E128" i="14"/>
  <c r="N126" i="15" l="1" a="1"/>
  <c r="N126" i="15" s="1"/>
  <c r="M126" i="15" a="1"/>
  <c r="M126" i="15" s="1"/>
  <c r="L126" i="15" a="1"/>
  <c r="L126" i="15" s="1"/>
  <c r="K126" i="15" a="1"/>
  <c r="K126" i="15" s="1"/>
  <c r="J126" i="15" a="1"/>
  <c r="J126" i="15" s="1"/>
  <c r="I126" i="15" a="1"/>
  <c r="I126" i="15" s="1"/>
  <c r="S126" i="15" a="1"/>
  <c r="S126" i="15" s="1"/>
  <c r="H126" i="15" a="1"/>
  <c r="H126" i="15" s="1"/>
  <c r="P126" i="15" a="1"/>
  <c r="P126" i="15" s="1"/>
  <c r="O126" i="15" a="1"/>
  <c r="O126" i="15" s="1"/>
  <c r="R126" i="15" a="1"/>
  <c r="R126" i="15" s="1"/>
  <c r="Q126" i="15" a="1"/>
  <c r="Q126" i="15" s="1"/>
  <c r="G126" i="15" a="1"/>
  <c r="G126" i="15" s="1"/>
  <c r="F126" i="15" a="1"/>
  <c r="F126" i="15" s="1"/>
  <c r="E127" i="15"/>
  <c r="E127" i="13"/>
  <c r="E129" i="14"/>
  <c r="K127" i="15" l="1" a="1"/>
  <c r="K127" i="15" s="1"/>
  <c r="J127" i="15" a="1"/>
  <c r="J127" i="15" s="1"/>
  <c r="I127" i="15" a="1"/>
  <c r="I127" i="15" s="1"/>
  <c r="S127" i="15" a="1"/>
  <c r="S127" i="15" s="1"/>
  <c r="H127" i="15" a="1"/>
  <c r="H127" i="15" s="1"/>
  <c r="G127" i="15" a="1"/>
  <c r="G127" i="15" s="1"/>
  <c r="Q127" i="15" a="1"/>
  <c r="Q127" i="15" s="1"/>
  <c r="F127" i="15" a="1"/>
  <c r="F127" i="15" s="1"/>
  <c r="P127" i="15" a="1"/>
  <c r="P127" i="15" s="1"/>
  <c r="M127" i="15" a="1"/>
  <c r="M127" i="15" s="1"/>
  <c r="R127" i="15" a="1"/>
  <c r="R127" i="15" s="1"/>
  <c r="O127" i="15" a="1"/>
  <c r="O127" i="15" s="1"/>
  <c r="N127" i="15" a="1"/>
  <c r="N127" i="15" s="1"/>
  <c r="L127" i="15" a="1"/>
  <c r="L127" i="15" s="1"/>
  <c r="E128" i="15"/>
  <c r="E130" i="14"/>
  <c r="E128" i="13"/>
  <c r="S128" i="15" l="1" a="1"/>
  <c r="S128" i="15" s="1"/>
  <c r="H128" i="15" a="1"/>
  <c r="H128" i="15" s="1"/>
  <c r="G128" i="15" a="1"/>
  <c r="G128" i="15" s="1"/>
  <c r="R128" i="15" a="1"/>
  <c r="R128" i="15" s="1"/>
  <c r="Q128" i="15" a="1"/>
  <c r="Q128" i="15" s="1"/>
  <c r="F128" i="15" a="1"/>
  <c r="F128" i="15" s="1"/>
  <c r="O128" i="15" a="1"/>
  <c r="O128" i="15" s="1"/>
  <c r="N128" i="15" a="1"/>
  <c r="N128" i="15" s="1"/>
  <c r="J128" i="15" a="1"/>
  <c r="J128" i="15" s="1"/>
  <c r="I128" i="15" a="1"/>
  <c r="I128" i="15" s="1"/>
  <c r="P128" i="15" a="1"/>
  <c r="P128" i="15" s="1"/>
  <c r="M128" i="15" a="1"/>
  <c r="M128" i="15" s="1"/>
  <c r="L128" i="15" a="1"/>
  <c r="L128" i="15" s="1"/>
  <c r="K128" i="15" a="1"/>
  <c r="K128" i="15" s="1"/>
  <c r="E129" i="15"/>
  <c r="E131" i="14"/>
  <c r="E129" i="13"/>
  <c r="O129" i="15" l="1" a="1"/>
  <c r="O129" i="15" s="1"/>
  <c r="F129" i="15" a="1"/>
  <c r="F129" i="15" s="1"/>
  <c r="N129" i="15" a="1"/>
  <c r="N129" i="15" s="1"/>
  <c r="M129" i="15" a="1"/>
  <c r="M129" i="15" s="1"/>
  <c r="L129" i="15" a="1"/>
  <c r="L129" i="15" s="1"/>
  <c r="K129" i="15" a="1"/>
  <c r="K129" i="15" s="1"/>
  <c r="J129" i="15" a="1"/>
  <c r="J129" i="15" s="1"/>
  <c r="Q129" i="15" a="1"/>
  <c r="Q129" i="15" s="1"/>
  <c r="G129" i="15" a="1"/>
  <c r="G129" i="15" s="1"/>
  <c r="S129" i="15" a="1"/>
  <c r="S129" i="15" s="1"/>
  <c r="R129" i="15" a="1"/>
  <c r="R129" i="15" s="1"/>
  <c r="P129" i="15" a="1"/>
  <c r="P129" i="15" s="1"/>
  <c r="I129" i="15" a="1"/>
  <c r="I129" i="15" s="1"/>
  <c r="H129" i="15" a="1"/>
  <c r="H129" i="15" s="1"/>
  <c r="E130" i="15"/>
  <c r="E130" i="13"/>
  <c r="E132" i="14"/>
  <c r="M130" i="15" l="1" a="1"/>
  <c r="M130" i="15" s="1"/>
  <c r="L130" i="15" a="1"/>
  <c r="L130" i="15" s="1"/>
  <c r="K130" i="15" a="1"/>
  <c r="K130" i="15" s="1"/>
  <c r="J130" i="15" a="1"/>
  <c r="J130" i="15" s="1"/>
  <c r="I130" i="15" a="1"/>
  <c r="I130" i="15" s="1"/>
  <c r="S130" i="15" a="1"/>
  <c r="S130" i="15" s="1"/>
  <c r="R130" i="15" a="1"/>
  <c r="R130" i="15" s="1"/>
  <c r="G130" i="15" a="1"/>
  <c r="G130" i="15" s="1"/>
  <c r="O130" i="15" a="1"/>
  <c r="O130" i="15" s="1"/>
  <c r="N130" i="15" a="1"/>
  <c r="N130" i="15" s="1"/>
  <c r="H130" i="15" a="1"/>
  <c r="H130" i="15" s="1"/>
  <c r="F130" i="15" a="1"/>
  <c r="F130" i="15" s="1"/>
  <c r="Q130" i="15" a="1"/>
  <c r="Q130" i="15" s="1"/>
  <c r="P130" i="15" a="1"/>
  <c r="P130" i="15" s="1"/>
  <c r="E131" i="15"/>
  <c r="E133" i="14"/>
  <c r="E131" i="13"/>
  <c r="J131" i="15" l="1" a="1"/>
  <c r="J131" i="15" s="1"/>
  <c r="I131" i="15" a="1"/>
  <c r="I131" i="15" s="1"/>
  <c r="H131" i="15" a="1"/>
  <c r="H131" i="15" s="1"/>
  <c r="S131" i="15" a="1"/>
  <c r="S131" i="15" s="1"/>
  <c r="G131" i="15" a="1"/>
  <c r="G131" i="15" s="1"/>
  <c r="Q131" i="15" a="1"/>
  <c r="Q131" i="15" s="1"/>
  <c r="P131" i="15" a="1"/>
  <c r="P131" i="15" s="1"/>
  <c r="L131" i="15" a="1"/>
  <c r="L131" i="15" s="1"/>
  <c r="K131" i="15" a="1"/>
  <c r="K131" i="15" s="1"/>
  <c r="O131" i="15" a="1"/>
  <c r="O131" i="15" s="1"/>
  <c r="F131" i="15" a="1"/>
  <c r="F131" i="15" s="1"/>
  <c r="R131" i="15" a="1"/>
  <c r="R131" i="15" s="1"/>
  <c r="N131" i="15" a="1"/>
  <c r="N131" i="15" s="1"/>
  <c r="M131" i="15" a="1"/>
  <c r="M131" i="15" s="1"/>
  <c r="E132" i="15"/>
  <c r="E132" i="13"/>
  <c r="E134" i="14"/>
  <c r="I132" i="15" l="1" a="1"/>
  <c r="I132" i="15" s="1"/>
  <c r="H132" i="15" a="1"/>
  <c r="H132" i="15" s="1"/>
  <c r="G132" i="15" a="1"/>
  <c r="G132" i="15" s="1"/>
  <c r="F132" i="15" a="1"/>
  <c r="F132" i="15" s="1"/>
  <c r="S132" i="15" a="1"/>
  <c r="S132" i="15" s="1"/>
  <c r="R132" i="15" a="1"/>
  <c r="R132" i="15" s="1"/>
  <c r="P132" i="15" a="1"/>
  <c r="P132" i="15" s="1"/>
  <c r="O132" i="15" a="1"/>
  <c r="O132" i="15" s="1"/>
  <c r="K132" i="15" a="1"/>
  <c r="K132" i="15" s="1"/>
  <c r="J132" i="15" a="1"/>
  <c r="J132" i="15" s="1"/>
  <c r="Q132" i="15" a="1"/>
  <c r="Q132" i="15" s="1"/>
  <c r="N132" i="15" a="1"/>
  <c r="N132" i="15" s="1"/>
  <c r="M132" i="15" a="1"/>
  <c r="M132" i="15" s="1"/>
  <c r="L132" i="15" a="1"/>
  <c r="L132" i="15" s="1"/>
  <c r="E133" i="15"/>
  <c r="E135" i="14"/>
  <c r="E133" i="13"/>
  <c r="S133" i="15" l="1" a="1"/>
  <c r="S133" i="15" s="1"/>
  <c r="H133" i="15" a="1"/>
  <c r="H133" i="15" s="1"/>
  <c r="G133" i="15" a="1"/>
  <c r="G133" i="15" s="1"/>
  <c r="R133" i="15" a="1"/>
  <c r="R133" i="15" s="1"/>
  <c r="F133" i="15" a="1"/>
  <c r="F133" i="15" s="1"/>
  <c r="Q133" i="15" a="1"/>
  <c r="Q133" i="15" s="1"/>
  <c r="P133" i="15" a="1"/>
  <c r="P133" i="15" s="1"/>
  <c r="N133" i="15" a="1"/>
  <c r="N133" i="15" s="1"/>
  <c r="M133" i="15" a="1"/>
  <c r="M133" i="15" s="1"/>
  <c r="I133" i="15" a="1"/>
  <c r="I133" i="15" s="1"/>
  <c r="K133" i="15" a="1"/>
  <c r="K133" i="15" s="1"/>
  <c r="J133" i="15" a="1"/>
  <c r="J133" i="15" s="1"/>
  <c r="O133" i="15" a="1"/>
  <c r="O133" i="15" s="1"/>
  <c r="L133" i="15" a="1"/>
  <c r="L133" i="15" s="1"/>
  <c r="E134" i="15"/>
  <c r="E136" i="14"/>
  <c r="E134" i="13"/>
  <c r="Q134" i="15" l="1" a="1"/>
  <c r="Q134" i="15" s="1"/>
  <c r="P134" i="15" a="1"/>
  <c r="P134" i="15" s="1"/>
  <c r="O134" i="15" a="1"/>
  <c r="O134" i="15" s="1"/>
  <c r="N134" i="15" a="1"/>
  <c r="N134" i="15" s="1"/>
  <c r="L134" i="15" a="1"/>
  <c r="L134" i="15" s="1"/>
  <c r="K134" i="15" a="1"/>
  <c r="K134" i="15" s="1"/>
  <c r="J134" i="15" a="1"/>
  <c r="J134" i="15" s="1"/>
  <c r="G134" i="15" a="1"/>
  <c r="G134" i="15" s="1"/>
  <c r="S134" i="15" a="1"/>
  <c r="S134" i="15" s="1"/>
  <c r="M134" i="15" a="1"/>
  <c r="M134" i="15" s="1"/>
  <c r="F134" i="15" a="1"/>
  <c r="F134" i="15" s="1"/>
  <c r="H134" i="15" a="1"/>
  <c r="H134" i="15" s="1"/>
  <c r="R134" i="15" a="1"/>
  <c r="R134" i="15" s="1"/>
  <c r="I134" i="15" a="1"/>
  <c r="I134" i="15" s="1"/>
  <c r="E135" i="15"/>
  <c r="E137" i="14"/>
  <c r="E135" i="13"/>
  <c r="P135" i="15" l="1" a="1"/>
  <c r="P135" i="15" s="1"/>
  <c r="O135" i="15" a="1"/>
  <c r="O135" i="15" s="1"/>
  <c r="N135" i="15" a="1"/>
  <c r="N135" i="15" s="1"/>
  <c r="M135" i="15" a="1"/>
  <c r="M135" i="15" s="1"/>
  <c r="K135" i="15" a="1"/>
  <c r="K135" i="15" s="1"/>
  <c r="J135" i="15" a="1"/>
  <c r="J135" i="15" s="1"/>
  <c r="S135" i="15" a="1"/>
  <c r="S135" i="15" s="1"/>
  <c r="F135" i="15" a="1"/>
  <c r="F135" i="15" s="1"/>
  <c r="R135" i="15" a="1"/>
  <c r="R135" i="15" s="1"/>
  <c r="Q135" i="15" a="1"/>
  <c r="Q135" i="15" s="1"/>
  <c r="L135" i="15" a="1"/>
  <c r="L135" i="15" s="1"/>
  <c r="I135" i="15" a="1"/>
  <c r="I135" i="15" s="1"/>
  <c r="H135" i="15" a="1"/>
  <c r="H135" i="15" s="1"/>
  <c r="G135" i="15" a="1"/>
  <c r="G135" i="15" s="1"/>
  <c r="E136" i="15"/>
  <c r="E136" i="13"/>
  <c r="E138" i="14"/>
  <c r="M136" i="15" l="1" a="1"/>
  <c r="M136" i="15" s="1"/>
  <c r="L136" i="15" a="1"/>
  <c r="L136" i="15" s="1"/>
  <c r="K136" i="15" a="1"/>
  <c r="K136" i="15" s="1"/>
  <c r="I136" i="15" a="1"/>
  <c r="I136" i="15" s="1"/>
  <c r="H136" i="15" a="1"/>
  <c r="H136" i="15" s="1"/>
  <c r="S136" i="15" a="1"/>
  <c r="S136" i="15" s="1"/>
  <c r="G136" i="15" a="1"/>
  <c r="G136" i="15" s="1"/>
  <c r="O136" i="15" a="1"/>
  <c r="O136" i="15" s="1"/>
  <c r="F136" i="15" a="1"/>
  <c r="F136" i="15" s="1"/>
  <c r="Q136" i="15" a="1"/>
  <c r="Q136" i="15" s="1"/>
  <c r="P136" i="15" a="1"/>
  <c r="P136" i="15" s="1"/>
  <c r="N136" i="15" a="1"/>
  <c r="N136" i="15" s="1"/>
  <c r="J136" i="15" a="1"/>
  <c r="J136" i="15" s="1"/>
  <c r="R136" i="15" a="1"/>
  <c r="R136" i="15" s="1"/>
  <c r="E137" i="15"/>
  <c r="E137" i="13"/>
  <c r="E139" i="14"/>
  <c r="R137" i="15" l="1" a="1"/>
  <c r="R137" i="15" s="1"/>
  <c r="K137" i="15" a="1"/>
  <c r="K137" i="15" s="1"/>
  <c r="J137" i="15" a="1"/>
  <c r="J137" i="15" s="1"/>
  <c r="I137" i="15" a="1"/>
  <c r="I137" i="15" s="1"/>
  <c r="H137" i="15" a="1"/>
  <c r="H137" i="15" s="1"/>
  <c r="G137" i="15" a="1"/>
  <c r="G137" i="15" s="1"/>
  <c r="S137" i="15" a="1"/>
  <c r="S137" i="15" s="1"/>
  <c r="F137" i="15" a="1"/>
  <c r="F137" i="15" s="1"/>
  <c r="Q137" i="15" a="1"/>
  <c r="Q137" i="15" s="1"/>
  <c r="N137" i="15" a="1"/>
  <c r="N137" i="15" s="1"/>
  <c r="M137" i="15" a="1"/>
  <c r="M137" i="15" s="1"/>
  <c r="P137" i="15" a="1"/>
  <c r="P137" i="15" s="1"/>
  <c r="O137" i="15" a="1"/>
  <c r="O137" i="15" s="1"/>
  <c r="L137" i="15" a="1"/>
  <c r="L137" i="15" s="1"/>
  <c r="E138" i="15"/>
  <c r="E140" i="14"/>
  <c r="E138" i="13"/>
  <c r="R138" i="15" l="1" a="1"/>
  <c r="R138" i="15" s="1"/>
  <c r="Q138" i="15" a="1"/>
  <c r="Q138" i="15" s="1"/>
  <c r="K138" i="15" a="1"/>
  <c r="K138" i="15" s="1"/>
  <c r="J138" i="15" a="1"/>
  <c r="J138" i="15" s="1"/>
  <c r="I138" i="15" a="1"/>
  <c r="I138" i="15" s="1"/>
  <c r="H138" i="15" a="1"/>
  <c r="H138" i="15" s="1"/>
  <c r="G138" i="15" a="1"/>
  <c r="G138" i="15" s="1"/>
  <c r="S138" i="15" a="1"/>
  <c r="S138" i="15" s="1"/>
  <c r="N138" i="15" a="1"/>
  <c r="N138" i="15" s="1"/>
  <c r="M138" i="15" a="1"/>
  <c r="M138" i="15" s="1"/>
  <c r="P138" i="15" a="1"/>
  <c r="P138" i="15" s="1"/>
  <c r="O138" i="15" a="1"/>
  <c r="O138" i="15" s="1"/>
  <c r="L138" i="15" a="1"/>
  <c r="L138" i="15" s="1"/>
  <c r="F138" i="15" a="1"/>
  <c r="F138" i="15" s="1"/>
  <c r="E139" i="15"/>
  <c r="E139" i="13"/>
  <c r="E141" i="14"/>
  <c r="R139" i="15" l="1" a="1"/>
  <c r="R139" i="15" s="1"/>
  <c r="F139" i="15" a="1"/>
  <c r="F139" i="15" s="1"/>
  <c r="P139" i="15" a="1"/>
  <c r="P139" i="15" s="1"/>
  <c r="L139" i="15" a="1"/>
  <c r="L139" i="15" s="1"/>
  <c r="K139" i="15" a="1"/>
  <c r="K139" i="15" s="1"/>
  <c r="J139" i="15" a="1"/>
  <c r="J139" i="15" s="1"/>
  <c r="I139" i="15" a="1"/>
  <c r="I139" i="15" s="1"/>
  <c r="G139" i="15" a="1"/>
  <c r="G139" i="15" s="1"/>
  <c r="O139" i="15" a="1"/>
  <c r="O139" i="15" s="1"/>
  <c r="N139" i="15" a="1"/>
  <c r="N139" i="15" s="1"/>
  <c r="H139" i="15" a="1"/>
  <c r="H139" i="15" s="1"/>
  <c r="S139" i="15" a="1"/>
  <c r="S139" i="15" s="1"/>
  <c r="Q139" i="15" a="1"/>
  <c r="Q139" i="15" s="1"/>
  <c r="M139" i="15" a="1"/>
  <c r="M139" i="15" s="1"/>
  <c r="E140" i="15"/>
  <c r="E140" i="13"/>
  <c r="E142" i="14"/>
  <c r="O140" i="15" l="1" a="1"/>
  <c r="O140" i="15" s="1"/>
  <c r="N140" i="15" a="1"/>
  <c r="N140" i="15" s="1"/>
  <c r="L140" i="15" a="1"/>
  <c r="L140" i="15" s="1"/>
  <c r="M140" i="15" a="1"/>
  <c r="M140" i="15" s="1"/>
  <c r="K140" i="15" a="1"/>
  <c r="K140" i="15" s="1"/>
  <c r="J140" i="15" a="1"/>
  <c r="J140" i="15" s="1"/>
  <c r="I140" i="15" a="1"/>
  <c r="I140" i="15" s="1"/>
  <c r="G140" i="15" a="1"/>
  <c r="G140" i="15" s="1"/>
  <c r="F140" i="15" a="1"/>
  <c r="F140" i="15" s="1"/>
  <c r="S140" i="15" a="1"/>
  <c r="S140" i="15" s="1"/>
  <c r="P140" i="15" a="1"/>
  <c r="P140" i="15" s="1"/>
  <c r="R140" i="15" a="1"/>
  <c r="R140" i="15" s="1"/>
  <c r="Q140" i="15" a="1"/>
  <c r="Q140" i="15" s="1"/>
  <c r="H140" i="15" a="1"/>
  <c r="H140" i="15" s="1"/>
  <c r="E141" i="15"/>
  <c r="E143" i="14"/>
  <c r="E141" i="13"/>
  <c r="K141" i="15" l="1" a="1"/>
  <c r="K141" i="15" s="1"/>
  <c r="M141" i="15" a="1"/>
  <c r="M141" i="15" s="1"/>
  <c r="L141" i="15" a="1"/>
  <c r="L141" i="15" s="1"/>
  <c r="J141" i="15" a="1"/>
  <c r="J141" i="15" s="1"/>
  <c r="I141" i="15" a="1"/>
  <c r="I141" i="15" s="1"/>
  <c r="H141" i="15" a="1"/>
  <c r="H141" i="15" s="1"/>
  <c r="G141" i="15" a="1"/>
  <c r="G141" i="15" s="1"/>
  <c r="F141" i="15" a="1"/>
  <c r="F141" i="15" s="1"/>
  <c r="S141" i="15" a="1"/>
  <c r="S141" i="15" s="1"/>
  <c r="O141" i="15" a="1"/>
  <c r="O141" i="15" s="1"/>
  <c r="N141" i="15" a="1"/>
  <c r="N141" i="15" s="1"/>
  <c r="R141" i="15" a="1"/>
  <c r="R141" i="15" s="1"/>
  <c r="Q141" i="15" a="1"/>
  <c r="Q141" i="15" s="1"/>
  <c r="P141" i="15" a="1"/>
  <c r="P141" i="15" s="1"/>
  <c r="E142" i="15"/>
  <c r="E142" i="13"/>
  <c r="E144" i="14"/>
  <c r="J142" i="15" l="1" a="1"/>
  <c r="J142" i="15" s="1"/>
  <c r="H142" i="15" a="1"/>
  <c r="H142" i="15" s="1"/>
  <c r="N142" i="15" a="1"/>
  <c r="N142" i="15" s="1"/>
  <c r="M142" i="15" a="1"/>
  <c r="M142" i="15" s="1"/>
  <c r="L142" i="15" a="1"/>
  <c r="L142" i="15" s="1"/>
  <c r="K142" i="15" a="1"/>
  <c r="K142" i="15" s="1"/>
  <c r="I142" i="15" a="1"/>
  <c r="I142" i="15" s="1"/>
  <c r="F142" i="15" a="1"/>
  <c r="F142" i="15" s="1"/>
  <c r="Q142" i="15" a="1"/>
  <c r="Q142" i="15" s="1"/>
  <c r="P142" i="15" a="1"/>
  <c r="P142" i="15" s="1"/>
  <c r="O142" i="15" a="1"/>
  <c r="O142" i="15" s="1"/>
  <c r="G142" i="15" a="1"/>
  <c r="G142" i="15" s="1"/>
  <c r="S142" i="15" a="1"/>
  <c r="S142" i="15" s="1"/>
  <c r="R142" i="15" a="1"/>
  <c r="R142" i="15" s="1"/>
  <c r="E143" i="15"/>
  <c r="E143" i="13"/>
  <c r="E145" i="14"/>
  <c r="I143" i="15" l="1" a="1"/>
  <c r="I143" i="15" s="1"/>
  <c r="H143" i="15" a="1"/>
  <c r="H143" i="15" s="1"/>
  <c r="G143" i="15" a="1"/>
  <c r="G143" i="15" s="1"/>
  <c r="P143" i="15" a="1"/>
  <c r="P143" i="15" s="1"/>
  <c r="O143" i="15" a="1"/>
  <c r="O143" i="15" s="1"/>
  <c r="N143" i="15" a="1"/>
  <c r="N143" i="15" s="1"/>
  <c r="M143" i="15" a="1"/>
  <c r="M143" i="15" s="1"/>
  <c r="K143" i="15" a="1"/>
  <c r="K143" i="15" s="1"/>
  <c r="J143" i="15" a="1"/>
  <c r="J143" i="15" s="1"/>
  <c r="S143" i="15" a="1"/>
  <c r="S143" i="15" s="1"/>
  <c r="R143" i="15" a="1"/>
  <c r="R143" i="15" s="1"/>
  <c r="L143" i="15" a="1"/>
  <c r="L143" i="15" s="1"/>
  <c r="F143" i="15" a="1"/>
  <c r="F143" i="15" s="1"/>
  <c r="Q143" i="15" a="1"/>
  <c r="Q143" i="15" s="1"/>
  <c r="E144" i="15"/>
  <c r="E146" i="14"/>
  <c r="E144" i="13"/>
  <c r="S144" i="15" l="1" a="1"/>
  <c r="S144" i="15" s="1"/>
  <c r="H144" i="15" a="1"/>
  <c r="H144" i="15" s="1"/>
  <c r="G144" i="15" a="1"/>
  <c r="G144" i="15" s="1"/>
  <c r="R144" i="15" a="1"/>
  <c r="R144" i="15" s="1"/>
  <c r="F144" i="15" a="1"/>
  <c r="F144" i="15" s="1"/>
  <c r="Q144" i="15" a="1"/>
  <c r="Q144" i="15" s="1"/>
  <c r="P144" i="15" a="1"/>
  <c r="P144" i="15" s="1"/>
  <c r="O144" i="15" a="1"/>
  <c r="O144" i="15" s="1"/>
  <c r="N144" i="15" a="1"/>
  <c r="N144" i="15" s="1"/>
  <c r="L144" i="15" a="1"/>
  <c r="L144" i="15" s="1"/>
  <c r="K144" i="15" a="1"/>
  <c r="K144" i="15" s="1"/>
  <c r="M144" i="15" a="1"/>
  <c r="M144" i="15" s="1"/>
  <c r="I144" i="15" a="1"/>
  <c r="I144" i="15" s="1"/>
  <c r="J144" i="15" a="1"/>
  <c r="J144" i="15" s="1"/>
  <c r="E145" i="15"/>
  <c r="E145" i="13"/>
  <c r="E147" i="14"/>
  <c r="O145" i="15" l="1" a="1"/>
  <c r="O145" i="15" s="1"/>
  <c r="N145" i="15" a="1"/>
  <c r="N145" i="15" s="1"/>
  <c r="S145" i="15" a="1"/>
  <c r="S145" i="15" s="1"/>
  <c r="R145" i="15" a="1"/>
  <c r="R145" i="15" s="1"/>
  <c r="Q145" i="15" a="1"/>
  <c r="Q145" i="15" s="1"/>
  <c r="P145" i="15" a="1"/>
  <c r="P145" i="15" s="1"/>
  <c r="M145" i="15" a="1"/>
  <c r="M145" i="15" s="1"/>
  <c r="K145" i="15" a="1"/>
  <c r="K145" i="15" s="1"/>
  <c r="J145" i="15" a="1"/>
  <c r="J145" i="15" s="1"/>
  <c r="G145" i="15" a="1"/>
  <c r="G145" i="15" s="1"/>
  <c r="L145" i="15" a="1"/>
  <c r="L145" i="15" s="1"/>
  <c r="I145" i="15" a="1"/>
  <c r="I145" i="15" s="1"/>
  <c r="H145" i="15" a="1"/>
  <c r="H145" i="15" s="1"/>
  <c r="F145" i="15" a="1"/>
  <c r="F145" i="15" s="1"/>
  <c r="E146" i="15"/>
  <c r="E146" i="13"/>
  <c r="E148" i="14"/>
  <c r="O146" i="15" l="1" a="1"/>
  <c r="O146" i="15" s="1"/>
  <c r="N146" i="15" a="1"/>
  <c r="N146" i="15" s="1"/>
  <c r="M146" i="15" a="1"/>
  <c r="M146" i="15" s="1"/>
  <c r="K146" i="15" a="1"/>
  <c r="K146" i="15" s="1"/>
  <c r="S146" i="15" a="1"/>
  <c r="S146" i="15" s="1"/>
  <c r="Q146" i="15" a="1"/>
  <c r="Q146" i="15" s="1"/>
  <c r="P146" i="15" a="1"/>
  <c r="P146" i="15" s="1"/>
  <c r="L146" i="15" a="1"/>
  <c r="L146" i="15" s="1"/>
  <c r="H146" i="15" a="1"/>
  <c r="H146" i="15" s="1"/>
  <c r="G146" i="15" a="1"/>
  <c r="G146" i="15" s="1"/>
  <c r="I146" i="15" a="1"/>
  <c r="I146" i="15" s="1"/>
  <c r="F146" i="15" a="1"/>
  <c r="F146" i="15" s="1"/>
  <c r="R146" i="15" a="1"/>
  <c r="R146" i="15" s="1"/>
  <c r="J146" i="15" a="1"/>
  <c r="J146" i="15" s="1"/>
  <c r="E147" i="15"/>
  <c r="E149" i="14"/>
  <c r="E147" i="13"/>
  <c r="O147" i="15" l="1" a="1"/>
  <c r="O147" i="15" s="1"/>
  <c r="N147" i="15" a="1"/>
  <c r="N147" i="15" s="1"/>
  <c r="L147" i="15" a="1"/>
  <c r="L147" i="15" s="1"/>
  <c r="I147" i="15" a="1"/>
  <c r="I147" i="15" s="1"/>
  <c r="H147" i="15" a="1"/>
  <c r="H147" i="15" s="1"/>
  <c r="G147" i="15" a="1"/>
  <c r="G147" i="15" s="1"/>
  <c r="F147" i="15" a="1"/>
  <c r="F147" i="15" s="1"/>
  <c r="S147" i="15" a="1"/>
  <c r="S147" i="15" s="1"/>
  <c r="R147" i="15" a="1"/>
  <c r="R147" i="15" s="1"/>
  <c r="M147" i="15" a="1"/>
  <c r="M147" i="15" s="1"/>
  <c r="K147" i="15" a="1"/>
  <c r="K147" i="15" s="1"/>
  <c r="Q147" i="15" a="1"/>
  <c r="Q147" i="15" s="1"/>
  <c r="J147" i="15" a="1"/>
  <c r="J147" i="15" s="1"/>
  <c r="P147" i="15" a="1"/>
  <c r="P147" i="15" s="1"/>
  <c r="E148" i="15"/>
  <c r="E150" i="14"/>
  <c r="E148" i="13"/>
  <c r="M148" i="15" l="1" a="1"/>
  <c r="M148" i="15" s="1"/>
  <c r="L148" i="15" a="1"/>
  <c r="L148" i="15" s="1"/>
  <c r="K148" i="15" a="1"/>
  <c r="K148" i="15" s="1"/>
  <c r="N148" i="15" a="1"/>
  <c r="N148" i="15" s="1"/>
  <c r="J148" i="15" a="1"/>
  <c r="J148" i="15" s="1"/>
  <c r="I148" i="15" a="1"/>
  <c r="I148" i="15" s="1"/>
  <c r="H148" i="15" a="1"/>
  <c r="H148" i="15" s="1"/>
  <c r="G148" i="15" a="1"/>
  <c r="G148" i="15" s="1"/>
  <c r="P148" i="15" a="1"/>
  <c r="P148" i="15" s="1"/>
  <c r="S148" i="15" a="1"/>
  <c r="S148" i="15" s="1"/>
  <c r="R148" i="15" a="1"/>
  <c r="R148" i="15" s="1"/>
  <c r="Q148" i="15" a="1"/>
  <c r="Q148" i="15" s="1"/>
  <c r="O148" i="15" a="1"/>
  <c r="O148" i="15" s="1"/>
  <c r="F148" i="15" a="1"/>
  <c r="F148" i="15" s="1"/>
  <c r="E149" i="15"/>
  <c r="E151" i="14"/>
  <c r="E149" i="13"/>
  <c r="L149" i="15" l="1" a="1"/>
  <c r="L149" i="15" s="1"/>
  <c r="K149" i="15" a="1"/>
  <c r="K149" i="15" s="1"/>
  <c r="I149" i="15" a="1"/>
  <c r="I149" i="15" s="1"/>
  <c r="H149" i="15" a="1"/>
  <c r="H149" i="15" s="1"/>
  <c r="P149" i="15" a="1"/>
  <c r="P149" i="15" s="1"/>
  <c r="O149" i="15" a="1"/>
  <c r="O149" i="15" s="1"/>
  <c r="N149" i="15" a="1"/>
  <c r="N149" i="15" s="1"/>
  <c r="M149" i="15" a="1"/>
  <c r="M149" i="15" s="1"/>
  <c r="G149" i="15" a="1"/>
  <c r="G149" i="15" s="1"/>
  <c r="F149" i="15" a="1"/>
  <c r="F149" i="15" s="1"/>
  <c r="S149" i="15" a="1"/>
  <c r="S149" i="15" s="1"/>
  <c r="R149" i="15" a="1"/>
  <c r="R149" i="15" s="1"/>
  <c r="Q149" i="15" a="1"/>
  <c r="Q149" i="15" s="1"/>
  <c r="J149" i="15" a="1"/>
  <c r="J149" i="15" s="1"/>
  <c r="E150" i="15"/>
  <c r="E150" i="13"/>
  <c r="E152" i="14"/>
  <c r="I150" i="15" l="1" a="1"/>
  <c r="I150" i="15" s="1"/>
  <c r="H150" i="15" a="1"/>
  <c r="H150" i="15" s="1"/>
  <c r="R150" i="15" a="1"/>
  <c r="R150" i="15" s="1"/>
  <c r="G150" i="15" a="1"/>
  <c r="G150" i="15" s="1"/>
  <c r="S150" i="15" a="1"/>
  <c r="S150" i="15" s="1"/>
  <c r="Q150" i="15" a="1"/>
  <c r="Q150" i="15" s="1"/>
  <c r="P150" i="15" a="1"/>
  <c r="P150" i="15" s="1"/>
  <c r="O150" i="15" a="1"/>
  <c r="O150" i="15" s="1"/>
  <c r="N150" i="15" a="1"/>
  <c r="N150" i="15" s="1"/>
  <c r="M150" i="15" a="1"/>
  <c r="M150" i="15" s="1"/>
  <c r="L150" i="15" a="1"/>
  <c r="L150" i="15" s="1"/>
  <c r="K150" i="15" a="1"/>
  <c r="K150" i="15" s="1"/>
  <c r="F150" i="15" a="1"/>
  <c r="F150" i="15" s="1"/>
  <c r="J150" i="15" a="1"/>
  <c r="J150" i="15" s="1"/>
  <c r="E151" i="15"/>
  <c r="E151" i="13"/>
  <c r="E153" i="14"/>
  <c r="H151" i="15" l="1" a="1"/>
  <c r="H151" i="15" s="1"/>
  <c r="G151" i="15" a="1"/>
  <c r="G151" i="15" s="1"/>
  <c r="F151" i="15" a="1"/>
  <c r="F151" i="15" s="1"/>
  <c r="R151" i="15" a="1"/>
  <c r="R151" i="15" s="1"/>
  <c r="N151" i="15" a="1"/>
  <c r="N151" i="15" s="1"/>
  <c r="Q151" i="15" a="1"/>
  <c r="Q151" i="15" s="1"/>
  <c r="P151" i="15" a="1"/>
  <c r="P151" i="15" s="1"/>
  <c r="O151" i="15" a="1"/>
  <c r="O151" i="15" s="1"/>
  <c r="K151" i="15" a="1"/>
  <c r="K151" i="15" s="1"/>
  <c r="J151" i="15" a="1"/>
  <c r="J151" i="15" s="1"/>
  <c r="S151" i="15" a="1"/>
  <c r="S151" i="15" s="1"/>
  <c r="I151" i="15" a="1"/>
  <c r="I151" i="15" s="1"/>
  <c r="M151" i="15" a="1"/>
  <c r="M151" i="15" s="1"/>
  <c r="L151" i="15" a="1"/>
  <c r="L151" i="15" s="1"/>
  <c r="E152" i="15"/>
  <c r="E152" i="13"/>
  <c r="E154" i="14"/>
  <c r="G152" i="15" l="1" a="1"/>
  <c r="G152" i="15" s="1"/>
  <c r="S152" i="15" a="1"/>
  <c r="S152" i="15" s="1"/>
  <c r="R152" i="15" a="1"/>
  <c r="R152" i="15" s="1"/>
  <c r="F152" i="15" a="1"/>
  <c r="F152" i="15" s="1"/>
  <c r="P152" i="15" a="1"/>
  <c r="P152" i="15" s="1"/>
  <c r="L152" i="15" a="1"/>
  <c r="L152" i="15" s="1"/>
  <c r="K152" i="15" a="1"/>
  <c r="K152" i="15" s="1"/>
  <c r="J152" i="15" a="1"/>
  <c r="J152" i="15" s="1"/>
  <c r="I152" i="15" a="1"/>
  <c r="I152" i="15" s="1"/>
  <c r="H152" i="15" a="1"/>
  <c r="H152" i="15" s="1"/>
  <c r="O152" i="15" a="1"/>
  <c r="O152" i="15" s="1"/>
  <c r="N152" i="15" a="1"/>
  <c r="N152" i="15" s="1"/>
  <c r="Q152" i="15" a="1"/>
  <c r="Q152" i="15" s="1"/>
  <c r="M152" i="15" a="1"/>
  <c r="M152" i="15" s="1"/>
  <c r="E153" i="15"/>
  <c r="E155" i="14"/>
  <c r="E153" i="13"/>
  <c r="Q153" i="15" l="1" a="1"/>
  <c r="Q153" i="15" s="1"/>
  <c r="F153" i="15" a="1"/>
  <c r="F153" i="15" s="1"/>
  <c r="P153" i="15" a="1"/>
  <c r="P153" i="15" s="1"/>
  <c r="N153" i="15" a="1"/>
  <c r="N153" i="15" s="1"/>
  <c r="K153" i="15" a="1"/>
  <c r="K153" i="15" s="1"/>
  <c r="R153" i="15" a="1"/>
  <c r="R153" i="15" s="1"/>
  <c r="O153" i="15" a="1"/>
  <c r="O153" i="15" s="1"/>
  <c r="M153" i="15" a="1"/>
  <c r="M153" i="15" s="1"/>
  <c r="L153" i="15" a="1"/>
  <c r="L153" i="15" s="1"/>
  <c r="I153" i="15" a="1"/>
  <c r="I153" i="15" s="1"/>
  <c r="H153" i="15" a="1"/>
  <c r="H153" i="15" s="1"/>
  <c r="S153" i="15" a="1"/>
  <c r="S153" i="15" s="1"/>
  <c r="J153" i="15" a="1"/>
  <c r="J153" i="15" s="1"/>
  <c r="G153" i="15" a="1"/>
  <c r="G153" i="15" s="1"/>
  <c r="E154" i="15"/>
  <c r="E154" i="13"/>
  <c r="E156" i="14"/>
  <c r="N154" i="15" l="1" a="1"/>
  <c r="N154" i="15" s="1"/>
  <c r="M154" i="15" a="1"/>
  <c r="M154" i="15" s="1"/>
  <c r="L154" i="15" a="1"/>
  <c r="L154" i="15" s="1"/>
  <c r="K154" i="15" a="1"/>
  <c r="K154" i="15" s="1"/>
  <c r="H154" i="15" a="1"/>
  <c r="H154" i="15" s="1"/>
  <c r="S154" i="15" a="1"/>
  <c r="S154" i="15" s="1"/>
  <c r="R154" i="15" a="1"/>
  <c r="R154" i="15" s="1"/>
  <c r="Q154" i="15" a="1"/>
  <c r="Q154" i="15" s="1"/>
  <c r="O154" i="15" a="1"/>
  <c r="O154" i="15" s="1"/>
  <c r="F154" i="15" a="1"/>
  <c r="F154" i="15" s="1"/>
  <c r="J154" i="15" a="1"/>
  <c r="J154" i="15" s="1"/>
  <c r="I154" i="15" a="1"/>
  <c r="I154" i="15" s="1"/>
  <c r="G154" i="15" a="1"/>
  <c r="G154" i="15" s="1"/>
  <c r="P154" i="15" a="1"/>
  <c r="P154" i="15" s="1"/>
  <c r="E155" i="15"/>
  <c r="E157" i="14"/>
  <c r="E155" i="13"/>
  <c r="L155" i="15" l="1" a="1"/>
  <c r="L155" i="15" s="1"/>
  <c r="K155" i="15" a="1"/>
  <c r="K155" i="15" s="1"/>
  <c r="I155" i="15" a="1"/>
  <c r="I155" i="15" s="1"/>
  <c r="R155" i="15" a="1"/>
  <c r="R155" i="15" s="1"/>
  <c r="F155" i="15" a="1"/>
  <c r="F155" i="15" s="1"/>
  <c r="G155" i="15" a="1"/>
  <c r="G155" i="15" s="1"/>
  <c r="Q155" i="15" a="1"/>
  <c r="Q155" i="15" s="1"/>
  <c r="P155" i="15" a="1"/>
  <c r="P155" i="15" s="1"/>
  <c r="M155" i="15" a="1"/>
  <c r="M155" i="15" s="1"/>
  <c r="J155" i="15" a="1"/>
  <c r="J155" i="15" s="1"/>
  <c r="O155" i="15" a="1"/>
  <c r="O155" i="15" s="1"/>
  <c r="N155" i="15" a="1"/>
  <c r="N155" i="15" s="1"/>
  <c r="H155" i="15" a="1"/>
  <c r="H155" i="15" s="1"/>
  <c r="S155" i="15" a="1"/>
  <c r="S155" i="15" s="1"/>
  <c r="E156" i="15"/>
  <c r="E158" i="14"/>
  <c r="E156" i="13"/>
  <c r="J156" i="15" l="1" a="1"/>
  <c r="J156" i="15" s="1"/>
  <c r="I156" i="15" a="1"/>
  <c r="I156" i="15" s="1"/>
  <c r="S156" i="15" a="1"/>
  <c r="S156" i="15" s="1"/>
  <c r="R156" i="15" a="1"/>
  <c r="R156" i="15" s="1"/>
  <c r="G156" i="15" a="1"/>
  <c r="G156" i="15" s="1"/>
  <c r="O156" i="15" a="1"/>
  <c r="O156" i="15" s="1"/>
  <c r="L156" i="15" a="1"/>
  <c r="L156" i="15" s="1"/>
  <c r="K156" i="15" a="1"/>
  <c r="K156" i="15" s="1"/>
  <c r="H156" i="15" a="1"/>
  <c r="H156" i="15" s="1"/>
  <c r="F156" i="15" a="1"/>
  <c r="F156" i="15" s="1"/>
  <c r="N156" i="15" a="1"/>
  <c r="N156" i="15" s="1"/>
  <c r="Q156" i="15" a="1"/>
  <c r="Q156" i="15" s="1"/>
  <c r="M156" i="15" a="1"/>
  <c r="M156" i="15" s="1"/>
  <c r="P156" i="15" a="1"/>
  <c r="P156" i="15" s="1"/>
  <c r="E157" i="15"/>
  <c r="E159" i="14"/>
  <c r="E157" i="13"/>
  <c r="S157" i="15" l="1" a="1"/>
  <c r="S157" i="15" s="1"/>
  <c r="H157" i="15" a="1"/>
  <c r="H157" i="15" s="1"/>
  <c r="G157" i="15" a="1"/>
  <c r="G157" i="15" s="1"/>
  <c r="R157" i="15" a="1"/>
  <c r="R157" i="15" s="1"/>
  <c r="P157" i="15" a="1"/>
  <c r="P157" i="15" s="1"/>
  <c r="M157" i="15" a="1"/>
  <c r="M157" i="15" s="1"/>
  <c r="Q157" i="15" a="1"/>
  <c r="Q157" i="15" s="1"/>
  <c r="O157" i="15" a="1"/>
  <c r="O157" i="15" s="1"/>
  <c r="N157" i="15" a="1"/>
  <c r="N157" i="15" s="1"/>
  <c r="L157" i="15" a="1"/>
  <c r="L157" i="15" s="1"/>
  <c r="J157" i="15" a="1"/>
  <c r="J157" i="15" s="1"/>
  <c r="I157" i="15" a="1"/>
  <c r="I157" i="15" s="1"/>
  <c r="K157" i="15" a="1"/>
  <c r="K157" i="15" s="1"/>
  <c r="F157" i="15" a="1"/>
  <c r="F157" i="15" s="1"/>
  <c r="E158" i="15"/>
  <c r="E160" i="14"/>
  <c r="E158" i="13"/>
  <c r="P158" i="15" l="1" a="1"/>
  <c r="P158" i="15" s="1"/>
  <c r="O158" i="15" a="1"/>
  <c r="O158" i="15" s="1"/>
  <c r="N158" i="15" a="1"/>
  <c r="N158" i="15" s="1"/>
  <c r="M158" i="15" a="1"/>
  <c r="M158" i="15" s="1"/>
  <c r="S158" i="15" a="1"/>
  <c r="S158" i="15" s="1"/>
  <c r="R158" i="15" a="1"/>
  <c r="R158" i="15" s="1"/>
  <c r="Q158" i="15" a="1"/>
  <c r="Q158" i="15" s="1"/>
  <c r="L158" i="15" a="1"/>
  <c r="L158" i="15" s="1"/>
  <c r="K158" i="15" a="1"/>
  <c r="K158" i="15" s="1"/>
  <c r="J158" i="15" a="1"/>
  <c r="J158" i="15" s="1"/>
  <c r="G158" i="15" a="1"/>
  <c r="G158" i="15" s="1"/>
  <c r="I158" i="15" a="1"/>
  <c r="I158" i="15" s="1"/>
  <c r="H158" i="15" a="1"/>
  <c r="H158" i="15" s="1"/>
  <c r="F158" i="15" a="1"/>
  <c r="F158" i="15" s="1"/>
  <c r="E159" i="15"/>
  <c r="E161" i="14"/>
  <c r="E159" i="13"/>
  <c r="O159" i="15" l="1" a="1"/>
  <c r="O159" i="15" s="1"/>
  <c r="N159" i="15" a="1"/>
  <c r="N159" i="15" s="1"/>
  <c r="M159" i="15" a="1"/>
  <c r="M159" i="15" s="1"/>
  <c r="L159" i="15" a="1"/>
  <c r="L159" i="15" s="1"/>
  <c r="K159" i="15" a="1"/>
  <c r="K159" i="15" s="1"/>
  <c r="H159" i="15" a="1"/>
  <c r="H159" i="15" s="1"/>
  <c r="G159" i="15" a="1"/>
  <c r="G159" i="15" s="1"/>
  <c r="R159" i="15" a="1"/>
  <c r="R159" i="15" s="1"/>
  <c r="I159" i="15" a="1"/>
  <c r="I159" i="15" s="1"/>
  <c r="F159" i="15" a="1"/>
  <c r="F159" i="15" s="1"/>
  <c r="S159" i="15" a="1"/>
  <c r="S159" i="15" s="1"/>
  <c r="Q159" i="15" a="1"/>
  <c r="Q159" i="15" s="1"/>
  <c r="P159" i="15" a="1"/>
  <c r="P159" i="15" s="1"/>
  <c r="J159" i="15" a="1"/>
  <c r="J159" i="15" s="1"/>
  <c r="E160" i="15"/>
  <c r="E162" i="14"/>
  <c r="E160" i="13"/>
  <c r="N160" i="15" l="1" a="1"/>
  <c r="N160" i="15" s="1"/>
  <c r="M160" i="15" a="1"/>
  <c r="M160" i="15" s="1"/>
  <c r="K160" i="15" a="1"/>
  <c r="K160" i="15" s="1"/>
  <c r="G160" i="15" a="1"/>
  <c r="G160" i="15" s="1"/>
  <c r="S160" i="15" a="1"/>
  <c r="S160" i="15" s="1"/>
  <c r="F160" i="15" a="1"/>
  <c r="F160" i="15" s="1"/>
  <c r="P160" i="15" a="1"/>
  <c r="P160" i="15" s="1"/>
  <c r="R160" i="15" a="1"/>
  <c r="R160" i="15" s="1"/>
  <c r="Q160" i="15" a="1"/>
  <c r="Q160" i="15" s="1"/>
  <c r="O160" i="15" a="1"/>
  <c r="O160" i="15" s="1"/>
  <c r="L160" i="15" a="1"/>
  <c r="L160" i="15" s="1"/>
  <c r="I160" i="15" a="1"/>
  <c r="I160" i="15" s="1"/>
  <c r="H160" i="15" a="1"/>
  <c r="H160" i="15" s="1"/>
  <c r="J160" i="15" a="1"/>
  <c r="J160" i="15" s="1"/>
  <c r="E161" i="15"/>
  <c r="E163" i="14"/>
  <c r="E161" i="13"/>
  <c r="M161" i="15" l="1" a="1"/>
  <c r="M161" i="15" s="1"/>
  <c r="L161" i="15" a="1"/>
  <c r="L161" i="15" s="1"/>
  <c r="K161" i="15" a="1"/>
  <c r="K161" i="15" s="1"/>
  <c r="I161" i="15" a="1"/>
  <c r="I161" i="15" s="1"/>
  <c r="S161" i="15" a="1"/>
  <c r="S161" i="15" s="1"/>
  <c r="R161" i="15" a="1"/>
  <c r="R161" i="15" s="1"/>
  <c r="O161" i="15" a="1"/>
  <c r="O161" i="15" s="1"/>
  <c r="F161" i="15" a="1"/>
  <c r="F161" i="15" s="1"/>
  <c r="Q161" i="15" a="1"/>
  <c r="Q161" i="15" s="1"/>
  <c r="J161" i="15" a="1"/>
  <c r="J161" i="15" s="1"/>
  <c r="H161" i="15" a="1"/>
  <c r="H161" i="15" s="1"/>
  <c r="P161" i="15" a="1"/>
  <c r="P161" i="15" s="1"/>
  <c r="N161" i="15" a="1"/>
  <c r="N161" i="15" s="1"/>
  <c r="G161" i="15" a="1"/>
  <c r="G161" i="15" s="1"/>
  <c r="E162" i="15"/>
  <c r="E162" i="13"/>
  <c r="E164" i="14"/>
  <c r="L162" i="15" l="1" a="1"/>
  <c r="L162" i="15" s="1"/>
  <c r="K162" i="15" a="1"/>
  <c r="K162" i="15" s="1"/>
  <c r="J162" i="15" a="1"/>
  <c r="J162" i="15" s="1"/>
  <c r="I162" i="15" a="1"/>
  <c r="I162" i="15" s="1"/>
  <c r="H162" i="15" a="1"/>
  <c r="H162" i="15" s="1"/>
  <c r="R162" i="15" a="1"/>
  <c r="R162" i="15" s="1"/>
  <c r="Q162" i="15" a="1"/>
  <c r="Q162" i="15" s="1"/>
  <c r="N162" i="15" a="1"/>
  <c r="N162" i="15" s="1"/>
  <c r="S162" i="15" a="1"/>
  <c r="S162" i="15" s="1"/>
  <c r="P162" i="15" a="1"/>
  <c r="P162" i="15" s="1"/>
  <c r="O162" i="15" a="1"/>
  <c r="O162" i="15" s="1"/>
  <c r="M162" i="15" a="1"/>
  <c r="M162" i="15" s="1"/>
  <c r="F162" i="15" a="1"/>
  <c r="F162" i="15" s="1"/>
  <c r="G162" i="15" a="1"/>
  <c r="G162" i="15" s="1"/>
  <c r="E163" i="15"/>
  <c r="E165" i="14"/>
  <c r="E163" i="13"/>
  <c r="L163" i="15" l="1" a="1"/>
  <c r="L163" i="15" s="1"/>
  <c r="K163" i="15" a="1"/>
  <c r="K163" i="15" s="1"/>
  <c r="J163" i="15" a="1"/>
  <c r="J163" i="15" s="1"/>
  <c r="I163" i="15" a="1"/>
  <c r="I163" i="15" s="1"/>
  <c r="H163" i="15" a="1"/>
  <c r="H163" i="15" s="1"/>
  <c r="G163" i="15" a="1"/>
  <c r="G163" i="15" s="1"/>
  <c r="Q163" i="15" a="1"/>
  <c r="Q163" i="15" s="1"/>
  <c r="F163" i="15" a="1"/>
  <c r="F163" i="15" s="1"/>
  <c r="S163" i="15" a="1"/>
  <c r="S163" i="15" s="1"/>
  <c r="N163" i="15" a="1"/>
  <c r="N163" i="15" s="1"/>
  <c r="M163" i="15" a="1"/>
  <c r="M163" i="15" s="1"/>
  <c r="R163" i="15" a="1"/>
  <c r="R163" i="15" s="1"/>
  <c r="P163" i="15" a="1"/>
  <c r="P163" i="15" s="1"/>
  <c r="O163" i="15" a="1"/>
  <c r="O163" i="15" s="1"/>
  <c r="E164" i="15"/>
  <c r="E166" i="14"/>
  <c r="E164" i="13"/>
  <c r="K164" i="15" l="1" a="1"/>
  <c r="K164" i="15" s="1"/>
  <c r="J164" i="15" a="1"/>
  <c r="J164" i="15" s="1"/>
  <c r="I164" i="15" a="1"/>
  <c r="I164" i="15" s="1"/>
  <c r="H164" i="15" a="1"/>
  <c r="H164" i="15" s="1"/>
  <c r="G164" i="15" a="1"/>
  <c r="G164" i="15" s="1"/>
  <c r="Q164" i="15" a="1"/>
  <c r="Q164" i="15" s="1"/>
  <c r="P164" i="15" a="1"/>
  <c r="P164" i="15" s="1"/>
  <c r="N164" i="15" a="1"/>
  <c r="N164" i="15" s="1"/>
  <c r="S164" i="15" a="1"/>
  <c r="S164" i="15" s="1"/>
  <c r="R164" i="15" a="1"/>
  <c r="R164" i="15" s="1"/>
  <c r="O164" i="15" a="1"/>
  <c r="O164" i="15" s="1"/>
  <c r="L164" i="15" a="1"/>
  <c r="L164" i="15" s="1"/>
  <c r="F164" i="15" a="1"/>
  <c r="F164" i="15" s="1"/>
  <c r="M164" i="15" a="1"/>
  <c r="M164" i="15" s="1"/>
  <c r="E165" i="15"/>
  <c r="E167" i="14"/>
  <c r="E165" i="13"/>
  <c r="J165" i="15" l="1" a="1"/>
  <c r="J165" i="15" s="1"/>
  <c r="I165" i="15" a="1"/>
  <c r="I165" i="15" s="1"/>
  <c r="H165" i="15" a="1"/>
  <c r="H165" i="15" s="1"/>
  <c r="S165" i="15" a="1"/>
  <c r="S165" i="15" s="1"/>
  <c r="G165" i="15" a="1"/>
  <c r="G165" i="15" s="1"/>
  <c r="R165" i="15" a="1"/>
  <c r="R165" i="15" s="1"/>
  <c r="F165" i="15" a="1"/>
  <c r="F165" i="15" s="1"/>
  <c r="Q165" i="15" a="1"/>
  <c r="Q165" i="15" s="1"/>
  <c r="O165" i="15" a="1"/>
  <c r="O165" i="15" s="1"/>
  <c r="N165" i="15" a="1"/>
  <c r="N165" i="15" s="1"/>
  <c r="L165" i="15" a="1"/>
  <c r="L165" i="15" s="1"/>
  <c r="M165" i="15" a="1"/>
  <c r="M165" i="15" s="1"/>
  <c r="K165" i="15" a="1"/>
  <c r="K165" i="15" s="1"/>
  <c r="P165" i="15" a="1"/>
  <c r="P165" i="15" s="1"/>
  <c r="E166" i="15"/>
  <c r="E166" i="13"/>
  <c r="E168" i="14"/>
  <c r="H166" i="15" l="1" a="1"/>
  <c r="H166" i="15" s="1"/>
  <c r="S166" i="15" a="1"/>
  <c r="S166" i="15" s="1"/>
  <c r="G166" i="15" a="1"/>
  <c r="G166" i="15" s="1"/>
  <c r="R166" i="15" a="1"/>
  <c r="R166" i="15" s="1"/>
  <c r="F166" i="15" a="1"/>
  <c r="F166" i="15" s="1"/>
  <c r="Q166" i="15" a="1"/>
  <c r="Q166" i="15" s="1"/>
  <c r="O166" i="15" a="1"/>
  <c r="O166" i="15" s="1"/>
  <c r="M166" i="15" a="1"/>
  <c r="M166" i="15" s="1"/>
  <c r="L166" i="15" a="1"/>
  <c r="L166" i="15" s="1"/>
  <c r="J166" i="15" a="1"/>
  <c r="J166" i="15" s="1"/>
  <c r="P166" i="15" a="1"/>
  <c r="P166" i="15" s="1"/>
  <c r="K166" i="15" a="1"/>
  <c r="K166" i="15" s="1"/>
  <c r="I166" i="15" a="1"/>
  <c r="I166" i="15" s="1"/>
  <c r="N166" i="15" a="1"/>
  <c r="N166" i="15" s="1"/>
  <c r="E167" i="15"/>
  <c r="E167" i="13"/>
  <c r="E169" i="14"/>
  <c r="G167" i="15" l="1" a="1"/>
  <c r="G167" i="15" s="1"/>
  <c r="S167" i="15" a="1"/>
  <c r="S167" i="15" s="1"/>
  <c r="F167" i="15" a="1"/>
  <c r="F167" i="15" s="1"/>
  <c r="R167" i="15" a="1"/>
  <c r="R167" i="15" s="1"/>
  <c r="Q167" i="15" a="1"/>
  <c r="Q167" i="15" s="1"/>
  <c r="P167" i="15" a="1"/>
  <c r="P167" i="15" s="1"/>
  <c r="N167" i="15" a="1"/>
  <c r="N167" i="15" s="1"/>
  <c r="L167" i="15" a="1"/>
  <c r="L167" i="15" s="1"/>
  <c r="M167" i="15" a="1"/>
  <c r="M167" i="15" s="1"/>
  <c r="K167" i="15" a="1"/>
  <c r="K167" i="15" s="1"/>
  <c r="J167" i="15" a="1"/>
  <c r="J167" i="15" s="1"/>
  <c r="I167" i="15" a="1"/>
  <c r="I167" i="15" s="1"/>
  <c r="H167" i="15" a="1"/>
  <c r="H167" i="15" s="1"/>
  <c r="O167" i="15" a="1"/>
  <c r="O167" i="15" s="1"/>
  <c r="E168" i="15"/>
  <c r="E168" i="13"/>
  <c r="E170" i="14"/>
  <c r="F168" i="15" l="1" a="1"/>
  <c r="F168" i="15" s="1"/>
  <c r="R168" i="15" a="1"/>
  <c r="R168" i="15" s="1"/>
  <c r="Q168" i="15" a="1"/>
  <c r="Q168" i="15" s="1"/>
  <c r="P168" i="15" a="1"/>
  <c r="P168" i="15" s="1"/>
  <c r="O168" i="15" a="1"/>
  <c r="O168" i="15" s="1"/>
  <c r="N168" i="15" a="1"/>
  <c r="N168" i="15" s="1"/>
  <c r="K168" i="15" a="1"/>
  <c r="K168" i="15" s="1"/>
  <c r="H168" i="15" a="1"/>
  <c r="H168" i="15" s="1"/>
  <c r="S168" i="15" a="1"/>
  <c r="S168" i="15" s="1"/>
  <c r="M168" i="15" a="1"/>
  <c r="M168" i="15" s="1"/>
  <c r="G168" i="15" a="1"/>
  <c r="G168" i="15" s="1"/>
  <c r="J168" i="15" a="1"/>
  <c r="J168" i="15" s="1"/>
  <c r="L168" i="15" a="1"/>
  <c r="L168" i="15" s="1"/>
  <c r="I168" i="15" a="1"/>
  <c r="I168" i="15" s="1"/>
  <c r="E169" i="15"/>
  <c r="E169" i="13"/>
  <c r="E171" i="14"/>
  <c r="P169" i="15" l="1" a="1"/>
  <c r="P169" i="15" s="1"/>
  <c r="O169" i="15" a="1"/>
  <c r="O169" i="15" s="1"/>
  <c r="N169" i="15" a="1"/>
  <c r="N169" i="15" s="1"/>
  <c r="M169" i="15" a="1"/>
  <c r="M169" i="15" s="1"/>
  <c r="K169" i="15" a="1"/>
  <c r="K169" i="15" s="1"/>
  <c r="I169" i="15" a="1"/>
  <c r="I169" i="15" s="1"/>
  <c r="H169" i="15" a="1"/>
  <c r="H169" i="15" s="1"/>
  <c r="S169" i="15" a="1"/>
  <c r="S169" i="15" s="1"/>
  <c r="R169" i="15" a="1"/>
  <c r="R169" i="15" s="1"/>
  <c r="Q169" i="15" a="1"/>
  <c r="Q169" i="15" s="1"/>
  <c r="L169" i="15" a="1"/>
  <c r="L169" i="15" s="1"/>
  <c r="J169" i="15" a="1"/>
  <c r="J169" i="15" s="1"/>
  <c r="F169" i="15" a="1"/>
  <c r="F169" i="15" s="1"/>
  <c r="G169" i="15" a="1"/>
  <c r="G169" i="15" s="1"/>
  <c r="E170" i="15"/>
  <c r="E172" i="14"/>
  <c r="E170" i="13"/>
  <c r="O170" i="15" l="1" a="1"/>
  <c r="O170" i="15" s="1"/>
  <c r="N170" i="15" a="1"/>
  <c r="N170" i="15" s="1"/>
  <c r="M170" i="15" a="1"/>
  <c r="M170" i="15" s="1"/>
  <c r="L170" i="15" a="1"/>
  <c r="L170" i="15" s="1"/>
  <c r="K170" i="15" a="1"/>
  <c r="K170" i="15" s="1"/>
  <c r="I170" i="15" a="1"/>
  <c r="I170" i="15" s="1"/>
  <c r="H170" i="15" a="1"/>
  <c r="H170" i="15" s="1"/>
  <c r="G170" i="15" a="1"/>
  <c r="G170" i="15" s="1"/>
  <c r="R170" i="15" a="1"/>
  <c r="R170" i="15" s="1"/>
  <c r="S170" i="15" a="1"/>
  <c r="S170" i="15" s="1"/>
  <c r="J170" i="15" a="1"/>
  <c r="J170" i="15" s="1"/>
  <c r="Q170" i="15" a="1"/>
  <c r="Q170" i="15" s="1"/>
  <c r="P170" i="15" a="1"/>
  <c r="P170" i="15" s="1"/>
  <c r="F170" i="15" a="1"/>
  <c r="F170" i="15" s="1"/>
  <c r="E171" i="15"/>
  <c r="E171" i="13"/>
  <c r="E173" i="14"/>
  <c r="L171" i="15" l="1" a="1"/>
  <c r="L171" i="15" s="1"/>
  <c r="K171" i="15" a="1"/>
  <c r="K171" i="15" s="1"/>
  <c r="J171" i="15" a="1"/>
  <c r="J171" i="15" s="1"/>
  <c r="I171" i="15" a="1"/>
  <c r="I171" i="15" s="1"/>
  <c r="H171" i="15" a="1"/>
  <c r="H171" i="15" s="1"/>
  <c r="G171" i="15" a="1"/>
  <c r="G171" i="15" s="1"/>
  <c r="S171" i="15" a="1"/>
  <c r="S171" i="15" s="1"/>
  <c r="F171" i="15" a="1"/>
  <c r="F171" i="15" s="1"/>
  <c r="R171" i="15" a="1"/>
  <c r="R171" i="15" s="1"/>
  <c r="O171" i="15" a="1"/>
  <c r="O171" i="15" s="1"/>
  <c r="Q171" i="15" a="1"/>
  <c r="Q171" i="15" s="1"/>
  <c r="P171" i="15" a="1"/>
  <c r="P171" i="15" s="1"/>
  <c r="N171" i="15" a="1"/>
  <c r="N171" i="15" s="1"/>
  <c r="M171" i="15" a="1"/>
  <c r="M171" i="15" s="1"/>
  <c r="E172" i="15"/>
  <c r="E172" i="13"/>
  <c r="E174" i="14"/>
  <c r="L172" i="15" l="1" a="1"/>
  <c r="L172" i="15" s="1"/>
  <c r="K172" i="15" a="1"/>
  <c r="K172" i="15" s="1"/>
  <c r="J172" i="15" a="1"/>
  <c r="J172" i="15" s="1"/>
  <c r="I172" i="15" a="1"/>
  <c r="I172" i="15" s="1"/>
  <c r="S172" i="15" a="1"/>
  <c r="S172" i="15" s="1"/>
  <c r="H172" i="15" a="1"/>
  <c r="H172" i="15" s="1"/>
  <c r="R172" i="15" a="1"/>
  <c r="R172" i="15" s="1"/>
  <c r="Q172" i="15" a="1"/>
  <c r="Q172" i="15" s="1"/>
  <c r="P172" i="15" a="1"/>
  <c r="P172" i="15" s="1"/>
  <c r="N172" i="15" a="1"/>
  <c r="N172" i="15" s="1"/>
  <c r="G172" i="15" a="1"/>
  <c r="G172" i="15" s="1"/>
  <c r="F172" i="15" a="1"/>
  <c r="F172" i="15" s="1"/>
  <c r="O172" i="15" a="1"/>
  <c r="O172" i="15" s="1"/>
  <c r="M172" i="15" a="1"/>
  <c r="M172" i="15" s="1"/>
  <c r="E173" i="15"/>
  <c r="E173" i="13"/>
  <c r="E175" i="14"/>
  <c r="I173" i="15" l="1" a="1"/>
  <c r="I173" i="15" s="1"/>
  <c r="H173" i="15" a="1"/>
  <c r="H173" i="15" s="1"/>
  <c r="G173" i="15" a="1"/>
  <c r="G173" i="15" s="1"/>
  <c r="S173" i="15" a="1"/>
  <c r="S173" i="15" s="1"/>
  <c r="F173" i="15" a="1"/>
  <c r="F173" i="15" s="1"/>
  <c r="Q173" i="15" a="1"/>
  <c r="Q173" i="15" s="1"/>
  <c r="O173" i="15" a="1"/>
  <c r="O173" i="15" s="1"/>
  <c r="N173" i="15" a="1"/>
  <c r="N173" i="15" s="1"/>
  <c r="L173" i="15" a="1"/>
  <c r="L173" i="15" s="1"/>
  <c r="R173" i="15" a="1"/>
  <c r="R173" i="15" s="1"/>
  <c r="P173" i="15" a="1"/>
  <c r="P173" i="15" s="1"/>
  <c r="M173" i="15" a="1"/>
  <c r="M173" i="15" s="1"/>
  <c r="K173" i="15" a="1"/>
  <c r="K173" i="15" s="1"/>
  <c r="J173" i="15" a="1"/>
  <c r="J173" i="15" s="1"/>
  <c r="E174" i="15"/>
  <c r="E176" i="14"/>
  <c r="E174" i="13"/>
  <c r="S174" i="15" l="1" a="1"/>
  <c r="S174" i="15" s="1"/>
  <c r="G174" i="15" a="1"/>
  <c r="G174" i="15" s="1"/>
  <c r="R174" i="15" a="1"/>
  <c r="R174" i="15" s="1"/>
  <c r="F174" i="15" a="1"/>
  <c r="F174" i="15" s="1"/>
  <c r="Q174" i="15" a="1"/>
  <c r="Q174" i="15" s="1"/>
  <c r="P174" i="15" a="1"/>
  <c r="P174" i="15" s="1"/>
  <c r="N174" i="15" a="1"/>
  <c r="N174" i="15" s="1"/>
  <c r="M174" i="15" a="1"/>
  <c r="M174" i="15" s="1"/>
  <c r="L174" i="15" a="1"/>
  <c r="L174" i="15" s="1"/>
  <c r="K174" i="15" a="1"/>
  <c r="K174" i="15" s="1"/>
  <c r="J174" i="15" a="1"/>
  <c r="J174" i="15" s="1"/>
  <c r="I174" i="15" a="1"/>
  <c r="I174" i="15" s="1"/>
  <c r="H174" i="15" a="1"/>
  <c r="H174" i="15" s="1"/>
  <c r="O174" i="15" a="1"/>
  <c r="O174" i="15" s="1"/>
  <c r="E175" i="15"/>
  <c r="E177" i="14"/>
  <c r="E175" i="13"/>
  <c r="P175" i="15" l="1" a="1"/>
  <c r="P175" i="15" s="1"/>
  <c r="O175" i="15" a="1"/>
  <c r="O175" i="15" s="1"/>
  <c r="N175" i="15" a="1"/>
  <c r="N175" i="15" s="1"/>
  <c r="L175" i="15" a="1"/>
  <c r="L175" i="15" s="1"/>
  <c r="J175" i="15" a="1"/>
  <c r="J175" i="15" s="1"/>
  <c r="S175" i="15" a="1"/>
  <c r="S175" i="15" s="1"/>
  <c r="R175" i="15" a="1"/>
  <c r="R175" i="15" s="1"/>
  <c r="Q175" i="15" a="1"/>
  <c r="Q175" i="15" s="1"/>
  <c r="M175" i="15" a="1"/>
  <c r="M175" i="15" s="1"/>
  <c r="H175" i="15" a="1"/>
  <c r="H175" i="15" s="1"/>
  <c r="G175" i="15" a="1"/>
  <c r="G175" i="15" s="1"/>
  <c r="F175" i="15" a="1"/>
  <c r="F175" i="15" s="1"/>
  <c r="K175" i="15" a="1"/>
  <c r="K175" i="15" s="1"/>
  <c r="I175" i="15" a="1"/>
  <c r="I175" i="15" s="1"/>
  <c r="E176" i="15"/>
  <c r="E178" i="14"/>
  <c r="E176" i="13"/>
  <c r="O176" i="15" l="1" a="1"/>
  <c r="O176" i="15" s="1"/>
  <c r="N176" i="15" a="1"/>
  <c r="N176" i="15" s="1"/>
  <c r="M176" i="15" a="1"/>
  <c r="M176" i="15" s="1"/>
  <c r="L176" i="15" a="1"/>
  <c r="L176" i="15" s="1"/>
  <c r="K176" i="15" a="1"/>
  <c r="K176" i="15" s="1"/>
  <c r="J176" i="15" a="1"/>
  <c r="J176" i="15" s="1"/>
  <c r="G176" i="15" a="1"/>
  <c r="G176" i="15" s="1"/>
  <c r="R176" i="15" a="1"/>
  <c r="R176" i="15" s="1"/>
  <c r="Q176" i="15" a="1"/>
  <c r="Q176" i="15" s="1"/>
  <c r="P176" i="15" a="1"/>
  <c r="P176" i="15" s="1"/>
  <c r="I176" i="15" a="1"/>
  <c r="I176" i="15" s="1"/>
  <c r="H176" i="15" a="1"/>
  <c r="H176" i="15" s="1"/>
  <c r="F176" i="15" a="1"/>
  <c r="F176" i="15" s="1"/>
  <c r="S176" i="15" a="1"/>
  <c r="S176" i="15" s="1"/>
  <c r="E177" i="15"/>
  <c r="E179" i="14"/>
  <c r="E177" i="13"/>
  <c r="N177" i="15" l="1" a="1"/>
  <c r="N177" i="15" s="1"/>
  <c r="M177" i="15" a="1"/>
  <c r="M177" i="15" s="1"/>
  <c r="L177" i="15" a="1"/>
  <c r="L177" i="15" s="1"/>
  <c r="K177" i="15" a="1"/>
  <c r="K177" i="15" s="1"/>
  <c r="J177" i="15" a="1"/>
  <c r="J177" i="15" s="1"/>
  <c r="H177" i="15" a="1"/>
  <c r="H177" i="15" s="1"/>
  <c r="F177" i="15" a="1"/>
  <c r="F177" i="15" s="1"/>
  <c r="Q177" i="15" a="1"/>
  <c r="Q177" i="15" s="1"/>
  <c r="S177" i="15" a="1"/>
  <c r="S177" i="15" s="1"/>
  <c r="O177" i="15" a="1"/>
  <c r="O177" i="15" s="1"/>
  <c r="I177" i="15" a="1"/>
  <c r="I177" i="15" s="1"/>
  <c r="G177" i="15" a="1"/>
  <c r="G177" i="15" s="1"/>
  <c r="R177" i="15" a="1"/>
  <c r="R177" i="15" s="1"/>
  <c r="P177" i="15" a="1"/>
  <c r="P177" i="15" s="1"/>
  <c r="E178" i="15"/>
  <c r="E180" i="14"/>
  <c r="E178" i="13"/>
  <c r="L178" i="15" l="1" a="1"/>
  <c r="L178" i="15" s="1"/>
  <c r="K178" i="15" a="1"/>
  <c r="K178" i="15" s="1"/>
  <c r="J178" i="15" a="1"/>
  <c r="J178" i="15" s="1"/>
  <c r="I178" i="15" a="1"/>
  <c r="I178" i="15" s="1"/>
  <c r="S178" i="15" a="1"/>
  <c r="S178" i="15" s="1"/>
  <c r="H178" i="15" a="1"/>
  <c r="H178" i="15" s="1"/>
  <c r="Q178" i="15" a="1"/>
  <c r="Q178" i="15" s="1"/>
  <c r="F178" i="15" a="1"/>
  <c r="F178" i="15" s="1"/>
  <c r="O178" i="15" a="1"/>
  <c r="O178" i="15" s="1"/>
  <c r="R178" i="15" a="1"/>
  <c r="R178" i="15" s="1"/>
  <c r="P178" i="15" a="1"/>
  <c r="P178" i="15" s="1"/>
  <c r="N178" i="15" a="1"/>
  <c r="N178" i="15" s="1"/>
  <c r="M178" i="15" a="1"/>
  <c r="M178" i="15" s="1"/>
  <c r="G178" i="15" a="1"/>
  <c r="G178" i="15" s="1"/>
  <c r="E179" i="15"/>
  <c r="E179" i="13"/>
  <c r="E181" i="14"/>
  <c r="K179" i="15" l="1" a="1"/>
  <c r="K179" i="15" s="1"/>
  <c r="J179" i="15" a="1"/>
  <c r="J179" i="15" s="1"/>
  <c r="I179" i="15" a="1"/>
  <c r="I179" i="15" s="1"/>
  <c r="H179" i="15" a="1"/>
  <c r="H179" i="15" s="1"/>
  <c r="S179" i="15" a="1"/>
  <c r="S179" i="15" s="1"/>
  <c r="G179" i="15" a="1"/>
  <c r="G179" i="15" s="1"/>
  <c r="R179" i="15" a="1"/>
  <c r="R179" i="15" s="1"/>
  <c r="P179" i="15" a="1"/>
  <c r="P179" i="15" s="1"/>
  <c r="N179" i="15" a="1"/>
  <c r="N179" i="15" s="1"/>
  <c r="L179" i="15" a="1"/>
  <c r="L179" i="15" s="1"/>
  <c r="F179" i="15" a="1"/>
  <c r="F179" i="15" s="1"/>
  <c r="Q179" i="15" a="1"/>
  <c r="Q179" i="15" s="1"/>
  <c r="O179" i="15" a="1"/>
  <c r="O179" i="15" s="1"/>
  <c r="M179" i="15" a="1"/>
  <c r="M179" i="15" s="1"/>
  <c r="E180" i="15"/>
  <c r="E180" i="13"/>
  <c r="E182" i="14"/>
  <c r="J180" i="15" l="1" a="1"/>
  <c r="J180" i="15" s="1"/>
  <c r="I180" i="15" a="1"/>
  <c r="I180" i="15" s="1"/>
  <c r="S180" i="15" a="1"/>
  <c r="S180" i="15" s="1"/>
  <c r="H180" i="15" a="1"/>
  <c r="H180" i="15" s="1"/>
  <c r="G180" i="15" a="1"/>
  <c r="G180" i="15" s="1"/>
  <c r="R180" i="15" a="1"/>
  <c r="R180" i="15" s="1"/>
  <c r="F180" i="15" a="1"/>
  <c r="F180" i="15" s="1"/>
  <c r="Q180" i="15" a="1"/>
  <c r="Q180" i="15" s="1"/>
  <c r="N180" i="15" a="1"/>
  <c r="N180" i="15" s="1"/>
  <c r="L180" i="15" a="1"/>
  <c r="L180" i="15" s="1"/>
  <c r="P180" i="15" a="1"/>
  <c r="P180" i="15" s="1"/>
  <c r="O180" i="15" a="1"/>
  <c r="O180" i="15" s="1"/>
  <c r="M180" i="15" a="1"/>
  <c r="M180" i="15" s="1"/>
  <c r="K180" i="15" a="1"/>
  <c r="K180" i="15" s="1"/>
  <c r="E181" i="15"/>
  <c r="E181" i="13"/>
  <c r="E183" i="14"/>
  <c r="S181" i="15" l="1" a="1"/>
  <c r="S181" i="15" s="1"/>
  <c r="F181" i="15" a="1"/>
  <c r="F181" i="15" s="1"/>
  <c r="R181" i="15" a="1"/>
  <c r="R181" i="15" s="1"/>
  <c r="Q181" i="15" a="1"/>
  <c r="Q181" i="15" s="1"/>
  <c r="P181" i="15" a="1"/>
  <c r="P181" i="15" s="1"/>
  <c r="O181" i="15" a="1"/>
  <c r="O181" i="15" s="1"/>
  <c r="N181" i="15" a="1"/>
  <c r="N181" i="15" s="1"/>
  <c r="L181" i="15" a="1"/>
  <c r="L181" i="15" s="1"/>
  <c r="K181" i="15" a="1"/>
  <c r="K181" i="15" s="1"/>
  <c r="I181" i="15" a="1"/>
  <c r="I181" i="15" s="1"/>
  <c r="M181" i="15" a="1"/>
  <c r="M181" i="15" s="1"/>
  <c r="J181" i="15" a="1"/>
  <c r="J181" i="15" s="1"/>
  <c r="H181" i="15" a="1"/>
  <c r="H181" i="15" s="1"/>
  <c r="G181" i="15" a="1"/>
  <c r="G181" i="15" s="1"/>
  <c r="E182" i="15"/>
  <c r="E182" i="13"/>
  <c r="E184" i="14"/>
  <c r="N182" i="15" l="1" a="1"/>
  <c r="N182" i="15" s="1"/>
  <c r="L182" i="15" a="1"/>
  <c r="L182" i="15" s="1"/>
  <c r="S182" i="15" a="1"/>
  <c r="S182" i="15" s="1"/>
  <c r="F182" i="15" a="1"/>
  <c r="F182" i="15" s="1"/>
  <c r="R182" i="15" a="1"/>
  <c r="R182" i="15" s="1"/>
  <c r="Q182" i="15" a="1"/>
  <c r="Q182" i="15" s="1"/>
  <c r="P182" i="15" a="1"/>
  <c r="P182" i="15" s="1"/>
  <c r="O182" i="15" a="1"/>
  <c r="O182" i="15" s="1"/>
  <c r="M182" i="15" a="1"/>
  <c r="M182" i="15" s="1"/>
  <c r="K182" i="15" a="1"/>
  <c r="K182" i="15" s="1"/>
  <c r="J182" i="15" a="1"/>
  <c r="J182" i="15" s="1"/>
  <c r="H182" i="15" a="1"/>
  <c r="H182" i="15" s="1"/>
  <c r="I182" i="15" a="1"/>
  <c r="I182" i="15" s="1"/>
  <c r="G182" i="15" a="1"/>
  <c r="G182" i="15" s="1"/>
  <c r="E183" i="15"/>
  <c r="E185" i="14"/>
  <c r="E183" i="13"/>
  <c r="M183" i="15" l="1" a="1"/>
  <c r="M183" i="15" s="1"/>
  <c r="K183" i="15" a="1"/>
  <c r="K183" i="15" s="1"/>
  <c r="S183" i="15" a="1"/>
  <c r="S183" i="15" s="1"/>
  <c r="R183" i="15" a="1"/>
  <c r="R183" i="15" s="1"/>
  <c r="Q183" i="15" a="1"/>
  <c r="Q183" i="15" s="1"/>
  <c r="P183" i="15" a="1"/>
  <c r="P183" i="15" s="1"/>
  <c r="O183" i="15" a="1"/>
  <c r="O183" i="15" s="1"/>
  <c r="L183" i="15" a="1"/>
  <c r="L183" i="15" s="1"/>
  <c r="H183" i="15" a="1"/>
  <c r="H183" i="15" s="1"/>
  <c r="N183" i="15" a="1"/>
  <c r="N183" i="15" s="1"/>
  <c r="J183" i="15" a="1"/>
  <c r="J183" i="15" s="1"/>
  <c r="I183" i="15" a="1"/>
  <c r="I183" i="15" s="1"/>
  <c r="G183" i="15" a="1"/>
  <c r="G183" i="15" s="1"/>
  <c r="F183" i="15" a="1"/>
  <c r="F183" i="15" s="1"/>
  <c r="E184" i="15"/>
  <c r="E186" i="14"/>
  <c r="E184" i="13"/>
  <c r="J184" i="15" l="1" a="1"/>
  <c r="J184" i="15" s="1"/>
  <c r="I184" i="15" a="1"/>
  <c r="I184" i="15" s="1"/>
  <c r="S184" i="15" a="1"/>
  <c r="S184" i="15" s="1"/>
  <c r="H184" i="15" a="1"/>
  <c r="H184" i="15" s="1"/>
  <c r="F184" i="15" a="1"/>
  <c r="F184" i="15" s="1"/>
  <c r="R184" i="15" a="1"/>
  <c r="R184" i="15" s="1"/>
  <c r="Q184" i="15" a="1"/>
  <c r="Q184" i="15" s="1"/>
  <c r="P184" i="15" a="1"/>
  <c r="P184" i="15" s="1"/>
  <c r="O184" i="15" a="1"/>
  <c r="O184" i="15" s="1"/>
  <c r="N184" i="15" a="1"/>
  <c r="N184" i="15" s="1"/>
  <c r="M184" i="15" a="1"/>
  <c r="M184" i="15" s="1"/>
  <c r="K184" i="15" a="1"/>
  <c r="K184" i="15" s="1"/>
  <c r="L184" i="15" a="1"/>
  <c r="L184" i="15" s="1"/>
  <c r="G184" i="15" a="1"/>
  <c r="G184" i="15" s="1"/>
  <c r="E185" i="15"/>
  <c r="E187" i="14"/>
  <c r="E185" i="13"/>
  <c r="G185" i="15" l="1" a="1"/>
  <c r="G185" i="15" s="1"/>
  <c r="Q185" i="15" a="1"/>
  <c r="Q185" i="15" s="1"/>
  <c r="F185" i="15" a="1"/>
  <c r="F185" i="15" s="1"/>
  <c r="P185" i="15" a="1"/>
  <c r="P185" i="15" s="1"/>
  <c r="O185" i="15" a="1"/>
  <c r="O185" i="15" s="1"/>
  <c r="H185" i="15" a="1"/>
  <c r="H185" i="15" s="1"/>
  <c r="S185" i="15" a="1"/>
  <c r="S185" i="15" s="1"/>
  <c r="R185" i="15" a="1"/>
  <c r="R185" i="15" s="1"/>
  <c r="N185" i="15" a="1"/>
  <c r="N185" i="15" s="1"/>
  <c r="M185" i="15" a="1"/>
  <c r="M185" i="15" s="1"/>
  <c r="L185" i="15" a="1"/>
  <c r="L185" i="15" s="1"/>
  <c r="J185" i="15" a="1"/>
  <c r="J185" i="15" s="1"/>
  <c r="K185" i="15" a="1"/>
  <c r="K185" i="15" s="1"/>
  <c r="I185" i="15" a="1"/>
  <c r="I185" i="15" s="1"/>
  <c r="E186" i="15"/>
  <c r="E188" i="14"/>
  <c r="E186" i="13"/>
  <c r="P186" i="15" l="1" a="1"/>
  <c r="P186" i="15" s="1"/>
  <c r="O186" i="15" a="1"/>
  <c r="O186" i="15" s="1"/>
  <c r="N186" i="15" a="1"/>
  <c r="N186" i="15" s="1"/>
  <c r="M186" i="15" a="1"/>
  <c r="M186" i="15" s="1"/>
  <c r="H186" i="15" a="1"/>
  <c r="H186" i="15" s="1"/>
  <c r="G186" i="15" a="1"/>
  <c r="G186" i="15" s="1"/>
  <c r="F186" i="15" a="1"/>
  <c r="F186" i="15" s="1"/>
  <c r="S186" i="15" a="1"/>
  <c r="S186" i="15" s="1"/>
  <c r="R186" i="15" a="1"/>
  <c r="R186" i="15" s="1"/>
  <c r="L186" i="15" a="1"/>
  <c r="L186" i="15" s="1"/>
  <c r="J186" i="15" a="1"/>
  <c r="J186" i="15" s="1"/>
  <c r="Q186" i="15" a="1"/>
  <c r="Q186" i="15" s="1"/>
  <c r="K186" i="15" a="1"/>
  <c r="K186" i="15" s="1"/>
  <c r="I186" i="15" a="1"/>
  <c r="I186" i="15" s="1"/>
  <c r="E187" i="15"/>
  <c r="E189" i="14"/>
  <c r="E187" i="13"/>
  <c r="N187" i="15" l="1" a="1"/>
  <c r="N187" i="15" s="1"/>
  <c r="M187" i="15" a="1"/>
  <c r="M187" i="15" s="1"/>
  <c r="L187" i="15" a="1"/>
  <c r="L187" i="15" s="1"/>
  <c r="J187" i="15" a="1"/>
  <c r="J187" i="15" s="1"/>
  <c r="I187" i="15" a="1"/>
  <c r="I187" i="15" s="1"/>
  <c r="H187" i="15" a="1"/>
  <c r="H187" i="15" s="1"/>
  <c r="G187" i="15" a="1"/>
  <c r="G187" i="15" s="1"/>
  <c r="F187" i="15" a="1"/>
  <c r="F187" i="15" s="1"/>
  <c r="R187" i="15" a="1"/>
  <c r="R187" i="15" s="1"/>
  <c r="P187" i="15" a="1"/>
  <c r="P187" i="15" s="1"/>
  <c r="O187" i="15" a="1"/>
  <c r="O187" i="15" s="1"/>
  <c r="S187" i="15" a="1"/>
  <c r="S187" i="15" s="1"/>
  <c r="Q187" i="15" a="1"/>
  <c r="Q187" i="15" s="1"/>
  <c r="K187" i="15" a="1"/>
  <c r="K187" i="15" s="1"/>
  <c r="E188" i="15"/>
  <c r="E190" i="14"/>
  <c r="E188" i="13"/>
  <c r="M188" i="15" l="1" a="1"/>
  <c r="M188" i="15" s="1"/>
  <c r="L188" i="15" a="1"/>
  <c r="L188" i="15" s="1"/>
  <c r="O188" i="15" a="1"/>
  <c r="O188" i="15" s="1"/>
  <c r="N188" i="15" a="1"/>
  <c r="N188" i="15" s="1"/>
  <c r="K188" i="15" a="1"/>
  <c r="K188" i="15" s="1"/>
  <c r="J188" i="15" a="1"/>
  <c r="J188" i="15" s="1"/>
  <c r="I188" i="15" a="1"/>
  <c r="I188" i="15" s="1"/>
  <c r="H188" i="15" a="1"/>
  <c r="H188" i="15" s="1"/>
  <c r="G188" i="15" a="1"/>
  <c r="G188" i="15" s="1"/>
  <c r="F188" i="15" a="1"/>
  <c r="F188" i="15" s="1"/>
  <c r="R188" i="15" a="1"/>
  <c r="R188" i="15" s="1"/>
  <c r="Q188" i="15" a="1"/>
  <c r="Q188" i="15" s="1"/>
  <c r="S188" i="15" a="1"/>
  <c r="S188" i="15" s="1"/>
  <c r="P188" i="15" a="1"/>
  <c r="P188" i="15" s="1"/>
  <c r="E189" i="15"/>
  <c r="E191" i="14"/>
  <c r="E189" i="13"/>
  <c r="J189" i="15" l="1" a="1"/>
  <c r="J189" i="15" s="1"/>
  <c r="S189" i="15" a="1"/>
  <c r="S189" i="15" s="1"/>
  <c r="I189" i="15" a="1"/>
  <c r="I189" i="15" s="1"/>
  <c r="R189" i="15" a="1"/>
  <c r="R189" i="15" s="1"/>
  <c r="N189" i="15" a="1"/>
  <c r="N189" i="15" s="1"/>
  <c r="M189" i="15" a="1"/>
  <c r="M189" i="15" s="1"/>
  <c r="L189" i="15" a="1"/>
  <c r="L189" i="15" s="1"/>
  <c r="K189" i="15" a="1"/>
  <c r="K189" i="15" s="1"/>
  <c r="H189" i="15" a="1"/>
  <c r="H189" i="15" s="1"/>
  <c r="F189" i="15" a="1"/>
  <c r="F189" i="15" s="1"/>
  <c r="Q189" i="15" a="1"/>
  <c r="Q189" i="15" s="1"/>
  <c r="P189" i="15" a="1"/>
  <c r="P189" i="15" s="1"/>
  <c r="O189" i="15" a="1"/>
  <c r="O189" i="15" s="1"/>
  <c r="G189" i="15" a="1"/>
  <c r="G189" i="15" s="1"/>
  <c r="E190" i="15"/>
  <c r="E192" i="14"/>
  <c r="E190" i="13"/>
  <c r="G190" i="15" l="1" a="1"/>
  <c r="G190" i="15" s="1"/>
  <c r="S190" i="15" a="1"/>
  <c r="S190" i="15" s="1"/>
  <c r="F190" i="15" a="1"/>
  <c r="F190" i="15" s="1"/>
  <c r="R190" i="15" a="1"/>
  <c r="R190" i="15" s="1"/>
  <c r="Q190" i="15" a="1"/>
  <c r="Q190" i="15" s="1"/>
  <c r="P190" i="15" a="1"/>
  <c r="P190" i="15" s="1"/>
  <c r="O190" i="15" a="1"/>
  <c r="O190" i="15" s="1"/>
  <c r="N190" i="15" a="1"/>
  <c r="N190" i="15" s="1"/>
  <c r="M190" i="15" a="1"/>
  <c r="M190" i="15" s="1"/>
  <c r="L190" i="15" a="1"/>
  <c r="L190" i="15" s="1"/>
  <c r="K190" i="15" a="1"/>
  <c r="K190" i="15" s="1"/>
  <c r="J190" i="15" a="1"/>
  <c r="J190" i="15" s="1"/>
  <c r="I190" i="15" a="1"/>
  <c r="I190" i="15" s="1"/>
  <c r="H190" i="15" a="1"/>
  <c r="H190" i="15" s="1"/>
  <c r="E191" i="15"/>
  <c r="E191" i="13"/>
  <c r="E193" i="14"/>
  <c r="P191" i="15" l="1" a="1"/>
  <c r="P191" i="15" s="1"/>
  <c r="F191" i="15" a="1"/>
  <c r="F191" i="15" s="1"/>
  <c r="O191" i="15" a="1"/>
  <c r="O191" i="15" s="1"/>
  <c r="N191" i="15" a="1"/>
  <c r="N191" i="15" s="1"/>
  <c r="M191" i="15" a="1"/>
  <c r="M191" i="15" s="1"/>
  <c r="S191" i="15" a="1"/>
  <c r="S191" i="15" s="1"/>
  <c r="R191" i="15" a="1"/>
  <c r="R191" i="15" s="1"/>
  <c r="Q191" i="15" a="1"/>
  <c r="Q191" i="15" s="1"/>
  <c r="L191" i="15" a="1"/>
  <c r="L191" i="15" s="1"/>
  <c r="J191" i="15" a="1"/>
  <c r="J191" i="15" s="1"/>
  <c r="H191" i="15" a="1"/>
  <c r="H191" i="15" s="1"/>
  <c r="K191" i="15" a="1"/>
  <c r="K191" i="15" s="1"/>
  <c r="I191" i="15" a="1"/>
  <c r="I191" i="15" s="1"/>
  <c r="G191" i="15" a="1"/>
  <c r="G191" i="15" s="1"/>
  <c r="E192" i="15"/>
  <c r="E192" i="13"/>
  <c r="E194" i="14"/>
  <c r="L192" i="15" l="1" a="1"/>
  <c r="L192" i="15" s="1"/>
  <c r="K192" i="15" a="1"/>
  <c r="K192" i="15" s="1"/>
  <c r="J192" i="15" a="1"/>
  <c r="J192" i="15" s="1"/>
  <c r="S192" i="15" a="1"/>
  <c r="S192" i="15" s="1"/>
  <c r="F192" i="15" a="1"/>
  <c r="F192" i="15" s="1"/>
  <c r="R192" i="15" a="1"/>
  <c r="R192" i="15" s="1"/>
  <c r="Q192" i="15" a="1"/>
  <c r="Q192" i="15" s="1"/>
  <c r="P192" i="15" a="1"/>
  <c r="P192" i="15" s="1"/>
  <c r="O192" i="15" a="1"/>
  <c r="O192" i="15" s="1"/>
  <c r="M192" i="15" a="1"/>
  <c r="M192" i="15" s="1"/>
  <c r="H192" i="15" a="1"/>
  <c r="H192" i="15" s="1"/>
  <c r="N192" i="15" a="1"/>
  <c r="N192" i="15" s="1"/>
  <c r="I192" i="15" a="1"/>
  <c r="I192" i="15" s="1"/>
  <c r="G192" i="15" a="1"/>
  <c r="G192" i="15" s="1"/>
  <c r="E193" i="15"/>
  <c r="E193" i="13"/>
  <c r="E195" i="14"/>
  <c r="S193" i="15" l="1" a="1"/>
  <c r="S193" i="15" s="1"/>
  <c r="H193" i="15" a="1"/>
  <c r="H193" i="15" s="1"/>
  <c r="R193" i="15" a="1"/>
  <c r="R193" i="15" s="1"/>
  <c r="G193" i="15" a="1"/>
  <c r="G193" i="15" s="1"/>
  <c r="Q193" i="15" a="1"/>
  <c r="Q193" i="15" s="1"/>
  <c r="F193" i="15" a="1"/>
  <c r="F193" i="15" s="1"/>
  <c r="P193" i="15" a="1"/>
  <c r="P193" i="15" s="1"/>
  <c r="K193" i="15" a="1"/>
  <c r="K193" i="15" s="1"/>
  <c r="I193" i="15" a="1"/>
  <c r="I193" i="15" s="1"/>
  <c r="O193" i="15" a="1"/>
  <c r="O193" i="15" s="1"/>
  <c r="M193" i="15" a="1"/>
  <c r="M193" i="15" s="1"/>
  <c r="L193" i="15" a="1"/>
  <c r="L193" i="15" s="1"/>
  <c r="N193" i="15" a="1"/>
  <c r="N193" i="15" s="1"/>
  <c r="J193" i="15" a="1"/>
  <c r="J193" i="15" s="1"/>
  <c r="E194" i="15"/>
  <c r="E196" i="14"/>
  <c r="E194" i="13"/>
  <c r="P194" i="15" l="1" a="1"/>
  <c r="P194" i="15" s="1"/>
  <c r="O194" i="15" a="1"/>
  <c r="O194" i="15" s="1"/>
  <c r="N194" i="15" a="1"/>
  <c r="N194" i="15" s="1"/>
  <c r="M194" i="15" a="1"/>
  <c r="M194" i="15" s="1"/>
  <c r="R194" i="15" a="1"/>
  <c r="R194" i="15" s="1"/>
  <c r="H194" i="15" a="1"/>
  <c r="H194" i="15" s="1"/>
  <c r="K194" i="15" a="1"/>
  <c r="K194" i="15" s="1"/>
  <c r="J194" i="15" a="1"/>
  <c r="J194" i="15" s="1"/>
  <c r="I194" i="15" a="1"/>
  <c r="I194" i="15" s="1"/>
  <c r="G194" i="15" a="1"/>
  <c r="G194" i="15" s="1"/>
  <c r="F194" i="15" a="1"/>
  <c r="F194" i="15" s="1"/>
  <c r="S194" i="15" a="1"/>
  <c r="S194" i="15" s="1"/>
  <c r="Q194" i="15" a="1"/>
  <c r="Q194" i="15" s="1"/>
  <c r="L194" i="15" a="1"/>
  <c r="L194" i="15" s="1"/>
  <c r="E195" i="15"/>
  <c r="E195" i="13"/>
  <c r="E197" i="14"/>
  <c r="L195" i="15" l="1" a="1"/>
  <c r="L195" i="15" s="1"/>
  <c r="K195" i="15" a="1"/>
  <c r="K195" i="15" s="1"/>
  <c r="J195" i="15" a="1"/>
  <c r="J195" i="15" s="1"/>
  <c r="I195" i="15" a="1"/>
  <c r="I195" i="15" s="1"/>
  <c r="H195" i="15" a="1"/>
  <c r="H195" i="15" s="1"/>
  <c r="O195" i="15" a="1"/>
  <c r="O195" i="15" s="1"/>
  <c r="R195" i="15" a="1"/>
  <c r="R195" i="15" s="1"/>
  <c r="Q195" i="15" a="1"/>
  <c r="Q195" i="15" s="1"/>
  <c r="P195" i="15" a="1"/>
  <c r="P195" i="15" s="1"/>
  <c r="N195" i="15" a="1"/>
  <c r="N195" i="15" s="1"/>
  <c r="M195" i="15" a="1"/>
  <c r="M195" i="15" s="1"/>
  <c r="G195" i="15" a="1"/>
  <c r="G195" i="15" s="1"/>
  <c r="S195" i="15" a="1"/>
  <c r="S195" i="15" s="1"/>
  <c r="F195" i="15" a="1"/>
  <c r="F195" i="15" s="1"/>
  <c r="E196" i="15"/>
  <c r="E198" i="14"/>
  <c r="E196" i="13"/>
  <c r="K196" i="15" l="1" a="1"/>
  <c r="K196" i="15" s="1"/>
  <c r="J196" i="15" a="1"/>
  <c r="J196" i="15" s="1"/>
  <c r="I196" i="15" a="1"/>
  <c r="I196" i="15" s="1"/>
  <c r="H196" i="15" a="1"/>
  <c r="H196" i="15" s="1"/>
  <c r="G196" i="15" a="1"/>
  <c r="G196" i="15" s="1"/>
  <c r="S196" i="15" a="1"/>
  <c r="S196" i="15" s="1"/>
  <c r="R196" i="15" a="1"/>
  <c r="R196" i="15" s="1"/>
  <c r="Q196" i="15" a="1"/>
  <c r="Q196" i="15" s="1"/>
  <c r="P196" i="15" a="1"/>
  <c r="P196" i="15" s="1"/>
  <c r="N196" i="15" a="1"/>
  <c r="N196" i="15" s="1"/>
  <c r="M196" i="15" a="1"/>
  <c r="M196" i="15" s="1"/>
  <c r="F196" i="15" a="1"/>
  <c r="F196" i="15" s="1"/>
  <c r="O196" i="15" a="1"/>
  <c r="O196" i="15" s="1"/>
  <c r="L196" i="15" a="1"/>
  <c r="L196" i="15" s="1"/>
  <c r="E197" i="15"/>
  <c r="E199" i="14"/>
  <c r="E197" i="13"/>
  <c r="J197" i="15" l="1" a="1"/>
  <c r="J197" i="15" s="1"/>
  <c r="I197" i="15" a="1"/>
  <c r="I197" i="15" s="1"/>
  <c r="H197" i="15" a="1"/>
  <c r="H197" i="15" s="1"/>
  <c r="G197" i="15" a="1"/>
  <c r="G197" i="15" s="1"/>
  <c r="R197" i="15" a="1"/>
  <c r="R197" i="15" s="1"/>
  <c r="N197" i="15" a="1"/>
  <c r="N197" i="15" s="1"/>
  <c r="M197" i="15" a="1"/>
  <c r="M197" i="15" s="1"/>
  <c r="L197" i="15" a="1"/>
  <c r="L197" i="15" s="1"/>
  <c r="K197" i="15" a="1"/>
  <c r="K197" i="15" s="1"/>
  <c r="F197" i="15" a="1"/>
  <c r="F197" i="15" s="1"/>
  <c r="Q197" i="15" a="1"/>
  <c r="Q197" i="15" s="1"/>
  <c r="S197" i="15" a="1"/>
  <c r="S197" i="15" s="1"/>
  <c r="P197" i="15" a="1"/>
  <c r="P197" i="15" s="1"/>
  <c r="O197" i="15" a="1"/>
  <c r="O197" i="15" s="1"/>
  <c r="E198" i="15"/>
  <c r="E200" i="14"/>
  <c r="E198" i="13"/>
  <c r="I198" i="15" l="1" a="1"/>
  <c r="I198" i="15" s="1"/>
  <c r="H198" i="15" a="1"/>
  <c r="H198" i="15" s="1"/>
  <c r="S198" i="15" a="1"/>
  <c r="S198" i="15" s="1"/>
  <c r="G198" i="15" a="1"/>
  <c r="G198" i="15" s="1"/>
  <c r="R198" i="15" a="1"/>
  <c r="R198" i="15" s="1"/>
  <c r="F198" i="15" a="1"/>
  <c r="F198" i="15" s="1"/>
  <c r="Q198" i="15" a="1"/>
  <c r="Q198" i="15" s="1"/>
  <c r="L198" i="15" a="1"/>
  <c r="L198" i="15" s="1"/>
  <c r="P198" i="15" a="1"/>
  <c r="P198" i="15" s="1"/>
  <c r="O198" i="15" a="1"/>
  <c r="O198" i="15" s="1"/>
  <c r="N198" i="15" a="1"/>
  <c r="N198" i="15" s="1"/>
  <c r="M198" i="15" a="1"/>
  <c r="M198" i="15" s="1"/>
  <c r="J198" i="15" a="1"/>
  <c r="J198" i="15" s="1"/>
  <c r="K198" i="15" a="1"/>
  <c r="K198" i="15" s="1"/>
  <c r="E199" i="15"/>
  <c r="E201" i="14"/>
  <c r="E199" i="13"/>
  <c r="S199" i="15" l="1" a="1"/>
  <c r="S199" i="15" s="1"/>
  <c r="G199" i="15" a="1"/>
  <c r="G199" i="15" s="1"/>
  <c r="F199" i="15" a="1"/>
  <c r="F199" i="15" s="1"/>
  <c r="R199" i="15" a="1"/>
  <c r="R199" i="15" s="1"/>
  <c r="Q199" i="15" a="1"/>
  <c r="Q199" i="15" s="1"/>
  <c r="P199" i="15" a="1"/>
  <c r="P199" i="15" s="1"/>
  <c r="N199" i="15" a="1"/>
  <c r="N199" i="15" s="1"/>
  <c r="J199" i="15" a="1"/>
  <c r="J199" i="15" s="1"/>
  <c r="H199" i="15" a="1"/>
  <c r="H199" i="15" s="1"/>
  <c r="O199" i="15" a="1"/>
  <c r="O199" i="15" s="1"/>
  <c r="L199" i="15" a="1"/>
  <c r="L199" i="15" s="1"/>
  <c r="M199" i="15" a="1"/>
  <c r="M199" i="15" s="1"/>
  <c r="K199" i="15" a="1"/>
  <c r="K199" i="15" s="1"/>
  <c r="I199" i="15" a="1"/>
  <c r="I199" i="15" s="1"/>
  <c r="E200" i="15"/>
  <c r="E202" i="14"/>
  <c r="E200" i="13"/>
  <c r="P200" i="15" l="1" a="1"/>
  <c r="P200" i="15" s="1"/>
  <c r="O200" i="15" a="1"/>
  <c r="O200" i="15" s="1"/>
  <c r="N200" i="15" a="1"/>
  <c r="N200" i="15" s="1"/>
  <c r="L200" i="15" a="1"/>
  <c r="L200" i="15" s="1"/>
  <c r="S200" i="15" a="1"/>
  <c r="S200" i="15" s="1"/>
  <c r="H200" i="15" a="1"/>
  <c r="H200" i="15" s="1"/>
  <c r="M200" i="15" a="1"/>
  <c r="M200" i="15" s="1"/>
  <c r="K200" i="15" a="1"/>
  <c r="K200" i="15" s="1"/>
  <c r="J200" i="15" a="1"/>
  <c r="J200" i="15" s="1"/>
  <c r="I200" i="15" a="1"/>
  <c r="I200" i="15" s="1"/>
  <c r="G200" i="15" a="1"/>
  <c r="G200" i="15" s="1"/>
  <c r="F200" i="15" a="1"/>
  <c r="F200" i="15" s="1"/>
  <c r="R200" i="15" a="1"/>
  <c r="R200" i="15" s="1"/>
  <c r="Q200" i="15" a="1"/>
  <c r="Q200" i="15" s="1"/>
  <c r="E201" i="15"/>
  <c r="E203" i="14"/>
  <c r="E201" i="13"/>
  <c r="M201" i="15" l="1" a="1"/>
  <c r="M201" i="15" s="1"/>
  <c r="L201" i="15" a="1"/>
  <c r="L201" i="15" s="1"/>
  <c r="K201" i="15" a="1"/>
  <c r="K201" i="15" s="1"/>
  <c r="J201" i="15" a="1"/>
  <c r="J201" i="15" s="1"/>
  <c r="S201" i="15" a="1"/>
  <c r="S201" i="15" s="1"/>
  <c r="I201" i="15" a="1"/>
  <c r="I201" i="15" s="1"/>
  <c r="P201" i="15" a="1"/>
  <c r="P201" i="15" s="1"/>
  <c r="F201" i="15" a="1"/>
  <c r="F201" i="15" s="1"/>
  <c r="R201" i="15" a="1"/>
  <c r="R201" i="15" s="1"/>
  <c r="Q201" i="15" a="1"/>
  <c r="Q201" i="15" s="1"/>
  <c r="O201" i="15" a="1"/>
  <c r="O201" i="15" s="1"/>
  <c r="N201" i="15" a="1"/>
  <c r="N201" i="15" s="1"/>
  <c r="H201" i="15" a="1"/>
  <c r="H201" i="15" s="1"/>
  <c r="G201" i="15" a="1"/>
  <c r="G201" i="15" s="1"/>
  <c r="E202" i="15"/>
  <c r="E204" i="14"/>
  <c r="E202" i="13"/>
  <c r="I202" i="15" l="1" a="1"/>
  <c r="I202" i="15" s="1"/>
  <c r="S202" i="15" a="1"/>
  <c r="S202" i="15" s="1"/>
  <c r="H202" i="15" a="1"/>
  <c r="H202" i="15" s="1"/>
  <c r="R202" i="15" a="1"/>
  <c r="R202" i="15" s="1"/>
  <c r="G202" i="15" a="1"/>
  <c r="G202" i="15" s="1"/>
  <c r="Q202" i="15" a="1"/>
  <c r="Q202" i="15" s="1"/>
  <c r="L202" i="15" a="1"/>
  <c r="L202" i="15" s="1"/>
  <c r="K202" i="15" a="1"/>
  <c r="K202" i="15" s="1"/>
  <c r="F202" i="15" a="1"/>
  <c r="F202" i="15" s="1"/>
  <c r="O202" i="15" a="1"/>
  <c r="O202" i="15" s="1"/>
  <c r="M202" i="15" a="1"/>
  <c r="M202" i="15" s="1"/>
  <c r="P202" i="15" a="1"/>
  <c r="P202" i="15" s="1"/>
  <c r="N202" i="15" a="1"/>
  <c r="N202" i="15" s="1"/>
  <c r="J202" i="15" a="1"/>
  <c r="J202" i="15" s="1"/>
  <c r="E203" i="15"/>
  <c r="E203" i="13"/>
  <c r="E205" i="14"/>
  <c r="S203" i="15" l="1" a="1"/>
  <c r="S203" i="15" s="1"/>
  <c r="G203" i="15" a="1"/>
  <c r="G203" i="15" s="1"/>
  <c r="R203" i="15" a="1"/>
  <c r="R203" i="15" s="1"/>
  <c r="F203" i="15" a="1"/>
  <c r="F203" i="15" s="1"/>
  <c r="Q203" i="15" a="1"/>
  <c r="Q203" i="15" s="1"/>
  <c r="O203" i="15" a="1"/>
  <c r="O203" i="15" s="1"/>
  <c r="K203" i="15" a="1"/>
  <c r="K203" i="15" s="1"/>
  <c r="P203" i="15" a="1"/>
  <c r="P203" i="15" s="1"/>
  <c r="N203" i="15" a="1"/>
  <c r="N203" i="15" s="1"/>
  <c r="M203" i="15" a="1"/>
  <c r="M203" i="15" s="1"/>
  <c r="L203" i="15" a="1"/>
  <c r="L203" i="15" s="1"/>
  <c r="J203" i="15" a="1"/>
  <c r="J203" i="15" s="1"/>
  <c r="I203" i="15" a="1"/>
  <c r="I203" i="15" s="1"/>
  <c r="H203" i="15" a="1"/>
  <c r="H203" i="15" s="1"/>
  <c r="E204" i="15"/>
  <c r="E204" i="13"/>
  <c r="E206" i="14"/>
  <c r="R204" i="15" l="1" a="1"/>
  <c r="R204" i="15" s="1"/>
  <c r="F204" i="15" a="1"/>
  <c r="F204" i="15" s="1"/>
  <c r="Q204" i="15" a="1"/>
  <c r="Q204" i="15" s="1"/>
  <c r="P204" i="15" a="1"/>
  <c r="P204" i="15" s="1"/>
  <c r="O204" i="15" a="1"/>
  <c r="O204" i="15" s="1"/>
  <c r="N204" i="15" a="1"/>
  <c r="N204" i="15" s="1"/>
  <c r="M204" i="15" a="1"/>
  <c r="M204" i="15" s="1"/>
  <c r="L204" i="15" a="1"/>
  <c r="L204" i="15" s="1"/>
  <c r="I204" i="15" a="1"/>
  <c r="I204" i="15" s="1"/>
  <c r="H204" i="15" a="1"/>
  <c r="H204" i="15" s="1"/>
  <c r="S204" i="15" a="1"/>
  <c r="S204" i="15" s="1"/>
  <c r="J204" i="15" a="1"/>
  <c r="J204" i="15" s="1"/>
  <c r="K204" i="15" a="1"/>
  <c r="K204" i="15" s="1"/>
  <c r="G204" i="15" a="1"/>
  <c r="G204" i="15" s="1"/>
  <c r="E205" i="15"/>
  <c r="E205" i="13"/>
  <c r="E207" i="14"/>
  <c r="N205" i="15" l="1" a="1"/>
  <c r="N205" i="15" s="1"/>
  <c r="M205" i="15" a="1"/>
  <c r="M205" i="15" s="1"/>
  <c r="L205" i="15" a="1"/>
  <c r="L205" i="15" s="1"/>
  <c r="K205" i="15" a="1"/>
  <c r="K205" i="15" s="1"/>
  <c r="J205" i="15" a="1"/>
  <c r="J205" i="15" s="1"/>
  <c r="Q205" i="15" a="1"/>
  <c r="Q205" i="15" s="1"/>
  <c r="F205" i="15" a="1"/>
  <c r="F205" i="15" s="1"/>
  <c r="P205" i="15" a="1"/>
  <c r="P205" i="15" s="1"/>
  <c r="O205" i="15" a="1"/>
  <c r="O205" i="15" s="1"/>
  <c r="I205" i="15" a="1"/>
  <c r="I205" i="15" s="1"/>
  <c r="H205" i="15" a="1"/>
  <c r="H205" i="15" s="1"/>
  <c r="G205" i="15" a="1"/>
  <c r="G205" i="15" s="1"/>
  <c r="S205" i="15" a="1"/>
  <c r="S205" i="15" s="1"/>
  <c r="R205" i="15" a="1"/>
  <c r="R205" i="15" s="1"/>
  <c r="E206" i="15"/>
  <c r="E206" i="13"/>
  <c r="E208" i="14"/>
  <c r="L206" i="15" l="1" a="1"/>
  <c r="L206" i="15" s="1"/>
  <c r="K206" i="15" a="1"/>
  <c r="K206" i="15" s="1"/>
  <c r="J206" i="15" a="1"/>
  <c r="J206" i="15" s="1"/>
  <c r="I206" i="15" a="1"/>
  <c r="I206" i="15" s="1"/>
  <c r="H206" i="15" a="1"/>
  <c r="H206" i="15" s="1"/>
  <c r="G206" i="15" a="1"/>
  <c r="G206" i="15" s="1"/>
  <c r="O206" i="15" a="1"/>
  <c r="O206" i="15" s="1"/>
  <c r="N206" i="15" a="1"/>
  <c r="N206" i="15" s="1"/>
  <c r="S206" i="15" a="1"/>
  <c r="S206" i="15" s="1"/>
  <c r="R206" i="15" a="1"/>
  <c r="R206" i="15" s="1"/>
  <c r="Q206" i="15" a="1"/>
  <c r="Q206" i="15" s="1"/>
  <c r="P206" i="15" a="1"/>
  <c r="P206" i="15" s="1"/>
  <c r="M206" i="15" a="1"/>
  <c r="M206" i="15" s="1"/>
  <c r="F206" i="15" a="1"/>
  <c r="F206" i="15" s="1"/>
  <c r="E207" i="15"/>
  <c r="E207" i="13"/>
  <c r="E209" i="14"/>
  <c r="J207" i="15" l="1" a="1"/>
  <c r="J207" i="15" s="1"/>
  <c r="I207" i="15" a="1"/>
  <c r="I207" i="15" s="1"/>
  <c r="H207" i="15" a="1"/>
  <c r="H207" i="15" s="1"/>
  <c r="S207" i="15" a="1"/>
  <c r="S207" i="15" s="1"/>
  <c r="G207" i="15" a="1"/>
  <c r="G207" i="15" s="1"/>
  <c r="R207" i="15" a="1"/>
  <c r="R207" i="15" s="1"/>
  <c r="F207" i="15" a="1"/>
  <c r="F207" i="15" s="1"/>
  <c r="P207" i="15" a="1"/>
  <c r="P207" i="15" s="1"/>
  <c r="L207" i="15" a="1"/>
  <c r="L207" i="15" s="1"/>
  <c r="N207" i="15" a="1"/>
  <c r="N207" i="15" s="1"/>
  <c r="M207" i="15" a="1"/>
  <c r="M207" i="15" s="1"/>
  <c r="K207" i="15" a="1"/>
  <c r="K207" i="15" s="1"/>
  <c r="Q207" i="15" a="1"/>
  <c r="Q207" i="15" s="1"/>
  <c r="O207" i="15" a="1"/>
  <c r="O207" i="15" s="1"/>
  <c r="E208" i="15"/>
  <c r="E208" i="13"/>
  <c r="E210" i="14"/>
  <c r="G208" i="15" l="1" a="1"/>
  <c r="G208" i="15" s="1"/>
  <c r="Q208" i="15" a="1"/>
  <c r="Q208" i="15" s="1"/>
  <c r="F208" i="15" a="1"/>
  <c r="F208" i="15" s="1"/>
  <c r="P208" i="15" a="1"/>
  <c r="P208" i="15" s="1"/>
  <c r="O208" i="15" a="1"/>
  <c r="O208" i="15" s="1"/>
  <c r="K208" i="15" a="1"/>
  <c r="K208" i="15" s="1"/>
  <c r="J208" i="15" a="1"/>
  <c r="J208" i="15" s="1"/>
  <c r="S208" i="15" a="1"/>
  <c r="S208" i="15" s="1"/>
  <c r="R208" i="15" a="1"/>
  <c r="R208" i="15" s="1"/>
  <c r="N208" i="15" a="1"/>
  <c r="N208" i="15" s="1"/>
  <c r="M208" i="15" a="1"/>
  <c r="M208" i="15" s="1"/>
  <c r="L208" i="15" a="1"/>
  <c r="L208" i="15" s="1"/>
  <c r="H208" i="15" a="1"/>
  <c r="H208" i="15" s="1"/>
  <c r="I208" i="15" a="1"/>
  <c r="I208" i="15" s="1"/>
  <c r="E209" i="15"/>
  <c r="E211" i="14"/>
  <c r="E209" i="13"/>
  <c r="N209" i="15" l="1" a="1"/>
  <c r="N209" i="15" s="1"/>
  <c r="M209" i="15" a="1"/>
  <c r="M209" i="15" s="1"/>
  <c r="L209" i="15" a="1"/>
  <c r="L209" i="15" s="1"/>
  <c r="K209" i="15" a="1"/>
  <c r="K209" i="15" s="1"/>
  <c r="I209" i="15" a="1"/>
  <c r="I209" i="15" s="1"/>
  <c r="R209" i="15" a="1"/>
  <c r="R209" i="15" s="1"/>
  <c r="F209" i="15" a="1"/>
  <c r="F209" i="15" s="1"/>
  <c r="Q209" i="15" a="1"/>
  <c r="Q209" i="15" s="1"/>
  <c r="P209" i="15" a="1"/>
  <c r="P209" i="15" s="1"/>
  <c r="J209" i="15" a="1"/>
  <c r="J209" i="15" s="1"/>
  <c r="H209" i="15" a="1"/>
  <c r="H209" i="15" s="1"/>
  <c r="G209" i="15" a="1"/>
  <c r="G209" i="15" s="1"/>
  <c r="O209" i="15" a="1"/>
  <c r="O209" i="15" s="1"/>
  <c r="S209" i="15" a="1"/>
  <c r="S209" i="15" s="1"/>
  <c r="E210" i="15"/>
  <c r="E210" i="13"/>
  <c r="E212" i="14"/>
  <c r="M210" i="15" l="1" a="1"/>
  <c r="M210" i="15" s="1"/>
  <c r="L210" i="15" a="1"/>
  <c r="L210" i="15" s="1"/>
  <c r="K210" i="15" a="1"/>
  <c r="K210" i="15" s="1"/>
  <c r="J210" i="15" a="1"/>
  <c r="J210" i="15" s="1"/>
  <c r="I210" i="15" a="1"/>
  <c r="I210" i="15" s="1"/>
  <c r="P210" i="15" a="1"/>
  <c r="P210" i="15" s="1"/>
  <c r="O210" i="15" a="1"/>
  <c r="O210" i="15" s="1"/>
  <c r="S210" i="15" a="1"/>
  <c r="S210" i="15" s="1"/>
  <c r="R210" i="15" a="1"/>
  <c r="R210" i="15" s="1"/>
  <c r="N210" i="15" a="1"/>
  <c r="N210" i="15" s="1"/>
  <c r="H210" i="15" a="1"/>
  <c r="H210" i="15" s="1"/>
  <c r="F210" i="15" a="1"/>
  <c r="F210" i="15" s="1"/>
  <c r="Q210" i="15" a="1"/>
  <c r="Q210" i="15" s="1"/>
  <c r="G210" i="15" a="1"/>
  <c r="G210" i="15" s="1"/>
  <c r="E211" i="15"/>
  <c r="E211" i="13"/>
  <c r="E213" i="14"/>
  <c r="K211" i="15" l="1" a="1"/>
  <c r="K211" i="15" s="1"/>
  <c r="J211" i="15" a="1"/>
  <c r="J211" i="15" s="1"/>
  <c r="I211" i="15" a="1"/>
  <c r="I211" i="15" s="1"/>
  <c r="S211" i="15" a="1"/>
  <c r="S211" i="15" s="1"/>
  <c r="H211" i="15" a="1"/>
  <c r="H211" i="15" s="1"/>
  <c r="R211" i="15" a="1"/>
  <c r="R211" i="15" s="1"/>
  <c r="F211" i="15" a="1"/>
  <c r="F211" i="15" s="1"/>
  <c r="N211" i="15" a="1"/>
  <c r="N211" i="15" s="1"/>
  <c r="M211" i="15" a="1"/>
  <c r="M211" i="15" s="1"/>
  <c r="P211" i="15" a="1"/>
  <c r="P211" i="15" s="1"/>
  <c r="O211" i="15" a="1"/>
  <c r="O211" i="15" s="1"/>
  <c r="L211" i="15" a="1"/>
  <c r="L211" i="15" s="1"/>
  <c r="G211" i="15" a="1"/>
  <c r="G211" i="15" s="1"/>
  <c r="Q211" i="15" a="1"/>
  <c r="Q211" i="15" s="1"/>
  <c r="E212" i="15"/>
  <c r="E212" i="13"/>
  <c r="E214" i="14"/>
  <c r="I212" i="15" l="1" a="1"/>
  <c r="I212" i="15" s="1"/>
  <c r="S212" i="15" a="1"/>
  <c r="S212" i="15" s="1"/>
  <c r="H212" i="15" a="1"/>
  <c r="H212" i="15" s="1"/>
  <c r="R212" i="15" a="1"/>
  <c r="R212" i="15" s="1"/>
  <c r="G212" i="15" a="1"/>
  <c r="G212" i="15" s="1"/>
  <c r="F212" i="15" a="1"/>
  <c r="F212" i="15" s="1"/>
  <c r="Q212" i="15" a="1"/>
  <c r="Q212" i="15" s="1"/>
  <c r="L212" i="15" a="1"/>
  <c r="L212" i="15" s="1"/>
  <c r="K212" i="15" a="1"/>
  <c r="K212" i="15" s="1"/>
  <c r="O212" i="15" a="1"/>
  <c r="O212" i="15" s="1"/>
  <c r="N212" i="15" a="1"/>
  <c r="N212" i="15" s="1"/>
  <c r="M212" i="15" a="1"/>
  <c r="M212" i="15" s="1"/>
  <c r="J212" i="15" a="1"/>
  <c r="J212" i="15" s="1"/>
  <c r="P212" i="15" a="1"/>
  <c r="P212" i="15" s="1"/>
  <c r="E213" i="15"/>
  <c r="E215" i="14"/>
  <c r="E213" i="13"/>
  <c r="R213" i="15" l="1" a="1"/>
  <c r="R213" i="15" s="1"/>
  <c r="Q213" i="15" a="1"/>
  <c r="Q213" i="15" s="1"/>
  <c r="P213" i="15" a="1"/>
  <c r="P213" i="15" s="1"/>
  <c r="O213" i="15" a="1"/>
  <c r="O213" i="15" s="1"/>
  <c r="M213" i="15" a="1"/>
  <c r="M213" i="15" s="1"/>
  <c r="H213" i="15" a="1"/>
  <c r="H213" i="15" s="1"/>
  <c r="G213" i="15" a="1"/>
  <c r="G213" i="15" s="1"/>
  <c r="S213" i="15" a="1"/>
  <c r="S213" i="15" s="1"/>
  <c r="N213" i="15" a="1"/>
  <c r="N213" i="15" s="1"/>
  <c r="L213" i="15" a="1"/>
  <c r="L213" i="15" s="1"/>
  <c r="K213" i="15" a="1"/>
  <c r="K213" i="15" s="1"/>
  <c r="J213" i="15" a="1"/>
  <c r="J213" i="15" s="1"/>
  <c r="I213" i="15" a="1"/>
  <c r="I213" i="15" s="1"/>
  <c r="F213" i="15" a="1"/>
  <c r="F213" i="15" s="1"/>
  <c r="E214" i="15"/>
  <c r="E216" i="14"/>
  <c r="E214" i="13"/>
  <c r="Q214" i="15" l="1" a="1"/>
  <c r="Q214" i="15" s="1"/>
  <c r="P214" i="15" a="1"/>
  <c r="P214" i="15" s="1"/>
  <c r="O214" i="15" a="1"/>
  <c r="O214" i="15" s="1"/>
  <c r="N214" i="15" a="1"/>
  <c r="N214" i="15" s="1"/>
  <c r="M214" i="15" a="1"/>
  <c r="M214" i="15" s="1"/>
  <c r="K214" i="15" a="1"/>
  <c r="K214" i="15" s="1"/>
  <c r="H214" i="15" a="1"/>
  <c r="H214" i="15" s="1"/>
  <c r="S214" i="15" a="1"/>
  <c r="S214" i="15" s="1"/>
  <c r="G214" i="15" a="1"/>
  <c r="G214" i="15" s="1"/>
  <c r="F214" i="15" a="1"/>
  <c r="F214" i="15" s="1"/>
  <c r="I214" i="15" a="1"/>
  <c r="I214" i="15" s="1"/>
  <c r="L214" i="15" a="1"/>
  <c r="L214" i="15" s="1"/>
  <c r="R214" i="15" a="1"/>
  <c r="R214" i="15" s="1"/>
  <c r="J214" i="15" a="1"/>
  <c r="J214" i="15" s="1"/>
  <c r="E215" i="15"/>
  <c r="E217" i="14"/>
  <c r="E215" i="13"/>
  <c r="N215" i="15" l="1" a="1"/>
  <c r="N215" i="15" s="1"/>
  <c r="M215" i="15" a="1"/>
  <c r="M215" i="15" s="1"/>
  <c r="L215" i="15" a="1"/>
  <c r="L215" i="15" s="1"/>
  <c r="K215" i="15" a="1"/>
  <c r="K215" i="15" s="1"/>
  <c r="J215" i="15" a="1"/>
  <c r="J215" i="15" s="1"/>
  <c r="F215" i="15" a="1"/>
  <c r="F215" i="15" s="1"/>
  <c r="P215" i="15" a="1"/>
  <c r="P215" i="15" s="1"/>
  <c r="S215" i="15" a="1"/>
  <c r="S215" i="15" s="1"/>
  <c r="R215" i="15" a="1"/>
  <c r="R215" i="15" s="1"/>
  <c r="Q215" i="15" a="1"/>
  <c r="Q215" i="15" s="1"/>
  <c r="O215" i="15" a="1"/>
  <c r="O215" i="15" s="1"/>
  <c r="I215" i="15" a="1"/>
  <c r="I215" i="15" s="1"/>
  <c r="H215" i="15" a="1"/>
  <c r="H215" i="15" s="1"/>
  <c r="G215" i="15" a="1"/>
  <c r="G215" i="15" s="1"/>
  <c r="E216" i="15"/>
  <c r="E218" i="14"/>
  <c r="E216" i="13"/>
  <c r="L216" i="15" l="1" a="1"/>
  <c r="L216" i="15" s="1"/>
  <c r="K216" i="15" a="1"/>
  <c r="K216" i="15" s="1"/>
  <c r="J216" i="15" a="1"/>
  <c r="J216" i="15" s="1"/>
  <c r="I216" i="15" a="1"/>
  <c r="I216" i="15" s="1"/>
  <c r="H216" i="15" a="1"/>
  <c r="H216" i="15" s="1"/>
  <c r="S216" i="15" a="1"/>
  <c r="S216" i="15" s="1"/>
  <c r="F216" i="15" a="1"/>
  <c r="F216" i="15" s="1"/>
  <c r="O216" i="15" a="1"/>
  <c r="O216" i="15" s="1"/>
  <c r="N216" i="15" a="1"/>
  <c r="N216" i="15" s="1"/>
  <c r="G216" i="15" a="1"/>
  <c r="G216" i="15" s="1"/>
  <c r="Q216" i="15" a="1"/>
  <c r="Q216" i="15" s="1"/>
  <c r="M216" i="15" a="1"/>
  <c r="M216" i="15" s="1"/>
  <c r="R216" i="15" a="1"/>
  <c r="R216" i="15" s="1"/>
  <c r="P216" i="15" a="1"/>
  <c r="P216" i="15" s="1"/>
  <c r="E217" i="15"/>
  <c r="E217" i="13"/>
  <c r="E219" i="14"/>
  <c r="K217" i="15" l="1" a="1"/>
  <c r="K217" i="15" s="1"/>
  <c r="J217" i="15" a="1"/>
  <c r="J217" i="15" s="1"/>
  <c r="I217" i="15" a="1"/>
  <c r="I217" i="15" s="1"/>
  <c r="H217" i="15" a="1"/>
  <c r="H217" i="15" s="1"/>
  <c r="G217" i="15" a="1"/>
  <c r="G217" i="15" s="1"/>
  <c r="O217" i="15" a="1"/>
  <c r="O217" i="15" s="1"/>
  <c r="N217" i="15" a="1"/>
  <c r="N217" i="15" s="1"/>
  <c r="M217" i="15" a="1"/>
  <c r="M217" i="15" s="1"/>
  <c r="S217" i="15" a="1"/>
  <c r="S217" i="15" s="1"/>
  <c r="R217" i="15" a="1"/>
  <c r="R217" i="15" s="1"/>
  <c r="Q217" i="15" a="1"/>
  <c r="Q217" i="15" s="1"/>
  <c r="L217" i="15" a="1"/>
  <c r="L217" i="15" s="1"/>
  <c r="F217" i="15" a="1"/>
  <c r="F217" i="15" s="1"/>
  <c r="P217" i="15" a="1"/>
  <c r="P217" i="15" s="1"/>
  <c r="E218" i="15"/>
  <c r="E220" i="14"/>
  <c r="E218" i="13"/>
  <c r="J218" i="15" l="1" a="1"/>
  <c r="J218" i="15" s="1"/>
  <c r="I218" i="15" a="1"/>
  <c r="I218" i="15" s="1"/>
  <c r="H218" i="15" a="1"/>
  <c r="H218" i="15" s="1"/>
  <c r="G218" i="15" a="1"/>
  <c r="G218" i="15" s="1"/>
  <c r="S218" i="15" a="1"/>
  <c r="S218" i="15" s="1"/>
  <c r="F218" i="15" a="1"/>
  <c r="F218" i="15" s="1"/>
  <c r="Q218" i="15" a="1"/>
  <c r="Q218" i="15" s="1"/>
  <c r="M218" i="15" a="1"/>
  <c r="M218" i="15" s="1"/>
  <c r="L218" i="15" a="1"/>
  <c r="L218" i="15" s="1"/>
  <c r="O218" i="15" a="1"/>
  <c r="O218" i="15" s="1"/>
  <c r="N218" i="15" a="1"/>
  <c r="N218" i="15" s="1"/>
  <c r="K218" i="15" a="1"/>
  <c r="K218" i="15" s="1"/>
  <c r="P218" i="15" a="1"/>
  <c r="P218" i="15" s="1"/>
  <c r="R218" i="15" a="1"/>
  <c r="R218" i="15" s="1"/>
  <c r="E219" i="15"/>
  <c r="E219" i="13"/>
  <c r="E221" i="14"/>
  <c r="I219" i="15" l="1" a="1"/>
  <c r="I219" i="15" s="1"/>
  <c r="S219" i="15" a="1"/>
  <c r="S219" i="15" s="1"/>
  <c r="H219" i="15" a="1"/>
  <c r="H219" i="15" s="1"/>
  <c r="R219" i="15" a="1"/>
  <c r="R219" i="15" s="1"/>
  <c r="G219" i="15" a="1"/>
  <c r="G219" i="15" s="1"/>
  <c r="F219" i="15" a="1"/>
  <c r="F219" i="15" s="1"/>
  <c r="Q219" i="15" a="1"/>
  <c r="Q219" i="15" s="1"/>
  <c r="O219" i="15" a="1"/>
  <c r="O219" i="15" s="1"/>
  <c r="L219" i="15" a="1"/>
  <c r="L219" i="15" s="1"/>
  <c r="K219" i="15" a="1"/>
  <c r="K219" i="15" s="1"/>
  <c r="N219" i="15" a="1"/>
  <c r="N219" i="15" s="1"/>
  <c r="J219" i="15" a="1"/>
  <c r="J219" i="15" s="1"/>
  <c r="P219" i="15" a="1"/>
  <c r="P219" i="15" s="1"/>
  <c r="M219" i="15" a="1"/>
  <c r="M219" i="15" s="1"/>
  <c r="E220" i="15"/>
  <c r="E220" i="13"/>
  <c r="E222" i="14"/>
  <c r="Q220" i="15" l="1" a="1"/>
  <c r="Q220" i="15" s="1"/>
  <c r="P220" i="15" a="1"/>
  <c r="P220" i="15" s="1"/>
  <c r="O220" i="15" a="1"/>
  <c r="O220" i="15" s="1"/>
  <c r="N220" i="15" a="1"/>
  <c r="N220" i="15" s="1"/>
  <c r="M220" i="15" a="1"/>
  <c r="M220" i="15" s="1"/>
  <c r="K220" i="15" a="1"/>
  <c r="K220" i="15" s="1"/>
  <c r="H220" i="15" a="1"/>
  <c r="H220" i="15" s="1"/>
  <c r="S220" i="15" a="1"/>
  <c r="S220" i="15" s="1"/>
  <c r="G220" i="15" a="1"/>
  <c r="G220" i="15" s="1"/>
  <c r="R220" i="15" a="1"/>
  <c r="R220" i="15" s="1"/>
  <c r="L220" i="15" a="1"/>
  <c r="L220" i="15" s="1"/>
  <c r="J220" i="15" a="1"/>
  <c r="J220" i="15" s="1"/>
  <c r="I220" i="15" a="1"/>
  <c r="I220" i="15" s="1"/>
  <c r="F220" i="15" a="1"/>
  <c r="F220" i="15" s="1"/>
  <c r="E221" i="15"/>
  <c r="E221" i="13"/>
  <c r="E223" i="14"/>
  <c r="R221" i="15" l="1" a="1"/>
  <c r="R221" i="15" s="1"/>
  <c r="N221" i="15" a="1"/>
  <c r="N221" i="15" s="1"/>
  <c r="M221" i="15" a="1"/>
  <c r="M221" i="15" s="1"/>
  <c r="L221" i="15" a="1"/>
  <c r="L221" i="15" s="1"/>
  <c r="K221" i="15" a="1"/>
  <c r="K221" i="15" s="1"/>
  <c r="I221" i="15" a="1"/>
  <c r="I221" i="15" s="1"/>
  <c r="S221" i="15" a="1"/>
  <c r="S221" i="15" s="1"/>
  <c r="F221" i="15" a="1"/>
  <c r="F221" i="15" s="1"/>
  <c r="Q221" i="15" a="1"/>
  <c r="Q221" i="15" s="1"/>
  <c r="P221" i="15" a="1"/>
  <c r="P221" i="15" s="1"/>
  <c r="J221" i="15" a="1"/>
  <c r="J221" i="15" s="1"/>
  <c r="H221" i="15" a="1"/>
  <c r="H221" i="15" s="1"/>
  <c r="G221" i="15" a="1"/>
  <c r="G221" i="15" s="1"/>
  <c r="O221" i="15" a="1"/>
  <c r="O221" i="15" s="1"/>
  <c r="E222" i="15"/>
  <c r="E222" i="13"/>
  <c r="E224" i="14"/>
  <c r="K222" i="15" l="1" a="1"/>
  <c r="K222" i="15" s="1"/>
  <c r="J222" i="15" a="1"/>
  <c r="J222" i="15" s="1"/>
  <c r="S222" i="15" a="1"/>
  <c r="S222" i="15" s="1"/>
  <c r="R222" i="15" a="1"/>
  <c r="R222" i="15" s="1"/>
  <c r="Q222" i="15" a="1"/>
  <c r="Q222" i="15" s="1"/>
  <c r="P222" i="15" a="1"/>
  <c r="P222" i="15" s="1"/>
  <c r="O222" i="15" a="1"/>
  <c r="O222" i="15" s="1"/>
  <c r="N222" i="15" a="1"/>
  <c r="N222" i="15" s="1"/>
  <c r="L222" i="15" a="1"/>
  <c r="L222" i="15" s="1"/>
  <c r="M222" i="15" a="1"/>
  <c r="M222" i="15" s="1"/>
  <c r="I222" i="15" a="1"/>
  <c r="I222" i="15" s="1"/>
  <c r="G222" i="15" a="1"/>
  <c r="G222" i="15" s="1"/>
  <c r="F222" i="15" a="1"/>
  <c r="F222" i="15" s="1"/>
  <c r="H222" i="15" a="1"/>
  <c r="H222" i="15" s="1"/>
  <c r="E223" i="15"/>
  <c r="E223" i="13"/>
  <c r="E225" i="14"/>
  <c r="L223" i="15" l="1" a="1"/>
  <c r="L223" i="15" s="1"/>
  <c r="K223" i="15" a="1"/>
  <c r="K223" i="15" s="1"/>
  <c r="F223" i="15" a="1"/>
  <c r="F223" i="15" s="1"/>
  <c r="S223" i="15" a="1"/>
  <c r="S223" i="15" s="1"/>
  <c r="R223" i="15" a="1"/>
  <c r="R223" i="15" s="1"/>
  <c r="Q223" i="15" a="1"/>
  <c r="Q223" i="15" s="1"/>
  <c r="P223" i="15" a="1"/>
  <c r="P223" i="15" s="1"/>
  <c r="J223" i="15" a="1"/>
  <c r="J223" i="15" s="1"/>
  <c r="I223" i="15" a="1"/>
  <c r="I223" i="15" s="1"/>
  <c r="H223" i="15" a="1"/>
  <c r="H223" i="15" s="1"/>
  <c r="O223" i="15" a="1"/>
  <c r="O223" i="15" s="1"/>
  <c r="N223" i="15" a="1"/>
  <c r="N223" i="15" s="1"/>
  <c r="M223" i="15" a="1"/>
  <c r="M223" i="15" s="1"/>
  <c r="G223" i="15" a="1"/>
  <c r="G223" i="15" s="1"/>
  <c r="E224" i="15"/>
  <c r="E226" i="14"/>
  <c r="E224" i="13"/>
  <c r="I224" i="15" l="1" a="1"/>
  <c r="I224" i="15" s="1"/>
  <c r="S224" i="15" a="1"/>
  <c r="S224" i="15" s="1"/>
  <c r="P224" i="15" a="1"/>
  <c r="P224" i="15" s="1"/>
  <c r="H224" i="15" a="1"/>
  <c r="H224" i="15" s="1"/>
  <c r="G224" i="15" a="1"/>
  <c r="G224" i="15" s="1"/>
  <c r="F224" i="15" a="1"/>
  <c r="F224" i="15" s="1"/>
  <c r="R224" i="15" a="1"/>
  <c r="R224" i="15" s="1"/>
  <c r="O224" i="15" a="1"/>
  <c r="O224" i="15" s="1"/>
  <c r="L224" i="15" a="1"/>
  <c r="L224" i="15" s="1"/>
  <c r="K224" i="15" a="1"/>
  <c r="K224" i="15" s="1"/>
  <c r="N224" i="15" a="1"/>
  <c r="N224" i="15" s="1"/>
  <c r="J224" i="15" a="1"/>
  <c r="J224" i="15" s="1"/>
  <c r="Q224" i="15" a="1"/>
  <c r="Q224" i="15" s="1"/>
  <c r="M224" i="15" a="1"/>
  <c r="M224" i="15" s="1"/>
  <c r="E225" i="15"/>
  <c r="E227" i="14"/>
  <c r="E225" i="13"/>
  <c r="R225" i="15" l="1" a="1"/>
  <c r="R225" i="15" s="1"/>
  <c r="G225" i="15" a="1"/>
  <c r="G225" i="15" s="1"/>
  <c r="F225" i="15" a="1"/>
  <c r="F225" i="15" s="1"/>
  <c r="Q225" i="15" a="1"/>
  <c r="Q225" i="15" s="1"/>
  <c r="M225" i="15" a="1"/>
  <c r="M225" i="15" s="1"/>
  <c r="I225" i="15" a="1"/>
  <c r="I225" i="15" s="1"/>
  <c r="H225" i="15" a="1"/>
  <c r="H225" i="15" s="1"/>
  <c r="S225" i="15" a="1"/>
  <c r="S225" i="15" s="1"/>
  <c r="P225" i="15" a="1"/>
  <c r="P225" i="15" s="1"/>
  <c r="L225" i="15" a="1"/>
  <c r="L225" i="15" s="1"/>
  <c r="K225" i="15" a="1"/>
  <c r="K225" i="15" s="1"/>
  <c r="N225" i="15" a="1"/>
  <c r="N225" i="15" s="1"/>
  <c r="J225" i="15" a="1"/>
  <c r="J225" i="15" s="1"/>
  <c r="O225" i="15" a="1"/>
  <c r="O225" i="15" s="1"/>
  <c r="E226" i="15"/>
  <c r="E228" i="14"/>
  <c r="E226" i="13"/>
  <c r="S226" i="15" l="1" a="1"/>
  <c r="S226" i="15" s="1"/>
  <c r="R226" i="15" a="1"/>
  <c r="R226" i="15" s="1"/>
  <c r="Q226" i="15" a="1"/>
  <c r="Q226" i="15" s="1"/>
  <c r="P226" i="15" a="1"/>
  <c r="P226" i="15" s="1"/>
  <c r="L226" i="15" a="1"/>
  <c r="L226" i="15" s="1"/>
  <c r="K226" i="15" a="1"/>
  <c r="K226" i="15" s="1"/>
  <c r="J226" i="15" a="1"/>
  <c r="J226" i="15" s="1"/>
  <c r="I226" i="15" a="1"/>
  <c r="I226" i="15" s="1"/>
  <c r="H226" i="15" a="1"/>
  <c r="H226" i="15" s="1"/>
  <c r="G226" i="15" a="1"/>
  <c r="G226" i="15" s="1"/>
  <c r="O226" i="15" a="1"/>
  <c r="O226" i="15" s="1"/>
  <c r="N226" i="15" a="1"/>
  <c r="N226" i="15" s="1"/>
  <c r="M226" i="15" a="1"/>
  <c r="M226" i="15" s="1"/>
  <c r="F226" i="15" a="1"/>
  <c r="F226" i="15" s="1"/>
  <c r="E227" i="15"/>
  <c r="E229" i="14"/>
  <c r="E227" i="13"/>
  <c r="S227" i="15" l="1" a="1"/>
  <c r="S227" i="15" s="1"/>
  <c r="R227" i="15" a="1"/>
  <c r="R227" i="15" s="1"/>
  <c r="Q227" i="15" a="1"/>
  <c r="Q227" i="15" s="1"/>
  <c r="P227" i="15" a="1"/>
  <c r="P227" i="15" s="1"/>
  <c r="M227" i="15" a="1"/>
  <c r="M227" i="15" s="1"/>
  <c r="O227" i="15" a="1"/>
  <c r="O227" i="15" s="1"/>
  <c r="N227" i="15" a="1"/>
  <c r="N227" i="15" s="1"/>
  <c r="L227" i="15" a="1"/>
  <c r="L227" i="15" s="1"/>
  <c r="K227" i="15" a="1"/>
  <c r="K227" i="15" s="1"/>
  <c r="J227" i="15" a="1"/>
  <c r="J227" i="15" s="1"/>
  <c r="F227" i="15" a="1"/>
  <c r="F227" i="15" s="1"/>
  <c r="I227" i="15" a="1"/>
  <c r="I227" i="15" s="1"/>
  <c r="H227" i="15" a="1"/>
  <c r="H227" i="15" s="1"/>
  <c r="G227" i="15" a="1"/>
  <c r="G227" i="15" s="1"/>
  <c r="E228" i="15"/>
  <c r="E228" i="13"/>
  <c r="E230" i="14"/>
  <c r="P228" i="15" l="1" a="1"/>
  <c r="P228" i="15" s="1"/>
  <c r="O228" i="15" a="1"/>
  <c r="O228" i="15" s="1"/>
  <c r="N228" i="15" a="1"/>
  <c r="N228" i="15" s="1"/>
  <c r="K228" i="15" a="1"/>
  <c r="K228" i="15" s="1"/>
  <c r="F228" i="15" a="1"/>
  <c r="F228" i="15" s="1"/>
  <c r="S228" i="15" a="1"/>
  <c r="S228" i="15" s="1"/>
  <c r="R228" i="15" a="1"/>
  <c r="R228" i="15" s="1"/>
  <c r="Q228" i="15" a="1"/>
  <c r="Q228" i="15" s="1"/>
  <c r="M228" i="15" a="1"/>
  <c r="M228" i="15" s="1"/>
  <c r="I228" i="15" a="1"/>
  <c r="I228" i="15" s="1"/>
  <c r="H228" i="15" a="1"/>
  <c r="H228" i="15" s="1"/>
  <c r="G228" i="15" a="1"/>
  <c r="G228" i="15" s="1"/>
  <c r="L228" i="15" a="1"/>
  <c r="L228" i="15" s="1"/>
  <c r="J228" i="15" a="1"/>
  <c r="J228" i="15" s="1"/>
  <c r="E229" i="15"/>
  <c r="E231" i="14"/>
  <c r="E229" i="13"/>
  <c r="M229" i="15" l="1" a="1"/>
  <c r="M229" i="15" s="1"/>
  <c r="L229" i="15" a="1"/>
  <c r="L229" i="15" s="1"/>
  <c r="K229" i="15" a="1"/>
  <c r="K229" i="15" s="1"/>
  <c r="H229" i="15" a="1"/>
  <c r="H229" i="15" s="1"/>
  <c r="G229" i="15" a="1"/>
  <c r="G229" i="15" s="1"/>
  <c r="F229" i="15" a="1"/>
  <c r="F229" i="15" s="1"/>
  <c r="S229" i="15" a="1"/>
  <c r="S229" i="15" s="1"/>
  <c r="Q229" i="15" a="1"/>
  <c r="Q229" i="15" s="1"/>
  <c r="P229" i="15" a="1"/>
  <c r="P229" i="15" s="1"/>
  <c r="J229" i="15" a="1"/>
  <c r="J229" i="15" s="1"/>
  <c r="I229" i="15" a="1"/>
  <c r="I229" i="15" s="1"/>
  <c r="R229" i="15" a="1"/>
  <c r="R229" i="15" s="1"/>
  <c r="N229" i="15" a="1"/>
  <c r="N229" i="15" s="1"/>
  <c r="O229" i="15" a="1"/>
  <c r="O229" i="15" s="1"/>
  <c r="E230" i="15"/>
  <c r="E230" i="13"/>
  <c r="E232" i="14"/>
  <c r="L230" i="15" l="1" a="1"/>
  <c r="L230" i="15" s="1"/>
  <c r="K230" i="15" a="1"/>
  <c r="K230" i="15" s="1"/>
  <c r="J230" i="15" a="1"/>
  <c r="J230" i="15" s="1"/>
  <c r="I230" i="15" a="1"/>
  <c r="I230" i="15" s="1"/>
  <c r="F230" i="15" a="1"/>
  <c r="F230" i="15" s="1"/>
  <c r="M230" i="15" a="1"/>
  <c r="M230" i="15" s="1"/>
  <c r="H230" i="15" a="1"/>
  <c r="H230" i="15" s="1"/>
  <c r="G230" i="15" a="1"/>
  <c r="G230" i="15" s="1"/>
  <c r="P230" i="15" a="1"/>
  <c r="P230" i="15" s="1"/>
  <c r="O230" i="15" a="1"/>
  <c r="O230" i="15" s="1"/>
  <c r="S230" i="15" a="1"/>
  <c r="S230" i="15" s="1"/>
  <c r="R230" i="15" a="1"/>
  <c r="R230" i="15" s="1"/>
  <c r="Q230" i="15" a="1"/>
  <c r="Q230" i="15" s="1"/>
  <c r="N230" i="15" a="1"/>
  <c r="N230" i="15" s="1"/>
  <c r="E231" i="15"/>
  <c r="E231" i="13"/>
  <c r="E233" i="14"/>
  <c r="M231" i="15" l="1" a="1"/>
  <c r="M231" i="15" s="1"/>
  <c r="L231" i="15" a="1"/>
  <c r="L231" i="15" s="1"/>
  <c r="K231" i="15" a="1"/>
  <c r="K231" i="15" s="1"/>
  <c r="J231" i="15" a="1"/>
  <c r="J231" i="15" s="1"/>
  <c r="H231" i="15" a="1"/>
  <c r="H231" i="15" s="1"/>
  <c r="F231" i="15" a="1"/>
  <c r="F231" i="15" s="1"/>
  <c r="S231" i="15" a="1"/>
  <c r="S231" i="15" s="1"/>
  <c r="R231" i="15" a="1"/>
  <c r="R231" i="15" s="1"/>
  <c r="Q231" i="15" a="1"/>
  <c r="Q231" i="15" s="1"/>
  <c r="P231" i="15" a="1"/>
  <c r="P231" i="15" s="1"/>
  <c r="O231" i="15" a="1"/>
  <c r="O231" i="15" s="1"/>
  <c r="I231" i="15" a="1"/>
  <c r="I231" i="15" s="1"/>
  <c r="G231" i="15" a="1"/>
  <c r="G231" i="15" s="1"/>
  <c r="N231" i="15" a="1"/>
  <c r="N231" i="15" s="1"/>
  <c r="E232" i="15"/>
  <c r="E232" i="13"/>
  <c r="E234" i="14"/>
  <c r="K232" i="15" l="1" a="1"/>
  <c r="K232" i="15" s="1"/>
  <c r="J232" i="15" a="1"/>
  <c r="J232" i="15" s="1"/>
  <c r="R232" i="15" a="1"/>
  <c r="R232" i="15" s="1"/>
  <c r="G232" i="15" a="1"/>
  <c r="G232" i="15" s="1"/>
  <c r="N232" i="15" a="1"/>
  <c r="N232" i="15" s="1"/>
  <c r="S232" i="15" a="1"/>
  <c r="S232" i="15" s="1"/>
  <c r="Q232" i="15" a="1"/>
  <c r="Q232" i="15" s="1"/>
  <c r="L232" i="15" a="1"/>
  <c r="L232" i="15" s="1"/>
  <c r="I232" i="15" a="1"/>
  <c r="I232" i="15" s="1"/>
  <c r="H232" i="15" a="1"/>
  <c r="H232" i="15" s="1"/>
  <c r="M232" i="15" a="1"/>
  <c r="M232" i="15" s="1"/>
  <c r="F232" i="15" a="1"/>
  <c r="F232" i="15" s="1"/>
  <c r="O232" i="15" a="1"/>
  <c r="O232" i="15" s="1"/>
  <c r="P232" i="15" a="1"/>
  <c r="P232" i="15" s="1"/>
  <c r="E233" i="15"/>
  <c r="E235" i="14"/>
  <c r="E233" i="13"/>
  <c r="J233" i="15" l="1" a="1"/>
  <c r="J233" i="15" s="1"/>
  <c r="I233" i="15" a="1"/>
  <c r="I233" i="15" s="1"/>
  <c r="H233" i="15" a="1"/>
  <c r="H233" i="15" s="1"/>
  <c r="G233" i="15" a="1"/>
  <c r="G233" i="15" s="1"/>
  <c r="S233" i="15" a="1"/>
  <c r="S233" i="15" s="1"/>
  <c r="F233" i="15" a="1"/>
  <c r="F233" i="15" s="1"/>
  <c r="Q233" i="15" a="1"/>
  <c r="Q233" i="15" s="1"/>
  <c r="L233" i="15" a="1"/>
  <c r="L233" i="15" s="1"/>
  <c r="N233" i="15" a="1"/>
  <c r="N233" i="15" s="1"/>
  <c r="M233" i="15" a="1"/>
  <c r="M233" i="15" s="1"/>
  <c r="K233" i="15" a="1"/>
  <c r="K233" i="15" s="1"/>
  <c r="R233" i="15" a="1"/>
  <c r="R233" i="15" s="1"/>
  <c r="P233" i="15" a="1"/>
  <c r="P233" i="15" s="1"/>
  <c r="O233" i="15" a="1"/>
  <c r="O233" i="15" s="1"/>
  <c r="E234" i="15"/>
  <c r="E236" i="14"/>
  <c r="E234" i="13"/>
  <c r="I234" i="15" l="1" a="1"/>
  <c r="I234" i="15" s="1"/>
  <c r="H234" i="15" a="1"/>
  <c r="H234" i="15" s="1"/>
  <c r="G234" i="15" a="1"/>
  <c r="G234" i="15" s="1"/>
  <c r="R234" i="15" a="1"/>
  <c r="R234" i="15" s="1"/>
  <c r="P234" i="15" a="1"/>
  <c r="P234" i="15" s="1"/>
  <c r="K234" i="15" a="1"/>
  <c r="K234" i="15" s="1"/>
  <c r="S234" i="15" a="1"/>
  <c r="S234" i="15" s="1"/>
  <c r="Q234" i="15" a="1"/>
  <c r="Q234" i="15" s="1"/>
  <c r="O234" i="15" a="1"/>
  <c r="O234" i="15" s="1"/>
  <c r="N234" i="15" a="1"/>
  <c r="N234" i="15" s="1"/>
  <c r="L234" i="15" a="1"/>
  <c r="L234" i="15" s="1"/>
  <c r="J234" i="15" a="1"/>
  <c r="J234" i="15" s="1"/>
  <c r="M234" i="15" a="1"/>
  <c r="M234" i="15" s="1"/>
  <c r="F234" i="15" a="1"/>
  <c r="F234" i="15" s="1"/>
  <c r="E235" i="15"/>
  <c r="E237" i="14"/>
  <c r="E235" i="13"/>
  <c r="H235" i="15" l="1" a="1"/>
  <c r="H235" i="15" s="1"/>
  <c r="G235" i="15" a="1"/>
  <c r="G235" i="15" s="1"/>
  <c r="F235" i="15" a="1"/>
  <c r="F235" i="15" s="1"/>
  <c r="S235" i="15" a="1"/>
  <c r="S235" i="15" s="1"/>
  <c r="Q235" i="15" a="1"/>
  <c r="Q235" i="15" s="1"/>
  <c r="K235" i="15" a="1"/>
  <c r="K235" i="15" s="1"/>
  <c r="J235" i="15" a="1"/>
  <c r="J235" i="15" s="1"/>
  <c r="I235" i="15" a="1"/>
  <c r="I235" i="15" s="1"/>
  <c r="O235" i="15" a="1"/>
  <c r="O235" i="15" s="1"/>
  <c r="N235" i="15" a="1"/>
  <c r="N235" i="15" s="1"/>
  <c r="M235" i="15" a="1"/>
  <c r="M235" i="15" s="1"/>
  <c r="R235" i="15" a="1"/>
  <c r="R235" i="15" s="1"/>
  <c r="P235" i="15" a="1"/>
  <c r="P235" i="15" s="1"/>
  <c r="L235" i="15" a="1"/>
  <c r="L235" i="15" s="1"/>
  <c r="E236" i="15"/>
  <c r="E238" i="14"/>
  <c r="E236" i="13"/>
  <c r="I236" i="15" l="1" a="1"/>
  <c r="I236" i="15" s="1"/>
  <c r="H236" i="15" a="1"/>
  <c r="H236" i="15" s="1"/>
  <c r="G236" i="15" a="1"/>
  <c r="G236" i="15" s="1"/>
  <c r="S236" i="15" a="1"/>
  <c r="S236" i="15" s="1"/>
  <c r="F236" i="15" a="1"/>
  <c r="F236" i="15" s="1"/>
  <c r="Q236" i="15" a="1"/>
  <c r="Q236" i="15" s="1"/>
  <c r="L236" i="15" a="1"/>
  <c r="L236" i="15" s="1"/>
  <c r="R236" i="15" a="1"/>
  <c r="R236" i="15" s="1"/>
  <c r="P236" i="15" a="1"/>
  <c r="P236" i="15" s="1"/>
  <c r="O236" i="15" a="1"/>
  <c r="O236" i="15" s="1"/>
  <c r="N236" i="15" a="1"/>
  <c r="N236" i="15" s="1"/>
  <c r="M236" i="15" a="1"/>
  <c r="M236" i="15" s="1"/>
  <c r="K236" i="15" a="1"/>
  <c r="K236" i="15" s="1"/>
  <c r="J236" i="15" a="1"/>
  <c r="J236" i="15" s="1"/>
  <c r="E237" i="15"/>
  <c r="E239" i="14"/>
  <c r="E237" i="13"/>
  <c r="S237" i="15" l="1" a="1"/>
  <c r="S237" i="15" s="1"/>
  <c r="G237" i="15" a="1"/>
  <c r="G237" i="15" s="1"/>
  <c r="R237" i="15" a="1"/>
  <c r="R237" i="15" s="1"/>
  <c r="F237" i="15" a="1"/>
  <c r="F237" i="15" s="1"/>
  <c r="Q237" i="15" a="1"/>
  <c r="Q237" i="15" s="1"/>
  <c r="O237" i="15" a="1"/>
  <c r="O237" i="15" s="1"/>
  <c r="N237" i="15" a="1"/>
  <c r="N237" i="15" s="1"/>
  <c r="I237" i="15" a="1"/>
  <c r="I237" i="15" s="1"/>
  <c r="P237" i="15" a="1"/>
  <c r="P237" i="15" s="1"/>
  <c r="J237" i="15" a="1"/>
  <c r="J237" i="15" s="1"/>
  <c r="H237" i="15" a="1"/>
  <c r="H237" i="15" s="1"/>
  <c r="L237" i="15" a="1"/>
  <c r="L237" i="15" s="1"/>
  <c r="K237" i="15" a="1"/>
  <c r="K237" i="15" s="1"/>
  <c r="M237" i="15" a="1"/>
  <c r="M237" i="15" s="1"/>
  <c r="E238" i="15"/>
  <c r="E240" i="14"/>
  <c r="E238" i="13"/>
  <c r="S238" i="15" l="1" a="1"/>
  <c r="S238" i="15" s="1"/>
  <c r="R238" i="15" a="1"/>
  <c r="R238" i="15" s="1"/>
  <c r="Q238" i="15" a="1"/>
  <c r="Q238" i="15" s="1"/>
  <c r="P238" i="15" a="1"/>
  <c r="P238" i="15" s="1"/>
  <c r="M238" i="15" a="1"/>
  <c r="M238" i="15" s="1"/>
  <c r="I238" i="15" a="1"/>
  <c r="I238" i="15" s="1"/>
  <c r="H238" i="15" a="1"/>
  <c r="H238" i="15" s="1"/>
  <c r="N238" i="15" a="1"/>
  <c r="N238" i="15" s="1"/>
  <c r="L238" i="15" a="1"/>
  <c r="L238" i="15" s="1"/>
  <c r="K238" i="15" a="1"/>
  <c r="K238" i="15" s="1"/>
  <c r="J238" i="15" a="1"/>
  <c r="J238" i="15" s="1"/>
  <c r="G238" i="15" a="1"/>
  <c r="G238" i="15" s="1"/>
  <c r="O238" i="15" a="1"/>
  <c r="O238" i="15" s="1"/>
  <c r="F238" i="15" a="1"/>
  <c r="F238" i="15" s="1"/>
  <c r="E239" i="15"/>
  <c r="E241" i="14"/>
  <c r="E239" i="13"/>
  <c r="P239" i="15" l="1" a="1"/>
  <c r="P239" i="15" s="1"/>
  <c r="O239" i="15" a="1"/>
  <c r="O239" i="15" s="1"/>
  <c r="N239" i="15" a="1"/>
  <c r="N239" i="15" s="1"/>
  <c r="S239" i="15" a="1"/>
  <c r="S239" i="15" s="1"/>
  <c r="R239" i="15" a="1"/>
  <c r="R239" i="15" s="1"/>
  <c r="H239" i="15" a="1"/>
  <c r="H239" i="15" s="1"/>
  <c r="M239" i="15" a="1"/>
  <c r="M239" i="15" s="1"/>
  <c r="L239" i="15" a="1"/>
  <c r="L239" i="15" s="1"/>
  <c r="I239" i="15" a="1"/>
  <c r="I239" i="15" s="1"/>
  <c r="G239" i="15" a="1"/>
  <c r="G239" i="15" s="1"/>
  <c r="F239" i="15" a="1"/>
  <c r="F239" i="15" s="1"/>
  <c r="Q239" i="15" a="1"/>
  <c r="Q239" i="15" s="1"/>
  <c r="K239" i="15" a="1"/>
  <c r="K239" i="15" s="1"/>
  <c r="J239" i="15" a="1"/>
  <c r="J239" i="15" s="1"/>
  <c r="E240" i="15"/>
  <c r="E240" i="13"/>
  <c r="E242" i="14"/>
  <c r="M240" i="15" l="1" a="1"/>
  <c r="M240" i="15" s="1"/>
  <c r="L240" i="15" a="1"/>
  <c r="L240" i="15" s="1"/>
  <c r="J240" i="15" a="1"/>
  <c r="J240" i="15" s="1"/>
  <c r="I240" i="15" a="1"/>
  <c r="I240" i="15" s="1"/>
  <c r="P240" i="15" a="1"/>
  <c r="P240" i="15" s="1"/>
  <c r="O240" i="15" a="1"/>
  <c r="O240" i="15" s="1"/>
  <c r="H240" i="15" a="1"/>
  <c r="H240" i="15" s="1"/>
  <c r="G240" i="15" a="1"/>
  <c r="G240" i="15" s="1"/>
  <c r="F240" i="15" a="1"/>
  <c r="F240" i="15" s="1"/>
  <c r="Q240" i="15" a="1"/>
  <c r="Q240" i="15" s="1"/>
  <c r="N240" i="15" a="1"/>
  <c r="N240" i="15" s="1"/>
  <c r="S240" i="15" a="1"/>
  <c r="S240" i="15" s="1"/>
  <c r="R240" i="15" a="1"/>
  <c r="R240" i="15" s="1"/>
  <c r="K240" i="15" a="1"/>
  <c r="K240" i="15" s="1"/>
  <c r="E241" i="15"/>
  <c r="E241" i="13"/>
  <c r="E243" i="14"/>
  <c r="K241" i="15" l="1" a="1"/>
  <c r="K241" i="15" s="1"/>
  <c r="J241" i="15" a="1"/>
  <c r="J241" i="15" s="1"/>
  <c r="I241" i="15" a="1"/>
  <c r="I241" i="15" s="1"/>
  <c r="S241" i="15" a="1"/>
  <c r="S241" i="15" s="1"/>
  <c r="G241" i="15" a="1"/>
  <c r="G241" i="15" s="1"/>
  <c r="N241" i="15" a="1"/>
  <c r="N241" i="15" s="1"/>
  <c r="R241" i="15" a="1"/>
  <c r="R241" i="15" s="1"/>
  <c r="Q241" i="15" a="1"/>
  <c r="Q241" i="15" s="1"/>
  <c r="P241" i="15" a="1"/>
  <c r="P241" i="15" s="1"/>
  <c r="O241" i="15" a="1"/>
  <c r="O241" i="15" s="1"/>
  <c r="M241" i="15" a="1"/>
  <c r="M241" i="15" s="1"/>
  <c r="H241" i="15" a="1"/>
  <c r="H241" i="15" s="1"/>
  <c r="L241" i="15" a="1"/>
  <c r="L241" i="15" s="1"/>
  <c r="F241" i="15" a="1"/>
  <c r="F241" i="15" s="1"/>
  <c r="E242" i="15"/>
  <c r="E244" i="14"/>
  <c r="E242" i="13"/>
  <c r="J242" i="15" l="1" a="1"/>
  <c r="J242" i="15" s="1"/>
  <c r="I242" i="15" a="1"/>
  <c r="I242" i="15" s="1"/>
  <c r="S242" i="15" a="1"/>
  <c r="S242" i="15" s="1"/>
  <c r="H242" i="15" a="1"/>
  <c r="H242" i="15" s="1"/>
  <c r="Q242" i="15" a="1"/>
  <c r="Q242" i="15" s="1"/>
  <c r="P242" i="15" a="1"/>
  <c r="P242" i="15" s="1"/>
  <c r="M242" i="15" a="1"/>
  <c r="M242" i="15" s="1"/>
  <c r="F242" i="15" a="1"/>
  <c r="F242" i="15" s="1"/>
  <c r="R242" i="15" a="1"/>
  <c r="R242" i="15" s="1"/>
  <c r="L242" i="15" a="1"/>
  <c r="L242" i="15" s="1"/>
  <c r="K242" i="15" a="1"/>
  <c r="K242" i="15" s="1"/>
  <c r="O242" i="15" a="1"/>
  <c r="O242" i="15" s="1"/>
  <c r="N242" i="15" a="1"/>
  <c r="N242" i="15" s="1"/>
  <c r="G242" i="15" a="1"/>
  <c r="G242" i="15" s="1"/>
  <c r="E243" i="15"/>
  <c r="E245" i="14"/>
  <c r="E243" i="13"/>
  <c r="R243" i="15" l="1" a="1"/>
  <c r="R243" i="15" s="1"/>
  <c r="H243" i="15" a="1"/>
  <c r="H243" i="15" s="1"/>
  <c r="G243" i="15" a="1"/>
  <c r="G243" i="15" s="1"/>
  <c r="Q243" i="15" a="1"/>
  <c r="Q243" i="15" s="1"/>
  <c r="F243" i="15" a="1"/>
  <c r="F243" i="15" s="1"/>
  <c r="N243" i="15" a="1"/>
  <c r="N243" i="15" s="1"/>
  <c r="K243" i="15" a="1"/>
  <c r="K243" i="15" s="1"/>
  <c r="J243" i="15" a="1"/>
  <c r="J243" i="15" s="1"/>
  <c r="O243" i="15" a="1"/>
  <c r="O243" i="15" s="1"/>
  <c r="M243" i="15" a="1"/>
  <c r="M243" i="15" s="1"/>
  <c r="L243" i="15" a="1"/>
  <c r="L243" i="15" s="1"/>
  <c r="I243" i="15" a="1"/>
  <c r="I243" i="15" s="1"/>
  <c r="S243" i="15" a="1"/>
  <c r="S243" i="15" s="1"/>
  <c r="P243" i="15" a="1"/>
  <c r="P243" i="15" s="1"/>
  <c r="E244" i="15"/>
  <c r="E244" i="13"/>
  <c r="E246" i="14"/>
  <c r="O244" i="15" l="1" a="1"/>
  <c r="O244" i="15" s="1"/>
  <c r="N244" i="15" a="1"/>
  <c r="N244" i="15" s="1"/>
  <c r="K244" i="15" a="1"/>
  <c r="K244" i="15" s="1"/>
  <c r="G244" i="15" a="1"/>
  <c r="G244" i="15" s="1"/>
  <c r="Q244" i="15" a="1"/>
  <c r="Q244" i="15" s="1"/>
  <c r="F244" i="15" a="1"/>
  <c r="F244" i="15" s="1"/>
  <c r="S244" i="15" a="1"/>
  <c r="S244" i="15" s="1"/>
  <c r="R244" i="15" a="1"/>
  <c r="R244" i="15" s="1"/>
  <c r="M244" i="15" a="1"/>
  <c r="M244" i="15" s="1"/>
  <c r="L244" i="15" a="1"/>
  <c r="L244" i="15" s="1"/>
  <c r="H244" i="15" a="1"/>
  <c r="H244" i="15" s="1"/>
  <c r="P244" i="15" a="1"/>
  <c r="P244" i="15" s="1"/>
  <c r="I244" i="15" a="1"/>
  <c r="I244" i="15" s="1"/>
  <c r="J244" i="15" a="1"/>
  <c r="J244" i="15" s="1"/>
  <c r="E245" i="15"/>
  <c r="E247" i="14"/>
  <c r="E245" i="13"/>
  <c r="L245" i="15" l="1" a="1"/>
  <c r="L245" i="15" s="1"/>
  <c r="K245" i="15" a="1"/>
  <c r="K245" i="15" s="1"/>
  <c r="J245" i="15" a="1"/>
  <c r="J245" i="15" s="1"/>
  <c r="S245" i="15" a="1"/>
  <c r="S245" i="15" s="1"/>
  <c r="R245" i="15" a="1"/>
  <c r="R245" i="15" s="1"/>
  <c r="G245" i="15" a="1"/>
  <c r="G245" i="15" s="1"/>
  <c r="N245" i="15" a="1"/>
  <c r="N245" i="15" s="1"/>
  <c r="H245" i="15" a="1"/>
  <c r="H245" i="15" s="1"/>
  <c r="F245" i="15" a="1"/>
  <c r="F245" i="15" s="1"/>
  <c r="O245" i="15" a="1"/>
  <c r="O245" i="15" s="1"/>
  <c r="M245" i="15" a="1"/>
  <c r="M245" i="15" s="1"/>
  <c r="Q245" i="15" a="1"/>
  <c r="Q245" i="15" s="1"/>
  <c r="I245" i="15" a="1"/>
  <c r="I245" i="15" s="1"/>
  <c r="P245" i="15" a="1"/>
  <c r="P245" i="15" s="1"/>
  <c r="E246" i="15"/>
  <c r="E248" i="14"/>
  <c r="E246" i="13"/>
  <c r="R246" i="15" l="1" a="1"/>
  <c r="R246" i="15" s="1"/>
  <c r="H246" i="15" a="1"/>
  <c r="H246" i="15" s="1"/>
  <c r="G246" i="15" a="1"/>
  <c r="G246" i="15" s="1"/>
  <c r="Q246" i="15" a="1"/>
  <c r="Q246" i="15" s="1"/>
  <c r="F246" i="15" a="1"/>
  <c r="F246" i="15" s="1"/>
  <c r="P246" i="15" a="1"/>
  <c r="P246" i="15" s="1"/>
  <c r="O246" i="15" a="1"/>
  <c r="O246" i="15" s="1"/>
  <c r="K246" i="15" a="1"/>
  <c r="K246" i="15" s="1"/>
  <c r="N246" i="15" a="1"/>
  <c r="N246" i="15" s="1"/>
  <c r="M246" i="15" a="1"/>
  <c r="M246" i="15" s="1"/>
  <c r="L246" i="15" a="1"/>
  <c r="L246" i="15" s="1"/>
  <c r="J246" i="15" a="1"/>
  <c r="J246" i="15" s="1"/>
  <c r="S246" i="15" a="1"/>
  <c r="S246" i="15" s="1"/>
  <c r="I246" i="15" a="1"/>
  <c r="I246" i="15" s="1"/>
  <c r="E247" i="15"/>
  <c r="E247" i="13"/>
  <c r="E249" i="14"/>
  <c r="P247" i="15" l="1" a="1"/>
  <c r="P247" i="15" s="1"/>
  <c r="O247" i="15" a="1"/>
  <c r="O247" i="15" s="1"/>
  <c r="N247" i="15" a="1"/>
  <c r="N247" i="15" s="1"/>
  <c r="L247" i="15" a="1"/>
  <c r="L247" i="15" s="1"/>
  <c r="K247" i="15" a="1"/>
  <c r="K247" i="15" s="1"/>
  <c r="S247" i="15" a="1"/>
  <c r="S247" i="15" s="1"/>
  <c r="G247" i="15" a="1"/>
  <c r="G247" i="15" s="1"/>
  <c r="R247" i="15" a="1"/>
  <c r="R247" i="15" s="1"/>
  <c r="M247" i="15" a="1"/>
  <c r="M247" i="15" s="1"/>
  <c r="H247" i="15" a="1"/>
  <c r="H247" i="15" s="1"/>
  <c r="F247" i="15" a="1"/>
  <c r="F247" i="15" s="1"/>
  <c r="Q247" i="15" a="1"/>
  <c r="Q247" i="15" s="1"/>
  <c r="J247" i="15" a="1"/>
  <c r="J247" i="15" s="1"/>
  <c r="I247" i="15" a="1"/>
  <c r="I247" i="15" s="1"/>
  <c r="E248" i="15"/>
  <c r="E248" i="13"/>
  <c r="E250" i="14"/>
  <c r="M248" i="15" l="1" a="1"/>
  <c r="M248" i="15" s="1"/>
  <c r="L248" i="15" a="1"/>
  <c r="L248" i="15" s="1"/>
  <c r="J248" i="15" a="1"/>
  <c r="J248" i="15" s="1"/>
  <c r="S248" i="15" a="1"/>
  <c r="S248" i="15" s="1"/>
  <c r="H248" i="15" a="1"/>
  <c r="H248" i="15" s="1"/>
  <c r="P248" i="15" a="1"/>
  <c r="P248" i="15" s="1"/>
  <c r="O248" i="15" a="1"/>
  <c r="O248" i="15" s="1"/>
  <c r="I248" i="15" a="1"/>
  <c r="I248" i="15" s="1"/>
  <c r="G248" i="15" a="1"/>
  <c r="G248" i="15" s="1"/>
  <c r="F248" i="15" a="1"/>
  <c r="F248" i="15" s="1"/>
  <c r="N248" i="15" a="1"/>
  <c r="N248" i="15" s="1"/>
  <c r="R248" i="15" a="1"/>
  <c r="R248" i="15" s="1"/>
  <c r="K248" i="15" a="1"/>
  <c r="K248" i="15" s="1"/>
  <c r="Q248" i="15" a="1"/>
  <c r="Q248" i="15" s="1"/>
  <c r="E249" i="15"/>
  <c r="E249" i="13"/>
  <c r="E251" i="14"/>
  <c r="J249" i="15" l="1" a="1"/>
  <c r="J249" i="15" s="1"/>
  <c r="I249" i="15" a="1"/>
  <c r="I249" i="15" s="1"/>
  <c r="H249" i="15" a="1"/>
  <c r="H249" i="15" s="1"/>
  <c r="G249" i="15" a="1"/>
  <c r="G249" i="15" s="1"/>
  <c r="S249" i="15" a="1"/>
  <c r="S249" i="15" s="1"/>
  <c r="F249" i="15" a="1"/>
  <c r="F249" i="15" s="1"/>
  <c r="M249" i="15" a="1"/>
  <c r="M249" i="15" s="1"/>
  <c r="R249" i="15" a="1"/>
  <c r="R249" i="15" s="1"/>
  <c r="Q249" i="15" a="1"/>
  <c r="Q249" i="15" s="1"/>
  <c r="P249" i="15" a="1"/>
  <c r="P249" i="15" s="1"/>
  <c r="O249" i="15" a="1"/>
  <c r="O249" i="15" s="1"/>
  <c r="N249" i="15" a="1"/>
  <c r="N249" i="15" s="1"/>
  <c r="L249" i="15" a="1"/>
  <c r="L249" i="15" s="1"/>
  <c r="K249" i="15" a="1"/>
  <c r="K249" i="15" s="1"/>
  <c r="E250" i="15"/>
  <c r="E250" i="13"/>
  <c r="E252" i="14"/>
  <c r="S250" i="15" l="1" a="1"/>
  <c r="S250" i="15" s="1"/>
  <c r="G250" i="15" a="1"/>
  <c r="G250" i="15" s="1"/>
  <c r="R250" i="15" a="1"/>
  <c r="R250" i="15" s="1"/>
  <c r="Q250" i="15" a="1"/>
  <c r="Q250" i="15" s="1"/>
  <c r="F250" i="15" a="1"/>
  <c r="F250" i="15" s="1"/>
  <c r="P250" i="15" a="1"/>
  <c r="P250" i="15" s="1"/>
  <c r="O250" i="15" a="1"/>
  <c r="O250" i="15" s="1"/>
  <c r="J250" i="15" a="1"/>
  <c r="J250" i="15" s="1"/>
  <c r="I250" i="15" a="1"/>
  <c r="I250" i="15" s="1"/>
  <c r="K250" i="15" a="1"/>
  <c r="K250" i="15" s="1"/>
  <c r="H250" i="15" a="1"/>
  <c r="H250" i="15" s="1"/>
  <c r="N250" i="15" a="1"/>
  <c r="N250" i="15" s="1"/>
  <c r="L250" i="15" a="1"/>
  <c r="L250" i="15" s="1"/>
  <c r="M250" i="15" a="1"/>
  <c r="M250" i="15" s="1"/>
  <c r="E251" i="15"/>
  <c r="E251" i="13"/>
  <c r="E253" i="14"/>
  <c r="O251" i="15" l="1" a="1"/>
  <c r="O251" i="15" s="1"/>
  <c r="N251" i="15" a="1"/>
  <c r="N251" i="15" s="1"/>
  <c r="M251" i="15" a="1"/>
  <c r="M251" i="15" s="1"/>
  <c r="K251" i="15" a="1"/>
  <c r="K251" i="15" s="1"/>
  <c r="J251" i="15" a="1"/>
  <c r="J251" i="15" s="1"/>
  <c r="S251" i="15" a="1"/>
  <c r="S251" i="15" s="1"/>
  <c r="G251" i="15" a="1"/>
  <c r="G251" i="15" s="1"/>
  <c r="R251" i="15" a="1"/>
  <c r="R251" i="15" s="1"/>
  <c r="P251" i="15" a="1"/>
  <c r="P251" i="15" s="1"/>
  <c r="L251" i="15" a="1"/>
  <c r="L251" i="15" s="1"/>
  <c r="I251" i="15" a="1"/>
  <c r="I251" i="15" s="1"/>
  <c r="H251" i="15" a="1"/>
  <c r="H251" i="15" s="1"/>
  <c r="Q251" i="15" a="1"/>
  <c r="Q251" i="15" s="1"/>
  <c r="F251" i="15" a="1"/>
  <c r="F251" i="15" s="1"/>
  <c r="E252" i="15"/>
  <c r="E252" i="13"/>
  <c r="E254" i="14"/>
  <c r="N252" i="15" l="1" a="1"/>
  <c r="N252" i="15" s="1"/>
  <c r="M252" i="15" a="1"/>
  <c r="M252" i="15" s="1"/>
  <c r="L252" i="15" a="1"/>
  <c r="L252" i="15" s="1"/>
  <c r="J252" i="15" a="1"/>
  <c r="J252" i="15" s="1"/>
  <c r="I252" i="15" a="1"/>
  <c r="I252" i="15" s="1"/>
  <c r="Q252" i="15" a="1"/>
  <c r="Q252" i="15" s="1"/>
  <c r="S252" i="15" a="1"/>
  <c r="S252" i="15" s="1"/>
  <c r="R252" i="15" a="1"/>
  <c r="R252" i="15" s="1"/>
  <c r="P252" i="15" a="1"/>
  <c r="P252" i="15" s="1"/>
  <c r="G252" i="15" a="1"/>
  <c r="G252" i="15" s="1"/>
  <c r="F252" i="15" a="1"/>
  <c r="F252" i="15" s="1"/>
  <c r="O252" i="15" a="1"/>
  <c r="O252" i="15" s="1"/>
  <c r="K252" i="15" a="1"/>
  <c r="K252" i="15" s="1"/>
  <c r="H252" i="15" a="1"/>
  <c r="H252" i="15" s="1"/>
  <c r="E253" i="15"/>
  <c r="E255" i="14"/>
  <c r="E253" i="13"/>
  <c r="J253" i="15" l="1" a="1"/>
  <c r="J253" i="15" s="1"/>
  <c r="I253" i="15" a="1"/>
  <c r="I253" i="15" s="1"/>
  <c r="S253" i="15" a="1"/>
  <c r="S253" i="15" s="1"/>
  <c r="H253" i="15" a="1"/>
  <c r="H253" i="15" s="1"/>
  <c r="R253" i="15" a="1"/>
  <c r="R253" i="15" s="1"/>
  <c r="G253" i="15" a="1"/>
  <c r="G253" i="15" s="1"/>
  <c r="N253" i="15" a="1"/>
  <c r="N253" i="15" s="1"/>
  <c r="M253" i="15" a="1"/>
  <c r="M253" i="15" s="1"/>
  <c r="L253" i="15" a="1"/>
  <c r="L253" i="15" s="1"/>
  <c r="K253" i="15" a="1"/>
  <c r="K253" i="15" s="1"/>
  <c r="F253" i="15" a="1"/>
  <c r="F253" i="15" s="1"/>
  <c r="Q253" i="15" a="1"/>
  <c r="Q253" i="15" s="1"/>
  <c r="P253" i="15" a="1"/>
  <c r="P253" i="15" s="1"/>
  <c r="O253" i="15" a="1"/>
  <c r="O253" i="15" s="1"/>
  <c r="E254" i="15"/>
  <c r="E254" i="13"/>
  <c r="E256" i="14"/>
  <c r="S254" i="15" l="1" a="1"/>
  <c r="S254" i="15" s="1"/>
  <c r="I254" i="15" a="1"/>
  <c r="I254" i="15" s="1"/>
  <c r="R254" i="15" a="1"/>
  <c r="R254" i="15" s="1"/>
  <c r="H254" i="15" a="1"/>
  <c r="H254" i="15" s="1"/>
  <c r="G254" i="15" a="1"/>
  <c r="G254" i="15" s="1"/>
  <c r="P254" i="15" a="1"/>
  <c r="P254" i="15" s="1"/>
  <c r="O254" i="15" a="1"/>
  <c r="O254" i="15" s="1"/>
  <c r="N254" i="15" a="1"/>
  <c r="N254" i="15" s="1"/>
  <c r="K254" i="15" a="1"/>
  <c r="K254" i="15" s="1"/>
  <c r="Q254" i="15" a="1"/>
  <c r="Q254" i="15" s="1"/>
  <c r="L254" i="15" a="1"/>
  <c r="L254" i="15" s="1"/>
  <c r="F254" i="15" a="1"/>
  <c r="F254" i="15" s="1"/>
  <c r="J254" i="15" a="1"/>
  <c r="J254" i="15" s="1"/>
  <c r="M254" i="15" a="1"/>
  <c r="M254" i="15" s="1"/>
  <c r="E255" i="15"/>
  <c r="E255" i="13"/>
  <c r="E257" i="14"/>
  <c r="Q255" i="15" l="1" a="1"/>
  <c r="Q255" i="15" s="1"/>
  <c r="P255" i="15" a="1"/>
  <c r="P255" i="15" s="1"/>
  <c r="O255" i="15" a="1"/>
  <c r="O255" i="15" s="1"/>
  <c r="N255" i="15" a="1"/>
  <c r="N255" i="15" s="1"/>
  <c r="L255" i="15" a="1"/>
  <c r="L255" i="15" s="1"/>
  <c r="H255" i="15" a="1"/>
  <c r="H255" i="15" s="1"/>
  <c r="J255" i="15" a="1"/>
  <c r="J255" i="15" s="1"/>
  <c r="I255" i="15" a="1"/>
  <c r="I255" i="15" s="1"/>
  <c r="G255" i="15" a="1"/>
  <c r="G255" i="15" s="1"/>
  <c r="F255" i="15" a="1"/>
  <c r="F255" i="15" s="1"/>
  <c r="S255" i="15" a="1"/>
  <c r="S255" i="15" s="1"/>
  <c r="R255" i="15" a="1"/>
  <c r="R255" i="15" s="1"/>
  <c r="M255" i="15" a="1"/>
  <c r="M255" i="15" s="1"/>
  <c r="K255" i="15" a="1"/>
  <c r="K255" i="15" s="1"/>
  <c r="E256" i="15"/>
  <c r="E256" i="13"/>
  <c r="E258" i="14"/>
  <c r="M256" i="15" l="1" a="1"/>
  <c r="M256" i="15" s="1"/>
  <c r="L256" i="15" a="1"/>
  <c r="L256" i="15" s="1"/>
  <c r="J256" i="15" a="1"/>
  <c r="J256" i="15" s="1"/>
  <c r="I256" i="15" a="1"/>
  <c r="I256" i="15" s="1"/>
  <c r="Q256" i="15" a="1"/>
  <c r="Q256" i="15" s="1"/>
  <c r="F256" i="15" a="1"/>
  <c r="F256" i="15" s="1"/>
  <c r="P256" i="15" a="1"/>
  <c r="P256" i="15" s="1"/>
  <c r="S256" i="15" a="1"/>
  <c r="S256" i="15" s="1"/>
  <c r="R256" i="15" a="1"/>
  <c r="R256" i="15" s="1"/>
  <c r="O256" i="15" a="1"/>
  <c r="O256" i="15" s="1"/>
  <c r="K256" i="15" a="1"/>
  <c r="K256" i="15" s="1"/>
  <c r="H256" i="15" a="1"/>
  <c r="H256" i="15" s="1"/>
  <c r="N256" i="15" a="1"/>
  <c r="N256" i="15" s="1"/>
  <c r="G256" i="15" a="1"/>
  <c r="G256" i="15" s="1"/>
  <c r="E257" i="15"/>
  <c r="E259" i="14"/>
  <c r="E257" i="13"/>
  <c r="M257" i="15" l="1" a="1"/>
  <c r="M257" i="15" s="1"/>
  <c r="L257" i="15" a="1"/>
  <c r="L257" i="15" s="1"/>
  <c r="K257" i="15" a="1"/>
  <c r="K257" i="15" s="1"/>
  <c r="I257" i="15" a="1"/>
  <c r="I257" i="15" s="1"/>
  <c r="H257" i="15" a="1"/>
  <c r="H257" i="15" s="1"/>
  <c r="S257" i="15" a="1"/>
  <c r="S257" i="15" s="1"/>
  <c r="G257" i="15" a="1"/>
  <c r="G257" i="15" s="1"/>
  <c r="O257" i="15" a="1"/>
  <c r="O257" i="15" s="1"/>
  <c r="J257" i="15" a="1"/>
  <c r="J257" i="15" s="1"/>
  <c r="F257" i="15" a="1"/>
  <c r="F257" i="15" s="1"/>
  <c r="Q257" i="15" a="1"/>
  <c r="Q257" i="15" s="1"/>
  <c r="P257" i="15" a="1"/>
  <c r="P257" i="15" s="1"/>
  <c r="N257" i="15" a="1"/>
  <c r="N257" i="15" s="1"/>
  <c r="R257" i="15" a="1"/>
  <c r="R257" i="15" s="1"/>
  <c r="E258" i="15"/>
  <c r="E258" i="13"/>
  <c r="E260" i="14"/>
  <c r="J258" i="15" l="1" a="1"/>
  <c r="J258" i="15" s="1"/>
  <c r="I258" i="15" a="1"/>
  <c r="I258" i="15" s="1"/>
  <c r="H258" i="15" a="1"/>
  <c r="H258" i="15" s="1"/>
  <c r="R258" i="15" a="1"/>
  <c r="R258" i="15" s="1"/>
  <c r="G258" i="15" a="1"/>
  <c r="G258" i="15" s="1"/>
  <c r="Q258" i="15" a="1"/>
  <c r="Q258" i="15" s="1"/>
  <c r="F258" i="15" a="1"/>
  <c r="F258" i="15" s="1"/>
  <c r="L258" i="15" a="1"/>
  <c r="L258" i="15" s="1"/>
  <c r="S258" i="15" a="1"/>
  <c r="S258" i="15" s="1"/>
  <c r="P258" i="15" a="1"/>
  <c r="P258" i="15" s="1"/>
  <c r="O258" i="15" a="1"/>
  <c r="O258" i="15" s="1"/>
  <c r="N258" i="15" a="1"/>
  <c r="N258" i="15" s="1"/>
  <c r="M258" i="15" a="1"/>
  <c r="M258" i="15" s="1"/>
  <c r="K258" i="15" a="1"/>
  <c r="K258" i="15" s="1"/>
  <c r="E259" i="15"/>
  <c r="E261" i="14"/>
  <c r="E259" i="13"/>
  <c r="I259" i="15" l="1" a="1"/>
  <c r="I259" i="15" s="1"/>
  <c r="H259" i="15" a="1"/>
  <c r="H259" i="15" s="1"/>
  <c r="S259" i="15" a="1"/>
  <c r="S259" i="15" s="1"/>
  <c r="G259" i="15" a="1"/>
  <c r="G259" i="15" s="1"/>
  <c r="R259" i="15" a="1"/>
  <c r="R259" i="15" s="1"/>
  <c r="F259" i="15" a="1"/>
  <c r="F259" i="15" s="1"/>
  <c r="Q259" i="15" a="1"/>
  <c r="Q259" i="15" s="1"/>
  <c r="P259" i="15" a="1"/>
  <c r="P259" i="15" s="1"/>
  <c r="L259" i="15" a="1"/>
  <c r="L259" i="15" s="1"/>
  <c r="K259" i="15" a="1"/>
  <c r="K259" i="15" s="1"/>
  <c r="J259" i="15" a="1"/>
  <c r="J259" i="15" s="1"/>
  <c r="O259" i="15" a="1"/>
  <c r="O259" i="15" s="1"/>
  <c r="N259" i="15" a="1"/>
  <c r="N259" i="15" s="1"/>
  <c r="M259" i="15" a="1"/>
  <c r="M259" i="15" s="1"/>
  <c r="E260" i="15"/>
  <c r="E260" i="13"/>
  <c r="E262" i="14"/>
  <c r="R260" i="15" l="1" a="1"/>
  <c r="R260" i="15" s="1"/>
  <c r="F260" i="15" a="1"/>
  <c r="F260" i="15" s="1"/>
  <c r="G260" i="15" a="1"/>
  <c r="G260" i="15" s="1"/>
  <c r="S260" i="15" a="1"/>
  <c r="S260" i="15" s="1"/>
  <c r="Q260" i="15" a="1"/>
  <c r="Q260" i="15" s="1"/>
  <c r="P260" i="15" a="1"/>
  <c r="P260" i="15" s="1"/>
  <c r="N260" i="15" a="1"/>
  <c r="N260" i="15" s="1"/>
  <c r="J260" i="15" a="1"/>
  <c r="J260" i="15" s="1"/>
  <c r="I260" i="15" a="1"/>
  <c r="I260" i="15" s="1"/>
  <c r="O260" i="15" a="1"/>
  <c r="O260" i="15" s="1"/>
  <c r="M260" i="15" a="1"/>
  <c r="M260" i="15" s="1"/>
  <c r="L260" i="15" a="1"/>
  <c r="L260" i="15" s="1"/>
  <c r="K260" i="15" a="1"/>
  <c r="K260" i="15" s="1"/>
  <c r="H260" i="15" a="1"/>
  <c r="H260" i="15" s="1"/>
  <c r="E261" i="15"/>
  <c r="E263" i="14"/>
  <c r="E261" i="13"/>
  <c r="Q261" i="15" l="1" a="1"/>
  <c r="Q261" i="15" s="1"/>
  <c r="F261" i="15" a="1"/>
  <c r="F261" i="15" s="1"/>
  <c r="S261" i="15" a="1"/>
  <c r="S261" i="15" s="1"/>
  <c r="R261" i="15" a="1"/>
  <c r="R261" i="15" s="1"/>
  <c r="P261" i="15" a="1"/>
  <c r="P261" i="15" s="1"/>
  <c r="O261" i="15" a="1"/>
  <c r="O261" i="15" s="1"/>
  <c r="N261" i="15" a="1"/>
  <c r="N261" i="15" s="1"/>
  <c r="J261" i="15" a="1"/>
  <c r="J261" i="15" s="1"/>
  <c r="I261" i="15" a="1"/>
  <c r="I261" i="15" s="1"/>
  <c r="L261" i="15" a="1"/>
  <c r="L261" i="15" s="1"/>
  <c r="K261" i="15" a="1"/>
  <c r="K261" i="15" s="1"/>
  <c r="H261" i="15" a="1"/>
  <c r="H261" i="15" s="1"/>
  <c r="G261" i="15" a="1"/>
  <c r="G261" i="15" s="1"/>
  <c r="M261" i="15" a="1"/>
  <c r="M261" i="15" s="1"/>
  <c r="E262" i="15"/>
  <c r="E262" i="13"/>
  <c r="E264" i="14"/>
  <c r="O262" i="15" l="1" a="1"/>
  <c r="O262" i="15" s="1"/>
  <c r="N262" i="15" a="1"/>
  <c r="N262" i="15" s="1"/>
  <c r="M262" i="15" a="1"/>
  <c r="M262" i="15" s="1"/>
  <c r="F262" i="15" a="1"/>
  <c r="F262" i="15" s="1"/>
  <c r="R262" i="15" a="1"/>
  <c r="R262" i="15" s="1"/>
  <c r="Q262" i="15" a="1"/>
  <c r="Q262" i="15" s="1"/>
  <c r="P262" i="15" a="1"/>
  <c r="P262" i="15" s="1"/>
  <c r="L262" i="15" a="1"/>
  <c r="L262" i="15" s="1"/>
  <c r="I262" i="15" a="1"/>
  <c r="I262" i="15" s="1"/>
  <c r="H262" i="15" a="1"/>
  <c r="H262" i="15" s="1"/>
  <c r="S262" i="15" a="1"/>
  <c r="S262" i="15" s="1"/>
  <c r="K262" i="15" a="1"/>
  <c r="K262" i="15" s="1"/>
  <c r="G262" i="15" a="1"/>
  <c r="G262" i="15" s="1"/>
  <c r="J262" i="15" a="1"/>
  <c r="J262" i="15" s="1"/>
  <c r="E263" i="15"/>
  <c r="E265" i="14"/>
  <c r="E263" i="13"/>
  <c r="L263" i="15" l="1" a="1"/>
  <c r="L263" i="15" s="1"/>
  <c r="K263" i="15" a="1"/>
  <c r="K263" i="15" s="1"/>
  <c r="J263" i="15" a="1"/>
  <c r="J263" i="15" s="1"/>
  <c r="I263" i="15" a="1"/>
  <c r="I263" i="15" s="1"/>
  <c r="S263" i="15" a="1"/>
  <c r="S263" i="15" s="1"/>
  <c r="R263" i="15" a="1"/>
  <c r="R263" i="15" s="1"/>
  <c r="Q263" i="15" a="1"/>
  <c r="Q263" i="15" s="1"/>
  <c r="O263" i="15" a="1"/>
  <c r="O263" i="15" s="1"/>
  <c r="N263" i="15" a="1"/>
  <c r="N263" i="15" s="1"/>
  <c r="F263" i="15" a="1"/>
  <c r="F263" i="15" s="1"/>
  <c r="P263" i="15" a="1"/>
  <c r="P263" i="15" s="1"/>
  <c r="M263" i="15" a="1"/>
  <c r="M263" i="15" s="1"/>
  <c r="H263" i="15" a="1"/>
  <c r="H263" i="15" s="1"/>
  <c r="G263" i="15" a="1"/>
  <c r="G263" i="15" s="1"/>
  <c r="E264" i="15"/>
  <c r="E264" i="13"/>
  <c r="E266" i="14"/>
  <c r="J264" i="15" l="1" a="1"/>
  <c r="J264" i="15" s="1"/>
  <c r="I264" i="15" a="1"/>
  <c r="I264" i="15" s="1"/>
  <c r="H264" i="15" a="1"/>
  <c r="H264" i="15" s="1"/>
  <c r="G264" i="15" a="1"/>
  <c r="G264" i="15" s="1"/>
  <c r="S264" i="15" a="1"/>
  <c r="S264" i="15" s="1"/>
  <c r="R264" i="15" a="1"/>
  <c r="R264" i="15" s="1"/>
  <c r="P264" i="15" a="1"/>
  <c r="P264" i="15" s="1"/>
  <c r="O264" i="15" a="1"/>
  <c r="O264" i="15" s="1"/>
  <c r="N264" i="15" a="1"/>
  <c r="N264" i="15" s="1"/>
  <c r="L264" i="15" a="1"/>
  <c r="L264" i="15" s="1"/>
  <c r="K264" i="15" a="1"/>
  <c r="K264" i="15" s="1"/>
  <c r="F264" i="15" a="1"/>
  <c r="F264" i="15" s="1"/>
  <c r="M264" i="15" a="1"/>
  <c r="M264" i="15" s="1"/>
  <c r="Q264" i="15" a="1"/>
  <c r="Q264" i="15" s="1"/>
  <c r="E265" i="15"/>
  <c r="E265" i="13"/>
  <c r="E267" i="14"/>
  <c r="H265" i="15" l="1" a="1"/>
  <c r="H265" i="15" s="1"/>
  <c r="S265" i="15" a="1"/>
  <c r="S265" i="15" s="1"/>
  <c r="G265" i="15" a="1"/>
  <c r="G265" i="15" s="1"/>
  <c r="R265" i="15" a="1"/>
  <c r="R265" i="15" s="1"/>
  <c r="F265" i="15" a="1"/>
  <c r="F265" i="15" s="1"/>
  <c r="Q265" i="15" a="1"/>
  <c r="Q265" i="15" s="1"/>
  <c r="P265" i="15" a="1"/>
  <c r="P265" i="15" s="1"/>
  <c r="J265" i="15" a="1"/>
  <c r="J265" i="15" s="1"/>
  <c r="I265" i="15" a="1"/>
  <c r="I265" i="15" s="1"/>
  <c r="L265" i="15" a="1"/>
  <c r="L265" i="15" s="1"/>
  <c r="K265" i="15" a="1"/>
  <c r="K265" i="15" s="1"/>
  <c r="O265" i="15" a="1"/>
  <c r="O265" i="15" s="1"/>
  <c r="N265" i="15" a="1"/>
  <c r="N265" i="15" s="1"/>
  <c r="M265" i="15" a="1"/>
  <c r="M265" i="15" s="1"/>
  <c r="E266" i="15"/>
  <c r="E268" i="14"/>
  <c r="E266" i="13"/>
  <c r="R266" i="15" l="1" a="1"/>
  <c r="R266" i="15" s="1"/>
  <c r="F266" i="15" a="1"/>
  <c r="F266" i="15" s="1"/>
  <c r="Q266" i="15" a="1"/>
  <c r="Q266" i="15" s="1"/>
  <c r="P266" i="15" a="1"/>
  <c r="P266" i="15" s="1"/>
  <c r="O266" i="15" a="1"/>
  <c r="O266" i="15" s="1"/>
  <c r="L266" i="15" a="1"/>
  <c r="L266" i="15" s="1"/>
  <c r="K266" i="15" a="1"/>
  <c r="K266" i="15" s="1"/>
  <c r="J266" i="15" a="1"/>
  <c r="J266" i="15" s="1"/>
  <c r="H266" i="15" a="1"/>
  <c r="H266" i="15" s="1"/>
  <c r="G266" i="15" a="1"/>
  <c r="G266" i="15" s="1"/>
  <c r="S266" i="15" a="1"/>
  <c r="S266" i="15" s="1"/>
  <c r="M266" i="15" a="1"/>
  <c r="M266" i="15" s="1"/>
  <c r="N266" i="15" a="1"/>
  <c r="N266" i="15" s="1"/>
  <c r="I266" i="15" a="1"/>
  <c r="I266" i="15" s="1"/>
  <c r="E267" i="15"/>
  <c r="E269" i="14"/>
  <c r="E267" i="13"/>
  <c r="P267" i="15" l="1" a="1"/>
  <c r="P267" i="15" s="1"/>
  <c r="O267" i="15" a="1"/>
  <c r="O267" i="15" s="1"/>
  <c r="N267" i="15" a="1"/>
  <c r="N267" i="15" s="1"/>
  <c r="M267" i="15" a="1"/>
  <c r="M267" i="15" s="1"/>
  <c r="R267" i="15" a="1"/>
  <c r="R267" i="15" s="1"/>
  <c r="Q267" i="15" a="1"/>
  <c r="Q267" i="15" s="1"/>
  <c r="K267" i="15" a="1"/>
  <c r="K267" i="15" s="1"/>
  <c r="J267" i="15" a="1"/>
  <c r="J267" i="15" s="1"/>
  <c r="I267" i="15" a="1"/>
  <c r="I267" i="15" s="1"/>
  <c r="S267" i="15" a="1"/>
  <c r="S267" i="15" s="1"/>
  <c r="G267" i="15" a="1"/>
  <c r="G267" i="15" s="1"/>
  <c r="F267" i="15" a="1"/>
  <c r="F267" i="15" s="1"/>
  <c r="L267" i="15" a="1"/>
  <c r="L267" i="15" s="1"/>
  <c r="H267" i="15" a="1"/>
  <c r="H267" i="15" s="1"/>
  <c r="E268" i="15"/>
  <c r="E268" i="13"/>
  <c r="E270" i="14"/>
  <c r="L268" i="15" l="1" a="1"/>
  <c r="L268" i="15" s="1"/>
  <c r="K268" i="15" a="1"/>
  <c r="K268" i="15" s="1"/>
  <c r="J268" i="15" a="1"/>
  <c r="J268" i="15" s="1"/>
  <c r="I268" i="15" a="1"/>
  <c r="I268" i="15" s="1"/>
  <c r="S268" i="15" a="1"/>
  <c r="S268" i="15" s="1"/>
  <c r="R268" i="15" a="1"/>
  <c r="R268" i="15" s="1"/>
  <c r="Q268" i="15" a="1"/>
  <c r="Q268" i="15" s="1"/>
  <c r="P268" i="15" a="1"/>
  <c r="P268" i="15" s="1"/>
  <c r="O268" i="15" a="1"/>
  <c r="O268" i="15" s="1"/>
  <c r="F268" i="15" a="1"/>
  <c r="F268" i="15" s="1"/>
  <c r="G268" i="15" a="1"/>
  <c r="G268" i="15" s="1"/>
  <c r="M268" i="15" a="1"/>
  <c r="M268" i="15" s="1"/>
  <c r="H268" i="15" a="1"/>
  <c r="H268" i="15" s="1"/>
  <c r="N268" i="15" a="1"/>
  <c r="N268" i="15" s="1"/>
  <c r="E269" i="15"/>
  <c r="E271" i="14"/>
  <c r="E269" i="13"/>
  <c r="J269" i="15" l="1" a="1"/>
  <c r="J269" i="15" s="1"/>
  <c r="I269" i="15" a="1"/>
  <c r="I269" i="15" s="1"/>
  <c r="H269" i="15" a="1"/>
  <c r="H269" i="15" s="1"/>
  <c r="G269" i="15" a="1"/>
  <c r="G269" i="15" s="1"/>
  <c r="S269" i="15" a="1"/>
  <c r="S269" i="15" s="1"/>
  <c r="N269" i="15" a="1"/>
  <c r="N269" i="15" s="1"/>
  <c r="F269" i="15" a="1"/>
  <c r="F269" i="15" s="1"/>
  <c r="M269" i="15" a="1"/>
  <c r="M269" i="15" s="1"/>
  <c r="K269" i="15" a="1"/>
  <c r="K269" i="15" s="1"/>
  <c r="R269" i="15" a="1"/>
  <c r="R269" i="15" s="1"/>
  <c r="Q269" i="15" a="1"/>
  <c r="Q269" i="15" s="1"/>
  <c r="P269" i="15" a="1"/>
  <c r="P269" i="15" s="1"/>
  <c r="O269" i="15" a="1"/>
  <c r="O269" i="15" s="1"/>
  <c r="L269" i="15" a="1"/>
  <c r="L269" i="15" s="1"/>
  <c r="E270" i="15"/>
  <c r="E270" i="13"/>
  <c r="E272" i="14"/>
  <c r="I270" i="15" l="1" a="1"/>
  <c r="I270" i="15" s="1"/>
  <c r="S270" i="15" a="1"/>
  <c r="S270" i="15" s="1"/>
  <c r="R270" i="15" a="1"/>
  <c r="R270" i="15" s="1"/>
  <c r="H270" i="15" a="1"/>
  <c r="H270" i="15" s="1"/>
  <c r="Q270" i="15" a="1"/>
  <c r="Q270" i="15" s="1"/>
  <c r="G270" i="15" a="1"/>
  <c r="G270" i="15" s="1"/>
  <c r="P270" i="15" a="1"/>
  <c r="P270" i="15" s="1"/>
  <c r="F270" i="15" a="1"/>
  <c r="F270" i="15" s="1"/>
  <c r="K270" i="15" a="1"/>
  <c r="K270" i="15" s="1"/>
  <c r="N270" i="15" a="1"/>
  <c r="N270" i="15" s="1"/>
  <c r="M270" i="15" a="1"/>
  <c r="M270" i="15" s="1"/>
  <c r="L270" i="15" a="1"/>
  <c r="L270" i="15" s="1"/>
  <c r="J270" i="15" a="1"/>
  <c r="J270" i="15" s="1"/>
  <c r="O270" i="15" a="1"/>
  <c r="O270" i="15" s="1"/>
  <c r="E271" i="15"/>
  <c r="E273" i="14"/>
  <c r="E271" i="13"/>
  <c r="P271" i="15" l="1" a="1"/>
  <c r="P271" i="15" s="1"/>
  <c r="O271" i="15" a="1"/>
  <c r="O271" i="15" s="1"/>
  <c r="N271" i="15" a="1"/>
  <c r="N271" i="15" s="1"/>
  <c r="M271" i="15" a="1"/>
  <c r="M271" i="15" s="1"/>
  <c r="L271" i="15" a="1"/>
  <c r="L271" i="15" s="1"/>
  <c r="R271" i="15" a="1"/>
  <c r="R271" i="15" s="1"/>
  <c r="H271" i="15" a="1"/>
  <c r="H271" i="15" s="1"/>
  <c r="S271" i="15" a="1"/>
  <c r="S271" i="15" s="1"/>
  <c r="Q271" i="15" a="1"/>
  <c r="Q271" i="15" s="1"/>
  <c r="K271" i="15" a="1"/>
  <c r="K271" i="15" s="1"/>
  <c r="J271" i="15" a="1"/>
  <c r="J271" i="15" s="1"/>
  <c r="F271" i="15" a="1"/>
  <c r="F271" i="15" s="1"/>
  <c r="G271" i="15" a="1"/>
  <c r="G271" i="15" s="1"/>
  <c r="I271" i="15" a="1"/>
  <c r="I271" i="15" s="1"/>
  <c r="E272" i="15"/>
  <c r="E274" i="14"/>
  <c r="E272" i="13"/>
  <c r="M272" i="15" l="1" a="1"/>
  <c r="M272" i="15" s="1"/>
  <c r="L272" i="15" a="1"/>
  <c r="L272" i="15" s="1"/>
  <c r="K272" i="15" a="1"/>
  <c r="K272" i="15" s="1"/>
  <c r="J272" i="15" a="1"/>
  <c r="J272" i="15" s="1"/>
  <c r="I272" i="15" a="1"/>
  <c r="I272" i="15" s="1"/>
  <c r="O272" i="15" a="1"/>
  <c r="O272" i="15" s="1"/>
  <c r="R272" i="15" a="1"/>
  <c r="R272" i="15" s="1"/>
  <c r="Q272" i="15" a="1"/>
  <c r="Q272" i="15" s="1"/>
  <c r="H272" i="15" a="1"/>
  <c r="H272" i="15" s="1"/>
  <c r="G272" i="15" a="1"/>
  <c r="G272" i="15" s="1"/>
  <c r="F272" i="15" a="1"/>
  <c r="F272" i="15" s="1"/>
  <c r="S272" i="15" a="1"/>
  <c r="S272" i="15" s="1"/>
  <c r="P272" i="15" a="1"/>
  <c r="P272" i="15" s="1"/>
  <c r="N272" i="15" a="1"/>
  <c r="N272" i="15" s="1"/>
  <c r="E273" i="15"/>
  <c r="E275" i="14"/>
  <c r="E273" i="13"/>
  <c r="L273" i="15" l="1" a="1"/>
  <c r="L273" i="15" s="1"/>
  <c r="K273" i="15" a="1"/>
  <c r="K273" i="15" s="1"/>
  <c r="J273" i="15" a="1"/>
  <c r="J273" i="15" s="1"/>
  <c r="I273" i="15" a="1"/>
  <c r="I273" i="15" s="1"/>
  <c r="H273" i="15" a="1"/>
  <c r="H273" i="15" s="1"/>
  <c r="G273" i="15" a="1"/>
  <c r="G273" i="15" s="1"/>
  <c r="O273" i="15" a="1"/>
  <c r="O273" i="15" s="1"/>
  <c r="N273" i="15" a="1"/>
  <c r="N273" i="15" s="1"/>
  <c r="M273" i="15" a="1"/>
  <c r="M273" i="15" s="1"/>
  <c r="F273" i="15" a="1"/>
  <c r="F273" i="15" s="1"/>
  <c r="R273" i="15" a="1"/>
  <c r="R273" i="15" s="1"/>
  <c r="Q273" i="15" a="1"/>
  <c r="Q273" i="15" s="1"/>
  <c r="S273" i="15" a="1"/>
  <c r="S273" i="15" s="1"/>
  <c r="P273" i="15" a="1"/>
  <c r="P273" i="15" s="1"/>
  <c r="E274" i="15"/>
  <c r="E274" i="13"/>
  <c r="E276" i="14"/>
  <c r="J274" i="15" l="1" a="1"/>
  <c r="J274" i="15" s="1"/>
  <c r="I274" i="15" a="1"/>
  <c r="I274" i="15" s="1"/>
  <c r="H274" i="15" a="1"/>
  <c r="H274" i="15" s="1"/>
  <c r="S274" i="15" a="1"/>
  <c r="S274" i="15" s="1"/>
  <c r="G274" i="15" a="1"/>
  <c r="G274" i="15" s="1"/>
  <c r="R274" i="15" a="1"/>
  <c r="R274" i="15" s="1"/>
  <c r="P274" i="15" a="1"/>
  <c r="P274" i="15" s="1"/>
  <c r="M274" i="15" a="1"/>
  <c r="M274" i="15" s="1"/>
  <c r="Q274" i="15" a="1"/>
  <c r="Q274" i="15" s="1"/>
  <c r="N274" i="15" a="1"/>
  <c r="N274" i="15" s="1"/>
  <c r="L274" i="15" a="1"/>
  <c r="L274" i="15" s="1"/>
  <c r="O274" i="15" a="1"/>
  <c r="O274" i="15" s="1"/>
  <c r="K274" i="15" a="1"/>
  <c r="K274" i="15" s="1"/>
  <c r="F274" i="15" a="1"/>
  <c r="F274" i="15" s="1"/>
  <c r="E275" i="15"/>
  <c r="E275" i="13"/>
  <c r="E277" i="14"/>
  <c r="H275" i="15" l="1" a="1"/>
  <c r="H275" i="15" s="1"/>
  <c r="S275" i="15" a="1"/>
  <c r="S275" i="15" s="1"/>
  <c r="G275" i="15" a="1"/>
  <c r="G275" i="15" s="1"/>
  <c r="R275" i="15" a="1"/>
  <c r="R275" i="15" s="1"/>
  <c r="F275" i="15" a="1"/>
  <c r="F275" i="15" s="1"/>
  <c r="Q275" i="15" a="1"/>
  <c r="Q275" i="15" s="1"/>
  <c r="P275" i="15" a="1"/>
  <c r="P275" i="15" s="1"/>
  <c r="O275" i="15" a="1"/>
  <c r="O275" i="15" s="1"/>
  <c r="N275" i="15" a="1"/>
  <c r="N275" i="15" s="1"/>
  <c r="K275" i="15" a="1"/>
  <c r="K275" i="15" s="1"/>
  <c r="I275" i="15" a="1"/>
  <c r="I275" i="15" s="1"/>
  <c r="L275" i="15" a="1"/>
  <c r="L275" i="15" s="1"/>
  <c r="J275" i="15" a="1"/>
  <c r="J275" i="15" s="1"/>
  <c r="M275" i="15" a="1"/>
  <c r="M275" i="15" s="1"/>
  <c r="E276" i="15"/>
  <c r="E276" i="13"/>
  <c r="E278" i="14"/>
  <c r="Q276" i="15" l="1" a="1"/>
  <c r="Q276" i="15" s="1"/>
  <c r="F276" i="15" a="1"/>
  <c r="F276" i="15" s="1"/>
  <c r="P276" i="15" a="1"/>
  <c r="P276" i="15" s="1"/>
  <c r="O276" i="15" a="1"/>
  <c r="O276" i="15" s="1"/>
  <c r="N276" i="15" a="1"/>
  <c r="N276" i="15" s="1"/>
  <c r="M276" i="15" a="1"/>
  <c r="M276" i="15" s="1"/>
  <c r="R276" i="15" a="1"/>
  <c r="R276" i="15" s="1"/>
  <c r="K276" i="15" a="1"/>
  <c r="K276" i="15" s="1"/>
  <c r="J276" i="15" a="1"/>
  <c r="J276" i="15" s="1"/>
  <c r="I276" i="15" a="1"/>
  <c r="I276" i="15" s="1"/>
  <c r="S276" i="15" a="1"/>
  <c r="S276" i="15" s="1"/>
  <c r="G276" i="15" a="1"/>
  <c r="G276" i="15" s="1"/>
  <c r="L276" i="15" a="1"/>
  <c r="L276" i="15" s="1"/>
  <c r="H276" i="15" a="1"/>
  <c r="H276" i="15" s="1"/>
  <c r="E277" i="15"/>
  <c r="E279" i="14"/>
  <c r="E277" i="13"/>
  <c r="O277" i="15" l="1" a="1"/>
  <c r="O277" i="15" s="1"/>
  <c r="N277" i="15" a="1"/>
  <c r="N277" i="15" s="1"/>
  <c r="M277" i="15" a="1"/>
  <c r="M277" i="15" s="1"/>
  <c r="L277" i="15" a="1"/>
  <c r="L277" i="15" s="1"/>
  <c r="J277" i="15" a="1"/>
  <c r="J277" i="15" s="1"/>
  <c r="F277" i="15" a="1"/>
  <c r="F277" i="15" s="1"/>
  <c r="R277" i="15" a="1"/>
  <c r="R277" i="15" s="1"/>
  <c r="Q277" i="15" a="1"/>
  <c r="Q277" i="15" s="1"/>
  <c r="H277" i="15" a="1"/>
  <c r="H277" i="15" s="1"/>
  <c r="G277" i="15" a="1"/>
  <c r="G277" i="15" s="1"/>
  <c r="S277" i="15" a="1"/>
  <c r="S277" i="15" s="1"/>
  <c r="P277" i="15" a="1"/>
  <c r="P277" i="15" s="1"/>
  <c r="K277" i="15" a="1"/>
  <c r="K277" i="15" s="1"/>
  <c r="I277" i="15" a="1"/>
  <c r="I277" i="15" s="1"/>
  <c r="E278" i="15"/>
  <c r="E278" i="13"/>
  <c r="E280" i="14"/>
  <c r="L278" i="15" l="1" a="1"/>
  <c r="L278" i="15" s="1"/>
  <c r="K278" i="15" a="1"/>
  <c r="K278" i="15" s="1"/>
  <c r="J278" i="15" a="1"/>
  <c r="J278" i="15" s="1"/>
  <c r="I278" i="15" a="1"/>
  <c r="I278" i="15" s="1"/>
  <c r="H278" i="15" a="1"/>
  <c r="H278" i="15" s="1"/>
  <c r="S278" i="15" a="1"/>
  <c r="S278" i="15" s="1"/>
  <c r="G278" i="15" a="1"/>
  <c r="G278" i="15" s="1"/>
  <c r="N278" i="15" a="1"/>
  <c r="N278" i="15" s="1"/>
  <c r="M278" i="15" a="1"/>
  <c r="M278" i="15" s="1"/>
  <c r="F278" i="15" a="1"/>
  <c r="F278" i="15" s="1"/>
  <c r="Q278" i="15" a="1"/>
  <c r="Q278" i="15" s="1"/>
  <c r="O278" i="15" a="1"/>
  <c r="O278" i="15" s="1"/>
  <c r="R278" i="15" a="1"/>
  <c r="R278" i="15" s="1"/>
  <c r="P278" i="15" a="1"/>
  <c r="P278" i="15" s="1"/>
  <c r="E279" i="15"/>
  <c r="E281" i="14"/>
  <c r="E279" i="13"/>
  <c r="K279" i="15" l="1" a="1"/>
  <c r="K279" i="15" s="1"/>
  <c r="J279" i="15" a="1"/>
  <c r="J279" i="15" s="1"/>
  <c r="I279" i="15" a="1"/>
  <c r="I279" i="15" s="1"/>
  <c r="H279" i="15" a="1"/>
  <c r="H279" i="15" s="1"/>
  <c r="S279" i="15" a="1"/>
  <c r="S279" i="15" s="1"/>
  <c r="G279" i="15" a="1"/>
  <c r="G279" i="15" s="1"/>
  <c r="N279" i="15" a="1"/>
  <c r="N279" i="15" s="1"/>
  <c r="R279" i="15" a="1"/>
  <c r="R279" i="15" s="1"/>
  <c r="Q279" i="15" a="1"/>
  <c r="Q279" i="15" s="1"/>
  <c r="P279" i="15" a="1"/>
  <c r="P279" i="15" s="1"/>
  <c r="O279" i="15" a="1"/>
  <c r="O279" i="15" s="1"/>
  <c r="M279" i="15" a="1"/>
  <c r="M279" i="15" s="1"/>
  <c r="F279" i="15" a="1"/>
  <c r="F279" i="15" s="1"/>
  <c r="L279" i="15" a="1"/>
  <c r="L279" i="15" s="1"/>
  <c r="E280" i="15"/>
  <c r="E282" i="14"/>
  <c r="E280" i="13"/>
  <c r="G280" i="15" l="1" a="1"/>
  <c r="G280" i="15" s="1"/>
  <c r="S280" i="15" a="1"/>
  <c r="S280" i="15" s="1"/>
  <c r="F280" i="15" a="1"/>
  <c r="F280" i="15" s="1"/>
  <c r="R280" i="15" a="1"/>
  <c r="R280" i="15" s="1"/>
  <c r="Q280" i="15" a="1"/>
  <c r="Q280" i="15" s="1"/>
  <c r="O280" i="15" a="1"/>
  <c r="O280" i="15" s="1"/>
  <c r="J280" i="15" a="1"/>
  <c r="J280" i="15" s="1"/>
  <c r="I280" i="15" a="1"/>
  <c r="I280" i="15" s="1"/>
  <c r="H280" i="15" a="1"/>
  <c r="H280" i="15" s="1"/>
  <c r="M280" i="15" a="1"/>
  <c r="M280" i="15" s="1"/>
  <c r="L280" i="15" a="1"/>
  <c r="L280" i="15" s="1"/>
  <c r="N280" i="15" a="1"/>
  <c r="N280" i="15" s="1"/>
  <c r="K280" i="15" a="1"/>
  <c r="K280" i="15" s="1"/>
  <c r="P280" i="15" a="1"/>
  <c r="P280" i="15" s="1"/>
  <c r="E281" i="15"/>
  <c r="E283" i="14"/>
  <c r="E281" i="13"/>
  <c r="P281" i="15" l="1" a="1"/>
  <c r="P281" i="15" s="1"/>
  <c r="F281" i="15" a="1"/>
  <c r="F281" i="15" s="1"/>
  <c r="O281" i="15" a="1"/>
  <c r="O281" i="15" s="1"/>
  <c r="N281" i="15" a="1"/>
  <c r="N281" i="15" s="1"/>
  <c r="M281" i="15" a="1"/>
  <c r="M281" i="15" s="1"/>
  <c r="L281" i="15" a="1"/>
  <c r="L281" i="15" s="1"/>
  <c r="K281" i="15" a="1"/>
  <c r="K281" i="15" s="1"/>
  <c r="H281" i="15" a="1"/>
  <c r="H281" i="15" s="1"/>
  <c r="R281" i="15" a="1"/>
  <c r="R281" i="15" s="1"/>
  <c r="Q281" i="15" a="1"/>
  <c r="Q281" i="15" s="1"/>
  <c r="I281" i="15" a="1"/>
  <c r="I281" i="15" s="1"/>
  <c r="S281" i="15" a="1"/>
  <c r="S281" i="15" s="1"/>
  <c r="J281" i="15" a="1"/>
  <c r="J281" i="15" s="1"/>
  <c r="G281" i="15" a="1"/>
  <c r="G281" i="15" s="1"/>
  <c r="E282" i="15"/>
  <c r="E284" i="14"/>
  <c r="E282" i="13"/>
  <c r="O282" i="15" l="1" a="1"/>
  <c r="O282" i="15" s="1"/>
  <c r="N282" i="15" a="1"/>
  <c r="N282" i="15" s="1"/>
  <c r="M282" i="15" a="1"/>
  <c r="M282" i="15" s="1"/>
  <c r="L282" i="15" a="1"/>
  <c r="L282" i="15" s="1"/>
  <c r="K282" i="15" a="1"/>
  <c r="K282" i="15" s="1"/>
  <c r="I282" i="15" a="1"/>
  <c r="I282" i="15" s="1"/>
  <c r="R282" i="15" a="1"/>
  <c r="R282" i="15" s="1"/>
  <c r="F282" i="15" a="1"/>
  <c r="F282" i="15" s="1"/>
  <c r="S282" i="15" a="1"/>
  <c r="S282" i="15" s="1"/>
  <c r="Q282" i="15" a="1"/>
  <c r="Q282" i="15" s="1"/>
  <c r="H282" i="15" a="1"/>
  <c r="H282" i="15" s="1"/>
  <c r="P282" i="15" a="1"/>
  <c r="P282" i="15" s="1"/>
  <c r="J282" i="15" a="1"/>
  <c r="J282" i="15" s="1"/>
  <c r="G282" i="15" a="1"/>
  <c r="G282" i="15" s="1"/>
  <c r="E283" i="15"/>
  <c r="E285" i="14"/>
  <c r="E283" i="13"/>
  <c r="L283" i="15" l="1" a="1"/>
  <c r="L283" i="15" s="1"/>
  <c r="K283" i="15" a="1"/>
  <c r="K283" i="15" s="1"/>
  <c r="J283" i="15" a="1"/>
  <c r="J283" i="15" s="1"/>
  <c r="I283" i="15" a="1"/>
  <c r="I283" i="15" s="1"/>
  <c r="S283" i="15" a="1"/>
  <c r="S283" i="15" s="1"/>
  <c r="G283" i="15" a="1"/>
  <c r="G283" i="15" s="1"/>
  <c r="M283" i="15" a="1"/>
  <c r="M283" i="15" s="1"/>
  <c r="H283" i="15" a="1"/>
  <c r="H283" i="15" s="1"/>
  <c r="P283" i="15" a="1"/>
  <c r="P283" i="15" s="1"/>
  <c r="N283" i="15" a="1"/>
  <c r="N283" i="15" s="1"/>
  <c r="Q283" i="15" a="1"/>
  <c r="Q283" i="15" s="1"/>
  <c r="O283" i="15" a="1"/>
  <c r="O283" i="15" s="1"/>
  <c r="F283" i="15" a="1"/>
  <c r="F283" i="15" s="1"/>
  <c r="R283" i="15" a="1"/>
  <c r="R283" i="15" s="1"/>
  <c r="E284" i="15"/>
  <c r="E284" i="13"/>
  <c r="E286" i="14"/>
  <c r="G284" i="15" l="1" a="1"/>
  <c r="G284" i="15" s="1"/>
  <c r="S284" i="15" a="1"/>
  <c r="S284" i="15" s="1"/>
  <c r="R284" i="15" a="1"/>
  <c r="R284" i="15" s="1"/>
  <c r="F284" i="15" a="1"/>
  <c r="F284" i="15" s="1"/>
  <c r="Q284" i="15" a="1"/>
  <c r="Q284" i="15" s="1"/>
  <c r="O284" i="15" a="1"/>
  <c r="O284" i="15" s="1"/>
  <c r="P284" i="15" a="1"/>
  <c r="P284" i="15" s="1"/>
  <c r="N284" i="15" a="1"/>
  <c r="N284" i="15" s="1"/>
  <c r="M284" i="15" a="1"/>
  <c r="M284" i="15" s="1"/>
  <c r="L284" i="15" a="1"/>
  <c r="L284" i="15" s="1"/>
  <c r="K284" i="15" a="1"/>
  <c r="K284" i="15" s="1"/>
  <c r="J284" i="15" a="1"/>
  <c r="J284" i="15" s="1"/>
  <c r="I284" i="15" a="1"/>
  <c r="I284" i="15" s="1"/>
  <c r="H284" i="15" a="1"/>
  <c r="H284" i="15" s="1"/>
  <c r="E285" i="15"/>
  <c r="E285" i="13"/>
  <c r="E287" i="14"/>
  <c r="R285" i="15" l="1" a="1"/>
  <c r="R285" i="15" s="1"/>
  <c r="G285" i="15" a="1"/>
  <c r="G285" i="15" s="1"/>
  <c r="F285" i="15" a="1"/>
  <c r="F285" i="15" s="1"/>
  <c r="Q285" i="15" a="1"/>
  <c r="Q285" i="15" s="1"/>
  <c r="P285" i="15" a="1"/>
  <c r="P285" i="15" s="1"/>
  <c r="O285" i="15" a="1"/>
  <c r="O285" i="15" s="1"/>
  <c r="H285" i="15" a="1"/>
  <c r="H285" i="15" s="1"/>
  <c r="L285" i="15" a="1"/>
  <c r="L285" i="15" s="1"/>
  <c r="K285" i="15" a="1"/>
  <c r="K285" i="15" s="1"/>
  <c r="I285" i="15" a="1"/>
  <c r="I285" i="15" s="1"/>
  <c r="J285" i="15" a="1"/>
  <c r="J285" i="15" s="1"/>
  <c r="N285" i="15" a="1"/>
  <c r="N285" i="15" s="1"/>
  <c r="M285" i="15" a="1"/>
  <c r="M285" i="15" s="1"/>
  <c r="S285" i="15" a="1"/>
  <c r="S285" i="15" s="1"/>
  <c r="E286" i="15"/>
  <c r="E288" i="14"/>
  <c r="E286" i="13"/>
  <c r="P286" i="15" l="1" a="1"/>
  <c r="P286" i="15" s="1"/>
  <c r="O286" i="15" a="1"/>
  <c r="O286" i="15" s="1"/>
  <c r="N286" i="15" a="1"/>
  <c r="N286" i="15" s="1"/>
  <c r="M286" i="15" a="1"/>
  <c r="M286" i="15" s="1"/>
  <c r="K286" i="15" a="1"/>
  <c r="K286" i="15" s="1"/>
  <c r="S286" i="15" a="1"/>
  <c r="S286" i="15" s="1"/>
  <c r="G286" i="15" a="1"/>
  <c r="G286" i="15" s="1"/>
  <c r="Q286" i="15" a="1"/>
  <c r="Q286" i="15" s="1"/>
  <c r="L286" i="15" a="1"/>
  <c r="L286" i="15" s="1"/>
  <c r="J286" i="15" a="1"/>
  <c r="J286" i="15" s="1"/>
  <c r="I286" i="15" a="1"/>
  <c r="I286" i="15" s="1"/>
  <c r="H286" i="15" a="1"/>
  <c r="H286" i="15" s="1"/>
  <c r="F286" i="15" a="1"/>
  <c r="F286" i="15" s="1"/>
  <c r="R286" i="15" a="1"/>
  <c r="R286" i="15" s="1"/>
  <c r="E287" i="15"/>
  <c r="E289" i="14"/>
  <c r="E287" i="13"/>
  <c r="O287" i="15" l="1" a="1"/>
  <c r="O287" i="15" s="1"/>
  <c r="N287" i="15" a="1"/>
  <c r="N287" i="15" s="1"/>
  <c r="M287" i="15" a="1"/>
  <c r="M287" i="15" s="1"/>
  <c r="L287" i="15" a="1"/>
  <c r="L287" i="15" s="1"/>
  <c r="J287" i="15" a="1"/>
  <c r="J287" i="15" s="1"/>
  <c r="R287" i="15" a="1"/>
  <c r="R287" i="15" s="1"/>
  <c r="S287" i="15" a="1"/>
  <c r="S287" i="15" s="1"/>
  <c r="H287" i="15" a="1"/>
  <c r="H287" i="15" s="1"/>
  <c r="G287" i="15" a="1"/>
  <c r="G287" i="15" s="1"/>
  <c r="Q287" i="15" a="1"/>
  <c r="Q287" i="15" s="1"/>
  <c r="P287" i="15" a="1"/>
  <c r="P287" i="15" s="1"/>
  <c r="K287" i="15" a="1"/>
  <c r="K287" i="15" s="1"/>
  <c r="I287" i="15" a="1"/>
  <c r="I287" i="15" s="1"/>
  <c r="F287" i="15" a="1"/>
  <c r="F287" i="15" s="1"/>
  <c r="E288" i="15"/>
  <c r="E288" i="13"/>
  <c r="E290" i="14"/>
  <c r="M288" i="15" l="1" a="1"/>
  <c r="M288" i="15" s="1"/>
  <c r="L288" i="15" a="1"/>
  <c r="L288" i="15" s="1"/>
  <c r="K288" i="15" a="1"/>
  <c r="K288" i="15" s="1"/>
  <c r="I288" i="15" a="1"/>
  <c r="I288" i="15" s="1"/>
  <c r="P288" i="15" a="1"/>
  <c r="P288" i="15" s="1"/>
  <c r="O288" i="15" a="1"/>
  <c r="O288" i="15" s="1"/>
  <c r="N288" i="15" a="1"/>
  <c r="N288" i="15" s="1"/>
  <c r="J288" i="15" a="1"/>
  <c r="J288" i="15" s="1"/>
  <c r="H288" i="15" a="1"/>
  <c r="H288" i="15" s="1"/>
  <c r="G288" i="15" a="1"/>
  <c r="G288" i="15" s="1"/>
  <c r="F288" i="15" a="1"/>
  <c r="F288" i="15" s="1"/>
  <c r="S288" i="15" a="1"/>
  <c r="S288" i="15" s="1"/>
  <c r="Q288" i="15" a="1"/>
  <c r="Q288" i="15" s="1"/>
  <c r="R288" i="15" a="1"/>
  <c r="R288" i="15" s="1"/>
  <c r="E289" i="15"/>
  <c r="E291" i="14"/>
  <c r="E289" i="13"/>
  <c r="L289" i="15" l="1" a="1"/>
  <c r="L289" i="15" s="1"/>
  <c r="K289" i="15" a="1"/>
  <c r="K289" i="15" s="1"/>
  <c r="J289" i="15" a="1"/>
  <c r="J289" i="15" s="1"/>
  <c r="I289" i="15" a="1"/>
  <c r="I289" i="15" s="1"/>
  <c r="H289" i="15" a="1"/>
  <c r="H289" i="15" s="1"/>
  <c r="R289" i="15" a="1"/>
  <c r="R289" i="15" s="1"/>
  <c r="F289" i="15" a="1"/>
  <c r="F289" i="15" s="1"/>
  <c r="N289" i="15" a="1"/>
  <c r="N289" i="15" s="1"/>
  <c r="S289" i="15" a="1"/>
  <c r="S289" i="15" s="1"/>
  <c r="Q289" i="15" a="1"/>
  <c r="Q289" i="15" s="1"/>
  <c r="G289" i="15" a="1"/>
  <c r="G289" i="15" s="1"/>
  <c r="M289" i="15" a="1"/>
  <c r="M289" i="15" s="1"/>
  <c r="P289" i="15" a="1"/>
  <c r="P289" i="15" s="1"/>
  <c r="O289" i="15" a="1"/>
  <c r="O289" i="15" s="1"/>
  <c r="E290" i="15"/>
  <c r="E292" i="14"/>
  <c r="E290" i="13"/>
  <c r="I290" i="15" l="1" a="1"/>
  <c r="I290" i="15" s="1"/>
  <c r="S290" i="15" a="1"/>
  <c r="S290" i="15" s="1"/>
  <c r="H290" i="15" a="1"/>
  <c r="H290" i="15" s="1"/>
  <c r="R290" i="15" a="1"/>
  <c r="R290" i="15" s="1"/>
  <c r="G290" i="15" a="1"/>
  <c r="G290" i="15" s="1"/>
  <c r="Q290" i="15" a="1"/>
  <c r="Q290" i="15" s="1"/>
  <c r="F290" i="15" a="1"/>
  <c r="F290" i="15" s="1"/>
  <c r="O290" i="15" a="1"/>
  <c r="O290" i="15" s="1"/>
  <c r="L290" i="15" a="1"/>
  <c r="L290" i="15" s="1"/>
  <c r="K290" i="15" a="1"/>
  <c r="K290" i="15" s="1"/>
  <c r="N290" i="15" a="1"/>
  <c r="N290" i="15" s="1"/>
  <c r="M290" i="15" a="1"/>
  <c r="M290" i="15" s="1"/>
  <c r="J290" i="15" a="1"/>
  <c r="J290" i="15" s="1"/>
  <c r="P290" i="15" a="1"/>
  <c r="P290" i="15" s="1"/>
  <c r="E291" i="15"/>
  <c r="E291" i="13"/>
  <c r="E293" i="14"/>
  <c r="R291" i="15" l="1" a="1"/>
  <c r="R291" i="15" s="1"/>
  <c r="G291" i="15" a="1"/>
  <c r="G291" i="15" s="1"/>
  <c r="F291" i="15" a="1"/>
  <c r="F291" i="15" s="1"/>
  <c r="Q291" i="15" a="1"/>
  <c r="Q291" i="15" s="1"/>
  <c r="P291" i="15" a="1"/>
  <c r="P291" i="15" s="1"/>
  <c r="J291" i="15" a="1"/>
  <c r="J291" i="15" s="1"/>
  <c r="I291" i="15" a="1"/>
  <c r="I291" i="15" s="1"/>
  <c r="S291" i="15" a="1"/>
  <c r="S291" i="15" s="1"/>
  <c r="O291" i="15" a="1"/>
  <c r="O291" i="15" s="1"/>
  <c r="H291" i="15" a="1"/>
  <c r="H291" i="15" s="1"/>
  <c r="K291" i="15" a="1"/>
  <c r="K291" i="15" s="1"/>
  <c r="N291" i="15" a="1"/>
  <c r="N291" i="15" s="1"/>
  <c r="M291" i="15" a="1"/>
  <c r="M291" i="15" s="1"/>
  <c r="L291" i="15" a="1"/>
  <c r="L291" i="15" s="1"/>
  <c r="E292" i="15"/>
  <c r="E292" i="13"/>
  <c r="E294" i="14"/>
  <c r="O292" i="15" l="1" a="1"/>
  <c r="O292" i="15" s="1"/>
  <c r="N292" i="15" a="1"/>
  <c r="N292" i="15" s="1"/>
  <c r="M292" i="15" a="1"/>
  <c r="M292" i="15" s="1"/>
  <c r="L292" i="15" a="1"/>
  <c r="L292" i="15" s="1"/>
  <c r="J292" i="15" a="1"/>
  <c r="J292" i="15" s="1"/>
  <c r="R292" i="15" a="1"/>
  <c r="R292" i="15" s="1"/>
  <c r="G292" i="15" a="1"/>
  <c r="G292" i="15" s="1"/>
  <c r="Q292" i="15" a="1"/>
  <c r="Q292" i="15" s="1"/>
  <c r="F292" i="15" a="1"/>
  <c r="F292" i="15" s="1"/>
  <c r="K292" i="15" a="1"/>
  <c r="K292" i="15" s="1"/>
  <c r="I292" i="15" a="1"/>
  <c r="I292" i="15" s="1"/>
  <c r="H292" i="15" a="1"/>
  <c r="H292" i="15" s="1"/>
  <c r="S292" i="15" a="1"/>
  <c r="S292" i="15" s="1"/>
  <c r="P292" i="15" a="1"/>
  <c r="P292" i="15" s="1"/>
  <c r="E293" i="15"/>
  <c r="E295" i="14"/>
  <c r="E293" i="13"/>
  <c r="N293" i="15" l="1" a="1"/>
  <c r="N293" i="15" s="1"/>
  <c r="M293" i="15" a="1"/>
  <c r="M293" i="15" s="1"/>
  <c r="L293" i="15" a="1"/>
  <c r="L293" i="15" s="1"/>
  <c r="K293" i="15" a="1"/>
  <c r="K293" i="15" s="1"/>
  <c r="J293" i="15" a="1"/>
  <c r="J293" i="15" s="1"/>
  <c r="H293" i="15" a="1"/>
  <c r="H293" i="15" s="1"/>
  <c r="Q293" i="15" a="1"/>
  <c r="Q293" i="15" s="1"/>
  <c r="S293" i="15" a="1"/>
  <c r="S293" i="15" s="1"/>
  <c r="R293" i="15" a="1"/>
  <c r="R293" i="15" s="1"/>
  <c r="P293" i="15" a="1"/>
  <c r="P293" i="15" s="1"/>
  <c r="O293" i="15" a="1"/>
  <c r="O293" i="15" s="1"/>
  <c r="I293" i="15" a="1"/>
  <c r="I293" i="15" s="1"/>
  <c r="G293" i="15" a="1"/>
  <c r="G293" i="15" s="1"/>
  <c r="F293" i="15" a="1"/>
  <c r="F293" i="15" s="1"/>
  <c r="E294" i="15"/>
  <c r="E294" i="13"/>
  <c r="E296" i="14"/>
  <c r="L294" i="15" l="1" a="1"/>
  <c r="L294" i="15" s="1"/>
  <c r="K294" i="15" a="1"/>
  <c r="K294" i="15" s="1"/>
  <c r="J294" i="15" a="1"/>
  <c r="J294" i="15" s="1"/>
  <c r="I294" i="15" a="1"/>
  <c r="I294" i="15" s="1"/>
  <c r="H294" i="15" a="1"/>
  <c r="H294" i="15" s="1"/>
  <c r="P294" i="15" a="1"/>
  <c r="P294" i="15" s="1"/>
  <c r="O294" i="15" a="1"/>
  <c r="O294" i="15" s="1"/>
  <c r="N294" i="15" a="1"/>
  <c r="N294" i="15" s="1"/>
  <c r="M294" i="15" a="1"/>
  <c r="M294" i="15" s="1"/>
  <c r="G294" i="15" a="1"/>
  <c r="G294" i="15" s="1"/>
  <c r="F294" i="15" a="1"/>
  <c r="F294" i="15" s="1"/>
  <c r="S294" i="15" a="1"/>
  <c r="S294" i="15" s="1"/>
  <c r="R294" i="15" a="1"/>
  <c r="R294" i="15" s="1"/>
  <c r="Q294" i="15" a="1"/>
  <c r="Q294" i="15" s="1"/>
  <c r="E295" i="15"/>
  <c r="E295" i="13"/>
  <c r="E297" i="14"/>
  <c r="L295" i="15" l="1" a="1"/>
  <c r="L295" i="15" s="1"/>
  <c r="K295" i="15" a="1"/>
  <c r="K295" i="15" s="1"/>
  <c r="J295" i="15" a="1"/>
  <c r="J295" i="15" s="1"/>
  <c r="I295" i="15" a="1"/>
  <c r="I295" i="15" s="1"/>
  <c r="H295" i="15" a="1"/>
  <c r="H295" i="15" s="1"/>
  <c r="S295" i="15" a="1"/>
  <c r="S295" i="15" s="1"/>
  <c r="N295" i="15" a="1"/>
  <c r="N295" i="15" s="1"/>
  <c r="R295" i="15" a="1"/>
  <c r="R295" i="15" s="1"/>
  <c r="Q295" i="15" a="1"/>
  <c r="Q295" i="15" s="1"/>
  <c r="P295" i="15" a="1"/>
  <c r="P295" i="15" s="1"/>
  <c r="F295" i="15" a="1"/>
  <c r="F295" i="15" s="1"/>
  <c r="O295" i="15" a="1"/>
  <c r="O295" i="15" s="1"/>
  <c r="M295" i="15" a="1"/>
  <c r="M295" i="15" s="1"/>
  <c r="G295" i="15" a="1"/>
  <c r="G295" i="15" s="1"/>
  <c r="E296" i="15"/>
  <c r="E298" i="14"/>
  <c r="E296" i="13"/>
  <c r="J296" i="15" l="1" a="1"/>
  <c r="J296" i="15" s="1"/>
  <c r="I296" i="15" a="1"/>
  <c r="I296" i="15" s="1"/>
  <c r="H296" i="15" a="1"/>
  <c r="H296" i="15" s="1"/>
  <c r="S296" i="15" a="1"/>
  <c r="S296" i="15" s="1"/>
  <c r="G296" i="15" a="1"/>
  <c r="G296" i="15" s="1"/>
  <c r="F296" i="15" a="1"/>
  <c r="F296" i="15" s="1"/>
  <c r="Q296" i="15" a="1"/>
  <c r="Q296" i="15" s="1"/>
  <c r="M296" i="15" a="1"/>
  <c r="M296" i="15" s="1"/>
  <c r="L296" i="15" a="1"/>
  <c r="L296" i="15" s="1"/>
  <c r="O296" i="15" a="1"/>
  <c r="O296" i="15" s="1"/>
  <c r="N296" i="15" a="1"/>
  <c r="N296" i="15" s="1"/>
  <c r="K296" i="15" a="1"/>
  <c r="K296" i="15" s="1"/>
  <c r="R296" i="15" a="1"/>
  <c r="R296" i="15" s="1"/>
  <c r="P296" i="15" a="1"/>
  <c r="P296" i="15" s="1"/>
  <c r="E297" i="15"/>
  <c r="E299" i="14"/>
  <c r="E297" i="13"/>
  <c r="G297" i="15" l="1" a="1"/>
  <c r="G297" i="15" s="1"/>
  <c r="F297" i="15" a="1"/>
  <c r="F297" i="15" s="1"/>
  <c r="S297" i="15" a="1"/>
  <c r="S297" i="15" s="1"/>
  <c r="R297" i="15" a="1"/>
  <c r="R297" i="15" s="1"/>
  <c r="Q297" i="15" a="1"/>
  <c r="Q297" i="15" s="1"/>
  <c r="O297" i="15" a="1"/>
  <c r="O297" i="15" s="1"/>
  <c r="J297" i="15" a="1"/>
  <c r="J297" i="15" s="1"/>
  <c r="I297" i="15" a="1"/>
  <c r="I297" i="15" s="1"/>
  <c r="P297" i="15" a="1"/>
  <c r="P297" i="15" s="1"/>
  <c r="N297" i="15" a="1"/>
  <c r="N297" i="15" s="1"/>
  <c r="H297" i="15" a="1"/>
  <c r="H297" i="15" s="1"/>
  <c r="M297" i="15" a="1"/>
  <c r="M297" i="15" s="1"/>
  <c r="L297" i="15" a="1"/>
  <c r="L297" i="15" s="1"/>
  <c r="K297" i="15" a="1"/>
  <c r="K297" i="15" s="1"/>
  <c r="E298" i="15"/>
  <c r="E298" i="13"/>
  <c r="E300" i="14"/>
  <c r="G298" i="15" l="1" a="1"/>
  <c r="G298" i="15" s="1"/>
  <c r="F298" i="15" a="1"/>
  <c r="F298" i="15" s="1"/>
  <c r="S298" i="15" a="1"/>
  <c r="S298" i="15" s="1"/>
  <c r="R298" i="15" a="1"/>
  <c r="R298" i="15" s="1"/>
  <c r="Q298" i="15" a="1"/>
  <c r="Q298" i="15" s="1"/>
  <c r="O298" i="15" a="1"/>
  <c r="O298" i="15" s="1"/>
  <c r="J298" i="15" a="1"/>
  <c r="J298" i="15" s="1"/>
  <c r="N298" i="15" a="1"/>
  <c r="N298" i="15" s="1"/>
  <c r="M298" i="15" a="1"/>
  <c r="M298" i="15" s="1"/>
  <c r="L298" i="15" a="1"/>
  <c r="L298" i="15" s="1"/>
  <c r="K298" i="15" a="1"/>
  <c r="K298" i="15" s="1"/>
  <c r="I298" i="15" a="1"/>
  <c r="I298" i="15" s="1"/>
  <c r="H298" i="15" a="1"/>
  <c r="H298" i="15" s="1"/>
  <c r="P298" i="15" a="1"/>
  <c r="P298" i="15" s="1"/>
  <c r="E299" i="15"/>
  <c r="E301" i="14"/>
  <c r="E299" i="13"/>
  <c r="S299" i="15" l="1" a="1"/>
  <c r="S299" i="15" s="1"/>
  <c r="G299" i="15" a="1"/>
  <c r="G299" i="15" s="1"/>
  <c r="F299" i="15" a="1"/>
  <c r="F299" i="15" s="1"/>
  <c r="R299" i="15" a="1"/>
  <c r="R299" i="15" s="1"/>
  <c r="Q299" i="15" a="1"/>
  <c r="Q299" i="15" s="1"/>
  <c r="P299" i="15" a="1"/>
  <c r="P299" i="15" s="1"/>
  <c r="N299" i="15" a="1"/>
  <c r="N299" i="15" s="1"/>
  <c r="J299" i="15" a="1"/>
  <c r="J299" i="15" s="1"/>
  <c r="K299" i="15" a="1"/>
  <c r="K299" i="15" s="1"/>
  <c r="I299" i="15" a="1"/>
  <c r="I299" i="15" s="1"/>
  <c r="H299" i="15" a="1"/>
  <c r="H299" i="15" s="1"/>
  <c r="O299" i="15" a="1"/>
  <c r="O299" i="15" s="1"/>
  <c r="M299" i="15" a="1"/>
  <c r="M299" i="15" s="1"/>
  <c r="L299" i="15" a="1"/>
  <c r="L299" i="15" s="1"/>
  <c r="E300" i="15"/>
  <c r="E302" i="14"/>
  <c r="E300" i="13"/>
  <c r="F300" i="15" l="1" a="1"/>
  <c r="F300" i="15" s="1"/>
  <c r="R300" i="15" a="1"/>
  <c r="R300" i="15" s="1"/>
  <c r="Q300" i="15" a="1"/>
  <c r="Q300" i="15" s="1"/>
  <c r="P300" i="15" a="1"/>
  <c r="P300" i="15" s="1"/>
  <c r="O300" i="15" a="1"/>
  <c r="O300" i="15" s="1"/>
  <c r="N300" i="15" a="1"/>
  <c r="N300" i="15" s="1"/>
  <c r="I300" i="15" a="1"/>
  <c r="I300" i="15" s="1"/>
  <c r="S300" i="15" a="1"/>
  <c r="S300" i="15" s="1"/>
  <c r="M300" i="15" a="1"/>
  <c r="M300" i="15" s="1"/>
  <c r="L300" i="15" a="1"/>
  <c r="L300" i="15" s="1"/>
  <c r="K300" i="15" a="1"/>
  <c r="K300" i="15" s="1"/>
  <c r="J300" i="15" a="1"/>
  <c r="J300" i="15" s="1"/>
  <c r="H300" i="15" a="1"/>
  <c r="H300" i="15" s="1"/>
  <c r="G300" i="15" a="1"/>
  <c r="G300" i="15" s="1"/>
  <c r="E301" i="15"/>
  <c r="E301" i="13"/>
  <c r="E303" i="14"/>
  <c r="Q301" i="15" l="1" a="1"/>
  <c r="Q301" i="15" s="1"/>
  <c r="P301" i="15" a="1"/>
  <c r="P301" i="15" s="1"/>
  <c r="O301" i="15" a="1"/>
  <c r="O301" i="15" s="1"/>
  <c r="N301" i="15" a="1"/>
  <c r="N301" i="15" s="1"/>
  <c r="L301" i="15" a="1"/>
  <c r="L301" i="15" s="1"/>
  <c r="H301" i="15" a="1"/>
  <c r="H301" i="15" s="1"/>
  <c r="G301" i="15" a="1"/>
  <c r="G301" i="15" s="1"/>
  <c r="K301" i="15" a="1"/>
  <c r="K301" i="15" s="1"/>
  <c r="J301" i="15" a="1"/>
  <c r="J301" i="15" s="1"/>
  <c r="I301" i="15" a="1"/>
  <c r="I301" i="15" s="1"/>
  <c r="F301" i="15" a="1"/>
  <c r="F301" i="15" s="1"/>
  <c r="S301" i="15" a="1"/>
  <c r="S301" i="15" s="1"/>
  <c r="R301" i="15" a="1"/>
  <c r="R301" i="15" s="1"/>
  <c r="M301" i="15" a="1"/>
  <c r="M301" i="15" s="1"/>
  <c r="E302" i="15"/>
  <c r="E302" i="13"/>
  <c r="E304" i="14"/>
  <c r="O302" i="15" l="1" a="1"/>
  <c r="O302" i="15" s="1"/>
  <c r="N302" i="15" a="1"/>
  <c r="N302" i="15" s="1"/>
  <c r="M302" i="15" a="1"/>
  <c r="M302" i="15" s="1"/>
  <c r="L302" i="15" a="1"/>
  <c r="L302" i="15" s="1"/>
  <c r="K302" i="15" a="1"/>
  <c r="K302" i="15" s="1"/>
  <c r="G302" i="15" a="1"/>
  <c r="G302" i="15" s="1"/>
  <c r="R302" i="15" a="1"/>
  <c r="R302" i="15" s="1"/>
  <c r="F302" i="15" a="1"/>
  <c r="F302" i="15" s="1"/>
  <c r="S302" i="15" a="1"/>
  <c r="S302" i="15" s="1"/>
  <c r="Q302" i="15" a="1"/>
  <c r="Q302" i="15" s="1"/>
  <c r="P302" i="15" a="1"/>
  <c r="P302" i="15" s="1"/>
  <c r="J302" i="15" a="1"/>
  <c r="J302" i="15" s="1"/>
  <c r="I302" i="15" a="1"/>
  <c r="I302" i="15" s="1"/>
  <c r="H302" i="15" a="1"/>
  <c r="H302" i="15" s="1"/>
  <c r="E303" i="15"/>
  <c r="E303" i="13"/>
  <c r="E305" i="14"/>
  <c r="M303" i="15" l="1" a="1"/>
  <c r="M303" i="15" s="1"/>
  <c r="L303" i="15" a="1"/>
  <c r="L303" i="15" s="1"/>
  <c r="K303" i="15" a="1"/>
  <c r="K303" i="15" s="1"/>
  <c r="J303" i="15" a="1"/>
  <c r="J303" i="15" s="1"/>
  <c r="I303" i="15" a="1"/>
  <c r="I303" i="15" s="1"/>
  <c r="O303" i="15" a="1"/>
  <c r="O303" i="15" s="1"/>
  <c r="S303" i="15" a="1"/>
  <c r="S303" i="15" s="1"/>
  <c r="R303" i="15" a="1"/>
  <c r="R303" i="15" s="1"/>
  <c r="H303" i="15" a="1"/>
  <c r="H303" i="15" s="1"/>
  <c r="G303" i="15" a="1"/>
  <c r="G303" i="15" s="1"/>
  <c r="F303" i="15" a="1"/>
  <c r="F303" i="15" s="1"/>
  <c r="Q303" i="15" a="1"/>
  <c r="Q303" i="15" s="1"/>
  <c r="P303" i="15" a="1"/>
  <c r="P303" i="15" s="1"/>
  <c r="N303" i="15" a="1"/>
  <c r="N303" i="15" s="1"/>
  <c r="E304" i="15"/>
  <c r="E306" i="14"/>
  <c r="E304" i="13"/>
  <c r="K304" i="15" l="1" a="1"/>
  <c r="K304" i="15" s="1"/>
  <c r="J304" i="15" a="1"/>
  <c r="J304" i="15" s="1"/>
  <c r="I304" i="15" a="1"/>
  <c r="I304" i="15" s="1"/>
  <c r="H304" i="15" a="1"/>
  <c r="H304" i="15" s="1"/>
  <c r="S304" i="15" a="1"/>
  <c r="S304" i="15" s="1"/>
  <c r="R304" i="15" a="1"/>
  <c r="R304" i="15" s="1"/>
  <c r="F304" i="15" a="1"/>
  <c r="F304" i="15" s="1"/>
  <c r="N304" i="15" a="1"/>
  <c r="N304" i="15" s="1"/>
  <c r="P304" i="15" a="1"/>
  <c r="P304" i="15" s="1"/>
  <c r="O304" i="15" a="1"/>
  <c r="O304" i="15" s="1"/>
  <c r="M304" i="15" a="1"/>
  <c r="M304" i="15" s="1"/>
  <c r="L304" i="15" a="1"/>
  <c r="L304" i="15" s="1"/>
  <c r="G304" i="15" a="1"/>
  <c r="G304" i="15" s="1"/>
  <c r="Q304" i="15" a="1"/>
  <c r="Q304" i="15" s="1"/>
  <c r="E305" i="15"/>
  <c r="E305" i="13"/>
  <c r="E307" i="14"/>
  <c r="J305" i="15" l="1" a="1"/>
  <c r="J305" i="15" s="1"/>
  <c r="I305" i="15" a="1"/>
  <c r="I305" i="15" s="1"/>
  <c r="H305" i="15" a="1"/>
  <c r="H305" i="15" s="1"/>
  <c r="G305" i="15" a="1"/>
  <c r="G305" i="15" s="1"/>
  <c r="S305" i="15" a="1"/>
  <c r="S305" i="15" s="1"/>
  <c r="F305" i="15" a="1"/>
  <c r="F305" i="15" s="1"/>
  <c r="R305" i="15" a="1"/>
  <c r="R305" i="15" s="1"/>
  <c r="P305" i="15" a="1"/>
  <c r="P305" i="15" s="1"/>
  <c r="M305" i="15" a="1"/>
  <c r="M305" i="15" s="1"/>
  <c r="L305" i="15" a="1"/>
  <c r="L305" i="15" s="1"/>
  <c r="Q305" i="15" a="1"/>
  <c r="Q305" i="15" s="1"/>
  <c r="K305" i="15" a="1"/>
  <c r="K305" i="15" s="1"/>
  <c r="O305" i="15" a="1"/>
  <c r="O305" i="15" s="1"/>
  <c r="N305" i="15" a="1"/>
  <c r="N305" i="15" s="1"/>
  <c r="E306" i="15"/>
  <c r="E306" i="13"/>
  <c r="E308" i="14"/>
  <c r="H306" i="15" l="1" a="1"/>
  <c r="H306" i="15" s="1"/>
  <c r="G306" i="15" a="1"/>
  <c r="G306" i="15" s="1"/>
  <c r="S306" i="15" a="1"/>
  <c r="S306" i="15" s="1"/>
  <c r="R306" i="15" a="1"/>
  <c r="R306" i="15" s="1"/>
  <c r="F306" i="15" a="1"/>
  <c r="F306" i="15" s="1"/>
  <c r="Q306" i="15" a="1"/>
  <c r="Q306" i="15" s="1"/>
  <c r="L306" i="15" a="1"/>
  <c r="L306" i="15" s="1"/>
  <c r="K306" i="15" a="1"/>
  <c r="K306" i="15" s="1"/>
  <c r="P306" i="15" a="1"/>
  <c r="P306" i="15" s="1"/>
  <c r="O306" i="15" a="1"/>
  <c r="O306" i="15" s="1"/>
  <c r="N306" i="15" a="1"/>
  <c r="N306" i="15" s="1"/>
  <c r="M306" i="15" a="1"/>
  <c r="M306" i="15" s="1"/>
  <c r="J306" i="15" a="1"/>
  <c r="J306" i="15" s="1"/>
  <c r="I306" i="15" a="1"/>
  <c r="I306" i="15" s="1"/>
  <c r="E307" i="15"/>
  <c r="E307" i="13"/>
  <c r="E309" i="14"/>
  <c r="S307" i="15" l="1" a="1"/>
  <c r="S307" i="15" s="1"/>
  <c r="R307" i="15" a="1"/>
  <c r="R307" i="15" s="1"/>
  <c r="F307" i="15" a="1"/>
  <c r="F307" i="15" s="1"/>
  <c r="Q307" i="15" a="1"/>
  <c r="Q307" i="15" s="1"/>
  <c r="P307" i="15" a="1"/>
  <c r="P307" i="15" s="1"/>
  <c r="N307" i="15" a="1"/>
  <c r="N307" i="15" s="1"/>
  <c r="J307" i="15" a="1"/>
  <c r="J307" i="15" s="1"/>
  <c r="I307" i="15" a="1"/>
  <c r="I307" i="15" s="1"/>
  <c r="K307" i="15" a="1"/>
  <c r="K307" i="15" s="1"/>
  <c r="H307" i="15" a="1"/>
  <c r="H307" i="15" s="1"/>
  <c r="G307" i="15" a="1"/>
  <c r="G307" i="15" s="1"/>
  <c r="O307" i="15" a="1"/>
  <c r="O307" i="15" s="1"/>
  <c r="M307" i="15" a="1"/>
  <c r="M307" i="15" s="1"/>
  <c r="L307" i="15" a="1"/>
  <c r="L307" i="15" s="1"/>
  <c r="E308" i="15"/>
  <c r="E310" i="14"/>
  <c r="E308" i="13"/>
  <c r="R308" i="15" l="1" a="1"/>
  <c r="R308" i="15" s="1"/>
  <c r="Q308" i="15" a="1"/>
  <c r="Q308" i="15" s="1"/>
  <c r="P308" i="15" a="1"/>
  <c r="P308" i="15" s="1"/>
  <c r="O308" i="15" a="1"/>
  <c r="O308" i="15" s="1"/>
  <c r="N308" i="15" a="1"/>
  <c r="N308" i="15" s="1"/>
  <c r="L308" i="15" a="1"/>
  <c r="L308" i="15" s="1"/>
  <c r="G308" i="15" a="1"/>
  <c r="G308" i="15" s="1"/>
  <c r="S308" i="15" a="1"/>
  <c r="S308" i="15" s="1"/>
  <c r="M308" i="15" a="1"/>
  <c r="M308" i="15" s="1"/>
  <c r="K308" i="15" a="1"/>
  <c r="K308" i="15" s="1"/>
  <c r="J308" i="15" a="1"/>
  <c r="J308" i="15" s="1"/>
  <c r="I308" i="15" a="1"/>
  <c r="I308" i="15" s="1"/>
  <c r="H308" i="15" a="1"/>
  <c r="H308" i="15" s="1"/>
  <c r="F308" i="15" a="1"/>
  <c r="F308" i="15" s="1"/>
  <c r="E309" i="15"/>
  <c r="E311" i="14"/>
  <c r="E309" i="13"/>
  <c r="Q309" i="15" l="1" a="1"/>
  <c r="Q309" i="15" s="1"/>
  <c r="P309" i="15" a="1"/>
  <c r="P309" i="15" s="1"/>
  <c r="O309" i="15" a="1"/>
  <c r="O309" i="15" s="1"/>
  <c r="N309" i="15" a="1"/>
  <c r="N309" i="15" s="1"/>
  <c r="M309" i="15" a="1"/>
  <c r="M309" i="15" s="1"/>
  <c r="K309" i="15" a="1"/>
  <c r="K309" i="15" s="1"/>
  <c r="G309" i="15" a="1"/>
  <c r="G309" i="15" s="1"/>
  <c r="S309" i="15" a="1"/>
  <c r="S309" i="15" s="1"/>
  <c r="F309" i="15" a="1"/>
  <c r="F309" i="15" s="1"/>
  <c r="J309" i="15" a="1"/>
  <c r="J309" i="15" s="1"/>
  <c r="I309" i="15" a="1"/>
  <c r="I309" i="15" s="1"/>
  <c r="H309" i="15" a="1"/>
  <c r="H309" i="15" s="1"/>
  <c r="R309" i="15" a="1"/>
  <c r="R309" i="15" s="1"/>
  <c r="L309" i="15" a="1"/>
  <c r="L309" i="15" s="1"/>
  <c r="E310" i="15"/>
  <c r="E312" i="14"/>
  <c r="E310" i="13"/>
  <c r="N310" i="15" l="1" a="1"/>
  <c r="N310" i="15" s="1"/>
  <c r="M310" i="15" a="1"/>
  <c r="M310" i="15" s="1"/>
  <c r="L310" i="15" a="1"/>
  <c r="L310" i="15" s="1"/>
  <c r="K310" i="15" a="1"/>
  <c r="K310" i="15" s="1"/>
  <c r="J310" i="15" a="1"/>
  <c r="J310" i="15" s="1"/>
  <c r="H310" i="15" a="1"/>
  <c r="H310" i="15" s="1"/>
  <c r="Q310" i="15" a="1"/>
  <c r="Q310" i="15" s="1"/>
  <c r="S310" i="15" a="1"/>
  <c r="S310" i="15" s="1"/>
  <c r="R310" i="15" a="1"/>
  <c r="R310" i="15" s="1"/>
  <c r="P310" i="15" a="1"/>
  <c r="P310" i="15" s="1"/>
  <c r="O310" i="15" a="1"/>
  <c r="O310" i="15" s="1"/>
  <c r="I310" i="15" a="1"/>
  <c r="I310" i="15" s="1"/>
  <c r="G310" i="15" a="1"/>
  <c r="G310" i="15" s="1"/>
  <c r="F310" i="15" a="1"/>
  <c r="F310" i="15" s="1"/>
  <c r="E311" i="15"/>
  <c r="E313" i="14"/>
  <c r="E311" i="13"/>
  <c r="L311" i="15" l="1" a="1"/>
  <c r="L311" i="15" s="1"/>
  <c r="K311" i="15" a="1"/>
  <c r="K311" i="15" s="1"/>
  <c r="J311" i="15" a="1"/>
  <c r="J311" i="15" s="1"/>
  <c r="I311" i="15" a="1"/>
  <c r="I311" i="15" s="1"/>
  <c r="H311" i="15" a="1"/>
  <c r="H311" i="15" s="1"/>
  <c r="S311" i="15" a="1"/>
  <c r="S311" i="15" s="1"/>
  <c r="G311" i="15" a="1"/>
  <c r="G311" i="15" s="1"/>
  <c r="O311" i="15" a="1"/>
  <c r="O311" i="15" s="1"/>
  <c r="R311" i="15" a="1"/>
  <c r="R311" i="15" s="1"/>
  <c r="M311" i="15" a="1"/>
  <c r="M311" i="15" s="1"/>
  <c r="F311" i="15" a="1"/>
  <c r="F311" i="15" s="1"/>
  <c r="Q311" i="15" a="1"/>
  <c r="Q311" i="15" s="1"/>
  <c r="P311" i="15" a="1"/>
  <c r="P311" i="15" s="1"/>
  <c r="N311" i="15" a="1"/>
  <c r="N311" i="15" s="1"/>
  <c r="E312" i="15"/>
  <c r="E314" i="14"/>
  <c r="E312" i="13"/>
  <c r="J312" i="15" l="1" a="1"/>
  <c r="J312" i="15" s="1"/>
  <c r="I312" i="15" a="1"/>
  <c r="I312" i="15" s="1"/>
  <c r="H312" i="15" a="1"/>
  <c r="H312" i="15" s="1"/>
  <c r="G312" i="15" a="1"/>
  <c r="G312" i="15" s="1"/>
  <c r="F312" i="15" a="1"/>
  <c r="F312" i="15" s="1"/>
  <c r="S312" i="15" a="1"/>
  <c r="S312" i="15" s="1"/>
  <c r="N312" i="15" a="1"/>
  <c r="N312" i="15" s="1"/>
  <c r="M312" i="15" a="1"/>
  <c r="M312" i="15" s="1"/>
  <c r="R312" i="15" a="1"/>
  <c r="R312" i="15" s="1"/>
  <c r="Q312" i="15" a="1"/>
  <c r="Q312" i="15" s="1"/>
  <c r="P312" i="15" a="1"/>
  <c r="P312" i="15" s="1"/>
  <c r="O312" i="15" a="1"/>
  <c r="O312" i="15" s="1"/>
  <c r="L312" i="15" a="1"/>
  <c r="L312" i="15" s="1"/>
  <c r="K312" i="15" a="1"/>
  <c r="K312" i="15" s="1"/>
  <c r="E313" i="15"/>
  <c r="E313" i="13"/>
  <c r="E315" i="14"/>
  <c r="J313" i="15" l="1" a="1"/>
  <c r="J313" i="15" s="1"/>
  <c r="I313" i="15" a="1"/>
  <c r="I313" i="15" s="1"/>
  <c r="H313" i="15" a="1"/>
  <c r="H313" i="15" s="1"/>
  <c r="G313" i="15" a="1"/>
  <c r="G313" i="15" s="1"/>
  <c r="F313" i="15" a="1"/>
  <c r="F313" i="15" s="1"/>
  <c r="R313" i="15" a="1"/>
  <c r="R313" i="15" s="1"/>
  <c r="N313" i="15" a="1"/>
  <c r="N313" i="15" s="1"/>
  <c r="M313" i="15" a="1"/>
  <c r="M313" i="15" s="1"/>
  <c r="O313" i="15" a="1"/>
  <c r="O313" i="15" s="1"/>
  <c r="L313" i="15" a="1"/>
  <c r="L313" i="15" s="1"/>
  <c r="K313" i="15" a="1"/>
  <c r="K313" i="15" s="1"/>
  <c r="S313" i="15" a="1"/>
  <c r="S313" i="15" s="1"/>
  <c r="Q313" i="15" a="1"/>
  <c r="Q313" i="15" s="1"/>
  <c r="P313" i="15" a="1"/>
  <c r="P313" i="15" s="1"/>
  <c r="E314" i="15"/>
  <c r="E314" i="13"/>
  <c r="E316" i="14"/>
  <c r="H314" i="15" l="1" a="1"/>
  <c r="H314" i="15" s="1"/>
  <c r="S314" i="15" a="1"/>
  <c r="S314" i="15" s="1"/>
  <c r="G314" i="15" a="1"/>
  <c r="G314" i="15" s="1"/>
  <c r="R314" i="15" a="1"/>
  <c r="R314" i="15" s="1"/>
  <c r="F314" i="15" a="1"/>
  <c r="F314" i="15" s="1"/>
  <c r="Q314" i="15" a="1"/>
  <c r="Q314" i="15" s="1"/>
  <c r="O314" i="15" a="1"/>
  <c r="O314" i="15" s="1"/>
  <c r="L314" i="15" a="1"/>
  <c r="L314" i="15" s="1"/>
  <c r="K314" i="15" a="1"/>
  <c r="K314" i="15" s="1"/>
  <c r="P314" i="15" a="1"/>
  <c r="P314" i="15" s="1"/>
  <c r="N314" i="15" a="1"/>
  <c r="N314" i="15" s="1"/>
  <c r="M314" i="15" a="1"/>
  <c r="M314" i="15" s="1"/>
  <c r="J314" i="15" a="1"/>
  <c r="J314" i="15" s="1"/>
  <c r="I314" i="15" a="1"/>
  <c r="I314" i="15" s="1"/>
  <c r="E315" i="15"/>
  <c r="E315" i="13"/>
  <c r="E317" i="14"/>
  <c r="G315" i="15" l="1" a="1"/>
  <c r="G315" i="15" s="1"/>
  <c r="Q315" i="15" a="1"/>
  <c r="Q315" i="15" s="1"/>
  <c r="F315" i="15" a="1"/>
  <c r="F315" i="15" s="1"/>
  <c r="P315" i="15" a="1"/>
  <c r="P315" i="15" s="1"/>
  <c r="O315" i="15" a="1"/>
  <c r="O315" i="15" s="1"/>
  <c r="N315" i="15" a="1"/>
  <c r="N315" i="15" s="1"/>
  <c r="M315" i="15" a="1"/>
  <c r="M315" i="15" s="1"/>
  <c r="J315" i="15" a="1"/>
  <c r="J315" i="15" s="1"/>
  <c r="I315" i="15" a="1"/>
  <c r="I315" i="15" s="1"/>
  <c r="H315" i="15" a="1"/>
  <c r="H315" i="15" s="1"/>
  <c r="L315" i="15" a="1"/>
  <c r="L315" i="15" s="1"/>
  <c r="K315" i="15" a="1"/>
  <c r="K315" i="15" s="1"/>
  <c r="S315" i="15" a="1"/>
  <c r="S315" i="15" s="1"/>
  <c r="R315" i="15" a="1"/>
  <c r="R315" i="15" s="1"/>
  <c r="E316" i="15"/>
  <c r="E318" i="14"/>
  <c r="E316" i="13"/>
  <c r="O316" i="15" l="1" a="1"/>
  <c r="O316" i="15" s="1"/>
  <c r="N316" i="15" a="1"/>
  <c r="N316" i="15" s="1"/>
  <c r="M316" i="15" a="1"/>
  <c r="M316" i="15" s="1"/>
  <c r="L316" i="15" a="1"/>
  <c r="L316" i="15" s="1"/>
  <c r="K316" i="15" a="1"/>
  <c r="K316" i="15" s="1"/>
  <c r="J316" i="15" a="1"/>
  <c r="J316" i="15" s="1"/>
  <c r="R316" i="15" a="1"/>
  <c r="R316" i="15" s="1"/>
  <c r="G316" i="15" a="1"/>
  <c r="G316" i="15" s="1"/>
  <c r="Q316" i="15" a="1"/>
  <c r="Q316" i="15" s="1"/>
  <c r="F316" i="15" a="1"/>
  <c r="F316" i="15" s="1"/>
  <c r="S316" i="15" a="1"/>
  <c r="S316" i="15" s="1"/>
  <c r="P316" i="15" a="1"/>
  <c r="P316" i="15" s="1"/>
  <c r="I316" i="15" a="1"/>
  <c r="I316" i="15" s="1"/>
  <c r="H316" i="15" a="1"/>
  <c r="H316" i="15" s="1"/>
  <c r="E317" i="15"/>
  <c r="E317" i="13"/>
  <c r="E319" i="14"/>
  <c r="M317" i="15" l="1" a="1"/>
  <c r="M317" i="15" s="1"/>
  <c r="L317" i="15" a="1"/>
  <c r="L317" i="15" s="1"/>
  <c r="K317" i="15" a="1"/>
  <c r="K317" i="15" s="1"/>
  <c r="J317" i="15" a="1"/>
  <c r="J317" i="15" s="1"/>
  <c r="H317" i="15" a="1"/>
  <c r="H317" i="15" s="1"/>
  <c r="P317" i="15" a="1"/>
  <c r="P317" i="15" s="1"/>
  <c r="I317" i="15" a="1"/>
  <c r="I317" i="15" s="1"/>
  <c r="G317" i="15" a="1"/>
  <c r="G317" i="15" s="1"/>
  <c r="F317" i="15" a="1"/>
  <c r="F317" i="15" s="1"/>
  <c r="R317" i="15" a="1"/>
  <c r="R317" i="15" s="1"/>
  <c r="Q317" i="15" a="1"/>
  <c r="Q317" i="15" s="1"/>
  <c r="O317" i="15" a="1"/>
  <c r="O317" i="15" s="1"/>
  <c r="N317" i="15" a="1"/>
  <c r="N317" i="15" s="1"/>
  <c r="S317" i="15" a="1"/>
  <c r="S317" i="15" s="1"/>
  <c r="E318" i="15"/>
  <c r="E318" i="13"/>
  <c r="E320" i="14"/>
  <c r="K318" i="15" l="1" a="1"/>
  <c r="K318" i="15" s="1"/>
  <c r="J318" i="15" a="1"/>
  <c r="J318" i="15" s="1"/>
  <c r="I318" i="15" a="1"/>
  <c r="I318" i="15" s="1"/>
  <c r="S318" i="15" a="1"/>
  <c r="S318" i="15" s="1"/>
  <c r="H318" i="15" a="1"/>
  <c r="H318" i="15" s="1"/>
  <c r="R318" i="15" a="1"/>
  <c r="R318" i="15" s="1"/>
  <c r="G318" i="15" a="1"/>
  <c r="G318" i="15" s="1"/>
  <c r="Q318" i="15" a="1"/>
  <c r="Q318" i="15" s="1"/>
  <c r="N318" i="15" a="1"/>
  <c r="N318" i="15" s="1"/>
  <c r="M318" i="15" a="1"/>
  <c r="M318" i="15" s="1"/>
  <c r="P318" i="15" a="1"/>
  <c r="P318" i="15" s="1"/>
  <c r="O318" i="15" a="1"/>
  <c r="O318" i="15" s="1"/>
  <c r="L318" i="15" a="1"/>
  <c r="L318" i="15" s="1"/>
  <c r="F318" i="15" a="1"/>
  <c r="F318" i="15" s="1"/>
  <c r="E319" i="15"/>
  <c r="E319" i="13"/>
  <c r="E321" i="14"/>
  <c r="S319" i="15" l="1" a="1"/>
  <c r="S319" i="15" s="1"/>
  <c r="R319" i="15" a="1"/>
  <c r="R319" i="15" s="1"/>
  <c r="G319" i="15" a="1"/>
  <c r="G319" i="15" s="1"/>
  <c r="F319" i="15" a="1"/>
  <c r="F319" i="15" s="1"/>
  <c r="Q319" i="15" a="1"/>
  <c r="Q319" i="15" s="1"/>
  <c r="P319" i="15" a="1"/>
  <c r="P319" i="15" s="1"/>
  <c r="O319" i="15" a="1"/>
  <c r="O319" i="15" s="1"/>
  <c r="N319" i="15" a="1"/>
  <c r="N319" i="15" s="1"/>
  <c r="K319" i="15" a="1"/>
  <c r="K319" i="15" s="1"/>
  <c r="J319" i="15" a="1"/>
  <c r="J319" i="15" s="1"/>
  <c r="L319" i="15" a="1"/>
  <c r="L319" i="15" s="1"/>
  <c r="I319" i="15" a="1"/>
  <c r="I319" i="15" s="1"/>
  <c r="H319" i="15" a="1"/>
  <c r="H319" i="15" s="1"/>
  <c r="M319" i="15" a="1"/>
  <c r="M319" i="15" s="1"/>
  <c r="E320" i="15"/>
  <c r="E322" i="14"/>
  <c r="E320" i="13"/>
  <c r="P320" i="15" l="1" a="1"/>
  <c r="P320" i="15" s="1"/>
  <c r="O320" i="15" a="1"/>
  <c r="O320" i="15" s="1"/>
  <c r="N320" i="15" a="1"/>
  <c r="N320" i="15" s="1"/>
  <c r="M320" i="15" a="1"/>
  <c r="M320" i="15" s="1"/>
  <c r="K320" i="15" a="1"/>
  <c r="K320" i="15" s="1"/>
  <c r="H320" i="15" a="1"/>
  <c r="H320" i="15" s="1"/>
  <c r="S320" i="15" a="1"/>
  <c r="S320" i="15" s="1"/>
  <c r="G320" i="15" a="1"/>
  <c r="G320" i="15" s="1"/>
  <c r="R320" i="15" a="1"/>
  <c r="R320" i="15" s="1"/>
  <c r="Q320" i="15" a="1"/>
  <c r="Q320" i="15" s="1"/>
  <c r="F320" i="15" a="1"/>
  <c r="F320" i="15" s="1"/>
  <c r="L320" i="15" a="1"/>
  <c r="L320" i="15" s="1"/>
  <c r="J320" i="15" a="1"/>
  <c r="J320" i="15" s="1"/>
  <c r="I320" i="15" a="1"/>
  <c r="I320" i="15" s="1"/>
  <c r="E321" i="15"/>
  <c r="E323" i="14"/>
  <c r="E321" i="13"/>
  <c r="N321" i="15" l="1" a="1"/>
  <c r="N321" i="15" s="1"/>
  <c r="M321" i="15" a="1"/>
  <c r="M321" i="15" s="1"/>
  <c r="L321" i="15" a="1"/>
  <c r="L321" i="15" s="1"/>
  <c r="K321" i="15" a="1"/>
  <c r="K321" i="15" s="1"/>
  <c r="I321" i="15" a="1"/>
  <c r="I321" i="15" s="1"/>
  <c r="R321" i="15" a="1"/>
  <c r="R321" i="15" s="1"/>
  <c r="F321" i="15" a="1"/>
  <c r="F321" i="15" s="1"/>
  <c r="Q321" i="15" a="1"/>
  <c r="Q321" i="15" s="1"/>
  <c r="P321" i="15" a="1"/>
  <c r="P321" i="15" s="1"/>
  <c r="O321" i="15" a="1"/>
  <c r="O321" i="15" s="1"/>
  <c r="J321" i="15" a="1"/>
  <c r="J321" i="15" s="1"/>
  <c r="H321" i="15" a="1"/>
  <c r="H321" i="15" s="1"/>
  <c r="G321" i="15" a="1"/>
  <c r="G321" i="15" s="1"/>
  <c r="S321" i="15" a="1"/>
  <c r="S321" i="15" s="1"/>
  <c r="E322" i="15"/>
  <c r="E324" i="14"/>
  <c r="E322" i="13"/>
  <c r="L322" i="15" l="1" a="1"/>
  <c r="L322" i="15" s="1"/>
  <c r="K322" i="15" a="1"/>
  <c r="K322" i="15" s="1"/>
  <c r="J322" i="15" a="1"/>
  <c r="J322" i="15" s="1"/>
  <c r="I322" i="15" a="1"/>
  <c r="I322" i="15" s="1"/>
  <c r="R322" i="15" a="1"/>
  <c r="R322" i="15" s="1"/>
  <c r="G322" i="15" a="1"/>
  <c r="G322" i="15" s="1"/>
  <c r="P322" i="15" a="1"/>
  <c r="P322" i="15" s="1"/>
  <c r="O322" i="15" a="1"/>
  <c r="O322" i="15" s="1"/>
  <c r="S322" i="15" a="1"/>
  <c r="S322" i="15" s="1"/>
  <c r="H322" i="15" a="1"/>
  <c r="H322" i="15" s="1"/>
  <c r="F322" i="15" a="1"/>
  <c r="F322" i="15" s="1"/>
  <c r="Q322" i="15" a="1"/>
  <c r="Q322" i="15" s="1"/>
  <c r="N322" i="15" a="1"/>
  <c r="N322" i="15" s="1"/>
  <c r="M322" i="15" a="1"/>
  <c r="M322" i="15" s="1"/>
  <c r="E323" i="15"/>
  <c r="E325" i="14"/>
  <c r="E323" i="13"/>
  <c r="J323" i="15" l="1" a="1"/>
  <c r="J323" i="15" s="1"/>
  <c r="I323" i="15" a="1"/>
  <c r="I323" i="15" s="1"/>
  <c r="H323" i="15" a="1"/>
  <c r="H323" i="15" s="1"/>
  <c r="S323" i="15" a="1"/>
  <c r="S323" i="15" s="1"/>
  <c r="G323" i="15" a="1"/>
  <c r="G323" i="15" s="1"/>
  <c r="R323" i="15" a="1"/>
  <c r="R323" i="15" s="1"/>
  <c r="F323" i="15" a="1"/>
  <c r="F323" i="15" s="1"/>
  <c r="N323" i="15" a="1"/>
  <c r="N323" i="15" s="1"/>
  <c r="M323" i="15" a="1"/>
  <c r="M323" i="15" s="1"/>
  <c r="L323" i="15" a="1"/>
  <c r="L323" i="15" s="1"/>
  <c r="Q323" i="15" a="1"/>
  <c r="Q323" i="15" s="1"/>
  <c r="P323" i="15" a="1"/>
  <c r="P323" i="15" s="1"/>
  <c r="O323" i="15" a="1"/>
  <c r="O323" i="15" s="1"/>
  <c r="K323" i="15" a="1"/>
  <c r="K323" i="15" s="1"/>
  <c r="E324" i="15"/>
  <c r="E326" i="14"/>
  <c r="E324" i="13"/>
  <c r="H324" i="15" l="1" a="1"/>
  <c r="H324" i="15" s="1"/>
  <c r="S324" i="15" a="1"/>
  <c r="S324" i="15" s="1"/>
  <c r="G324" i="15" a="1"/>
  <c r="G324" i="15" s="1"/>
  <c r="F324" i="15" a="1"/>
  <c r="F324" i="15" s="1"/>
  <c r="R324" i="15" a="1"/>
  <c r="R324" i="15" s="1"/>
  <c r="Q324" i="15" a="1"/>
  <c r="Q324" i="15" s="1"/>
  <c r="L324" i="15" a="1"/>
  <c r="L324" i="15" s="1"/>
  <c r="K324" i="15" a="1"/>
  <c r="K324" i="15" s="1"/>
  <c r="J324" i="15" a="1"/>
  <c r="J324" i="15" s="1"/>
  <c r="N324" i="15" a="1"/>
  <c r="N324" i="15" s="1"/>
  <c r="M324" i="15" a="1"/>
  <c r="M324" i="15" s="1"/>
  <c r="I324" i="15" a="1"/>
  <c r="I324" i="15" s="1"/>
  <c r="P324" i="15" a="1"/>
  <c r="P324" i="15" s="1"/>
  <c r="O324" i="15" a="1"/>
  <c r="O324" i="15" s="1"/>
  <c r="E325" i="15"/>
  <c r="E327" i="14"/>
  <c r="E325" i="13"/>
  <c r="R325" i="15" l="1" a="1"/>
  <c r="R325" i="15" s="1"/>
  <c r="F325" i="15" a="1"/>
  <c r="F325" i="15" s="1"/>
  <c r="Q325" i="15" a="1"/>
  <c r="Q325" i="15" s="1"/>
  <c r="P325" i="15" a="1"/>
  <c r="P325" i="15" s="1"/>
  <c r="O325" i="15" a="1"/>
  <c r="O325" i="15" s="1"/>
  <c r="N325" i="15" a="1"/>
  <c r="N325" i="15" s="1"/>
  <c r="J325" i="15" a="1"/>
  <c r="J325" i="15" s="1"/>
  <c r="I325" i="15" a="1"/>
  <c r="I325" i="15" s="1"/>
  <c r="H325" i="15" a="1"/>
  <c r="H325" i="15" s="1"/>
  <c r="S325" i="15" a="1"/>
  <c r="S325" i="15" s="1"/>
  <c r="M325" i="15" a="1"/>
  <c r="M325" i="15" s="1"/>
  <c r="L325" i="15" a="1"/>
  <c r="L325" i="15" s="1"/>
  <c r="K325" i="15" a="1"/>
  <c r="K325" i="15" s="1"/>
  <c r="G325" i="15" a="1"/>
  <c r="G325" i="15" s="1"/>
  <c r="E326" i="15"/>
  <c r="E328" i="14"/>
  <c r="E326" i="13"/>
  <c r="P326" i="15" l="1" a="1"/>
  <c r="P326" i="15" s="1"/>
  <c r="O326" i="15" a="1"/>
  <c r="O326" i="15" s="1"/>
  <c r="N326" i="15" a="1"/>
  <c r="N326" i="15" s="1"/>
  <c r="M326" i="15" a="1"/>
  <c r="M326" i="15" s="1"/>
  <c r="K326" i="15" a="1"/>
  <c r="K326" i="15" s="1"/>
  <c r="S326" i="15" a="1"/>
  <c r="S326" i="15" s="1"/>
  <c r="G326" i="15" a="1"/>
  <c r="G326" i="15" s="1"/>
  <c r="R326" i="15" a="1"/>
  <c r="R326" i="15" s="1"/>
  <c r="F326" i="15" a="1"/>
  <c r="F326" i="15" s="1"/>
  <c r="I326" i="15" a="1"/>
  <c r="I326" i="15" s="1"/>
  <c r="H326" i="15" a="1"/>
  <c r="H326" i="15" s="1"/>
  <c r="Q326" i="15" a="1"/>
  <c r="Q326" i="15" s="1"/>
  <c r="L326" i="15" a="1"/>
  <c r="L326" i="15" s="1"/>
  <c r="J326" i="15" a="1"/>
  <c r="J326" i="15" s="1"/>
  <c r="E327" i="15"/>
  <c r="E327" i="13"/>
  <c r="E329" i="14"/>
  <c r="M327" i="15" l="1" a="1"/>
  <c r="M327" i="15" s="1"/>
  <c r="L327" i="15" a="1"/>
  <c r="L327" i="15" s="1"/>
  <c r="K327" i="15" a="1"/>
  <c r="K327" i="15" s="1"/>
  <c r="J327" i="15" a="1"/>
  <c r="J327" i="15" s="1"/>
  <c r="S327" i="15" a="1"/>
  <c r="S327" i="15" s="1"/>
  <c r="H327" i="15" a="1"/>
  <c r="H327" i="15" s="1"/>
  <c r="P327" i="15" a="1"/>
  <c r="P327" i="15" s="1"/>
  <c r="O327" i="15" a="1"/>
  <c r="O327" i="15" s="1"/>
  <c r="R327" i="15" a="1"/>
  <c r="R327" i="15" s="1"/>
  <c r="Q327" i="15" a="1"/>
  <c r="Q327" i="15" s="1"/>
  <c r="N327" i="15" a="1"/>
  <c r="N327" i="15" s="1"/>
  <c r="I327" i="15" a="1"/>
  <c r="I327" i="15" s="1"/>
  <c r="G327" i="15" a="1"/>
  <c r="G327" i="15" s="1"/>
  <c r="F327" i="15" a="1"/>
  <c r="F327" i="15" s="1"/>
  <c r="E328" i="15"/>
  <c r="E330" i="14"/>
  <c r="E328" i="13"/>
  <c r="I328" i="15" l="1" a="1"/>
  <c r="I328" i="15" s="1"/>
  <c r="H328" i="15" a="1"/>
  <c r="H328" i="15" s="1"/>
  <c r="S328" i="15" a="1"/>
  <c r="S328" i="15" s="1"/>
  <c r="G328" i="15" a="1"/>
  <c r="G328" i="15" s="1"/>
  <c r="R328" i="15" a="1"/>
  <c r="R328" i="15" s="1"/>
  <c r="F328" i="15" a="1"/>
  <c r="F328" i="15" s="1"/>
  <c r="P328" i="15" a="1"/>
  <c r="P328" i="15" s="1"/>
  <c r="M328" i="15" a="1"/>
  <c r="M328" i="15" s="1"/>
  <c r="L328" i="15" a="1"/>
  <c r="L328" i="15" s="1"/>
  <c r="K328" i="15" a="1"/>
  <c r="K328" i="15" s="1"/>
  <c r="J328" i="15" a="1"/>
  <c r="J328" i="15" s="1"/>
  <c r="Q328" i="15" a="1"/>
  <c r="Q328" i="15" s="1"/>
  <c r="O328" i="15" a="1"/>
  <c r="O328" i="15" s="1"/>
  <c r="N328" i="15" a="1"/>
  <c r="N328" i="15" s="1"/>
  <c r="E329" i="15"/>
  <c r="E329" i="13"/>
  <c r="E6" i="14"/>
  <c r="H329" i="15" l="1" a="1"/>
  <c r="H329" i="15" s="1"/>
  <c r="G329" i="15" a="1"/>
  <c r="G329" i="15" s="1"/>
  <c r="S329" i="15" a="1"/>
  <c r="S329" i="15" s="1"/>
  <c r="R329" i="15" a="1"/>
  <c r="R329" i="15" s="1"/>
  <c r="F329" i="15" a="1"/>
  <c r="F329" i="15" s="1"/>
  <c r="Q329" i="15" a="1"/>
  <c r="Q329" i="15" s="1"/>
  <c r="O329" i="15" a="1"/>
  <c r="O329" i="15" s="1"/>
  <c r="L329" i="15" a="1"/>
  <c r="L329" i="15" s="1"/>
  <c r="K329" i="15" a="1"/>
  <c r="K329" i="15" s="1"/>
  <c r="J329" i="15" a="1"/>
  <c r="J329" i="15" s="1"/>
  <c r="P329" i="15" a="1"/>
  <c r="P329" i="15" s="1"/>
  <c r="N329" i="15" a="1"/>
  <c r="N329" i="15" s="1"/>
  <c r="M329" i="15" a="1"/>
  <c r="M329" i="15" s="1"/>
  <c r="I329" i="15" a="1"/>
  <c r="I329" i="15" s="1"/>
  <c r="E330" i="15"/>
  <c r="E330" i="13"/>
  <c r="S330" i="15" l="1" a="1"/>
  <c r="S330" i="15" s="1"/>
  <c r="G330" i="15" a="1"/>
  <c r="G330" i="15" s="1"/>
  <c r="F330" i="15" a="1"/>
  <c r="F330" i="15" s="1"/>
  <c r="R330" i="15" a="1"/>
  <c r="R330" i="15" s="1"/>
  <c r="Q330" i="15" a="1"/>
  <c r="Q330" i="15" s="1"/>
  <c r="P330" i="15" a="1"/>
  <c r="P330" i="15" s="1"/>
  <c r="N330" i="15" a="1"/>
  <c r="N330" i="15" s="1"/>
  <c r="J330" i="15" a="1"/>
  <c r="J330" i="15" s="1"/>
  <c r="I330" i="15" a="1"/>
  <c r="I330" i="15" s="1"/>
  <c r="O330" i="15" a="1"/>
  <c r="O330" i="15" s="1"/>
  <c r="M330" i="15" a="1"/>
  <c r="M330" i="15" s="1"/>
  <c r="L330" i="15" a="1"/>
  <c r="L330" i="15" s="1"/>
  <c r="K330" i="15" a="1"/>
  <c r="K330" i="15" s="1"/>
  <c r="H330" i="15" a="1"/>
  <c r="H330" i="15" s="1"/>
  <c r="E6" i="15"/>
  <c r="E6" i="13"/>
  <c r="H6" i="15" l="1" a="1"/>
  <c r="H6" i="15" s="1"/>
  <c r="G6" i="15" a="1"/>
  <c r="G6" i="15" s="1"/>
  <c r="L6" i="15" a="1"/>
  <c r="L6" i="15" s="1"/>
  <c r="F6" i="15" a="1"/>
  <c r="F6" i="15" s="1"/>
  <c r="S6" i="15" a="1"/>
  <c r="S6" i="15" s="1"/>
  <c r="R6" i="15" a="1"/>
  <c r="R6" i="15" s="1"/>
  <c r="Q6" i="15" a="1"/>
  <c r="Q6" i="15" s="1"/>
  <c r="P6" i="15" a="1"/>
  <c r="P6" i="15" s="1"/>
  <c r="O6" i="15" a="1"/>
  <c r="O6" i="15" s="1"/>
  <c r="N6" i="15" a="1"/>
  <c r="N6" i="15" s="1"/>
  <c r="M6" i="15" a="1"/>
  <c r="M6" i="15" s="1"/>
  <c r="K6" i="15" a="1"/>
  <c r="K6" i="15" s="1"/>
  <c r="J6" i="15" a="1"/>
  <c r="J6" i="15" s="1"/>
  <c r="I6" i="15" a="1"/>
  <c r="I6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<sst xmlns="http://schemas.openxmlformats.org/spreadsheetml/2006/main" count="2565" uniqueCount="386">
  <si>
    <t>Location</t>
  </si>
  <si>
    <t>Indicator</t>
  </si>
  <si>
    <t>Scenario</t>
  </si>
  <si>
    <t>Units</t>
  </si>
  <si>
    <t>Scale</t>
  </si>
  <si>
    <t>Measurement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</si>
  <si>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</si>
  <si>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</si>
  <si>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</si>
  <si>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</si>
  <si>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</si>
  <si>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</si>
  <si>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</si>
  <si>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</si>
  <si>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</si>
  <si>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</si>
  <si>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</si>
  <si>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</si>
  <si>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</si>
  <si>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</si>
  <si>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</si>
  <si>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</si>
  <si>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</si>
  <si>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</si>
  <si>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</si>
  <si>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</si>
  <si>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</si>
  <si>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</si>
  <si>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</si>
  <si>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</si>
  <si>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</si>
  <si>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</si>
  <si>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</si>
  <si>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</si>
  <si>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</si>
  <si>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</si>
  <si>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</si>
  <si>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</si>
  <si>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</si>
  <si>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</si>
  <si>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</si>
  <si>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</si>
  <si>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</si>
  <si>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</si>
  <si>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</si>
  <si>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</si>
  <si>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</si>
  <si>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</si>
  <si>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</si>
  <si>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</si>
  <si>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</si>
  <si>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</si>
  <si>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</si>
  <si>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</si>
  <si>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</si>
  <si>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</si>
  <si>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</si>
  <si>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</si>
  <si>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</si>
  <si>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</si>
  <si>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</si>
  <si>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</si>
  <si>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</si>
  <si>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</si>
  <si>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</si>
  <si>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</si>
  <si>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</si>
  <si>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</si>
  <si>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</si>
  <si>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</si>
  <si>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</si>
  <si>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</si>
  <si>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</si>
  <si>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</si>
  <si>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</si>
  <si>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</si>
  <si>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</si>
  <si>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</si>
  <si>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</si>
  <si>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</si>
  <si>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</si>
  <si>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</si>
  <si>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</si>
  <si>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</si>
  <si>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</si>
  <si>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</si>
  <si>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</si>
  <si>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</si>
  <si>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</si>
  <si>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</si>
  <si>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</si>
  <si>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</si>
  <si>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</si>
  <si>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</si>
  <si>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</si>
  <si>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</si>
  <si>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</si>
  <si>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</si>
  <si>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</si>
  <si>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</si>
  <si>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</si>
  <si>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</si>
  <si>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</si>
  <si>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</si>
  <si>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</si>
  <si>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</si>
  <si>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</si>
  <si>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</si>
  <si>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</si>
  <si>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</si>
  <si>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</si>
  <si>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</si>
  <si>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</si>
  <si>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</si>
  <si>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</si>
  <si>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</si>
  <si>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</si>
  <si>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</si>
  <si>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</si>
  <si>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</si>
  <si>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</si>
  <si>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</si>
  <si>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</si>
  <si>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</si>
  <si>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</si>
  <si>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</si>
  <si>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</si>
  <si>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</si>
  <si>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</si>
  <si>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</si>
  <si>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</si>
  <si>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</si>
  <si>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</si>
  <si>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</si>
  <si>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</si>
  <si>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</si>
  <si>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</si>
  <si>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</si>
  <si>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</si>
  <si>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</si>
  <si>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</si>
  <si>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</si>
  <si>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</si>
  <si>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</si>
  <si>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</si>
  <si>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</si>
  <si>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</si>
  <si>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</si>
  <si>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</si>
  <si>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</si>
  <si>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</si>
  <si>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</si>
  <si>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</si>
  <si>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</si>
  <si>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</si>
  <si>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</si>
  <si>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</si>
  <si>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</si>
  <si>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</si>
  <si>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</si>
  <si>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</si>
  <si>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</si>
  <si>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</si>
  <si>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</si>
  <si>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</si>
  <si>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</si>
  <si>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</si>
  <si>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</si>
  <si>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</si>
  <si>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</si>
  <si>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</si>
  <si>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</si>
  <si>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</si>
  <si>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</si>
  <si>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</si>
  <si>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</si>
  <si>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</si>
  <si>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</si>
  <si>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</si>
  <si>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</si>
  <si>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</si>
  <si>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</si>
  <si>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</si>
  <si>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</si>
  <si>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</si>
  <si>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</si>
  <si>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</si>
  <si>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</si>
  <si>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</si>
  <si>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</si>
  <si>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</si>
  <si>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</si>
  <si>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</si>
  <si>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</si>
  <si>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</si>
  <si>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</si>
  <si>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</si>
  <si>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</si>
  <si>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</si>
  <si>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</si>
  <si>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</si>
  <si>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</si>
  <si>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</si>
  <si>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</si>
  <si>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</si>
  <si>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</si>
  <si>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</si>
  <si>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</si>
  <si>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</si>
  <si>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</si>
  <si>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</si>
  <si>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</si>
  <si>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</si>
  <si>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</si>
  <si>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</si>
  <si>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</si>
  <si>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</si>
  <si>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</si>
  <si>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</si>
  <si>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</si>
  <si>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</si>
  <si>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</si>
  <si>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</si>
  <si>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</si>
  <si>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</si>
  <si>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</si>
  <si>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</si>
  <si>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</si>
  <si>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</si>
  <si>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</si>
  <si>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</si>
  <si>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</si>
  <si>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</si>
  <si>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</si>
  <si>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</si>
  <si>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</si>
  <si>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</si>
  <si>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</si>
  <si>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</si>
  <si>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</si>
  <si>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</si>
  <si>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</si>
  <si>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</si>
  <si>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</si>
  <si>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</si>
  <si>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</si>
  <si>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</si>
  <si>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</si>
  <si>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</si>
  <si>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</si>
  <si>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</si>
  <si>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</si>
  <si>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</si>
  <si>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</si>
  <si>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</si>
  <si>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</si>
  <si>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</si>
  <si>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</si>
  <si>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</si>
  <si>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</si>
  <si>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</si>
  <si>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</si>
  <si>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</si>
  <si>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</si>
  <si>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</si>
  <si>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</si>
  <si>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</si>
  <si>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</si>
  <si>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</si>
  <si>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</si>
  <si>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</si>
  <si>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</si>
  <si>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</si>
  <si>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</si>
  <si>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</si>
  <si>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</si>
  <si>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</si>
  <si>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</si>
  <si>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</si>
  <si>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</si>
  <si>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</si>
  <si>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</si>
  <si>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</si>
  <si>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</si>
  <si>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</si>
  <si>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</si>
  <si>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</si>
  <si>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</si>
  <si>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</si>
  <si>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</si>
  <si>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</si>
  <si>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</si>
  <si>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</si>
  <si>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</si>
  <si>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</si>
  <si>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</si>
  <si>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</si>
  <si>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</si>
  <si>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</si>
  <si>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</si>
  <si>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</si>
  <si>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</si>
  <si>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</si>
  <si>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</si>
  <si>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</si>
  <si>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</si>
  <si>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</si>
  <si>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</si>
  <si>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</si>
  <si>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</si>
  <si>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</si>
  <si>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</si>
  <si>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</si>
  <si>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</si>
  <si>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</si>
  <si>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</si>
  <si>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</si>
  <si>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</si>
  <si>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</si>
  <si>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</si>
  <si>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</si>
  <si>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</si>
  <si>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</si>
  <si>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</si>
  <si>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</si>
  <si>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</si>
  <si>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</si>
  <si>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</si>
  <si>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</si>
  <si>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</si>
  <si>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</si>
  <si>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</si>
  <si>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</si>
  <si>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</si>
  <si>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</si>
  <si>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</si>
  <si>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</si>
  <si>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</si>
  <si>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</si>
  <si>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</si>
  <si>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</si>
  <si>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</si>
  <si>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</si>
  <si>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Consumer price index</t>
  </si>
  <si>
    <t>Mar26_1</t>
  </si>
  <si>
    <t>Index</t>
  </si>
  <si>
    <t>2015=100</t>
  </si>
  <si>
    <t>Level</t>
  </si>
  <si>
    <t>NA</t>
  </si>
  <si>
    <t>Office for National Statistics\Haver Analytics</t>
  </si>
  <si>
    <t>D7BT@UK</t>
  </si>
  <si>
    <t xml:space="preserve">UK: Consumer Price Index: All Items (NSA, 2015=100) </t>
  </si>
  <si>
    <t>GBR</t>
  </si>
  <si>
    <t>CPI</t>
  </si>
  <si>
    <t>Desktop</t>
  </si>
  <si>
    <t>Consumption, private, real, LCU</t>
  </si>
  <si>
    <t>Pound</t>
  </si>
  <si>
    <t>Millions: chained 2023 prices</t>
  </si>
  <si>
    <t>chained 2023</t>
  </si>
  <si>
    <t>ABJRQ@UK</t>
  </si>
  <si>
    <t>U.K.: Household Final Consumption Expenditure (SA, Mil.Chn.2023.GBP)</t>
  </si>
  <si>
    <t>C</t>
  </si>
  <si>
    <t>GDP, real, LCU</t>
  </si>
  <si>
    <t>ABMIQ@UK</t>
  </si>
  <si>
    <t>U.K.: Real Gross Domestic Product (SA, Mil.Chn.2023.GBP)</t>
  </si>
  <si>
    <t>GDP</t>
  </si>
  <si>
    <t>Interest rate, central bank policy</t>
  </si>
  <si>
    <t>%</t>
  </si>
  <si>
    <t>Bank of England \Haver Analytics</t>
  </si>
  <si>
    <t>agg(R112RD@INTDAILY,avg)</t>
  </si>
  <si>
    <t>United Kingdom: Official Bank Rate (%)</t>
  </si>
  <si>
    <t>RCB</t>
  </si>
  <si>
    <t>Oil_100</t>
  </si>
  <si>
    <t>Iran_worst_case</t>
  </si>
  <si>
    <t>lookups</t>
  </si>
  <si>
    <t>UK</t>
  </si>
  <si>
    <t>L</t>
  </si>
  <si>
    <t>CY total</t>
  </si>
  <si>
    <t>FY total</t>
  </si>
  <si>
    <t>FY end</t>
  </si>
  <si>
    <t>GDP growth</t>
  </si>
  <si>
    <t>Baseline</t>
  </si>
  <si>
    <t>Worst-case scenario</t>
  </si>
  <si>
    <t>$100 for two months</t>
  </si>
  <si>
    <t>CPI inflation</t>
  </si>
  <si>
    <t>Bank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</si>
</sst>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;\-###0.0;0.0;@"/>
    <numFmt numFmtId="165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A80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2" borderId="1" xfId="1" applyFont="1" applyFill="1" applyBorder="1" applyAlignment="1">
      <alignment horizontal="left" wrapText="1"/>
    </xf>
    <xf numFmtId="0" fontId="0" fillId="0" borderId="0" xfId="0" quotePrefix="1"/>
    <xf numFmtId="15" fontId="0" fillId="0" borderId="0" xfId="0" applyNumberFormat="1"/>
    <xf numFmtId="164" fontId="0" fillId="0" borderId="0" xfId="0" applyNumberFormat="1"/>
    <xf numFmtId="164" fontId="4" fillId="0" borderId="0" xfId="0" applyNumberFormat="1" applyFont="1"/>
    <xf numFmtId="0" fontId="5" fillId="0" borderId="0" xfId="0" applyFont="1"/>
    <xf numFmtId="0" fontId="0" fillId="0" borderId="0" xfId="0" applyAlignment="1">
      <alignment horizontal="right"/>
    </xf>
    <xf numFmtId="0" fontId="1" fillId="0" borderId="0" xfId="0" applyFont="1"/>
    <xf numFmtId="165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FDB126EA-59CE-4FA6-B520-E8BBDB15D8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3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7537907823489802E-2"/>
          <c:y val="0.14714391023940784"/>
          <c:w val="0.38744167148597952"/>
          <c:h val="0.7050367535866564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Data'!$B$2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Data'!$A$3:$A$18</c:f>
              <c:numCache>
                <c:formatCode>General</c:formatCode>
                <c:ptCount val="16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</c:numCache>
            </c:numRef>
          </c:cat>
          <c:val>
            <c:numRef>
              <c:f>'Chart Data'!$B$3:$B$18</c:f>
              <c:numCache>
                <c:formatCode>0.0</c:formatCode>
                <c:ptCount val="16"/>
                <c:pt idx="0">
                  <c:v>1.7614344948914784</c:v>
                </c:pt>
                <c:pt idx="1">
                  <c:v>1.3689448855137565</c:v>
                </c:pt>
                <c:pt idx="2">
                  <c:v>1.1959480693919611</c:v>
                </c:pt>
                <c:pt idx="3">
                  <c:v>0.97183662955435679</c:v>
                </c:pt>
                <c:pt idx="4">
                  <c:v>0.68939239919645345</c:v>
                </c:pt>
                <c:pt idx="5">
                  <c:v>0.71732609910923895</c:v>
                </c:pt>
                <c:pt idx="6">
                  <c:v>0.86762801923461197</c:v>
                </c:pt>
                <c:pt idx="7">
                  <c:v>1.0903225897889834</c:v>
                </c:pt>
                <c:pt idx="8">
                  <c:v>1.0644543660038641</c:v>
                </c:pt>
                <c:pt idx="9">
                  <c:v>1.1827225807233388</c:v>
                </c:pt>
                <c:pt idx="10">
                  <c:v>1.3700444281738777</c:v>
                </c:pt>
                <c:pt idx="11">
                  <c:v>1.4758350344332483</c:v>
                </c:pt>
                <c:pt idx="12">
                  <c:v>1.4959608707211691</c:v>
                </c:pt>
                <c:pt idx="13">
                  <c:v>1.5234682442433201</c:v>
                </c:pt>
                <c:pt idx="14">
                  <c:v>1.5082714028668676</c:v>
                </c:pt>
                <c:pt idx="15">
                  <c:v>1.4982371973330411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5-4FDC-B850-045D40FA4739}"/>
            </c:ext>
          </c:extLst>
        </c:ser>
        <c:ser>
          <c:idx val="0"/>
          <c:order val="1"/>
          <c:tx>
            <c:strRef>
              <c:f>'Chart Data'!$C$2</c:f>
              <c:strCache>
                <c:ptCount val="1"/>
                <c:pt idx="0">
                  <c:v>$100 for two months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Data'!$A$3:$A$18</c:f>
              <c:numCache>
                <c:formatCode>General</c:formatCode>
                <c:ptCount val="16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</c:numCache>
            </c:numRef>
          </c:cat>
          <c:val>
            <c:numRef>
              <c:f>'Chart Data'!$C$3:$C$18</c:f>
              <c:numCache>
                <c:formatCode>0.0</c:formatCode>
                <c:ptCount val="16"/>
                <c:pt idx="0">
                  <c:v>1.7614344948914784</c:v>
                </c:pt>
                <c:pt idx="1">
                  <c:v>1.3689448855137565</c:v>
                </c:pt>
                <c:pt idx="2">
                  <c:v>1.1959480693919611</c:v>
                </c:pt>
                <c:pt idx="3">
                  <c:v>0.97183662955435679</c:v>
                </c:pt>
                <c:pt idx="4">
                  <c:v>0.65047990184441407</c:v>
                </c:pt>
                <c:pt idx="5">
                  <c:v>0.53941696769854719</c:v>
                </c:pt>
                <c:pt idx="6">
                  <c:v>0.53506374904812581</c:v>
                </c:pt>
                <c:pt idx="7">
                  <c:v>0.7261919778448922</c:v>
                </c:pt>
                <c:pt idx="8">
                  <c:v>0.80959301689120799</c:v>
                </c:pt>
                <c:pt idx="9">
                  <c:v>1.1491394719558068</c:v>
                </c:pt>
                <c:pt idx="10">
                  <c:v>1.5367717397958502</c:v>
                </c:pt>
                <c:pt idx="11">
                  <c:v>1.6861527620576133</c:v>
                </c:pt>
                <c:pt idx="12">
                  <c:v>1.666125340804081</c:v>
                </c:pt>
                <c:pt idx="13">
                  <c:v>1.6604705789777352</c:v>
                </c:pt>
                <c:pt idx="14">
                  <c:v>1.6374957578279892</c:v>
                </c:pt>
                <c:pt idx="15">
                  <c:v>1.6534191843617263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F5-4FDC-B850-045D40FA4739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Worst-case scenario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Data'!$A$3:$A$18</c:f>
              <c:numCache>
                <c:formatCode>General</c:formatCode>
                <c:ptCount val="16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</c:numCache>
            </c:numRef>
          </c:cat>
          <c:val>
            <c:numRef>
              <c:f>'Chart Data'!$D$3:$D$18</c:f>
              <c:numCache>
                <c:formatCode>0.0</c:formatCode>
                <c:ptCount val="16"/>
                <c:pt idx="0">
                  <c:v>1.7614344948914784</c:v>
                </c:pt>
                <c:pt idx="1">
                  <c:v>1.3689448855137565</c:v>
                </c:pt>
                <c:pt idx="2">
                  <c:v>1.1959480693919611</c:v>
                </c:pt>
                <c:pt idx="3">
                  <c:v>0.97183662955435679</c:v>
                </c:pt>
                <c:pt idx="4">
                  <c:v>0.63007820885931931</c:v>
                </c:pt>
                <c:pt idx="5">
                  <c:v>0.32073019503460198</c:v>
                </c:pt>
                <c:pt idx="6">
                  <c:v>0.12514411071105069</c:v>
                </c:pt>
                <c:pt idx="7">
                  <c:v>-1.3662693052862718E-2</c:v>
                </c:pt>
                <c:pt idx="8">
                  <c:v>-8.3257417864368577E-2</c:v>
                </c:pt>
                <c:pt idx="9">
                  <c:v>0.39548354202658675</c:v>
                </c:pt>
                <c:pt idx="10">
                  <c:v>0.94560096421103523</c:v>
                </c:pt>
                <c:pt idx="11">
                  <c:v>1.4986081710099963</c:v>
                </c:pt>
                <c:pt idx="12">
                  <c:v>1.69552279326457</c:v>
                </c:pt>
                <c:pt idx="13">
                  <c:v>1.8348822886032456</c:v>
                </c:pt>
                <c:pt idx="14">
                  <c:v>1.9501474648546013</c:v>
                </c:pt>
                <c:pt idx="15">
                  <c:v>2.0386513788412497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F5-4FDC-B850-045D40FA4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1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686228628201136"/>
          <c:y val="0.15099340305234124"/>
          <c:w val="0.29508916470186991"/>
          <c:h val="0.16806513047255231"/>
        </c:manualLayout>
      </c:layout>
      <c:overlay val="0"/>
      <c:txPr>
        <a:bodyPr/>
        <a:lstStyle/>
        <a:p>
          <a:pPr>
            <a:defRPr sz="18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505137530454434"/>
          <c:y val="0.14714393374095566"/>
          <c:w val="0.77709026282028659"/>
          <c:h val="0.7050367535866564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Data'!$G$2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Data'!$F$3:$F$19</c:f>
              <c:numCache>
                <c:formatCode>General</c:formatCode>
                <c:ptCount val="17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</c:numCache>
            </c:numRef>
          </c:cat>
          <c:val>
            <c:numRef>
              <c:f>'Chart Data'!$G$3:$G$19</c:f>
              <c:numCache>
                <c:formatCode>0.0</c:formatCode>
                <c:ptCount val="17"/>
                <c:pt idx="0">
                  <c:v>2.7973783272736252</c:v>
                </c:pt>
                <c:pt idx="1">
                  <c:v>3.4869498099501239</c:v>
                </c:pt>
                <c:pt idx="2">
                  <c:v>3.8031319910514449</c:v>
                </c:pt>
                <c:pt idx="3">
                  <c:v>3.376904948707149</c:v>
                </c:pt>
                <c:pt idx="4">
                  <c:v>2.8921051992877755</c:v>
                </c:pt>
                <c:pt idx="5">
                  <c:v>2.4896750902527076</c:v>
                </c:pt>
                <c:pt idx="6">
                  <c:v>2.8500000000000192</c:v>
                </c:pt>
                <c:pt idx="7">
                  <c:v>2.6402718168812456</c:v>
                </c:pt>
                <c:pt idx="8">
                  <c:v>2.5834351925317689</c:v>
                </c:pt>
                <c:pt idx="9">
                  <c:v>2.1828385284209162</c:v>
                </c:pt>
                <c:pt idx="10">
                  <c:v>1.8116579775255603</c:v>
                </c:pt>
                <c:pt idx="11">
                  <c:v>2.0344118903541819</c:v>
                </c:pt>
                <c:pt idx="12">
                  <c:v>2.1590348483623734</c:v>
                </c:pt>
                <c:pt idx="13">
                  <c:v>1.9743296469344251</c:v>
                </c:pt>
                <c:pt idx="14">
                  <c:v>1.9798862383533677</c:v>
                </c:pt>
                <c:pt idx="15">
                  <c:v>1.9713776967877239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59-44FA-A181-02962F9F8547}"/>
            </c:ext>
          </c:extLst>
        </c:ser>
        <c:ser>
          <c:idx val="0"/>
          <c:order val="1"/>
          <c:tx>
            <c:strRef>
              <c:f>'Chart Data'!$H$2</c:f>
              <c:strCache>
                <c:ptCount val="1"/>
                <c:pt idx="0">
                  <c:v>$100 for two months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Data'!$F$3:$F$19</c:f>
              <c:numCache>
                <c:formatCode>General</c:formatCode>
                <c:ptCount val="17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</c:numCache>
            </c:numRef>
          </c:cat>
          <c:val>
            <c:numRef>
              <c:f>'Chart Data'!$H$3:$H$19</c:f>
              <c:numCache>
                <c:formatCode>0.0</c:formatCode>
                <c:ptCount val="17"/>
                <c:pt idx="0">
                  <c:v>2.7973783272736252</c:v>
                </c:pt>
                <c:pt idx="1">
                  <c:v>3.4869498099501239</c:v>
                </c:pt>
                <c:pt idx="2">
                  <c:v>3.8031319910514449</c:v>
                </c:pt>
                <c:pt idx="3">
                  <c:v>3.376904948707149</c:v>
                </c:pt>
                <c:pt idx="4">
                  <c:v>2.9968367254629369</c:v>
                </c:pt>
                <c:pt idx="5">
                  <c:v>3.0145126353790408</c:v>
                </c:pt>
                <c:pt idx="6">
                  <c:v>3.8098419540229855</c:v>
                </c:pt>
                <c:pt idx="7">
                  <c:v>3.37174535050071</c:v>
                </c:pt>
                <c:pt idx="8">
                  <c:v>2.8448016086671357</c:v>
                </c:pt>
                <c:pt idx="9">
                  <c:v>1.9355164285849602</c:v>
                </c:pt>
                <c:pt idx="10">
                  <c:v>0.98945837223094468</c:v>
                </c:pt>
                <c:pt idx="11">
                  <c:v>1.3515673600495992</c:v>
                </c:pt>
                <c:pt idx="12">
                  <c:v>1.8400933724838753</c:v>
                </c:pt>
                <c:pt idx="13">
                  <c:v>1.7307197775525474</c:v>
                </c:pt>
                <c:pt idx="14">
                  <c:v>1.8691441489285143</c:v>
                </c:pt>
                <c:pt idx="15">
                  <c:v>1.9223455948067292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59-44FA-A181-02962F9F8547}"/>
            </c:ext>
          </c:extLst>
        </c:ser>
        <c:ser>
          <c:idx val="2"/>
          <c:order val="2"/>
          <c:tx>
            <c:strRef>
              <c:f>'Chart Data'!$I$2</c:f>
              <c:strCache>
                <c:ptCount val="1"/>
                <c:pt idx="0">
                  <c:v>Worst-case scenario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Data'!$F$3:$F$19</c:f>
              <c:numCache>
                <c:formatCode>General</c:formatCode>
                <c:ptCount val="17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</c:numCache>
            </c:numRef>
          </c:cat>
          <c:val>
            <c:numRef>
              <c:f>'Chart Data'!$I$3:$I$19</c:f>
              <c:numCache>
                <c:formatCode>0.0</c:formatCode>
                <c:ptCount val="17"/>
                <c:pt idx="0">
                  <c:v>2.7973783272736252</c:v>
                </c:pt>
                <c:pt idx="1">
                  <c:v>3.4869498099501239</c:v>
                </c:pt>
                <c:pt idx="2">
                  <c:v>3.8031319910514449</c:v>
                </c:pt>
                <c:pt idx="3">
                  <c:v>3.376904948707149</c:v>
                </c:pt>
                <c:pt idx="4">
                  <c:v>3.0805336894989654</c:v>
                </c:pt>
                <c:pt idx="5">
                  <c:v>3.7470758122743586</c:v>
                </c:pt>
                <c:pt idx="6">
                  <c:v>4.8531609195402448</c:v>
                </c:pt>
                <c:pt idx="7">
                  <c:v>5.4763948497853931</c:v>
                </c:pt>
                <c:pt idx="8">
                  <c:v>4.6434238615477463</c:v>
                </c:pt>
                <c:pt idx="9">
                  <c:v>3.0215805308244192</c:v>
                </c:pt>
                <c:pt idx="10">
                  <c:v>1.5790418456023581</c:v>
                </c:pt>
                <c:pt idx="11">
                  <c:v>0.73377821180558023</c:v>
                </c:pt>
                <c:pt idx="12">
                  <c:v>1.3070763490773407</c:v>
                </c:pt>
                <c:pt idx="13">
                  <c:v>1.1416496770279894</c:v>
                </c:pt>
                <c:pt idx="14">
                  <c:v>1.3324537991626917</c:v>
                </c:pt>
                <c:pt idx="15">
                  <c:v>1.4865556288626403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59-44FA-A181-02962F9F8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8D2BAD-56B2-403B-A757-A50DD917DD81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18036-F20C-B7B1-6BBD-0E945F0786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GDP growth &amp; inflation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0.00113</cdr:x>
      <cdr:y>0.07407</cdr:y>
    </cdr:from>
    <cdr:to>
      <cdr:x>0.14124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9525" y="498800"/>
          <a:ext cx="1181100" cy="343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0.49605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4041EF93-273C-1419-DCD6-6FCA8AF631C8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0.08701</cdr:x>
      <cdr:y>0.08779</cdr:y>
    </cdr:from>
    <cdr:to>
      <cdr:x>0.47458</cdr:x>
      <cdr:y>0.15006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6378DB3-530B-B6CB-8372-C5BFE1869720}"/>
            </a:ext>
          </a:extLst>
        </cdr:cNvPr>
        <cdr:cNvSpPr txBox="1"/>
      </cdr:nvSpPr>
      <cdr:spPr>
        <a:xfrm xmlns:a="http://schemas.openxmlformats.org/drawingml/2006/main">
          <a:off x="733424" y="591210"/>
          <a:ext cx="3267075" cy="4193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GDP growth</a:t>
          </a:r>
        </a:p>
      </cdr:txBody>
    </cdr:sp>
  </cdr:relSizeAnchor>
  <cdr:relSizeAnchor xmlns:cdr="http://schemas.openxmlformats.org/drawingml/2006/chartDrawing">
    <cdr:from>
      <cdr:x>0.57096</cdr:x>
      <cdr:y>0.08685</cdr:y>
    </cdr:from>
    <cdr:to>
      <cdr:x>0.96384</cdr:x>
      <cdr:y>0.14912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4E2C285-73F8-D5EF-A865-E4B95F78787F}"/>
            </a:ext>
          </a:extLst>
        </cdr:cNvPr>
        <cdr:cNvSpPr txBox="1"/>
      </cdr:nvSpPr>
      <cdr:spPr>
        <a:xfrm xmlns:a="http://schemas.openxmlformats.org/drawingml/2006/main">
          <a:off x="4812979" y="584850"/>
          <a:ext cx="3311846" cy="4193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CPI inflation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0.03815</cdr:x>
      <cdr:y>0.07549</cdr:y>
    </cdr:from>
    <cdr:to>
      <cdr:x>0.31049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162077" y="508363"/>
          <a:ext cx="1156941" cy="343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UK%20Weekly\20260213%20WK%20UK%20-%20Charts.xlsx" TargetMode="External"/><Relationship Id="rId1" Type="http://schemas.openxmlformats.org/officeDocument/2006/relationships/externalLinkPath" Target="20260213%20WK%20UK%20-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  <sheetName val="ALOKASI"/>
      <sheetName val="In"/>
      <sheetName val="BUDG98 (summary)"/>
      <sheetName val="Rango Valor"/>
      <sheetName val="FCD"/>
      <sheetName val="A Sc1"/>
      <sheetName val="SIS Data"/>
      <sheetName val="A"/>
      <sheetName val="ICIS Price History"/>
      <sheetName val="Lookup"/>
      <sheetName val="Divisional List"/>
      <sheetName val="FY16 and FY17 FX rates"/>
      <sheetName val="Divisional_List"/>
      <sheetName val="FY16_and_FY17_FX_rates"/>
      <sheetName val="Tableau de saisie"/>
      <sheetName val="EXPORT n-1"/>
      <sheetName val="EXPORT n-2"/>
      <sheetName val="nominal codes"/>
      <sheetName val="FAQs about AdCertifier"/>
      <sheetName val="Instructions for BF"/>
      <sheetName val="Booking Form"/>
      <sheetName val="CS Module Brief- WIP"/>
      <sheetName val="FC RateCard 2"/>
      <sheetName val="Form 40R dropdown"/>
      <sheetName val="Change Log"/>
      <sheetName val="Sheet1"/>
      <sheetName val="Briefing for special markets"/>
      <sheetName val="Original Source"/>
      <sheetName val="FC Rate Card"/>
      <sheetName val="CS module Rate Card"/>
      <sheetName val="India Test Bed"/>
      <sheetName val="China CAWI Test Beds"/>
      <sheetName val="Summary"/>
      <sheetName val="India Test Bed Sample Calc"/>
      <sheetName val="Sectors (M)"/>
      <sheetName val="FS-97"/>
      <sheetName val="name"/>
      <sheetName val="Brooklyn"/>
      <sheetName val="Train.set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>
        <row r="2">
          <cell r="C2" t="str">
            <v>CMI BPI/Marketing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 - Yields &amp; spreads"/>
      <sheetName val="Chart - Yields &amp; RXD"/>
      <sheetName val="HAVER"/>
    </sheetNames>
    <sheetDataSet>
      <sheetData sheetId="0" refreshError="1"/>
      <sheetData sheetId="1" refreshError="1"/>
      <sheetData sheetId="2">
        <row r="2">
          <cell r="F2" t="str">
            <v>$/£</v>
          </cell>
        </row>
        <row r="554">
          <cell r="A554">
            <v>46055</v>
          </cell>
          <cell r="C554">
            <v>4.51</v>
          </cell>
          <cell r="F554">
            <v>1.3628</v>
          </cell>
        </row>
        <row r="555">
          <cell r="A555">
            <v>46056</v>
          </cell>
          <cell r="C555">
            <v>4.5199999999999996</v>
          </cell>
          <cell r="F555">
            <v>1.3703000000000001</v>
          </cell>
        </row>
        <row r="556">
          <cell r="A556">
            <v>46057</v>
          </cell>
          <cell r="C556">
            <v>4.5599999999999996</v>
          </cell>
          <cell r="F556">
            <v>1.3664000000000001</v>
          </cell>
        </row>
        <row r="557">
          <cell r="A557">
            <v>46058</v>
          </cell>
          <cell r="C557">
            <v>4.57</v>
          </cell>
          <cell r="F557">
            <v>1.3528</v>
          </cell>
        </row>
        <row r="558">
          <cell r="A558">
            <v>46059</v>
          </cell>
          <cell r="C558">
            <v>4.5199999999999996</v>
          </cell>
          <cell r="F558">
            <v>1.3614999999999999</v>
          </cell>
        </row>
        <row r="559">
          <cell r="A559">
            <v>46062</v>
          </cell>
          <cell r="C559">
            <v>4.53</v>
          </cell>
          <cell r="F559">
            <v>1.3677999999999999</v>
          </cell>
        </row>
        <row r="560">
          <cell r="A560">
            <v>46063</v>
          </cell>
          <cell r="C560">
            <v>4.51</v>
          </cell>
          <cell r="F560">
            <v>1.3673999999999999</v>
          </cell>
        </row>
        <row r="561">
          <cell r="A561">
            <v>46064</v>
          </cell>
          <cell r="C561">
            <v>4.55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8ECF4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9.bin"/><Relationship Id="rId2" Type="http://schemas.openxmlformats.org/officeDocument/2006/relationships/customProperty" Target="../customProperty8.bin"/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0BF5-EB6C-4A70-9815-21263EA5C12E}">
  <dimension ref="A1:N27"/>
  <sheetViews>
    <sheetView tabSelected="1" workbookViewId="0">
      <selection activeCell="D7" sqref="D7"/>
    </sheetView>
  </sheetViews>
  <sheetFormatPr defaultRowHeight="15" x14ac:dyDescent="0.25"/>
  <cols>
    <col min="5" max="5" width="2.7109375" customWidth="1"/>
    <col min="10" max="10" width="2.7109375" customWidth="1"/>
  </cols>
  <sheetData>
    <row r="1" spans="1:14" x14ac:dyDescent="0.25">
      <c r="A1" s="8" t="s">
        <v>380</v>
      </c>
      <c r="F1" s="8" t="s">
        <v>384</v>
      </c>
      <c r="K1" s="8" t="s">
        <v>385</v>
      </c>
    </row>
    <row r="2" spans="1:14" x14ac:dyDescent="0.25">
      <c r="B2" t="s">
        <v>381</v>
      </c>
      <c r="C2" t="s">
        <v>383</v>
      </c>
      <c r="D2" t="s">
        <v>382</v>
      </c>
      <c r="G2" t="s">
        <v>381</v>
      </c>
      <c r="H2" t="s">
        <v>383</v>
      </c>
      <c r="I2" t="s">
        <v>382</v>
      </c>
      <c r="L2" t="s">
        <v>381</v>
      </c>
      <c r="M2" t="s">
        <v>383</v>
      </c>
      <c r="N2" t="s">
        <v>382</v>
      </c>
    </row>
    <row r="3" spans="1:14" x14ac:dyDescent="0.25">
      <c r="A3" s="10">
        <v>2025</v>
      </c>
      <c r="B3" s="9">
        <f>100*(('GEM data - Baseline'!$F187/'GEM data - Baseline'!$F183)-1)</f>
        <v>1.7614344948914784</v>
      </c>
      <c r="C3" s="9">
        <f>100*(('GEM data - $100 oil'!$F187/'GEM data - $100 oil'!$F183)-1)</f>
        <v>1.7614344948914784</v>
      </c>
      <c r="D3" s="9">
        <f>100*(('GEM data - Worst case'!$F187/'GEM data - Worst case'!$F183)-1)</f>
        <v>1.7614344948914784</v>
      </c>
      <c r="F3">
        <v>2025</v>
      </c>
      <c r="G3" s="9">
        <f>100*(('GEM data - Baseline'!$H187/'GEM data - Baseline'!$H183)-1)</f>
        <v>2.7973783272736252</v>
      </c>
      <c r="H3" s="9">
        <f>100*(('GEM data - $100 oil'!$H187/'GEM data - $100 oil'!$H183)-1)</f>
        <v>2.7973783272736252</v>
      </c>
      <c r="I3" s="9">
        <f>100*(('GEM data - Worst case'!$H187/'GEM data - Worst case'!$H183)-1)</f>
        <v>2.7973783272736252</v>
      </c>
      <c r="K3">
        <v>2025</v>
      </c>
      <c r="L3" s="11">
        <f>'GEM data - Baseline'!$I187</f>
        <v>4.6015629999999996</v>
      </c>
      <c r="M3" s="11">
        <f>'GEM data - $100 oil'!$I187</f>
        <v>4.6015629999999996</v>
      </c>
      <c r="N3" s="11">
        <f>'GEM data - Worst case'!$I187</f>
        <v>4.6015629999999996</v>
      </c>
    </row>
    <row r="4" spans="1:14" x14ac:dyDescent="0.25">
      <c r="A4" s="10"/>
      <c r="B4" s="9">
        <f>100*(('GEM data - Baseline'!$F188/'GEM data - Baseline'!$F184)-1)</f>
        <v>1.3689448855137565</v>
      </c>
      <c r="C4" s="9">
        <f>100*(('GEM data - $100 oil'!$F188/'GEM data - $100 oil'!$F184)-1)</f>
        <v>1.3689448855137565</v>
      </c>
      <c r="D4" s="9">
        <f>100*(('GEM data - Worst case'!$F188/'GEM data - Worst case'!$F184)-1)</f>
        <v>1.3689448855137565</v>
      </c>
      <c r="G4" s="9">
        <f>100*(('GEM data - Baseline'!$H188/'GEM data - Baseline'!$H184)-1)</f>
        <v>3.4869498099501239</v>
      </c>
      <c r="H4" s="9">
        <f>100*(('GEM data - $100 oil'!$H188/'GEM data - $100 oil'!$H184)-1)</f>
        <v>3.4869498099501239</v>
      </c>
      <c r="I4" s="9">
        <f>100*(('GEM data - Worst case'!$H188/'GEM data - Worst case'!$H184)-1)</f>
        <v>3.4869498099501239</v>
      </c>
      <c r="L4" s="11">
        <f>'GEM data - Baseline'!$I188</f>
        <v>4.3538459999999999</v>
      </c>
      <c r="M4" s="11">
        <f>'GEM data - $100 oil'!$I188</f>
        <v>4.3538459999999999</v>
      </c>
      <c r="N4" s="11">
        <f>'GEM data - Worst case'!$I188</f>
        <v>4.3538459999999999</v>
      </c>
    </row>
    <row r="5" spans="1:14" x14ac:dyDescent="0.25">
      <c r="A5" s="10"/>
      <c r="B5" s="9">
        <f>100*(('GEM data - Baseline'!$F189/'GEM data - Baseline'!$F185)-1)</f>
        <v>1.1959480693919611</v>
      </c>
      <c r="C5" s="9">
        <f>100*(('GEM data - $100 oil'!$F189/'GEM data - $100 oil'!$F185)-1)</f>
        <v>1.1959480693919611</v>
      </c>
      <c r="D5" s="9">
        <f>100*(('GEM data - Worst case'!$F189/'GEM data - Worst case'!$F185)-1)</f>
        <v>1.1959480693919611</v>
      </c>
      <c r="G5" s="9">
        <f>100*(('GEM data - Baseline'!$H189/'GEM data - Baseline'!$H185)-1)</f>
        <v>3.8031319910514449</v>
      </c>
      <c r="H5" s="9">
        <f>100*(('GEM data - $100 oil'!$H189/'GEM data - $100 oil'!$H185)-1)</f>
        <v>3.8031319910514449</v>
      </c>
      <c r="I5" s="9">
        <f>100*(('GEM data - Worst case'!$H189/'GEM data - Worst case'!$H185)-1)</f>
        <v>3.8031319910514449</v>
      </c>
      <c r="L5" s="11">
        <f>'GEM data - Baseline'!$I189</f>
        <v>4.1022730000000003</v>
      </c>
      <c r="M5" s="11">
        <f>'GEM data - $100 oil'!$I189</f>
        <v>4.1022730000000003</v>
      </c>
      <c r="N5" s="11">
        <f>'GEM data - Worst case'!$I189</f>
        <v>4.1022730000000003</v>
      </c>
    </row>
    <row r="6" spans="1:14" x14ac:dyDescent="0.25">
      <c r="A6" s="10"/>
      <c r="B6" s="9">
        <f>100*(('GEM data - Baseline'!$F190/'GEM data - Baseline'!$F186)-1)</f>
        <v>0.97183662955435679</v>
      </c>
      <c r="C6" s="9">
        <f>100*(('GEM data - $100 oil'!$F190/'GEM data - $100 oil'!$F186)-1)</f>
        <v>0.97183662955435679</v>
      </c>
      <c r="D6" s="9">
        <f>100*(('GEM data - Worst case'!$F190/'GEM data - Worst case'!$F186)-1)</f>
        <v>0.97183662955435679</v>
      </c>
      <c r="G6" s="9">
        <f>100*(('GEM data - Baseline'!$H190/'GEM data - Baseline'!$H186)-1)</f>
        <v>3.376904948707149</v>
      </c>
      <c r="H6" s="9">
        <f>100*(('GEM data - $100 oil'!$H190/'GEM data - $100 oil'!$H186)-1)</f>
        <v>3.376904948707149</v>
      </c>
      <c r="I6" s="9">
        <f>100*(('GEM data - Worst case'!$H190/'GEM data - Worst case'!$H186)-1)</f>
        <v>3.376904948707149</v>
      </c>
      <c r="L6" s="11">
        <f>'GEM data - Baseline'!$I190</f>
        <v>3.9621209999999998</v>
      </c>
      <c r="M6" s="11">
        <f>'GEM data - $100 oil'!$I190</f>
        <v>3.9621209999999998</v>
      </c>
      <c r="N6" s="11">
        <f>'GEM data - Worst case'!$I190</f>
        <v>3.9621209999999998</v>
      </c>
    </row>
    <row r="7" spans="1:14" x14ac:dyDescent="0.25">
      <c r="A7" s="10">
        <v>2026</v>
      </c>
      <c r="B7" s="9">
        <f>100*(('GEM data - Baseline'!$F191/'GEM data - Baseline'!$F187)-1)</f>
        <v>0.68939239919645345</v>
      </c>
      <c r="C7" s="9">
        <f>100*(('GEM data - $100 oil'!$F191/'GEM data - $100 oil'!$F187)-1)</f>
        <v>0.65047990184441407</v>
      </c>
      <c r="D7" s="9">
        <f>100*(('GEM data - Worst case'!$F191/'GEM data - Worst case'!$F187)-1)</f>
        <v>0.63007820885931931</v>
      </c>
      <c r="F7">
        <v>2026</v>
      </c>
      <c r="G7" s="9">
        <f>100*(('GEM data - Baseline'!$H191/'GEM data - Baseline'!$H187)-1)</f>
        <v>2.8921051992877755</v>
      </c>
      <c r="H7" s="9">
        <f>100*(('GEM data - $100 oil'!$H191/'GEM data - $100 oil'!$H187)-1)</f>
        <v>2.9968367254629369</v>
      </c>
      <c r="I7" s="9">
        <f>100*(('GEM data - Worst case'!$H191/'GEM data - Worst case'!$H187)-1)</f>
        <v>3.0805336894989654</v>
      </c>
      <c r="K7">
        <v>2026</v>
      </c>
      <c r="L7" s="11">
        <f>'GEM data - Baseline'!$I191</f>
        <v>3.75</v>
      </c>
      <c r="M7" s="11">
        <f>'GEM data - $100 oil'!$I191</f>
        <v>3.7590499999999998</v>
      </c>
      <c r="N7" s="11">
        <f>'GEM data - Worst case'!$I191</f>
        <v>3.75</v>
      </c>
    </row>
    <row r="8" spans="1:14" x14ac:dyDescent="0.25">
      <c r="A8" s="10"/>
      <c r="B8" s="9">
        <f>100*(('GEM data - Baseline'!$F192/'GEM data - Baseline'!$F188)-1)</f>
        <v>0.71732609910923895</v>
      </c>
      <c r="C8" s="9">
        <f>100*(('GEM data - $100 oil'!$F192/'GEM data - $100 oil'!$F188)-1)</f>
        <v>0.53941696769854719</v>
      </c>
      <c r="D8" s="9">
        <f>100*(('GEM data - Worst case'!$F192/'GEM data - Worst case'!$F188)-1)</f>
        <v>0.32073019503460198</v>
      </c>
      <c r="G8" s="9">
        <f>100*(('GEM data - Baseline'!$H192/'GEM data - Baseline'!$H188)-1)</f>
        <v>2.4896750902527076</v>
      </c>
      <c r="H8" s="9">
        <f>100*(('GEM data - $100 oil'!$H192/'GEM data - $100 oil'!$H188)-1)</f>
        <v>3.0145126353790408</v>
      </c>
      <c r="I8" s="9">
        <f>100*(('GEM data - Worst case'!$H192/'GEM data - Worst case'!$H188)-1)</f>
        <v>3.7470758122743586</v>
      </c>
      <c r="L8" s="11">
        <f>'GEM data - Baseline'!$I192</f>
        <v>3.5807669999999998</v>
      </c>
      <c r="M8" s="11">
        <f>'GEM data - $100 oil'!$I192</f>
        <v>3.6277089999999999</v>
      </c>
      <c r="N8" s="11">
        <f>'GEM data - Worst case'!$I192</f>
        <v>3.75</v>
      </c>
    </row>
    <row r="9" spans="1:14" x14ac:dyDescent="0.25">
      <c r="A9" s="10"/>
      <c r="B9" s="9">
        <f>100*(('GEM data - Baseline'!$F193/'GEM data - Baseline'!$F189)-1)</f>
        <v>0.86762801923461197</v>
      </c>
      <c r="C9" s="9">
        <f>100*(('GEM data - $100 oil'!$F193/'GEM data - $100 oil'!$F189)-1)</f>
        <v>0.53506374904812581</v>
      </c>
      <c r="D9" s="9">
        <f>100*(('GEM data - Worst case'!$F193/'GEM data - Worst case'!$F189)-1)</f>
        <v>0.12514411071105069</v>
      </c>
      <c r="G9" s="9">
        <f>100*(('GEM data - Baseline'!$H193/'GEM data - Baseline'!$H189)-1)</f>
        <v>2.8500000000000192</v>
      </c>
      <c r="H9" s="9">
        <f>100*(('GEM data - $100 oil'!$H193/'GEM data - $100 oil'!$H189)-1)</f>
        <v>3.8098419540229855</v>
      </c>
      <c r="I9" s="9">
        <f>100*(('GEM data - Worst case'!$H193/'GEM data - Worst case'!$H189)-1)</f>
        <v>4.8531609195402448</v>
      </c>
      <c r="L9" s="11">
        <f>'GEM data - Baseline'!$I193</f>
        <v>3.4999920000000002</v>
      </c>
      <c r="M9" s="11">
        <f>'GEM data - $100 oil'!$I193</f>
        <v>3.613537</v>
      </c>
      <c r="N9" s="11">
        <f>'GEM data - Worst case'!$I193</f>
        <v>3.75</v>
      </c>
    </row>
    <row r="10" spans="1:14" x14ac:dyDescent="0.25">
      <c r="A10" s="10"/>
      <c r="B10" s="9">
        <f>100*(('GEM data - Baseline'!$F194/'GEM data - Baseline'!$F190)-1)</f>
        <v>1.0903225897889834</v>
      </c>
      <c r="C10" s="9">
        <f>100*(('GEM data - $100 oil'!$F194/'GEM data - $100 oil'!$F190)-1)</f>
        <v>0.7261919778448922</v>
      </c>
      <c r="D10" s="9">
        <f>100*(('GEM data - Worst case'!$F194/'GEM data - Worst case'!$F190)-1)</f>
        <v>-1.3662693052862718E-2</v>
      </c>
      <c r="G10" s="9">
        <f>100*(('GEM data - Baseline'!$H194/'GEM data - Baseline'!$H190)-1)</f>
        <v>2.6402718168812456</v>
      </c>
      <c r="H10" s="9">
        <f>100*(('GEM data - $100 oil'!$H194/'GEM data - $100 oil'!$H190)-1)</f>
        <v>3.37174535050071</v>
      </c>
      <c r="I10" s="9">
        <f>100*(('GEM data - Worst case'!$H194/'GEM data - Worst case'!$H190)-1)</f>
        <v>5.4763948497853931</v>
      </c>
      <c r="L10" s="11">
        <f>'GEM data - Baseline'!$I194</f>
        <v>3.3446760000000002</v>
      </c>
      <c r="M10" s="11">
        <f>'GEM data - $100 oil'!$I194</f>
        <v>3.5504280000000001</v>
      </c>
      <c r="N10" s="11">
        <f>'GEM data - Worst case'!$I194</f>
        <v>3.9</v>
      </c>
    </row>
    <row r="11" spans="1:14" x14ac:dyDescent="0.25">
      <c r="A11" s="10">
        <v>2027</v>
      </c>
      <c r="B11" s="9">
        <f>100*(('GEM data - Baseline'!$F195/'GEM data - Baseline'!$F191)-1)</f>
        <v>1.0644543660038641</v>
      </c>
      <c r="C11" s="9">
        <f>100*(('GEM data - $100 oil'!$F195/'GEM data - $100 oil'!$F191)-1)</f>
        <v>0.80959301689120799</v>
      </c>
      <c r="D11" s="9">
        <f>100*(('GEM data - Worst case'!$F195/'GEM data - Worst case'!$F191)-1)</f>
        <v>-8.3257417864368577E-2</v>
      </c>
      <c r="F11">
        <v>2027</v>
      </c>
      <c r="G11" s="9">
        <f>100*(('GEM data - Baseline'!$H195/'GEM data - Baseline'!$H191)-1)</f>
        <v>2.5834351925317689</v>
      </c>
      <c r="H11" s="9">
        <f>100*(('GEM data - $100 oil'!$H195/'GEM data - $100 oil'!$H191)-1)</f>
        <v>2.8448016086671357</v>
      </c>
      <c r="I11" s="9">
        <f>100*(('GEM data - Worst case'!$H195/'GEM data - Worst case'!$H191)-1)</f>
        <v>4.6434238615477463</v>
      </c>
      <c r="K11">
        <v>2027</v>
      </c>
      <c r="L11" s="11">
        <f>'GEM data - Baseline'!$I195</f>
        <v>3.2499609999999999</v>
      </c>
      <c r="M11" s="11">
        <f>'GEM data - $100 oil'!$I195</f>
        <v>3.5475560000000002</v>
      </c>
      <c r="N11" s="11">
        <f>'GEM data - Worst case'!$I195</f>
        <v>4</v>
      </c>
    </row>
    <row r="12" spans="1:14" x14ac:dyDescent="0.25">
      <c r="A12" s="10"/>
      <c r="B12" s="9">
        <f>100*(('GEM data - Baseline'!$F196/'GEM data - Baseline'!$F192)-1)</f>
        <v>1.1827225807233388</v>
      </c>
      <c r="C12" s="9">
        <f>100*(('GEM data - $100 oil'!$F196/'GEM data - $100 oil'!$F192)-1)</f>
        <v>1.1491394719558068</v>
      </c>
      <c r="D12" s="9">
        <f>100*(('GEM data - Worst case'!$F196/'GEM data - Worst case'!$F192)-1)</f>
        <v>0.39548354202658675</v>
      </c>
      <c r="G12" s="9">
        <f>100*(('GEM data - Baseline'!$H196/'GEM data - Baseline'!$H192)-1)</f>
        <v>2.1828385284209162</v>
      </c>
      <c r="H12" s="9">
        <f>100*(('GEM data - $100 oil'!$H196/'GEM data - $100 oil'!$H192)-1)</f>
        <v>1.9355164285849602</v>
      </c>
      <c r="I12" s="9">
        <f>100*(('GEM data - Worst case'!$H196/'GEM data - Worst case'!$H192)-1)</f>
        <v>3.0215805308244192</v>
      </c>
      <c r="L12" s="11">
        <f>'GEM data - Baseline'!$I196</f>
        <v>3.0768689999999999</v>
      </c>
      <c r="M12" s="11">
        <f>'GEM data - $100 oil'!$I196</f>
        <v>3.4133719999999999</v>
      </c>
      <c r="N12" s="11">
        <f>'GEM data - Worst case'!$I196</f>
        <v>4</v>
      </c>
    </row>
    <row r="13" spans="1:14" x14ac:dyDescent="0.25">
      <c r="A13" s="10"/>
      <c r="B13" s="9">
        <f>100*(('GEM data - Baseline'!$F197/'GEM data - Baseline'!$F193)-1)</f>
        <v>1.3700444281738777</v>
      </c>
      <c r="C13" s="9">
        <f>100*(('GEM data - $100 oil'!$F197/'GEM data - $100 oil'!$F193)-1)</f>
        <v>1.5367717397958502</v>
      </c>
      <c r="D13" s="9">
        <f>100*(('GEM data - Worst case'!$F197/'GEM data - Worst case'!$F193)-1)</f>
        <v>0.94560096421103523</v>
      </c>
      <c r="G13" s="9">
        <f>100*(('GEM data - Baseline'!$H197/'GEM data - Baseline'!$H193)-1)</f>
        <v>1.8116579775255603</v>
      </c>
      <c r="H13" s="9">
        <f>100*(('GEM data - $100 oil'!$H197/'GEM data - $100 oil'!$H193)-1)</f>
        <v>0.98945837223094468</v>
      </c>
      <c r="I13" s="9">
        <f>100*(('GEM data - Worst case'!$H197/'GEM data - Worst case'!$H193)-1)</f>
        <v>1.5790418456023581</v>
      </c>
      <c r="L13" s="11">
        <f>'GEM data - Baseline'!$I197</f>
        <v>2.9999400000000001</v>
      </c>
      <c r="M13" s="11">
        <f>'GEM data - $100 oil'!$I197</f>
        <v>3.3161990000000001</v>
      </c>
      <c r="N13" s="11">
        <f>'GEM data - Worst case'!$I197</f>
        <v>3.96</v>
      </c>
    </row>
    <row r="14" spans="1:14" x14ac:dyDescent="0.25">
      <c r="A14" s="10"/>
      <c r="B14" s="9">
        <f>100*(('GEM data - Baseline'!$F198/'GEM data - Baseline'!$F194)-1)</f>
        <v>1.4758350344332483</v>
      </c>
      <c r="C14" s="9">
        <f>100*(('GEM data - $100 oil'!$F198/'GEM data - $100 oil'!$F194)-1)</f>
        <v>1.6861527620576133</v>
      </c>
      <c r="D14" s="9">
        <f>100*(('GEM data - Worst case'!$F198/'GEM data - Worst case'!$F194)-1)</f>
        <v>1.4986081710099963</v>
      </c>
      <c r="G14" s="9">
        <f>100*(('GEM data - Baseline'!$H198/'GEM data - Baseline'!$H194)-1)</f>
        <v>2.0344118903541819</v>
      </c>
      <c r="H14" s="9">
        <f>100*(('GEM data - $100 oil'!$H198/'GEM data - $100 oil'!$H194)-1)</f>
        <v>1.3515673600495992</v>
      </c>
      <c r="I14" s="9">
        <f>100*(('GEM data - Worst case'!$H198/'GEM data - Worst case'!$H194)-1)</f>
        <v>0.73377821180558023</v>
      </c>
      <c r="L14" s="11">
        <f>'GEM data - Baseline'!$I198</f>
        <v>2.9999380000000002</v>
      </c>
      <c r="M14" s="11">
        <f>'GEM data - $100 oil'!$I198</f>
        <v>3.2484160000000002</v>
      </c>
      <c r="N14" s="11">
        <f>'GEM data - Worst case'!$I198</f>
        <v>3.71</v>
      </c>
    </row>
    <row r="15" spans="1:14" x14ac:dyDescent="0.25">
      <c r="A15" s="10">
        <v>2028</v>
      </c>
      <c r="B15" s="9">
        <f>100*(('GEM data - Baseline'!$F199/'GEM data - Baseline'!$F195)-1)</f>
        <v>1.4959608707211691</v>
      </c>
      <c r="C15" s="9">
        <f>100*(('GEM data - $100 oil'!$F199/'GEM data - $100 oil'!$F195)-1)</f>
        <v>1.666125340804081</v>
      </c>
      <c r="D15" s="9">
        <f>100*(('GEM data - Worst case'!$F199/'GEM data - Worst case'!$F195)-1)</f>
        <v>1.69552279326457</v>
      </c>
      <c r="F15">
        <v>2028</v>
      </c>
      <c r="G15" s="9">
        <f>100*(('GEM data - Baseline'!$H199/'GEM data - Baseline'!$H195)-1)</f>
        <v>2.1590348483623734</v>
      </c>
      <c r="H15" s="9">
        <f>100*(('GEM data - $100 oil'!$H199/'GEM data - $100 oil'!$H195)-1)</f>
        <v>1.8400933724838753</v>
      </c>
      <c r="I15" s="9">
        <f>100*(('GEM data - Worst case'!$H199/'GEM data - Worst case'!$H195)-1)</f>
        <v>1.3070763490773407</v>
      </c>
      <c r="K15">
        <v>2028</v>
      </c>
      <c r="L15" s="11">
        <f>'GEM data - Baseline'!$I199</f>
        <v>2.999943</v>
      </c>
      <c r="M15" s="11">
        <f>'GEM data - $100 oil'!$I199</f>
        <v>3.1608610000000001</v>
      </c>
      <c r="N15" s="11">
        <f>'GEM data - Worst case'!$I199</f>
        <v>3.5</v>
      </c>
    </row>
    <row r="16" spans="1:14" x14ac:dyDescent="0.25">
      <c r="A16" s="10"/>
      <c r="B16" s="9">
        <f>100*(('GEM data - Baseline'!$F200/'GEM data - Baseline'!$F196)-1)</f>
        <v>1.5234682442433201</v>
      </c>
      <c r="C16" s="9">
        <f>100*(('GEM data - $100 oil'!$F200/'GEM data - $100 oil'!$F196)-1)</f>
        <v>1.6604705789777352</v>
      </c>
      <c r="D16" s="9">
        <f>100*(('GEM data - Worst case'!$F200/'GEM data - Worst case'!$F196)-1)</f>
        <v>1.8348822886032456</v>
      </c>
      <c r="G16" s="9">
        <f>100*(('GEM data - Baseline'!$H200/'GEM data - Baseline'!$H196)-1)</f>
        <v>1.9743296469344251</v>
      </c>
      <c r="H16" s="9">
        <f>100*(('GEM data - $100 oil'!$H200/'GEM data - $100 oil'!$H196)-1)</f>
        <v>1.7307197775525474</v>
      </c>
      <c r="I16" s="9">
        <f>100*(('GEM data - Worst case'!$H200/'GEM data - Worst case'!$H196)-1)</f>
        <v>1.1416496770279894</v>
      </c>
      <c r="L16" s="11">
        <f>'GEM data - Baseline'!$I200</f>
        <v>2.8384160000000001</v>
      </c>
      <c r="M16" s="11">
        <f>'GEM data - $100 oil'!$I200</f>
        <v>2.9293900000000002</v>
      </c>
      <c r="N16" s="11">
        <f>'GEM data - Worst case'!$I200</f>
        <v>3.46</v>
      </c>
    </row>
    <row r="17" spans="1:14" x14ac:dyDescent="0.25">
      <c r="A17" s="10"/>
      <c r="B17" s="9">
        <f>100*(('GEM data - Baseline'!$F201/'GEM data - Baseline'!$F197)-1)</f>
        <v>1.5082714028668676</v>
      </c>
      <c r="C17" s="9">
        <f>100*(('GEM data - $100 oil'!$F201/'GEM data - $100 oil'!$F197)-1)</f>
        <v>1.6374957578279892</v>
      </c>
      <c r="D17" s="9">
        <f>100*(('GEM data - Worst case'!$F201/'GEM data - Worst case'!$F197)-1)</f>
        <v>1.9501474648546013</v>
      </c>
      <c r="G17" s="9">
        <f>100*(('GEM data - Baseline'!$H201/'GEM data - Baseline'!$H197)-1)</f>
        <v>1.9798862383533677</v>
      </c>
      <c r="H17" s="9">
        <f>100*(('GEM data - $100 oil'!$H201/'GEM data - $100 oil'!$H197)-1)</f>
        <v>1.8691441489285143</v>
      </c>
      <c r="I17" s="9">
        <f>100*(('GEM data - Worst case'!$H201/'GEM data - Worst case'!$H197)-1)</f>
        <v>1.3324537991626917</v>
      </c>
      <c r="L17" s="11">
        <f>'GEM data - Baseline'!$I201</f>
        <v>2.749965</v>
      </c>
      <c r="M17" s="11">
        <f>'GEM data - $100 oil'!$I201</f>
        <v>2.7947540000000002</v>
      </c>
      <c r="N17" s="11">
        <f>'GEM data - Worst case'!$I201</f>
        <v>3.21</v>
      </c>
    </row>
    <row r="18" spans="1:14" x14ac:dyDescent="0.25">
      <c r="A18" s="10"/>
      <c r="B18" s="9">
        <f>100*(('GEM data - Baseline'!$F202/'GEM data - Baseline'!$F198)-1)</f>
        <v>1.4982371973330411</v>
      </c>
      <c r="C18" s="9">
        <f>100*(('GEM data - $100 oil'!$F202/'GEM data - $100 oil'!$F198)-1)</f>
        <v>1.6534191843617263</v>
      </c>
      <c r="D18" s="9">
        <f>100*(('GEM data - Worst case'!$F202/'GEM data - Worst case'!$F198)-1)</f>
        <v>2.0386513788412497</v>
      </c>
      <c r="G18" s="9">
        <f>100*(('GEM data - Baseline'!$H202/'GEM data - Baseline'!$H198)-1)</f>
        <v>1.9713776967877239</v>
      </c>
      <c r="H18" s="9">
        <f>100*(('GEM data - $100 oil'!$H202/'GEM data - $100 oil'!$H198)-1)</f>
        <v>1.9223455948067292</v>
      </c>
      <c r="I18" s="9">
        <f>100*(('GEM data - Worst case'!$H202/'GEM data - Worst case'!$H198)-1)</f>
        <v>1.4865556288626403</v>
      </c>
      <c r="L18" s="11">
        <f>'GEM data - Baseline'!$I202</f>
        <v>2.7499829999999998</v>
      </c>
      <c r="M18" s="11">
        <f>'GEM data - $100 oil'!$I202</f>
        <v>2.7656429999999999</v>
      </c>
      <c r="N18" s="11">
        <f>'GEM data - Worst case'!$I202</f>
        <v>2.96</v>
      </c>
    </row>
    <row r="20" spans="1:14" x14ac:dyDescent="0.25">
      <c r="A20">
        <v>2025</v>
      </c>
      <c r="B20">
        <f>SUMIF('GEM data - Baseline'!$B:$B,'Chart Data'!$A20,'GEM data - Baseline'!$F:$F)</f>
        <v>2818929</v>
      </c>
      <c r="C20">
        <f>SUMIF('GEM data - $100 oil'!$B:$B,'Chart Data'!$A20,'GEM data - $100 oil'!$F:$F)</f>
        <v>2818929</v>
      </c>
      <c r="D20">
        <f>SUMIF('GEM data - Worst case'!$B:$B,'Chart Data'!$A20,'GEM data - Worst case'!$F:$F)</f>
        <v>2818929</v>
      </c>
    </row>
    <row r="21" spans="1:14" x14ac:dyDescent="0.25">
      <c r="A21">
        <v>2026</v>
      </c>
      <c r="B21">
        <f>SUMIF('GEM data - Baseline'!$B:$B,'Chart Data'!$A21,'GEM data - Baseline'!$F:$F)</f>
        <v>2842645.1</v>
      </c>
      <c r="C21">
        <f>SUMIF('GEM data - $100 oil'!$B:$B,'Chart Data'!$A21,'GEM data - $100 oil'!$F:$F)</f>
        <v>2836203.0999999996</v>
      </c>
      <c r="D21">
        <f>SUMIF('GEM data - Worst case'!$B:$B,'Chart Data'!$A21,'GEM data - Worst case'!$F:$F)</f>
        <v>2826407.4</v>
      </c>
    </row>
    <row r="22" spans="1:14" x14ac:dyDescent="0.25">
      <c r="A22">
        <v>2027</v>
      </c>
      <c r="B22">
        <f>SUMIF('GEM data - Baseline'!$B:$B,'Chart Data'!$A22,'GEM data - Baseline'!$F:$F)</f>
        <v>2878851.2</v>
      </c>
      <c r="C22">
        <f>SUMIF('GEM data - $100 oil'!$B:$B,'Chart Data'!$A22,'GEM data - $100 oil'!$F:$F)</f>
        <v>2872955.9000000004</v>
      </c>
      <c r="D22">
        <f>SUMIF('GEM data - Worst case'!$B:$B,'Chart Data'!$A22,'GEM data - Worst case'!$F:$F)</f>
        <v>2845863.3</v>
      </c>
    </row>
    <row r="23" spans="1:14" x14ac:dyDescent="0.25">
      <c r="A23">
        <v>2028</v>
      </c>
      <c r="B23">
        <f>SUMIF('GEM data - Baseline'!$B:$B,'Chart Data'!$A23,'GEM data - Baseline'!$F:$F)</f>
        <v>2922220.5</v>
      </c>
      <c r="C23">
        <f>SUMIF('GEM data - $100 oil'!$B:$B,'Chart Data'!$A23,'GEM data - $100 oil'!$F:$F)</f>
        <v>2920484.5</v>
      </c>
      <c r="D23">
        <f>SUMIF('GEM data - Worst case'!$B:$B,'Chart Data'!$A23,'GEM data - Worst case'!$F:$F)</f>
        <v>2899376.6</v>
      </c>
    </row>
    <row r="25" spans="1:14" x14ac:dyDescent="0.25">
      <c r="A25">
        <v>2026</v>
      </c>
      <c r="B25" s="9">
        <f>100*((B21/B20)-1)</f>
        <v>0.84131597496779342</v>
      </c>
      <c r="C25" s="9">
        <f>100*((C21/C20)-1)</f>
        <v>0.61278946720544347</v>
      </c>
      <c r="D25" s="9">
        <f>100*((D21/D20)-1)</f>
        <v>0.26529224396925066</v>
      </c>
    </row>
    <row r="26" spans="1:14" x14ac:dyDescent="0.25">
      <c r="A26">
        <v>2027</v>
      </c>
      <c r="B26" s="9">
        <f t="shared" ref="B26:C27" si="0">100*((B22/B21)-1)</f>
        <v>1.2736764079342988</v>
      </c>
      <c r="C26" s="9">
        <f t="shared" si="0"/>
        <v>1.2958451388760173</v>
      </c>
      <c r="D26" s="9">
        <f t="shared" ref="D26" si="1">100*((D22/D21)-1)</f>
        <v>0.68836148674107367</v>
      </c>
    </row>
    <row r="27" spans="1:14" x14ac:dyDescent="0.25">
      <c r="A27">
        <v>2028</v>
      </c>
      <c r="B27" s="9">
        <f t="shared" si="0"/>
        <v>1.5064793901122808</v>
      </c>
      <c r="C27" s="9">
        <f t="shared" si="0"/>
        <v>1.6543449205050242</v>
      </c>
      <c r="D27" s="9">
        <f t="shared" ref="D27" si="2">100*((D23/D22)-1)</f>
        <v>1.8803889842495369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D638-F2B1-4E86-8C4F-468D5B5D1708}">
  <dimension ref="A1:T330"/>
  <sheetViews>
    <sheetView workbookViewId="0">
      <pane xSplit="5" ySplit="6" topLeftCell="F172" activePane="bottomRight" state="frozen"/>
      <selection activeCell="T4" sqref="T4"/>
      <selection pane="topRight" activeCell="T4" sqref="T4"/>
      <selection pane="bottomLeft" activeCell="T4" sqref="T4"/>
      <selection pane="bottomRight" activeCell="B191" sqref="B191"/>
    </sheetView>
  </sheetViews>
  <sheetFormatPr defaultRowHeight="15" x14ac:dyDescent="0.25"/>
  <sheetData>
    <row r="1" spans="1:20" x14ac:dyDescent="0.25">
      <c r="B1" t="s">
        <v>374</v>
      </c>
      <c r="C1" t="s">
        <v>374</v>
      </c>
      <c r="D1" t="s">
        <v>374</v>
      </c>
      <c r="F1" s="6" t="str">
        <f>'GMW - Baseline'!C2</f>
        <v>Mar26_1</v>
      </c>
      <c r="G1" s="6" t="str">
        <f>$F$1</f>
        <v>Mar26_1</v>
      </c>
      <c r="H1" s="6" t="str">
        <f t="shared" ref="H1:T1" si="0">$F$1</f>
        <v>Mar26_1</v>
      </c>
      <c r="I1" s="6" t="str">
        <f t="shared" si="0"/>
        <v>Mar26_1</v>
      </c>
      <c r="J1" s="6" t="str">
        <f t="shared" si="0"/>
        <v>Mar26_1</v>
      </c>
      <c r="K1" s="6" t="str">
        <f t="shared" si="0"/>
        <v>Mar26_1</v>
      </c>
      <c r="L1" s="6" t="str">
        <f t="shared" si="0"/>
        <v>Mar26_1</v>
      </c>
      <c r="M1" s="6" t="str">
        <f t="shared" si="0"/>
        <v>Mar26_1</v>
      </c>
      <c r="N1" s="6" t="str">
        <f t="shared" si="0"/>
        <v>Mar26_1</v>
      </c>
      <c r="O1" s="6" t="str">
        <f t="shared" si="0"/>
        <v>Mar26_1</v>
      </c>
      <c r="P1" s="6" t="str">
        <f t="shared" si="0"/>
        <v>Mar26_1</v>
      </c>
      <c r="Q1" s="6" t="str">
        <f t="shared" si="0"/>
        <v>Mar26_1</v>
      </c>
      <c r="R1" s="6" t="str">
        <f t="shared" si="0"/>
        <v>Mar26_1</v>
      </c>
      <c r="S1" s="6" t="str">
        <f t="shared" si="0"/>
        <v>Mar26_1</v>
      </c>
      <c r="T1" s="6" t="str">
        <f t="shared" si="0"/>
        <v>Mar26_1</v>
      </c>
    </row>
    <row r="2" spans="1:20" x14ac:dyDescent="0.25">
      <c r="F2" t="s">
        <v>375</v>
      </c>
      <c r="G2" t="s">
        <v>375</v>
      </c>
      <c r="H2" t="s">
        <v>375</v>
      </c>
      <c r="I2" t="s">
        <v>375</v>
      </c>
      <c r="J2" t="s">
        <v>375</v>
      </c>
      <c r="K2" t="s">
        <v>375</v>
      </c>
      <c r="L2" t="s">
        <v>375</v>
      </c>
      <c r="M2" t="s">
        <v>375</v>
      </c>
      <c r="N2" t="s">
        <v>375</v>
      </c>
      <c r="O2" t="s">
        <v>375</v>
      </c>
      <c r="P2" t="s">
        <v>375</v>
      </c>
      <c r="Q2" t="s">
        <v>375</v>
      </c>
      <c r="R2" t="s">
        <v>375</v>
      </c>
      <c r="S2" t="s">
        <v>375</v>
      </c>
      <c r="T2" t="s">
        <v>375</v>
      </c>
    </row>
    <row r="3" spans="1:20" x14ac:dyDescent="0.25">
      <c r="F3" t="s">
        <v>365</v>
      </c>
      <c r="G3" t="s">
        <v>361</v>
      </c>
      <c r="H3" t="s">
        <v>353</v>
      </c>
      <c r="I3" t="s">
        <v>371</v>
      </c>
    </row>
    <row r="4" spans="1:20" x14ac:dyDescent="0.25">
      <c r="F4" t="s">
        <v>352</v>
      </c>
      <c r="G4" t="s">
        <v>352</v>
      </c>
      <c r="H4" t="s">
        <v>352</v>
      </c>
      <c r="I4" t="s">
        <v>352</v>
      </c>
      <c r="J4" t="s">
        <v>352</v>
      </c>
      <c r="K4" t="s">
        <v>352</v>
      </c>
      <c r="L4" t="s">
        <v>352</v>
      </c>
      <c r="M4" t="s">
        <v>352</v>
      </c>
      <c r="N4" t="s">
        <v>352</v>
      </c>
      <c r="O4" t="s">
        <v>352</v>
      </c>
      <c r="P4" t="s">
        <v>352</v>
      </c>
      <c r="Q4" t="s">
        <v>352</v>
      </c>
      <c r="R4" t="s">
        <v>352</v>
      </c>
      <c r="S4" t="s">
        <v>352</v>
      </c>
      <c r="T4" t="s">
        <v>352</v>
      </c>
    </row>
    <row r="5" spans="1:20" x14ac:dyDescent="0.25">
      <c r="F5" t="s">
        <v>376</v>
      </c>
      <c r="G5" t="s">
        <v>376</v>
      </c>
      <c r="H5" t="s">
        <v>376</v>
      </c>
      <c r="I5" t="s">
        <v>376</v>
      </c>
      <c r="J5" t="s">
        <v>376</v>
      </c>
      <c r="K5" t="s">
        <v>376</v>
      </c>
      <c r="L5" t="s">
        <v>376</v>
      </c>
      <c r="M5" t="s">
        <v>376</v>
      </c>
      <c r="N5" t="s">
        <v>376</v>
      </c>
      <c r="O5" t="s">
        <v>376</v>
      </c>
      <c r="P5" t="s">
        <v>376</v>
      </c>
      <c r="Q5" t="s">
        <v>376</v>
      </c>
      <c r="R5" t="s">
        <v>376</v>
      </c>
      <c r="S5" t="s">
        <v>376</v>
      </c>
      <c r="T5" t="s">
        <v>376</v>
      </c>
    </row>
    <row r="6" spans="1:20" x14ac:dyDescent="0.25">
      <c r="B6" t="s">
        <v>377</v>
      </c>
      <c r="C6" t="s">
        <v>378</v>
      </c>
      <c r="D6" t="s">
        <v>379</v>
      </c>
      <c r="E6">
        <f>E330+5</f>
        <v>2308</v>
      </c>
      <c r="F6" s="7" t="str" cm="1">
        <f t="array" ref="F6">_xlfn.CONCAT(INDEX('GMW - Baseline'!$A$2:$MC$200,MATCH(1,('GMW - Baseline'!$MC$2:$MC$200=F$3)*('GMW - Baseline'!$MB$2:$MB$200=F$4),0),$E6-1973),"0",(INDEX('GMW - Baseline'!$A$2:$MC$200,MATCH(1,('GMW - Baseline'!$MC$2:$MC$200=F$3)*('GMW - Baseline'!$MB$2:$MB$200=F$4),0),$E6-1972)))</f>
        <v>202504</v>
      </c>
      <c r="G6" s="7" t="str" cm="1">
        <f t="array" ref="G6">_xlfn.CONCAT(INDEX('GMW - Baseline'!$A$2:$MC$200,MATCH(1,('GMW - Baseline'!$MC$2:$MC$200=G$3)*('GMW - Baseline'!$MB$2:$MB$200=G$4),0),$E6-1973),"0",(INDEX('GMW - Baseline'!$A$2:$MC$200,MATCH(1,('GMW - Baseline'!$MC$2:$MC$200=G$3)*('GMW - Baseline'!$MB$2:$MB$200=G$4),0),$E6-1972)))</f>
        <v>202504</v>
      </c>
      <c r="H6" s="7" t="str" cm="1">
        <f t="array" ref="H6">_xlfn.CONCAT(INDEX('GMW - Baseline'!$A$2:$MC$200,MATCH(1,('GMW - Baseline'!$MC$2:$MC$200=H$3)*('GMW - Baseline'!$MB$2:$MB$200=H$4),0),$E6-1973),"0",(INDEX('GMW - Baseline'!$A$2:$MC$200,MATCH(1,('GMW - Baseline'!$MC$2:$MC$200=H$3)*('GMW - Baseline'!$MB$2:$MB$200=H$4),0),$E6-1972)))</f>
        <v>202504</v>
      </c>
      <c r="I6" s="7" t="str" cm="1">
        <f t="array" ref="I6">_xlfn.CONCAT(INDEX('GMW - Baseline'!$A$2:$MC$200,MATCH(1,('GMW - Baseline'!$MC$2:$MC$200=I$3)*('GMW - Baseline'!$MB$2:$MB$200=I$4),0),$E6-1973),"0",(INDEX('GMW - Baseline'!$A$2:$MC$200,MATCH(1,('GMW - Baseline'!$MC$2:$MC$200=I$3)*('GMW - Baseline'!$MB$2:$MB$200=I$4),0),$E6-1972)))</f>
        <v>202504</v>
      </c>
      <c r="J6" s="7" t="e" cm="1">
        <f t="array" ref="J6">_xlfn.CONCAT(INDEX('GMW - Baseline'!$A$2:$MC$200,MATCH(1,('GMW - Baseline'!$MC$2:$MC$200=J$3)*('GMW - Baseline'!$MB$2:$MB$200=J$4),0),$E6-1973),"0",(INDEX('GMW - Baseline'!$A$2:$MC$200,MATCH(1,('GMW - Baseline'!$MC$2:$MC$200=J$3)*('GMW - Baseline'!$MB$2:$MB$200=J$4),0),$E6-1972)))</f>
        <v>#N/A</v>
      </c>
      <c r="K6" s="7" t="e" cm="1">
        <f t="array" ref="K6">_xlfn.CONCAT(INDEX('GMW - Baseline'!$A$2:$MC$200,MATCH(1,('GMW - Baseline'!$MC$2:$MC$200=K$3)*('GMW - Baseline'!$MB$2:$MB$200=K$4),0),$E6-1973),"0",(INDEX('GMW - Baseline'!$A$2:$MC$200,MATCH(1,('GMW - Baseline'!$MC$2:$MC$200=K$3)*('GMW - Baseline'!$MB$2:$MB$200=K$4),0),$E6-1972)))</f>
        <v>#N/A</v>
      </c>
      <c r="L6" s="7" t="e" cm="1">
        <f t="array" ref="L6">_xlfn.CONCAT(INDEX('GMW - Baseline'!$A$2:$MC$200,MATCH(1,('GMW - Baseline'!$MC$2:$MC$200=L$3)*('GMW - Baseline'!$MB$2:$MB$200=L$4),0),$E6-1973),"0",(INDEX('GMW - Baseline'!$A$2:$MC$200,MATCH(1,('GMW - Baseline'!$MC$2:$MC$200=L$3)*('GMW - Baseline'!$MB$2:$MB$200=L$4),0),$E6-1972)))</f>
        <v>#N/A</v>
      </c>
      <c r="M6" s="7" t="e" cm="1">
        <f t="array" ref="M6">_xlfn.CONCAT(INDEX('GMW - Baseline'!$A$2:$MC$200,MATCH(1,('GMW - Baseline'!$MC$2:$MC$200=M$3)*('GMW - Baseline'!$MB$2:$MB$200=M$4),0),$E6-1973),"0",(INDEX('GMW - Baseline'!$A$2:$MC$200,MATCH(1,('GMW - Baseline'!$MC$2:$MC$200=M$3)*('GMW - Baseline'!$MB$2:$MB$200=M$4),0),$E6-1972)))</f>
        <v>#N/A</v>
      </c>
      <c r="N6" s="7" t="e" cm="1">
        <f t="array" ref="N6">_xlfn.CONCAT(INDEX('GMW - Baseline'!$A$2:$MC$200,MATCH(1,('GMW - Baseline'!$MC$2:$MC$200=N$3)*('GMW - Baseline'!$MB$2:$MB$200=N$4),0),$E6-1973),"0",(INDEX('GMW - Baseline'!$A$2:$MC$200,MATCH(1,('GMW - Baseline'!$MC$2:$MC$200=N$3)*('GMW - Baseline'!$MB$2:$MB$200=N$4),0),$E6-1972)))</f>
        <v>#N/A</v>
      </c>
      <c r="O6" s="7" t="e" cm="1">
        <f t="array" ref="O6">_xlfn.CONCAT(INDEX('GMW - Baseline'!$A$2:$MC$200,MATCH(1,('GMW - Baseline'!$MC$2:$MC$200=O$3)*('GMW - Baseline'!$MB$2:$MB$200=O$4),0),$E6-1973),"0",(INDEX('GMW - Baseline'!$A$2:$MC$200,MATCH(1,('GMW - Baseline'!$MC$2:$MC$200=O$3)*('GMW - Baseline'!$MB$2:$MB$200=O$4),0),$E6-1972)))</f>
        <v>#N/A</v>
      </c>
      <c r="P6" s="7" t="e" cm="1">
        <f t="array" ref="P6">_xlfn.CONCAT(INDEX('GMW - Baseline'!$A$2:$MC$200,MATCH(1,('GMW - Baseline'!$MC$2:$MC$200=P$3)*('GMW - Baseline'!$MB$2:$MB$200=P$4),0),$E6-1973),"0",(INDEX('GMW - Baseline'!$A$2:$MC$200,MATCH(1,('GMW - Baseline'!$MC$2:$MC$200=P$3)*('GMW - Baseline'!$MB$2:$MB$200=P$4),0),$E6-1972)))</f>
        <v>#N/A</v>
      </c>
      <c r="Q6" s="7" t="e" cm="1">
        <f t="array" ref="Q6">_xlfn.CONCAT(INDEX('GMW - Baseline'!$A$2:$MC$200,MATCH(1,('GMW - Baseline'!$MC$2:$MC$200=Q$3)*('GMW - Baseline'!$MB$2:$MB$200=Q$4),0),$E6-1973),"0",(INDEX('GMW - Baseline'!$A$2:$MC$200,MATCH(1,('GMW - Baseline'!$MC$2:$MC$200=Q$3)*('GMW - Baseline'!$MB$2:$MB$200=Q$4),0),$E6-1972)))</f>
        <v>#N/A</v>
      </c>
      <c r="R6" s="7" t="e" cm="1">
        <f t="array" ref="R6">_xlfn.CONCAT(INDEX('GMW - Baseline'!$A$2:$MC$200,MATCH(1,('GMW - Baseline'!$MC$2:$MC$200=R$3)*('GMW - Baseline'!$MB$2:$MB$200=R$4),0),$E6-1973),"0",(INDEX('GMW - Baseline'!$A$2:$MC$200,MATCH(1,('GMW - Baseline'!$MC$2:$MC$200=R$3)*('GMW - Baseline'!$MB$2:$MB$200=R$4),0),$E6-1972)))</f>
        <v>#N/A</v>
      </c>
      <c r="S6" s="7" t="e" cm="1">
        <f t="array" ref="S6">_xlfn.CONCAT(INDEX('GMW - Baseline'!$A$2:$MC$200,MATCH(1,('GMW - Baseline'!$MC$2:$MC$200=S$3)*('GMW - Baseline'!$MB$2:$MB$200=S$4),0),$E6-1973),"0",(INDEX('GMW - Baseline'!$A$2:$MC$200,MATCH(1,('GMW - Baseline'!$MC$2:$MC$200=S$3)*('GMW - Baseline'!$MB$2:$MB$200=S$4),0),$E6-1972)))</f>
        <v>#N/A</v>
      </c>
      <c r="T6" s="7" t="e" cm="1">
        <f t="array" ref="T6">_xlfn.CONCAT(INDEX('GMW - Baseline'!$A$2:$MC$200,MATCH(1,('GMW - Baseline'!$MC$2:$MC$200=T$3)*('GMW - Baseline'!$MB$2:$MB$200=T$4),0),$E6-1973),"0",(INDEX('GMW - Baseline'!$A$2:$MC$200,MATCH(1,('GMW - Baseline'!$MC$2:$MC$200=T$3)*('GMW - Baseline'!$MB$2:$MB$200=T$4),0),$E6-1972)))</f>
        <v>#N/A</v>
      </c>
    </row>
    <row r="7" spans="1:20" x14ac:dyDescent="0.25">
      <c r="A7">
        <v>1980</v>
      </c>
      <c r="B7">
        <v>1980</v>
      </c>
      <c r="E7">
        <v>1980</v>
      </c>
      <c r="F7" cm="1">
        <f t="array" ref="F7">INDEX('GMW - Baseline'!$A$2:$MC$200,MATCH(1,('GMW - Baseline'!$MC$2:$MC$200=F$3)*('GMW - Baseline'!$MB$2:$MB$200=F$4),0),$E7-1973)</f>
        <v>290378</v>
      </c>
      <c r="G7" cm="1">
        <f t="array" ref="G7">INDEX('GMW - Baseline'!$A$2:$MC$200,MATCH(1,('GMW - Baseline'!$MC$2:$MC$200=G$3)*('GMW - Baseline'!$MB$2:$MB$200=G$4),0),$E7-1973)</f>
        <v>153439</v>
      </c>
      <c r="H7" cm="1">
        <f t="array" ref="H7">INDEX('GMW - Baseline'!$A$2:$MC$200,MATCH(1,('GMW - Baseline'!$MC$2:$MC$200=H$3)*('GMW - Baseline'!$MB$2:$MB$200=H$4),0),$E7-1973)</f>
        <v>30.605080000000001</v>
      </c>
      <c r="I7" cm="1">
        <f t="array" ref="I7">INDEX('GMW - Baseline'!$A$2:$MC$200,MATCH(1,('GMW - Baseline'!$MC$2:$MC$200=I$3)*('GMW - Baseline'!$MB$2:$MB$200=I$4),0),$E7-1973)</f>
        <v>17</v>
      </c>
      <c r="J7" t="e" cm="1">
        <f t="array" ref="J7">INDEX('GMW - Baseline'!$A$2:$MC$200,MATCH(1,('GMW - Baseline'!$MC$2:$MC$200=J$3)*('GMW - Baseline'!$MB$2:$MB$200=J$4),0),$E7-1973)</f>
        <v>#N/A</v>
      </c>
      <c r="K7" t="e" cm="1">
        <f t="array" ref="K7">INDEX('GMW - Baseline'!$A$2:$MC$200,MATCH(1,('GMW - Baseline'!$MC$2:$MC$200=K$3)*('GMW - Baseline'!$MB$2:$MB$200=K$4),0),$E7-1973)</f>
        <v>#N/A</v>
      </c>
      <c r="L7" t="e" cm="1">
        <f t="array" ref="L7">INDEX('GMW - Baseline'!$A$2:$MC$200,MATCH(1,('GMW - Baseline'!$MC$2:$MC$200=L$3)*('GMW - Baseline'!$MB$2:$MB$200=L$4),0),$E7-1973)</f>
        <v>#N/A</v>
      </c>
      <c r="M7" t="e" cm="1">
        <f t="array" ref="M7">INDEX('GMW - Baseline'!$A$2:$MC$200,MATCH(1,('GMW - Baseline'!$MC$2:$MC$200=M$3)*('GMW - Baseline'!$MB$2:$MB$200=M$4),0),$E7-1973)</f>
        <v>#N/A</v>
      </c>
      <c r="N7" t="e" cm="1">
        <f t="array" ref="N7">INDEX('GMW - Baseline'!$A$2:$MC$200,MATCH(1,('GMW - Baseline'!$MC$2:$MC$200=N$3)*('GMW - Baseline'!$MB$2:$MB$200=N$4),0),$E7-1973)</f>
        <v>#N/A</v>
      </c>
      <c r="O7" t="e" cm="1">
        <f t="array" ref="O7">INDEX('GMW - Baseline'!$A$2:$MC$200,MATCH(1,('GMW - Baseline'!$MC$2:$MC$200=O$3)*('GMW - Baseline'!$MB$2:$MB$200=O$4),0),$E7-1973)</f>
        <v>#N/A</v>
      </c>
      <c r="P7" t="e" cm="1">
        <f t="array" ref="P7">INDEX('GMW - Baseline'!$A$2:$MC$200,MATCH(1,('GMW - Baseline'!$MC$2:$MC$200=P$3)*('GMW - Baseline'!$MB$2:$MB$200=P$4),0),$E7-1973)</f>
        <v>#N/A</v>
      </c>
      <c r="Q7" t="e" cm="1">
        <f t="array" ref="Q7">INDEX('GMW - Baseline'!$A$2:$MC$200,MATCH(1,('GMW - Baseline'!$MC$2:$MC$200=Q$3)*('GMW - Baseline'!$MB$2:$MB$200=Q$4),0),$E7-1973)</f>
        <v>#N/A</v>
      </c>
      <c r="R7" t="e" cm="1">
        <f t="array" ref="R7">INDEX('GMW - Baseline'!$A$2:$MC$200,MATCH(1,('GMW - Baseline'!$MC$2:$MC$200=R$3)*('GMW - Baseline'!$MB$2:$MB$200=R$4),0),$E7-1973)</f>
        <v>#N/A</v>
      </c>
      <c r="S7" t="e" cm="1">
        <f t="array" ref="S7">INDEX('GMW - Baseline'!$A$2:$MC$200,MATCH(1,('GMW - Baseline'!$MC$2:$MC$200=S$3)*('GMW - Baseline'!$MB$2:$MB$200=S$4),0),$E7-1973)</f>
        <v>#N/A</v>
      </c>
      <c r="T7" t="e" cm="1">
        <f t="array" ref="T7">INDEX('GMW - Baseline'!$A$2:$MC$200,MATCH(1,('GMW - Baseline'!$MC$2:$MC$200=T$3)*('GMW - Baseline'!$MB$2:$MB$200=T$4),0),$E7-1973)</f>
        <v>#N/A</v>
      </c>
    </row>
    <row r="8" spans="1:20" x14ac:dyDescent="0.25">
      <c r="B8">
        <v>1980</v>
      </c>
      <c r="C8">
        <v>1980</v>
      </c>
      <c r="E8">
        <f>+E7+1</f>
        <v>1981</v>
      </c>
      <c r="F8" cm="1">
        <f t="array" ref="F8">INDEX('GMW - Baseline'!$A$2:$MC$200,MATCH(1,('GMW - Baseline'!$MC$2:$MC$200=F$3)*('GMW - Baseline'!$MB$2:$MB$200=F$4),0),$E8-1973)</f>
        <v>284713</v>
      </c>
      <c r="G8" cm="1">
        <f t="array" ref="G8">INDEX('GMW - Baseline'!$A$2:$MC$200,MATCH(1,('GMW - Baseline'!$MC$2:$MC$200=G$3)*('GMW - Baseline'!$MB$2:$MB$200=G$4),0),$E8-1973)</f>
        <v>149443</v>
      </c>
      <c r="H8" cm="1">
        <f t="array" ref="H8">INDEX('GMW - Baseline'!$A$2:$MC$200,MATCH(1,('GMW - Baseline'!$MC$2:$MC$200=H$3)*('GMW - Baseline'!$MB$2:$MB$200=H$4),0),$E8-1973)</f>
        <v>32.247430000000001</v>
      </c>
      <c r="I8" cm="1">
        <f t="array" ref="I8">INDEX('GMW - Baseline'!$A$2:$MC$200,MATCH(1,('GMW - Baseline'!$MC$2:$MC$200=I$3)*('GMW - Baseline'!$MB$2:$MB$200=I$4),0),$E8-1973)</f>
        <v>17</v>
      </c>
      <c r="J8" t="e" cm="1">
        <f t="array" ref="J8">INDEX('GMW - Baseline'!$A$2:$MC$200,MATCH(1,('GMW - Baseline'!$MC$2:$MC$200=J$3)*('GMW - Baseline'!$MB$2:$MB$200=J$4),0),$E8-1973)</f>
        <v>#N/A</v>
      </c>
      <c r="K8" t="e" cm="1">
        <f t="array" ref="K8">INDEX('GMW - Baseline'!$A$2:$MC$200,MATCH(1,('GMW - Baseline'!$MC$2:$MC$200=K$3)*('GMW - Baseline'!$MB$2:$MB$200=K$4),0),$E8-1973)</f>
        <v>#N/A</v>
      </c>
      <c r="L8" t="e" cm="1">
        <f t="array" ref="L8">INDEX('GMW - Baseline'!$A$2:$MC$200,MATCH(1,('GMW - Baseline'!$MC$2:$MC$200=L$3)*('GMW - Baseline'!$MB$2:$MB$200=L$4),0),$E8-1973)</f>
        <v>#N/A</v>
      </c>
      <c r="M8" t="e" cm="1">
        <f t="array" ref="M8">INDEX('GMW - Baseline'!$A$2:$MC$200,MATCH(1,('GMW - Baseline'!$MC$2:$MC$200=M$3)*('GMW - Baseline'!$MB$2:$MB$200=M$4),0),$E8-1973)</f>
        <v>#N/A</v>
      </c>
      <c r="N8" t="e" cm="1">
        <f t="array" ref="N8">INDEX('GMW - Baseline'!$A$2:$MC$200,MATCH(1,('GMW - Baseline'!$MC$2:$MC$200=N$3)*('GMW - Baseline'!$MB$2:$MB$200=N$4),0),$E8-1973)</f>
        <v>#N/A</v>
      </c>
      <c r="O8" t="e" cm="1">
        <f t="array" ref="O8">INDEX('GMW - Baseline'!$A$2:$MC$200,MATCH(1,('GMW - Baseline'!$MC$2:$MC$200=O$3)*('GMW - Baseline'!$MB$2:$MB$200=O$4),0),$E8-1973)</f>
        <v>#N/A</v>
      </c>
      <c r="P8" t="e" cm="1">
        <f t="array" ref="P8">INDEX('GMW - Baseline'!$A$2:$MC$200,MATCH(1,('GMW - Baseline'!$MC$2:$MC$200=P$3)*('GMW - Baseline'!$MB$2:$MB$200=P$4),0),$E8-1973)</f>
        <v>#N/A</v>
      </c>
      <c r="Q8" t="e" cm="1">
        <f t="array" ref="Q8">INDEX('GMW - Baseline'!$A$2:$MC$200,MATCH(1,('GMW - Baseline'!$MC$2:$MC$200=Q$3)*('GMW - Baseline'!$MB$2:$MB$200=Q$4),0),$E8-1973)</f>
        <v>#N/A</v>
      </c>
      <c r="R8" t="e" cm="1">
        <f t="array" ref="R8">INDEX('GMW - Baseline'!$A$2:$MC$200,MATCH(1,('GMW - Baseline'!$MC$2:$MC$200=R$3)*('GMW - Baseline'!$MB$2:$MB$200=R$4),0),$E8-1973)</f>
        <v>#N/A</v>
      </c>
      <c r="S8" t="e" cm="1">
        <f t="array" ref="S8">INDEX('GMW - Baseline'!$A$2:$MC$200,MATCH(1,('GMW - Baseline'!$MC$2:$MC$200=S$3)*('GMW - Baseline'!$MB$2:$MB$200=S$4),0),$E8-1973)</f>
        <v>#N/A</v>
      </c>
      <c r="T8" t="e" cm="1">
        <f t="array" ref="T8">INDEX('GMW - Baseline'!$A$2:$MC$200,MATCH(1,('GMW - Baseline'!$MC$2:$MC$200=T$3)*('GMW - Baseline'!$MB$2:$MB$200=T$4),0),$E8-1973)</f>
        <v>#N/A</v>
      </c>
    </row>
    <row r="9" spans="1:20" x14ac:dyDescent="0.25">
      <c r="B9">
        <v>1980</v>
      </c>
      <c r="C9">
        <v>1980</v>
      </c>
      <c r="E9">
        <f t="shared" ref="E9:E72" si="1">+E8+1</f>
        <v>1982</v>
      </c>
      <c r="F9" cm="1">
        <f t="array" ref="F9">INDEX('GMW - Baseline'!$A$2:$MC$200,MATCH(1,('GMW - Baseline'!$MC$2:$MC$200=F$3)*('GMW - Baseline'!$MB$2:$MB$200=F$4),0),$E9-1973)</f>
        <v>284402</v>
      </c>
      <c r="G9" cm="1">
        <f t="array" ref="G9">INDEX('GMW - Baseline'!$A$2:$MC$200,MATCH(1,('GMW - Baseline'!$MC$2:$MC$200=G$3)*('GMW - Baseline'!$MB$2:$MB$200=G$4),0),$E9-1973)</f>
        <v>151403</v>
      </c>
      <c r="H9" cm="1">
        <f t="array" ref="H9">INDEX('GMW - Baseline'!$A$2:$MC$200,MATCH(1,('GMW - Baseline'!$MC$2:$MC$200=H$3)*('GMW - Baseline'!$MB$2:$MB$200=H$4),0),$E9-1973)</f>
        <v>32.951300000000003</v>
      </c>
      <c r="I9" cm="1">
        <f t="array" ref="I9">INDEX('GMW - Baseline'!$A$2:$MC$200,MATCH(1,('GMW - Baseline'!$MC$2:$MC$200=I$3)*('GMW - Baseline'!$MB$2:$MB$200=I$4),0),$E9-1973)</f>
        <v>16.0303</v>
      </c>
      <c r="J9" t="e" cm="1">
        <f t="array" ref="J9">INDEX('GMW - Baseline'!$A$2:$MC$200,MATCH(1,('GMW - Baseline'!$MC$2:$MC$200=J$3)*('GMW - Baseline'!$MB$2:$MB$200=J$4),0),$E9-1973)</f>
        <v>#N/A</v>
      </c>
      <c r="K9" t="e" cm="1">
        <f t="array" ref="K9">INDEX('GMW - Baseline'!$A$2:$MC$200,MATCH(1,('GMW - Baseline'!$MC$2:$MC$200=K$3)*('GMW - Baseline'!$MB$2:$MB$200=K$4),0),$E9-1973)</f>
        <v>#N/A</v>
      </c>
      <c r="L9" t="e" cm="1">
        <f t="array" ref="L9">INDEX('GMW - Baseline'!$A$2:$MC$200,MATCH(1,('GMW - Baseline'!$MC$2:$MC$200=L$3)*('GMW - Baseline'!$MB$2:$MB$200=L$4),0),$E9-1973)</f>
        <v>#N/A</v>
      </c>
      <c r="M9" t="e" cm="1">
        <f t="array" ref="M9">INDEX('GMW - Baseline'!$A$2:$MC$200,MATCH(1,('GMW - Baseline'!$MC$2:$MC$200=M$3)*('GMW - Baseline'!$MB$2:$MB$200=M$4),0),$E9-1973)</f>
        <v>#N/A</v>
      </c>
      <c r="N9" t="e" cm="1">
        <f t="array" ref="N9">INDEX('GMW - Baseline'!$A$2:$MC$200,MATCH(1,('GMW - Baseline'!$MC$2:$MC$200=N$3)*('GMW - Baseline'!$MB$2:$MB$200=N$4),0),$E9-1973)</f>
        <v>#N/A</v>
      </c>
      <c r="O9" t="e" cm="1">
        <f t="array" ref="O9">INDEX('GMW - Baseline'!$A$2:$MC$200,MATCH(1,('GMW - Baseline'!$MC$2:$MC$200=O$3)*('GMW - Baseline'!$MB$2:$MB$200=O$4),0),$E9-1973)</f>
        <v>#N/A</v>
      </c>
      <c r="P9" t="e" cm="1">
        <f t="array" ref="P9">INDEX('GMW - Baseline'!$A$2:$MC$200,MATCH(1,('GMW - Baseline'!$MC$2:$MC$200=P$3)*('GMW - Baseline'!$MB$2:$MB$200=P$4),0),$E9-1973)</f>
        <v>#N/A</v>
      </c>
      <c r="Q9" t="e" cm="1">
        <f t="array" ref="Q9">INDEX('GMW - Baseline'!$A$2:$MC$200,MATCH(1,('GMW - Baseline'!$MC$2:$MC$200=Q$3)*('GMW - Baseline'!$MB$2:$MB$200=Q$4),0),$E9-1973)</f>
        <v>#N/A</v>
      </c>
      <c r="R9" t="e" cm="1">
        <f t="array" ref="R9">INDEX('GMW - Baseline'!$A$2:$MC$200,MATCH(1,('GMW - Baseline'!$MC$2:$MC$200=R$3)*('GMW - Baseline'!$MB$2:$MB$200=R$4),0),$E9-1973)</f>
        <v>#N/A</v>
      </c>
      <c r="S9" t="e" cm="1">
        <f t="array" ref="S9">INDEX('GMW - Baseline'!$A$2:$MC$200,MATCH(1,('GMW - Baseline'!$MC$2:$MC$200=S$3)*('GMW - Baseline'!$MB$2:$MB$200=S$4),0),$E9-1973)</f>
        <v>#N/A</v>
      </c>
      <c r="T9" t="e" cm="1">
        <f t="array" ref="T9">INDEX('GMW - Baseline'!$A$2:$MC$200,MATCH(1,('GMW - Baseline'!$MC$2:$MC$200=T$3)*('GMW - Baseline'!$MB$2:$MB$200=T$4),0),$E9-1973)</f>
        <v>#N/A</v>
      </c>
    </row>
    <row r="10" spans="1:20" x14ac:dyDescent="0.25">
      <c r="B10">
        <v>1980</v>
      </c>
      <c r="C10">
        <v>1980</v>
      </c>
      <c r="E10">
        <f t="shared" si="1"/>
        <v>1983</v>
      </c>
      <c r="F10" cm="1">
        <f t="array" ref="F10">INDEX('GMW - Baseline'!$A$2:$MC$200,MATCH(1,('GMW - Baseline'!$MC$2:$MC$200=F$3)*('GMW - Baseline'!$MB$2:$MB$200=F$4),0),$E10-1973)</f>
        <v>281496</v>
      </c>
      <c r="G10" cm="1">
        <f t="array" ref="G10">INDEX('GMW - Baseline'!$A$2:$MC$200,MATCH(1,('GMW - Baseline'!$MC$2:$MC$200=G$3)*('GMW - Baseline'!$MB$2:$MB$200=G$4),0),$E10-1973)</f>
        <v>148523</v>
      </c>
      <c r="H10" cm="1">
        <f t="array" ref="H10">INDEX('GMW - Baseline'!$A$2:$MC$200,MATCH(1,('GMW - Baseline'!$MC$2:$MC$200=H$3)*('GMW - Baseline'!$MB$2:$MB$200=H$4),0),$E10-1973)</f>
        <v>33.550879999999999</v>
      </c>
      <c r="I10" cm="1">
        <f t="array" ref="I10">INDEX('GMW - Baseline'!$A$2:$MC$200,MATCH(1,('GMW - Baseline'!$MC$2:$MC$200=I$3)*('GMW - Baseline'!$MB$2:$MB$200=I$4),0),$E10-1973)</f>
        <v>15.18182</v>
      </c>
      <c r="J10" t="e" cm="1">
        <f t="array" ref="J10">INDEX('GMW - Baseline'!$A$2:$MC$200,MATCH(1,('GMW - Baseline'!$MC$2:$MC$200=J$3)*('GMW - Baseline'!$MB$2:$MB$200=J$4),0),$E10-1973)</f>
        <v>#N/A</v>
      </c>
      <c r="K10" t="e" cm="1">
        <f t="array" ref="K10">INDEX('GMW - Baseline'!$A$2:$MC$200,MATCH(1,('GMW - Baseline'!$MC$2:$MC$200=K$3)*('GMW - Baseline'!$MB$2:$MB$200=K$4),0),$E10-1973)</f>
        <v>#N/A</v>
      </c>
      <c r="L10" t="e" cm="1">
        <f t="array" ref="L10">INDEX('GMW - Baseline'!$A$2:$MC$200,MATCH(1,('GMW - Baseline'!$MC$2:$MC$200=L$3)*('GMW - Baseline'!$MB$2:$MB$200=L$4),0),$E10-1973)</f>
        <v>#N/A</v>
      </c>
      <c r="M10" t="e" cm="1">
        <f t="array" ref="M10">INDEX('GMW - Baseline'!$A$2:$MC$200,MATCH(1,('GMW - Baseline'!$MC$2:$MC$200=M$3)*('GMW - Baseline'!$MB$2:$MB$200=M$4),0),$E10-1973)</f>
        <v>#N/A</v>
      </c>
      <c r="N10" t="e" cm="1">
        <f t="array" ref="N10">INDEX('GMW - Baseline'!$A$2:$MC$200,MATCH(1,('GMW - Baseline'!$MC$2:$MC$200=N$3)*('GMW - Baseline'!$MB$2:$MB$200=N$4),0),$E10-1973)</f>
        <v>#N/A</v>
      </c>
      <c r="O10" t="e" cm="1">
        <f t="array" ref="O10">INDEX('GMW - Baseline'!$A$2:$MC$200,MATCH(1,('GMW - Baseline'!$MC$2:$MC$200=O$3)*('GMW - Baseline'!$MB$2:$MB$200=O$4),0),$E10-1973)</f>
        <v>#N/A</v>
      </c>
      <c r="P10" t="e" cm="1">
        <f t="array" ref="P10">INDEX('GMW - Baseline'!$A$2:$MC$200,MATCH(1,('GMW - Baseline'!$MC$2:$MC$200=P$3)*('GMW - Baseline'!$MB$2:$MB$200=P$4),0),$E10-1973)</f>
        <v>#N/A</v>
      </c>
      <c r="Q10" t="e" cm="1">
        <f t="array" ref="Q10">INDEX('GMW - Baseline'!$A$2:$MC$200,MATCH(1,('GMW - Baseline'!$MC$2:$MC$200=Q$3)*('GMW - Baseline'!$MB$2:$MB$200=Q$4),0),$E10-1973)</f>
        <v>#N/A</v>
      </c>
      <c r="R10" t="e" cm="1">
        <f t="array" ref="R10">INDEX('GMW - Baseline'!$A$2:$MC$200,MATCH(1,('GMW - Baseline'!$MC$2:$MC$200=R$3)*('GMW - Baseline'!$MB$2:$MB$200=R$4),0),$E10-1973)</f>
        <v>#N/A</v>
      </c>
      <c r="S10" t="e" cm="1">
        <f t="array" ref="S10">INDEX('GMW - Baseline'!$A$2:$MC$200,MATCH(1,('GMW - Baseline'!$MC$2:$MC$200=S$3)*('GMW - Baseline'!$MB$2:$MB$200=S$4),0),$E10-1973)</f>
        <v>#N/A</v>
      </c>
      <c r="T10" t="e" cm="1">
        <f t="array" ref="T10">INDEX('GMW - Baseline'!$A$2:$MC$200,MATCH(1,('GMW - Baseline'!$MC$2:$MC$200=T$3)*('GMW - Baseline'!$MB$2:$MB$200=T$4),0),$E10-1973)</f>
        <v>#N/A</v>
      </c>
    </row>
    <row r="11" spans="1:20" x14ac:dyDescent="0.25">
      <c r="A11">
        <v>1981</v>
      </c>
      <c r="B11">
        <f>+B7+1</f>
        <v>1981</v>
      </c>
      <c r="C11">
        <v>1980</v>
      </c>
      <c r="D11">
        <v>1980</v>
      </c>
      <c r="E11">
        <f t="shared" si="1"/>
        <v>1984</v>
      </c>
      <c r="F11" cm="1">
        <f t="array" ref="F11">INDEX('GMW - Baseline'!$A$2:$MC$200,MATCH(1,('GMW - Baseline'!$MC$2:$MC$200=F$3)*('GMW - Baseline'!$MB$2:$MB$200=F$4),0),$E11-1973)</f>
        <v>281257</v>
      </c>
      <c r="G11" cm="1">
        <f t="array" ref="G11">INDEX('GMW - Baseline'!$A$2:$MC$200,MATCH(1,('GMW - Baseline'!$MC$2:$MC$200=G$3)*('GMW - Baseline'!$MB$2:$MB$200=G$4),0),$E11-1973)</f>
        <v>151234</v>
      </c>
      <c r="H11" cm="1">
        <f t="array" ref="H11">INDEX('GMW - Baseline'!$A$2:$MC$200,MATCH(1,('GMW - Baseline'!$MC$2:$MC$200=H$3)*('GMW - Baseline'!$MB$2:$MB$200=H$4),0),$E11-1973)</f>
        <v>34.385100000000001</v>
      </c>
      <c r="I11" cm="1">
        <f t="array" ref="I11">INDEX('GMW - Baseline'!$A$2:$MC$200,MATCH(1,('GMW - Baseline'!$MC$2:$MC$200=I$3)*('GMW - Baseline'!$MB$2:$MB$200=I$4),0),$E11-1973)</f>
        <v>13.53125</v>
      </c>
      <c r="J11" t="e" cm="1">
        <f t="array" ref="J11">INDEX('GMW - Baseline'!$A$2:$MC$200,MATCH(1,('GMW - Baseline'!$MC$2:$MC$200=J$3)*('GMW - Baseline'!$MB$2:$MB$200=J$4),0),$E11-1973)</f>
        <v>#N/A</v>
      </c>
      <c r="K11" t="e" cm="1">
        <f t="array" ref="K11">INDEX('GMW - Baseline'!$A$2:$MC$200,MATCH(1,('GMW - Baseline'!$MC$2:$MC$200=K$3)*('GMW - Baseline'!$MB$2:$MB$200=K$4),0),$E11-1973)</f>
        <v>#N/A</v>
      </c>
      <c r="L11" t="e" cm="1">
        <f t="array" ref="L11">INDEX('GMW - Baseline'!$A$2:$MC$200,MATCH(1,('GMW - Baseline'!$MC$2:$MC$200=L$3)*('GMW - Baseline'!$MB$2:$MB$200=L$4),0),$E11-1973)</f>
        <v>#N/A</v>
      </c>
      <c r="M11" t="e" cm="1">
        <f t="array" ref="M11">INDEX('GMW - Baseline'!$A$2:$MC$200,MATCH(1,('GMW - Baseline'!$MC$2:$MC$200=M$3)*('GMW - Baseline'!$MB$2:$MB$200=M$4),0),$E11-1973)</f>
        <v>#N/A</v>
      </c>
      <c r="N11" t="e" cm="1">
        <f t="array" ref="N11">INDEX('GMW - Baseline'!$A$2:$MC$200,MATCH(1,('GMW - Baseline'!$MC$2:$MC$200=N$3)*('GMW - Baseline'!$MB$2:$MB$200=N$4),0),$E11-1973)</f>
        <v>#N/A</v>
      </c>
      <c r="O11" t="e" cm="1">
        <f t="array" ref="O11">INDEX('GMW - Baseline'!$A$2:$MC$200,MATCH(1,('GMW - Baseline'!$MC$2:$MC$200=O$3)*('GMW - Baseline'!$MB$2:$MB$200=O$4),0),$E11-1973)</f>
        <v>#N/A</v>
      </c>
      <c r="P11" t="e" cm="1">
        <f t="array" ref="P11">INDEX('GMW - Baseline'!$A$2:$MC$200,MATCH(1,('GMW - Baseline'!$MC$2:$MC$200=P$3)*('GMW - Baseline'!$MB$2:$MB$200=P$4),0),$E11-1973)</f>
        <v>#N/A</v>
      </c>
      <c r="Q11" t="e" cm="1">
        <f t="array" ref="Q11">INDEX('GMW - Baseline'!$A$2:$MC$200,MATCH(1,('GMW - Baseline'!$MC$2:$MC$200=Q$3)*('GMW - Baseline'!$MB$2:$MB$200=Q$4),0),$E11-1973)</f>
        <v>#N/A</v>
      </c>
      <c r="R11" t="e" cm="1">
        <f t="array" ref="R11">INDEX('GMW - Baseline'!$A$2:$MC$200,MATCH(1,('GMW - Baseline'!$MC$2:$MC$200=R$3)*('GMW - Baseline'!$MB$2:$MB$200=R$4),0),$E11-1973)</f>
        <v>#N/A</v>
      </c>
      <c r="S11" t="e" cm="1">
        <f t="array" ref="S11">INDEX('GMW - Baseline'!$A$2:$MC$200,MATCH(1,('GMW - Baseline'!$MC$2:$MC$200=S$3)*('GMW - Baseline'!$MB$2:$MB$200=S$4),0),$E11-1973)</f>
        <v>#N/A</v>
      </c>
      <c r="T11" t="e" cm="1">
        <f t="array" ref="T11">INDEX('GMW - Baseline'!$A$2:$MC$200,MATCH(1,('GMW - Baseline'!$MC$2:$MC$200=T$3)*('GMW - Baseline'!$MB$2:$MB$200=T$4),0),$E11-1973)</f>
        <v>#N/A</v>
      </c>
    </row>
    <row r="12" spans="1:20" x14ac:dyDescent="0.25">
      <c r="B12">
        <f t="shared" ref="B12:D27" si="2">+B8+1</f>
        <v>1981</v>
      </c>
      <c r="C12">
        <f t="shared" si="2"/>
        <v>1981</v>
      </c>
      <c r="E12">
        <f t="shared" si="1"/>
        <v>1985</v>
      </c>
      <c r="F12" cm="1">
        <f t="array" ref="F12">INDEX('GMW - Baseline'!$A$2:$MC$200,MATCH(1,('GMW - Baseline'!$MC$2:$MC$200=F$3)*('GMW - Baseline'!$MB$2:$MB$200=F$4),0),$E12-1973)</f>
        <v>282155</v>
      </c>
      <c r="G12" cm="1">
        <f t="array" ref="G12">INDEX('GMW - Baseline'!$A$2:$MC$200,MATCH(1,('GMW - Baseline'!$MC$2:$MC$200=G$3)*('GMW - Baseline'!$MB$2:$MB$200=G$4),0),$E12-1973)</f>
        <v>151164</v>
      </c>
      <c r="H12" cm="1">
        <f t="array" ref="H12">INDEX('GMW - Baseline'!$A$2:$MC$200,MATCH(1,('GMW - Baseline'!$MC$2:$MC$200=H$3)*('GMW - Baseline'!$MB$2:$MB$200=H$4),0),$E12-1973)</f>
        <v>36.079590000000003</v>
      </c>
      <c r="I12" cm="1">
        <f t="array" ref="I12">INDEX('GMW - Baseline'!$A$2:$MC$200,MATCH(1,('GMW - Baseline'!$MC$2:$MC$200=I$3)*('GMW - Baseline'!$MB$2:$MB$200=I$4),0),$E12-1973)</f>
        <v>12</v>
      </c>
      <c r="J12" t="e" cm="1">
        <f t="array" ref="J12">INDEX('GMW - Baseline'!$A$2:$MC$200,MATCH(1,('GMW - Baseline'!$MC$2:$MC$200=J$3)*('GMW - Baseline'!$MB$2:$MB$200=J$4),0),$E12-1973)</f>
        <v>#N/A</v>
      </c>
      <c r="K12" t="e" cm="1">
        <f t="array" ref="K12">INDEX('GMW - Baseline'!$A$2:$MC$200,MATCH(1,('GMW - Baseline'!$MC$2:$MC$200=K$3)*('GMW - Baseline'!$MB$2:$MB$200=K$4),0),$E12-1973)</f>
        <v>#N/A</v>
      </c>
      <c r="L12" t="e" cm="1">
        <f t="array" ref="L12">INDEX('GMW - Baseline'!$A$2:$MC$200,MATCH(1,('GMW - Baseline'!$MC$2:$MC$200=L$3)*('GMW - Baseline'!$MB$2:$MB$200=L$4),0),$E12-1973)</f>
        <v>#N/A</v>
      </c>
      <c r="M12" t="e" cm="1">
        <f t="array" ref="M12">INDEX('GMW - Baseline'!$A$2:$MC$200,MATCH(1,('GMW - Baseline'!$MC$2:$MC$200=M$3)*('GMW - Baseline'!$MB$2:$MB$200=M$4),0),$E12-1973)</f>
        <v>#N/A</v>
      </c>
      <c r="N12" t="e" cm="1">
        <f t="array" ref="N12">INDEX('GMW - Baseline'!$A$2:$MC$200,MATCH(1,('GMW - Baseline'!$MC$2:$MC$200=N$3)*('GMW - Baseline'!$MB$2:$MB$200=N$4),0),$E12-1973)</f>
        <v>#N/A</v>
      </c>
      <c r="O12" t="e" cm="1">
        <f t="array" ref="O12">INDEX('GMW - Baseline'!$A$2:$MC$200,MATCH(1,('GMW - Baseline'!$MC$2:$MC$200=O$3)*('GMW - Baseline'!$MB$2:$MB$200=O$4),0),$E12-1973)</f>
        <v>#N/A</v>
      </c>
      <c r="P12" t="e" cm="1">
        <f t="array" ref="P12">INDEX('GMW - Baseline'!$A$2:$MC$200,MATCH(1,('GMW - Baseline'!$MC$2:$MC$200=P$3)*('GMW - Baseline'!$MB$2:$MB$200=P$4),0),$E12-1973)</f>
        <v>#N/A</v>
      </c>
      <c r="Q12" t="e" cm="1">
        <f t="array" ref="Q12">INDEX('GMW - Baseline'!$A$2:$MC$200,MATCH(1,('GMW - Baseline'!$MC$2:$MC$200=Q$3)*('GMW - Baseline'!$MB$2:$MB$200=Q$4),0),$E12-1973)</f>
        <v>#N/A</v>
      </c>
      <c r="R12" t="e" cm="1">
        <f t="array" ref="R12">INDEX('GMW - Baseline'!$A$2:$MC$200,MATCH(1,('GMW - Baseline'!$MC$2:$MC$200=R$3)*('GMW - Baseline'!$MB$2:$MB$200=R$4),0),$E12-1973)</f>
        <v>#N/A</v>
      </c>
      <c r="S12" t="e" cm="1">
        <f t="array" ref="S12">INDEX('GMW - Baseline'!$A$2:$MC$200,MATCH(1,('GMW - Baseline'!$MC$2:$MC$200=S$3)*('GMW - Baseline'!$MB$2:$MB$200=S$4),0),$E12-1973)</f>
        <v>#N/A</v>
      </c>
      <c r="T12" t="e" cm="1">
        <f t="array" ref="T12">INDEX('GMW - Baseline'!$A$2:$MC$200,MATCH(1,('GMW - Baseline'!$MC$2:$MC$200=T$3)*('GMW - Baseline'!$MB$2:$MB$200=T$4),0),$E12-1973)</f>
        <v>#N/A</v>
      </c>
    </row>
    <row r="13" spans="1:20" x14ac:dyDescent="0.25">
      <c r="B13">
        <f t="shared" si="2"/>
        <v>1981</v>
      </c>
      <c r="C13">
        <f t="shared" si="2"/>
        <v>1981</v>
      </c>
      <c r="E13">
        <f t="shared" si="1"/>
        <v>1986</v>
      </c>
      <c r="F13" cm="1">
        <f t="array" ref="F13">INDEX('GMW - Baseline'!$A$2:$MC$200,MATCH(1,('GMW - Baseline'!$MC$2:$MC$200=F$3)*('GMW - Baseline'!$MB$2:$MB$200=F$4),0),$E13-1973)</f>
        <v>285437</v>
      </c>
      <c r="G13" cm="1">
        <f t="array" ref="G13">INDEX('GMW - Baseline'!$A$2:$MC$200,MATCH(1,('GMW - Baseline'!$MC$2:$MC$200=G$3)*('GMW - Baseline'!$MB$2:$MB$200=G$4),0),$E13-1973)</f>
        <v>151269</v>
      </c>
      <c r="H13" cm="1">
        <f t="array" ref="H13">INDEX('GMW - Baseline'!$A$2:$MC$200,MATCH(1,('GMW - Baseline'!$MC$2:$MC$200=H$3)*('GMW - Baseline'!$MB$2:$MB$200=H$4),0),$E13-1973)</f>
        <v>36.731310000000001</v>
      </c>
      <c r="I13" cm="1">
        <f t="array" ref="I13">INDEX('GMW - Baseline'!$A$2:$MC$200,MATCH(1,('GMW - Baseline'!$MC$2:$MC$200=I$3)*('GMW - Baseline'!$MB$2:$MB$200=I$4),0),$E13-1973)</f>
        <v>12.51989</v>
      </c>
      <c r="J13" t="e" cm="1">
        <f t="array" ref="J13">INDEX('GMW - Baseline'!$A$2:$MC$200,MATCH(1,('GMW - Baseline'!$MC$2:$MC$200=J$3)*('GMW - Baseline'!$MB$2:$MB$200=J$4),0),$E13-1973)</f>
        <v>#N/A</v>
      </c>
      <c r="K13" t="e" cm="1">
        <f t="array" ref="K13">INDEX('GMW - Baseline'!$A$2:$MC$200,MATCH(1,('GMW - Baseline'!$MC$2:$MC$200=K$3)*('GMW - Baseline'!$MB$2:$MB$200=K$4),0),$E13-1973)</f>
        <v>#N/A</v>
      </c>
      <c r="L13" t="e" cm="1">
        <f t="array" ref="L13">INDEX('GMW - Baseline'!$A$2:$MC$200,MATCH(1,('GMW - Baseline'!$MC$2:$MC$200=L$3)*('GMW - Baseline'!$MB$2:$MB$200=L$4),0),$E13-1973)</f>
        <v>#N/A</v>
      </c>
      <c r="M13" t="e" cm="1">
        <f t="array" ref="M13">INDEX('GMW - Baseline'!$A$2:$MC$200,MATCH(1,('GMW - Baseline'!$MC$2:$MC$200=M$3)*('GMW - Baseline'!$MB$2:$MB$200=M$4),0),$E13-1973)</f>
        <v>#N/A</v>
      </c>
      <c r="N13" t="e" cm="1">
        <f t="array" ref="N13">INDEX('GMW - Baseline'!$A$2:$MC$200,MATCH(1,('GMW - Baseline'!$MC$2:$MC$200=N$3)*('GMW - Baseline'!$MB$2:$MB$200=N$4),0),$E13-1973)</f>
        <v>#N/A</v>
      </c>
      <c r="O13" t="e" cm="1">
        <f t="array" ref="O13">INDEX('GMW - Baseline'!$A$2:$MC$200,MATCH(1,('GMW - Baseline'!$MC$2:$MC$200=O$3)*('GMW - Baseline'!$MB$2:$MB$200=O$4),0),$E13-1973)</f>
        <v>#N/A</v>
      </c>
      <c r="P13" t="e" cm="1">
        <f t="array" ref="P13">INDEX('GMW - Baseline'!$A$2:$MC$200,MATCH(1,('GMW - Baseline'!$MC$2:$MC$200=P$3)*('GMW - Baseline'!$MB$2:$MB$200=P$4),0),$E13-1973)</f>
        <v>#N/A</v>
      </c>
      <c r="Q13" t="e" cm="1">
        <f t="array" ref="Q13">INDEX('GMW - Baseline'!$A$2:$MC$200,MATCH(1,('GMW - Baseline'!$MC$2:$MC$200=Q$3)*('GMW - Baseline'!$MB$2:$MB$200=Q$4),0),$E13-1973)</f>
        <v>#N/A</v>
      </c>
      <c r="R13" t="e" cm="1">
        <f t="array" ref="R13">INDEX('GMW - Baseline'!$A$2:$MC$200,MATCH(1,('GMW - Baseline'!$MC$2:$MC$200=R$3)*('GMW - Baseline'!$MB$2:$MB$200=R$4),0),$E13-1973)</f>
        <v>#N/A</v>
      </c>
      <c r="S13" t="e" cm="1">
        <f t="array" ref="S13">INDEX('GMW - Baseline'!$A$2:$MC$200,MATCH(1,('GMW - Baseline'!$MC$2:$MC$200=S$3)*('GMW - Baseline'!$MB$2:$MB$200=S$4),0),$E13-1973)</f>
        <v>#N/A</v>
      </c>
      <c r="T13" t="e" cm="1">
        <f t="array" ref="T13">INDEX('GMW - Baseline'!$A$2:$MC$200,MATCH(1,('GMW - Baseline'!$MC$2:$MC$200=T$3)*('GMW - Baseline'!$MB$2:$MB$200=T$4),0),$E13-1973)</f>
        <v>#N/A</v>
      </c>
    </row>
    <row r="14" spans="1:20" x14ac:dyDescent="0.25">
      <c r="B14">
        <f t="shared" si="2"/>
        <v>1981</v>
      </c>
      <c r="C14">
        <f t="shared" si="2"/>
        <v>1981</v>
      </c>
      <c r="E14">
        <f t="shared" si="1"/>
        <v>1987</v>
      </c>
      <c r="F14" cm="1">
        <f t="array" ref="F14">INDEX('GMW - Baseline'!$A$2:$MC$200,MATCH(1,('GMW - Baseline'!$MC$2:$MC$200=F$3)*('GMW - Baseline'!$MB$2:$MB$200=F$4),0),$E14-1973)</f>
        <v>285814</v>
      </c>
      <c r="G14" cm="1">
        <f t="array" ref="G14">INDEX('GMW - Baseline'!$A$2:$MC$200,MATCH(1,('GMW - Baseline'!$MC$2:$MC$200=G$3)*('GMW - Baseline'!$MB$2:$MB$200=G$4),0),$E14-1973)</f>
        <v>150853</v>
      </c>
      <c r="H14" cm="1">
        <f t="array" ref="H14">INDEX('GMW - Baseline'!$A$2:$MC$200,MATCH(1,('GMW - Baseline'!$MC$2:$MC$200=H$3)*('GMW - Baseline'!$MB$2:$MB$200=H$4),0),$E14-1973)</f>
        <v>37.435180000000003</v>
      </c>
      <c r="I14" cm="1">
        <f t="array" ref="I14">INDEX('GMW - Baseline'!$A$2:$MC$200,MATCH(1,('GMW - Baseline'!$MC$2:$MC$200=I$3)*('GMW - Baseline'!$MB$2:$MB$200=I$4),0),$E14-1973)</f>
        <v>14.60417</v>
      </c>
      <c r="J14" t="e" cm="1">
        <f t="array" ref="J14">INDEX('GMW - Baseline'!$A$2:$MC$200,MATCH(1,('GMW - Baseline'!$MC$2:$MC$200=J$3)*('GMW - Baseline'!$MB$2:$MB$200=J$4),0),$E14-1973)</f>
        <v>#N/A</v>
      </c>
      <c r="K14" t="e" cm="1">
        <f t="array" ref="K14">INDEX('GMW - Baseline'!$A$2:$MC$200,MATCH(1,('GMW - Baseline'!$MC$2:$MC$200=K$3)*('GMW - Baseline'!$MB$2:$MB$200=K$4),0),$E14-1973)</f>
        <v>#N/A</v>
      </c>
      <c r="L14" t="e" cm="1">
        <f t="array" ref="L14">INDEX('GMW - Baseline'!$A$2:$MC$200,MATCH(1,('GMW - Baseline'!$MC$2:$MC$200=L$3)*('GMW - Baseline'!$MB$2:$MB$200=L$4),0),$E14-1973)</f>
        <v>#N/A</v>
      </c>
      <c r="M14" t="e" cm="1">
        <f t="array" ref="M14">INDEX('GMW - Baseline'!$A$2:$MC$200,MATCH(1,('GMW - Baseline'!$MC$2:$MC$200=M$3)*('GMW - Baseline'!$MB$2:$MB$200=M$4),0),$E14-1973)</f>
        <v>#N/A</v>
      </c>
      <c r="N14" t="e" cm="1">
        <f t="array" ref="N14">INDEX('GMW - Baseline'!$A$2:$MC$200,MATCH(1,('GMW - Baseline'!$MC$2:$MC$200=N$3)*('GMW - Baseline'!$MB$2:$MB$200=N$4),0),$E14-1973)</f>
        <v>#N/A</v>
      </c>
      <c r="O14" t="e" cm="1">
        <f t="array" ref="O14">INDEX('GMW - Baseline'!$A$2:$MC$200,MATCH(1,('GMW - Baseline'!$MC$2:$MC$200=O$3)*('GMW - Baseline'!$MB$2:$MB$200=O$4),0),$E14-1973)</f>
        <v>#N/A</v>
      </c>
      <c r="P14" t="e" cm="1">
        <f t="array" ref="P14">INDEX('GMW - Baseline'!$A$2:$MC$200,MATCH(1,('GMW - Baseline'!$MC$2:$MC$200=P$3)*('GMW - Baseline'!$MB$2:$MB$200=P$4),0),$E14-1973)</f>
        <v>#N/A</v>
      </c>
      <c r="Q14" t="e" cm="1">
        <f t="array" ref="Q14">INDEX('GMW - Baseline'!$A$2:$MC$200,MATCH(1,('GMW - Baseline'!$MC$2:$MC$200=Q$3)*('GMW - Baseline'!$MB$2:$MB$200=Q$4),0),$E14-1973)</f>
        <v>#N/A</v>
      </c>
      <c r="R14" t="e" cm="1">
        <f t="array" ref="R14">INDEX('GMW - Baseline'!$A$2:$MC$200,MATCH(1,('GMW - Baseline'!$MC$2:$MC$200=R$3)*('GMW - Baseline'!$MB$2:$MB$200=R$4),0),$E14-1973)</f>
        <v>#N/A</v>
      </c>
      <c r="S14" t="e" cm="1">
        <f t="array" ref="S14">INDEX('GMW - Baseline'!$A$2:$MC$200,MATCH(1,('GMW - Baseline'!$MC$2:$MC$200=S$3)*('GMW - Baseline'!$MB$2:$MB$200=S$4),0),$E14-1973)</f>
        <v>#N/A</v>
      </c>
      <c r="T14" t="e" cm="1">
        <f t="array" ref="T14">INDEX('GMW - Baseline'!$A$2:$MC$200,MATCH(1,('GMW - Baseline'!$MC$2:$MC$200=T$3)*('GMW - Baseline'!$MB$2:$MB$200=T$4),0),$E14-1973)</f>
        <v>#N/A</v>
      </c>
    </row>
    <row r="15" spans="1:20" x14ac:dyDescent="0.25">
      <c r="A15">
        <v>1982</v>
      </c>
      <c r="B15">
        <f t="shared" si="2"/>
        <v>1982</v>
      </c>
      <c r="C15">
        <f t="shared" si="2"/>
        <v>1981</v>
      </c>
      <c r="D15">
        <f t="shared" si="2"/>
        <v>1981</v>
      </c>
      <c r="E15">
        <f t="shared" si="1"/>
        <v>1988</v>
      </c>
      <c r="F15" cm="1">
        <f t="array" ref="F15">INDEX('GMW - Baseline'!$A$2:$MC$200,MATCH(1,('GMW - Baseline'!$MC$2:$MC$200=F$3)*('GMW - Baseline'!$MB$2:$MB$200=F$4),0),$E15-1973)</f>
        <v>286275</v>
      </c>
      <c r="G15" cm="1">
        <f t="array" ref="G15">INDEX('GMW - Baseline'!$A$2:$MC$200,MATCH(1,('GMW - Baseline'!$MC$2:$MC$200=G$3)*('GMW - Baseline'!$MB$2:$MB$200=G$4),0),$E15-1973)</f>
        <v>151361</v>
      </c>
      <c r="H15" cm="1">
        <f t="array" ref="H15">INDEX('GMW - Baseline'!$A$2:$MC$200,MATCH(1,('GMW - Baseline'!$MC$2:$MC$200=H$3)*('GMW - Baseline'!$MB$2:$MB$200=H$4),0),$E15-1973)</f>
        <v>37.878349999999998</v>
      </c>
      <c r="I15" cm="1">
        <f t="array" ref="I15">INDEX('GMW - Baseline'!$A$2:$MC$200,MATCH(1,('GMW - Baseline'!$MC$2:$MC$200=I$3)*('GMW - Baseline'!$MB$2:$MB$200=I$4),0),$E15-1973)</f>
        <v>13.785159999999999</v>
      </c>
      <c r="J15" t="e" cm="1">
        <f t="array" ref="J15">INDEX('GMW - Baseline'!$A$2:$MC$200,MATCH(1,('GMW - Baseline'!$MC$2:$MC$200=J$3)*('GMW - Baseline'!$MB$2:$MB$200=J$4),0),$E15-1973)</f>
        <v>#N/A</v>
      </c>
      <c r="K15" t="e" cm="1">
        <f t="array" ref="K15">INDEX('GMW - Baseline'!$A$2:$MC$200,MATCH(1,('GMW - Baseline'!$MC$2:$MC$200=K$3)*('GMW - Baseline'!$MB$2:$MB$200=K$4),0),$E15-1973)</f>
        <v>#N/A</v>
      </c>
      <c r="L15" t="e" cm="1">
        <f t="array" ref="L15">INDEX('GMW - Baseline'!$A$2:$MC$200,MATCH(1,('GMW - Baseline'!$MC$2:$MC$200=L$3)*('GMW - Baseline'!$MB$2:$MB$200=L$4),0),$E15-1973)</f>
        <v>#N/A</v>
      </c>
      <c r="M15" t="e" cm="1">
        <f t="array" ref="M15">INDEX('GMW - Baseline'!$A$2:$MC$200,MATCH(1,('GMW - Baseline'!$MC$2:$MC$200=M$3)*('GMW - Baseline'!$MB$2:$MB$200=M$4),0),$E15-1973)</f>
        <v>#N/A</v>
      </c>
      <c r="N15" t="e" cm="1">
        <f t="array" ref="N15">INDEX('GMW - Baseline'!$A$2:$MC$200,MATCH(1,('GMW - Baseline'!$MC$2:$MC$200=N$3)*('GMW - Baseline'!$MB$2:$MB$200=N$4),0),$E15-1973)</f>
        <v>#N/A</v>
      </c>
      <c r="O15" t="e" cm="1">
        <f t="array" ref="O15">INDEX('GMW - Baseline'!$A$2:$MC$200,MATCH(1,('GMW - Baseline'!$MC$2:$MC$200=O$3)*('GMW - Baseline'!$MB$2:$MB$200=O$4),0),$E15-1973)</f>
        <v>#N/A</v>
      </c>
      <c r="P15" t="e" cm="1">
        <f t="array" ref="P15">INDEX('GMW - Baseline'!$A$2:$MC$200,MATCH(1,('GMW - Baseline'!$MC$2:$MC$200=P$3)*('GMW - Baseline'!$MB$2:$MB$200=P$4),0),$E15-1973)</f>
        <v>#N/A</v>
      </c>
      <c r="Q15" t="e" cm="1">
        <f t="array" ref="Q15">INDEX('GMW - Baseline'!$A$2:$MC$200,MATCH(1,('GMW - Baseline'!$MC$2:$MC$200=Q$3)*('GMW - Baseline'!$MB$2:$MB$200=Q$4),0),$E15-1973)</f>
        <v>#N/A</v>
      </c>
      <c r="R15" t="e" cm="1">
        <f t="array" ref="R15">INDEX('GMW - Baseline'!$A$2:$MC$200,MATCH(1,('GMW - Baseline'!$MC$2:$MC$200=R$3)*('GMW - Baseline'!$MB$2:$MB$200=R$4),0),$E15-1973)</f>
        <v>#N/A</v>
      </c>
      <c r="S15" t="e" cm="1">
        <f t="array" ref="S15">INDEX('GMW - Baseline'!$A$2:$MC$200,MATCH(1,('GMW - Baseline'!$MC$2:$MC$200=S$3)*('GMW - Baseline'!$MB$2:$MB$200=S$4),0),$E15-1973)</f>
        <v>#N/A</v>
      </c>
      <c r="T15" t="e" cm="1">
        <f t="array" ref="T15">INDEX('GMW - Baseline'!$A$2:$MC$200,MATCH(1,('GMW - Baseline'!$MC$2:$MC$200=T$3)*('GMW - Baseline'!$MB$2:$MB$200=T$4),0),$E15-1973)</f>
        <v>#N/A</v>
      </c>
    </row>
    <row r="16" spans="1:20" x14ac:dyDescent="0.25">
      <c r="B16">
        <f t="shared" si="2"/>
        <v>1982</v>
      </c>
      <c r="C16">
        <f t="shared" si="2"/>
        <v>1982</v>
      </c>
      <c r="E16">
        <f t="shared" si="1"/>
        <v>1989</v>
      </c>
      <c r="F16" cm="1">
        <f t="array" ref="F16">INDEX('GMW - Baseline'!$A$2:$MC$200,MATCH(1,('GMW - Baseline'!$MC$2:$MC$200=F$3)*('GMW - Baseline'!$MB$2:$MB$200=F$4),0),$E16-1973)</f>
        <v>289232</v>
      </c>
      <c r="G16" cm="1">
        <f t="array" ref="G16">INDEX('GMW - Baseline'!$A$2:$MC$200,MATCH(1,('GMW - Baseline'!$MC$2:$MC$200=G$3)*('GMW - Baseline'!$MB$2:$MB$200=G$4),0),$E16-1973)</f>
        <v>151251</v>
      </c>
      <c r="H16" cm="1">
        <f t="array" ref="H16">INDEX('GMW - Baseline'!$A$2:$MC$200,MATCH(1,('GMW - Baseline'!$MC$2:$MC$200=H$3)*('GMW - Baseline'!$MB$2:$MB$200=H$4),0),$E16-1973)</f>
        <v>39.181800000000003</v>
      </c>
      <c r="I16" cm="1">
        <f t="array" ref="I16">INDEX('GMW - Baseline'!$A$2:$MC$200,MATCH(1,('GMW - Baseline'!$MC$2:$MC$200=I$3)*('GMW - Baseline'!$MB$2:$MB$200=I$4),0),$E16-1973)</f>
        <v>13.01346</v>
      </c>
      <c r="J16" t="e" cm="1">
        <f t="array" ref="J16">INDEX('GMW - Baseline'!$A$2:$MC$200,MATCH(1,('GMW - Baseline'!$MC$2:$MC$200=J$3)*('GMW - Baseline'!$MB$2:$MB$200=J$4),0),$E16-1973)</f>
        <v>#N/A</v>
      </c>
      <c r="K16" t="e" cm="1">
        <f t="array" ref="K16">INDEX('GMW - Baseline'!$A$2:$MC$200,MATCH(1,('GMW - Baseline'!$MC$2:$MC$200=K$3)*('GMW - Baseline'!$MB$2:$MB$200=K$4),0),$E16-1973)</f>
        <v>#N/A</v>
      </c>
      <c r="L16" t="e" cm="1">
        <f t="array" ref="L16">INDEX('GMW - Baseline'!$A$2:$MC$200,MATCH(1,('GMW - Baseline'!$MC$2:$MC$200=L$3)*('GMW - Baseline'!$MB$2:$MB$200=L$4),0),$E16-1973)</f>
        <v>#N/A</v>
      </c>
      <c r="M16" t="e" cm="1">
        <f t="array" ref="M16">INDEX('GMW - Baseline'!$A$2:$MC$200,MATCH(1,('GMW - Baseline'!$MC$2:$MC$200=M$3)*('GMW - Baseline'!$MB$2:$MB$200=M$4),0),$E16-1973)</f>
        <v>#N/A</v>
      </c>
      <c r="N16" t="e" cm="1">
        <f t="array" ref="N16">INDEX('GMW - Baseline'!$A$2:$MC$200,MATCH(1,('GMW - Baseline'!$MC$2:$MC$200=N$3)*('GMW - Baseline'!$MB$2:$MB$200=N$4),0),$E16-1973)</f>
        <v>#N/A</v>
      </c>
      <c r="O16" t="e" cm="1">
        <f t="array" ref="O16">INDEX('GMW - Baseline'!$A$2:$MC$200,MATCH(1,('GMW - Baseline'!$MC$2:$MC$200=O$3)*('GMW - Baseline'!$MB$2:$MB$200=O$4),0),$E16-1973)</f>
        <v>#N/A</v>
      </c>
      <c r="P16" t="e" cm="1">
        <f t="array" ref="P16">INDEX('GMW - Baseline'!$A$2:$MC$200,MATCH(1,('GMW - Baseline'!$MC$2:$MC$200=P$3)*('GMW - Baseline'!$MB$2:$MB$200=P$4),0),$E16-1973)</f>
        <v>#N/A</v>
      </c>
      <c r="Q16" t="e" cm="1">
        <f t="array" ref="Q16">INDEX('GMW - Baseline'!$A$2:$MC$200,MATCH(1,('GMW - Baseline'!$MC$2:$MC$200=Q$3)*('GMW - Baseline'!$MB$2:$MB$200=Q$4),0),$E16-1973)</f>
        <v>#N/A</v>
      </c>
      <c r="R16" t="e" cm="1">
        <f t="array" ref="R16">INDEX('GMW - Baseline'!$A$2:$MC$200,MATCH(1,('GMW - Baseline'!$MC$2:$MC$200=R$3)*('GMW - Baseline'!$MB$2:$MB$200=R$4),0),$E16-1973)</f>
        <v>#N/A</v>
      </c>
      <c r="S16" t="e" cm="1">
        <f t="array" ref="S16">INDEX('GMW - Baseline'!$A$2:$MC$200,MATCH(1,('GMW - Baseline'!$MC$2:$MC$200=S$3)*('GMW - Baseline'!$MB$2:$MB$200=S$4),0),$E16-1973)</f>
        <v>#N/A</v>
      </c>
      <c r="T16" t="e" cm="1">
        <f t="array" ref="T16">INDEX('GMW - Baseline'!$A$2:$MC$200,MATCH(1,('GMW - Baseline'!$MC$2:$MC$200=T$3)*('GMW - Baseline'!$MB$2:$MB$200=T$4),0),$E16-1973)</f>
        <v>#N/A</v>
      </c>
    </row>
    <row r="17" spans="1:20" x14ac:dyDescent="0.25">
      <c r="B17">
        <f t="shared" si="2"/>
        <v>1982</v>
      </c>
      <c r="C17">
        <f t="shared" si="2"/>
        <v>1982</v>
      </c>
      <c r="E17">
        <f t="shared" si="1"/>
        <v>1990</v>
      </c>
      <c r="F17" cm="1">
        <f t="array" ref="F17">INDEX('GMW - Baseline'!$A$2:$MC$200,MATCH(1,('GMW - Baseline'!$MC$2:$MC$200=F$3)*('GMW - Baseline'!$MB$2:$MB$200=F$4),0),$E17-1973)</f>
        <v>289852</v>
      </c>
      <c r="G17" cm="1">
        <f t="array" ref="G17">INDEX('GMW - Baseline'!$A$2:$MC$200,MATCH(1,('GMW - Baseline'!$MC$2:$MC$200=G$3)*('GMW - Baseline'!$MB$2:$MB$200=G$4),0),$E17-1973)</f>
        <v>153796</v>
      </c>
      <c r="H17" cm="1">
        <f t="array" ref="H17">INDEX('GMW - Baseline'!$A$2:$MC$200,MATCH(1,('GMW - Baseline'!$MC$2:$MC$200=H$3)*('GMW - Baseline'!$MB$2:$MB$200=H$4),0),$E17-1973)</f>
        <v>39.416420000000002</v>
      </c>
      <c r="I17" cm="1">
        <f t="array" ref="I17">INDEX('GMW - Baseline'!$A$2:$MC$200,MATCH(1,('GMW - Baseline'!$MC$2:$MC$200=I$3)*('GMW - Baseline'!$MB$2:$MB$200=I$4),0),$E17-1973)</f>
        <v>11.3428</v>
      </c>
      <c r="J17" t="e" cm="1">
        <f t="array" ref="J17">INDEX('GMW - Baseline'!$A$2:$MC$200,MATCH(1,('GMW - Baseline'!$MC$2:$MC$200=J$3)*('GMW - Baseline'!$MB$2:$MB$200=J$4),0),$E17-1973)</f>
        <v>#N/A</v>
      </c>
      <c r="K17" t="e" cm="1">
        <f t="array" ref="K17">INDEX('GMW - Baseline'!$A$2:$MC$200,MATCH(1,('GMW - Baseline'!$MC$2:$MC$200=K$3)*('GMW - Baseline'!$MB$2:$MB$200=K$4),0),$E17-1973)</f>
        <v>#N/A</v>
      </c>
      <c r="L17" t="e" cm="1">
        <f t="array" ref="L17">INDEX('GMW - Baseline'!$A$2:$MC$200,MATCH(1,('GMW - Baseline'!$MC$2:$MC$200=L$3)*('GMW - Baseline'!$MB$2:$MB$200=L$4),0),$E17-1973)</f>
        <v>#N/A</v>
      </c>
      <c r="M17" t="e" cm="1">
        <f t="array" ref="M17">INDEX('GMW - Baseline'!$A$2:$MC$200,MATCH(1,('GMW - Baseline'!$MC$2:$MC$200=M$3)*('GMW - Baseline'!$MB$2:$MB$200=M$4),0),$E17-1973)</f>
        <v>#N/A</v>
      </c>
      <c r="N17" t="e" cm="1">
        <f t="array" ref="N17">INDEX('GMW - Baseline'!$A$2:$MC$200,MATCH(1,('GMW - Baseline'!$MC$2:$MC$200=N$3)*('GMW - Baseline'!$MB$2:$MB$200=N$4),0),$E17-1973)</f>
        <v>#N/A</v>
      </c>
      <c r="O17" t="e" cm="1">
        <f t="array" ref="O17">INDEX('GMW - Baseline'!$A$2:$MC$200,MATCH(1,('GMW - Baseline'!$MC$2:$MC$200=O$3)*('GMW - Baseline'!$MB$2:$MB$200=O$4),0),$E17-1973)</f>
        <v>#N/A</v>
      </c>
      <c r="P17" t="e" cm="1">
        <f t="array" ref="P17">INDEX('GMW - Baseline'!$A$2:$MC$200,MATCH(1,('GMW - Baseline'!$MC$2:$MC$200=P$3)*('GMW - Baseline'!$MB$2:$MB$200=P$4),0),$E17-1973)</f>
        <v>#N/A</v>
      </c>
      <c r="Q17" t="e" cm="1">
        <f t="array" ref="Q17">INDEX('GMW - Baseline'!$A$2:$MC$200,MATCH(1,('GMW - Baseline'!$MC$2:$MC$200=Q$3)*('GMW - Baseline'!$MB$2:$MB$200=Q$4),0),$E17-1973)</f>
        <v>#N/A</v>
      </c>
      <c r="R17" t="e" cm="1">
        <f t="array" ref="R17">INDEX('GMW - Baseline'!$A$2:$MC$200,MATCH(1,('GMW - Baseline'!$MC$2:$MC$200=R$3)*('GMW - Baseline'!$MB$2:$MB$200=R$4),0),$E17-1973)</f>
        <v>#N/A</v>
      </c>
      <c r="S17" t="e" cm="1">
        <f t="array" ref="S17">INDEX('GMW - Baseline'!$A$2:$MC$200,MATCH(1,('GMW - Baseline'!$MC$2:$MC$200=S$3)*('GMW - Baseline'!$MB$2:$MB$200=S$4),0),$E17-1973)</f>
        <v>#N/A</v>
      </c>
      <c r="T17" t="e" cm="1">
        <f t="array" ref="T17">INDEX('GMW - Baseline'!$A$2:$MC$200,MATCH(1,('GMW - Baseline'!$MC$2:$MC$200=T$3)*('GMW - Baseline'!$MB$2:$MB$200=T$4),0),$E17-1973)</f>
        <v>#N/A</v>
      </c>
    </row>
    <row r="18" spans="1:20" x14ac:dyDescent="0.25">
      <c r="B18">
        <f t="shared" si="2"/>
        <v>1982</v>
      </c>
      <c r="C18">
        <f t="shared" si="2"/>
        <v>1982</v>
      </c>
      <c r="E18">
        <f t="shared" si="1"/>
        <v>1991</v>
      </c>
      <c r="F18" cm="1">
        <f t="array" ref="F18">INDEX('GMW - Baseline'!$A$2:$MC$200,MATCH(1,('GMW - Baseline'!$MC$2:$MC$200=F$3)*('GMW - Baseline'!$MB$2:$MB$200=F$4),0),$E18-1973)</f>
        <v>291832</v>
      </c>
      <c r="G18" cm="1">
        <f t="array" ref="G18">INDEX('GMW - Baseline'!$A$2:$MC$200,MATCH(1,('GMW - Baseline'!$MC$2:$MC$200=G$3)*('GMW - Baseline'!$MB$2:$MB$200=G$4),0),$E18-1973)</f>
        <v>155106</v>
      </c>
      <c r="H18" cm="1">
        <f t="array" ref="H18">INDEX('GMW - Baseline'!$A$2:$MC$200,MATCH(1,('GMW - Baseline'!$MC$2:$MC$200=H$3)*('GMW - Baseline'!$MB$2:$MB$200=H$4),0),$E18-1973)</f>
        <v>39.885669999999998</v>
      </c>
      <c r="I18" cm="1">
        <f t="array" ref="I18">INDEX('GMW - Baseline'!$A$2:$MC$200,MATCH(1,('GMW - Baseline'!$MC$2:$MC$200=I$3)*('GMW - Baseline'!$MB$2:$MB$200=I$4),0),$E18-1973)</f>
        <v>9.6856059999999999</v>
      </c>
      <c r="J18" t="e" cm="1">
        <f t="array" ref="J18">INDEX('GMW - Baseline'!$A$2:$MC$200,MATCH(1,('GMW - Baseline'!$MC$2:$MC$200=J$3)*('GMW - Baseline'!$MB$2:$MB$200=J$4),0),$E18-1973)</f>
        <v>#N/A</v>
      </c>
      <c r="K18" t="e" cm="1">
        <f t="array" ref="K18">INDEX('GMW - Baseline'!$A$2:$MC$200,MATCH(1,('GMW - Baseline'!$MC$2:$MC$200=K$3)*('GMW - Baseline'!$MB$2:$MB$200=K$4),0),$E18-1973)</f>
        <v>#N/A</v>
      </c>
      <c r="L18" t="e" cm="1">
        <f t="array" ref="L18">INDEX('GMW - Baseline'!$A$2:$MC$200,MATCH(1,('GMW - Baseline'!$MC$2:$MC$200=L$3)*('GMW - Baseline'!$MB$2:$MB$200=L$4),0),$E18-1973)</f>
        <v>#N/A</v>
      </c>
      <c r="M18" t="e" cm="1">
        <f t="array" ref="M18">INDEX('GMW - Baseline'!$A$2:$MC$200,MATCH(1,('GMW - Baseline'!$MC$2:$MC$200=M$3)*('GMW - Baseline'!$MB$2:$MB$200=M$4),0),$E18-1973)</f>
        <v>#N/A</v>
      </c>
      <c r="N18" t="e" cm="1">
        <f t="array" ref="N18">INDEX('GMW - Baseline'!$A$2:$MC$200,MATCH(1,('GMW - Baseline'!$MC$2:$MC$200=N$3)*('GMW - Baseline'!$MB$2:$MB$200=N$4),0),$E18-1973)</f>
        <v>#N/A</v>
      </c>
      <c r="O18" t="e" cm="1">
        <f t="array" ref="O18">INDEX('GMW - Baseline'!$A$2:$MC$200,MATCH(1,('GMW - Baseline'!$MC$2:$MC$200=O$3)*('GMW - Baseline'!$MB$2:$MB$200=O$4),0),$E18-1973)</f>
        <v>#N/A</v>
      </c>
      <c r="P18" t="e" cm="1">
        <f t="array" ref="P18">INDEX('GMW - Baseline'!$A$2:$MC$200,MATCH(1,('GMW - Baseline'!$MC$2:$MC$200=P$3)*('GMW - Baseline'!$MB$2:$MB$200=P$4),0),$E18-1973)</f>
        <v>#N/A</v>
      </c>
      <c r="Q18" t="e" cm="1">
        <f t="array" ref="Q18">INDEX('GMW - Baseline'!$A$2:$MC$200,MATCH(1,('GMW - Baseline'!$MC$2:$MC$200=Q$3)*('GMW - Baseline'!$MB$2:$MB$200=Q$4),0),$E18-1973)</f>
        <v>#N/A</v>
      </c>
      <c r="R18" t="e" cm="1">
        <f t="array" ref="R18">INDEX('GMW - Baseline'!$A$2:$MC$200,MATCH(1,('GMW - Baseline'!$MC$2:$MC$200=R$3)*('GMW - Baseline'!$MB$2:$MB$200=R$4),0),$E18-1973)</f>
        <v>#N/A</v>
      </c>
      <c r="S18" t="e" cm="1">
        <f t="array" ref="S18">INDEX('GMW - Baseline'!$A$2:$MC$200,MATCH(1,('GMW - Baseline'!$MC$2:$MC$200=S$3)*('GMW - Baseline'!$MB$2:$MB$200=S$4),0),$E18-1973)</f>
        <v>#N/A</v>
      </c>
      <c r="T18" t="e" cm="1">
        <f t="array" ref="T18">INDEX('GMW - Baseline'!$A$2:$MC$200,MATCH(1,('GMW - Baseline'!$MC$2:$MC$200=T$3)*('GMW - Baseline'!$MB$2:$MB$200=T$4),0),$E18-1973)</f>
        <v>#N/A</v>
      </c>
    </row>
    <row r="19" spans="1:20" x14ac:dyDescent="0.25">
      <c r="A19">
        <v>1983</v>
      </c>
      <c r="B19">
        <f t="shared" si="2"/>
        <v>1983</v>
      </c>
      <c r="C19">
        <f t="shared" si="2"/>
        <v>1982</v>
      </c>
      <c r="D19">
        <f t="shared" si="2"/>
        <v>1982</v>
      </c>
      <c r="E19">
        <f t="shared" si="1"/>
        <v>1992</v>
      </c>
      <c r="F19" cm="1">
        <f t="array" ref="F19">INDEX('GMW - Baseline'!$A$2:$MC$200,MATCH(1,('GMW - Baseline'!$MC$2:$MC$200=F$3)*('GMW - Baseline'!$MB$2:$MB$200=F$4),0),$E19-1973)</f>
        <v>297563</v>
      </c>
      <c r="G19" cm="1">
        <f t="array" ref="G19">INDEX('GMW - Baseline'!$A$2:$MC$200,MATCH(1,('GMW - Baseline'!$MC$2:$MC$200=G$3)*('GMW - Baseline'!$MB$2:$MB$200=G$4),0),$E19-1973)</f>
        <v>157443</v>
      </c>
      <c r="H19" cm="1">
        <f t="array" ref="H19">INDEX('GMW - Baseline'!$A$2:$MC$200,MATCH(1,('GMW - Baseline'!$MC$2:$MC$200=H$3)*('GMW - Baseline'!$MB$2:$MB$200=H$4),0),$E19-1973)</f>
        <v>40.172429999999999</v>
      </c>
      <c r="I19" cm="1">
        <f t="array" ref="I19">INDEX('GMW - Baseline'!$A$2:$MC$200,MATCH(1,('GMW - Baseline'!$MC$2:$MC$200=I$3)*('GMW - Baseline'!$MB$2:$MB$200=I$4),0),$E19-1973)</f>
        <v>10.80176</v>
      </c>
      <c r="J19" t="e" cm="1">
        <f t="array" ref="J19">INDEX('GMW - Baseline'!$A$2:$MC$200,MATCH(1,('GMW - Baseline'!$MC$2:$MC$200=J$3)*('GMW - Baseline'!$MB$2:$MB$200=J$4),0),$E19-1973)</f>
        <v>#N/A</v>
      </c>
      <c r="K19" t="e" cm="1">
        <f t="array" ref="K19">INDEX('GMW - Baseline'!$A$2:$MC$200,MATCH(1,('GMW - Baseline'!$MC$2:$MC$200=K$3)*('GMW - Baseline'!$MB$2:$MB$200=K$4),0),$E19-1973)</f>
        <v>#N/A</v>
      </c>
      <c r="L19" t="e" cm="1">
        <f t="array" ref="L19">INDEX('GMW - Baseline'!$A$2:$MC$200,MATCH(1,('GMW - Baseline'!$MC$2:$MC$200=L$3)*('GMW - Baseline'!$MB$2:$MB$200=L$4),0),$E19-1973)</f>
        <v>#N/A</v>
      </c>
      <c r="M19" t="e" cm="1">
        <f t="array" ref="M19">INDEX('GMW - Baseline'!$A$2:$MC$200,MATCH(1,('GMW - Baseline'!$MC$2:$MC$200=M$3)*('GMW - Baseline'!$MB$2:$MB$200=M$4),0),$E19-1973)</f>
        <v>#N/A</v>
      </c>
      <c r="N19" t="e" cm="1">
        <f t="array" ref="N19">INDEX('GMW - Baseline'!$A$2:$MC$200,MATCH(1,('GMW - Baseline'!$MC$2:$MC$200=N$3)*('GMW - Baseline'!$MB$2:$MB$200=N$4),0),$E19-1973)</f>
        <v>#N/A</v>
      </c>
      <c r="O19" t="e" cm="1">
        <f t="array" ref="O19">INDEX('GMW - Baseline'!$A$2:$MC$200,MATCH(1,('GMW - Baseline'!$MC$2:$MC$200=O$3)*('GMW - Baseline'!$MB$2:$MB$200=O$4),0),$E19-1973)</f>
        <v>#N/A</v>
      </c>
      <c r="P19" t="e" cm="1">
        <f t="array" ref="P19">INDEX('GMW - Baseline'!$A$2:$MC$200,MATCH(1,('GMW - Baseline'!$MC$2:$MC$200=P$3)*('GMW - Baseline'!$MB$2:$MB$200=P$4),0),$E19-1973)</f>
        <v>#N/A</v>
      </c>
      <c r="Q19" t="e" cm="1">
        <f t="array" ref="Q19">INDEX('GMW - Baseline'!$A$2:$MC$200,MATCH(1,('GMW - Baseline'!$MC$2:$MC$200=Q$3)*('GMW - Baseline'!$MB$2:$MB$200=Q$4),0),$E19-1973)</f>
        <v>#N/A</v>
      </c>
      <c r="R19" t="e" cm="1">
        <f t="array" ref="R19">INDEX('GMW - Baseline'!$A$2:$MC$200,MATCH(1,('GMW - Baseline'!$MC$2:$MC$200=R$3)*('GMW - Baseline'!$MB$2:$MB$200=R$4),0),$E19-1973)</f>
        <v>#N/A</v>
      </c>
      <c r="S19" t="e" cm="1">
        <f t="array" ref="S19">INDEX('GMW - Baseline'!$A$2:$MC$200,MATCH(1,('GMW - Baseline'!$MC$2:$MC$200=S$3)*('GMW - Baseline'!$MB$2:$MB$200=S$4),0),$E19-1973)</f>
        <v>#N/A</v>
      </c>
      <c r="T19" t="e" cm="1">
        <f t="array" ref="T19">INDEX('GMW - Baseline'!$A$2:$MC$200,MATCH(1,('GMW - Baseline'!$MC$2:$MC$200=T$3)*('GMW - Baseline'!$MB$2:$MB$200=T$4),0),$E19-1973)</f>
        <v>#N/A</v>
      </c>
    </row>
    <row r="20" spans="1:20" x14ac:dyDescent="0.25">
      <c r="B20">
        <f t="shared" si="2"/>
        <v>1983</v>
      </c>
      <c r="C20">
        <f t="shared" si="2"/>
        <v>1983</v>
      </c>
      <c r="E20">
        <f t="shared" si="1"/>
        <v>1993</v>
      </c>
      <c r="F20" cm="1">
        <f t="array" ref="F20">INDEX('GMW - Baseline'!$A$2:$MC$200,MATCH(1,('GMW - Baseline'!$MC$2:$MC$200=F$3)*('GMW - Baseline'!$MB$2:$MB$200=F$4),0),$E20-1973)</f>
        <v>299623</v>
      </c>
      <c r="G20" cm="1">
        <f t="array" ref="G20">INDEX('GMW - Baseline'!$A$2:$MC$200,MATCH(1,('GMW - Baseline'!$MC$2:$MC$200=G$3)*('GMW - Baseline'!$MB$2:$MB$200=G$4),0),$E20-1973)</f>
        <v>158445</v>
      </c>
      <c r="H20" cm="1">
        <f t="array" ref="H20">INDEX('GMW - Baseline'!$A$2:$MC$200,MATCH(1,('GMW - Baseline'!$MC$2:$MC$200=H$3)*('GMW - Baseline'!$MB$2:$MB$200=H$4),0),$E20-1973)</f>
        <v>40.85022</v>
      </c>
      <c r="I20" cm="1">
        <f t="array" ref="I20">INDEX('GMW - Baseline'!$A$2:$MC$200,MATCH(1,('GMW - Baseline'!$MC$2:$MC$200=I$3)*('GMW - Baseline'!$MB$2:$MB$200=I$4),0),$E20-1973)</f>
        <v>10.024039999999999</v>
      </c>
      <c r="J20" t="e" cm="1">
        <f t="array" ref="J20">INDEX('GMW - Baseline'!$A$2:$MC$200,MATCH(1,('GMW - Baseline'!$MC$2:$MC$200=J$3)*('GMW - Baseline'!$MB$2:$MB$200=J$4),0),$E20-1973)</f>
        <v>#N/A</v>
      </c>
      <c r="K20" t="e" cm="1">
        <f t="array" ref="K20">INDEX('GMW - Baseline'!$A$2:$MC$200,MATCH(1,('GMW - Baseline'!$MC$2:$MC$200=K$3)*('GMW - Baseline'!$MB$2:$MB$200=K$4),0),$E20-1973)</f>
        <v>#N/A</v>
      </c>
      <c r="L20" t="e" cm="1">
        <f t="array" ref="L20">INDEX('GMW - Baseline'!$A$2:$MC$200,MATCH(1,('GMW - Baseline'!$MC$2:$MC$200=L$3)*('GMW - Baseline'!$MB$2:$MB$200=L$4),0),$E20-1973)</f>
        <v>#N/A</v>
      </c>
      <c r="M20" t="e" cm="1">
        <f t="array" ref="M20">INDEX('GMW - Baseline'!$A$2:$MC$200,MATCH(1,('GMW - Baseline'!$MC$2:$MC$200=M$3)*('GMW - Baseline'!$MB$2:$MB$200=M$4),0),$E20-1973)</f>
        <v>#N/A</v>
      </c>
      <c r="N20" t="e" cm="1">
        <f t="array" ref="N20">INDEX('GMW - Baseline'!$A$2:$MC$200,MATCH(1,('GMW - Baseline'!$MC$2:$MC$200=N$3)*('GMW - Baseline'!$MB$2:$MB$200=N$4),0),$E20-1973)</f>
        <v>#N/A</v>
      </c>
      <c r="O20" t="e" cm="1">
        <f t="array" ref="O20">INDEX('GMW - Baseline'!$A$2:$MC$200,MATCH(1,('GMW - Baseline'!$MC$2:$MC$200=O$3)*('GMW - Baseline'!$MB$2:$MB$200=O$4),0),$E20-1973)</f>
        <v>#N/A</v>
      </c>
      <c r="P20" t="e" cm="1">
        <f t="array" ref="P20">INDEX('GMW - Baseline'!$A$2:$MC$200,MATCH(1,('GMW - Baseline'!$MC$2:$MC$200=P$3)*('GMW - Baseline'!$MB$2:$MB$200=P$4),0),$E20-1973)</f>
        <v>#N/A</v>
      </c>
      <c r="Q20" t="e" cm="1">
        <f t="array" ref="Q20">INDEX('GMW - Baseline'!$A$2:$MC$200,MATCH(1,('GMW - Baseline'!$MC$2:$MC$200=Q$3)*('GMW - Baseline'!$MB$2:$MB$200=Q$4),0),$E20-1973)</f>
        <v>#N/A</v>
      </c>
      <c r="R20" t="e" cm="1">
        <f t="array" ref="R20">INDEX('GMW - Baseline'!$A$2:$MC$200,MATCH(1,('GMW - Baseline'!$MC$2:$MC$200=R$3)*('GMW - Baseline'!$MB$2:$MB$200=R$4),0),$E20-1973)</f>
        <v>#N/A</v>
      </c>
      <c r="S20" t="e" cm="1">
        <f t="array" ref="S20">INDEX('GMW - Baseline'!$A$2:$MC$200,MATCH(1,('GMW - Baseline'!$MC$2:$MC$200=S$3)*('GMW - Baseline'!$MB$2:$MB$200=S$4),0),$E20-1973)</f>
        <v>#N/A</v>
      </c>
      <c r="T20" t="e" cm="1">
        <f t="array" ref="T20">INDEX('GMW - Baseline'!$A$2:$MC$200,MATCH(1,('GMW - Baseline'!$MC$2:$MC$200=T$3)*('GMW - Baseline'!$MB$2:$MB$200=T$4),0),$E20-1973)</f>
        <v>#N/A</v>
      </c>
    </row>
    <row r="21" spans="1:20" x14ac:dyDescent="0.25">
      <c r="B21">
        <f t="shared" si="2"/>
        <v>1983</v>
      </c>
      <c r="C21">
        <f t="shared" si="2"/>
        <v>1983</v>
      </c>
      <c r="E21">
        <f t="shared" si="1"/>
        <v>1994</v>
      </c>
      <c r="F21" cm="1">
        <f t="array" ref="F21">INDEX('GMW - Baseline'!$A$2:$MC$200,MATCH(1,('GMW - Baseline'!$MC$2:$MC$200=F$3)*('GMW - Baseline'!$MB$2:$MB$200=F$4),0),$E21-1973)</f>
        <v>303085</v>
      </c>
      <c r="G21" cm="1">
        <f t="array" ref="G21">INDEX('GMW - Baseline'!$A$2:$MC$200,MATCH(1,('GMW - Baseline'!$MC$2:$MC$200=G$3)*('GMW - Baseline'!$MB$2:$MB$200=G$4),0),$E21-1973)</f>
        <v>161027</v>
      </c>
      <c r="H21" cm="1">
        <f t="array" ref="H21">INDEX('GMW - Baseline'!$A$2:$MC$200,MATCH(1,('GMW - Baseline'!$MC$2:$MC$200=H$3)*('GMW - Baseline'!$MB$2:$MB$200=H$4),0),$E21-1973)</f>
        <v>41.293399999999998</v>
      </c>
      <c r="I21" cm="1">
        <f t="array" ref="I21">INDEX('GMW - Baseline'!$A$2:$MC$200,MATCH(1,('GMW - Baseline'!$MC$2:$MC$200=I$3)*('GMW - Baseline'!$MB$2:$MB$200=I$4),0),$E21-1973)</f>
        <v>9.5606059999999999</v>
      </c>
      <c r="J21" t="e" cm="1">
        <f t="array" ref="J21">INDEX('GMW - Baseline'!$A$2:$MC$200,MATCH(1,('GMW - Baseline'!$MC$2:$MC$200=J$3)*('GMW - Baseline'!$MB$2:$MB$200=J$4),0),$E21-1973)</f>
        <v>#N/A</v>
      </c>
      <c r="K21" t="e" cm="1">
        <f t="array" ref="K21">INDEX('GMW - Baseline'!$A$2:$MC$200,MATCH(1,('GMW - Baseline'!$MC$2:$MC$200=K$3)*('GMW - Baseline'!$MB$2:$MB$200=K$4),0),$E21-1973)</f>
        <v>#N/A</v>
      </c>
      <c r="L21" t="e" cm="1">
        <f t="array" ref="L21">INDEX('GMW - Baseline'!$A$2:$MC$200,MATCH(1,('GMW - Baseline'!$MC$2:$MC$200=L$3)*('GMW - Baseline'!$MB$2:$MB$200=L$4),0),$E21-1973)</f>
        <v>#N/A</v>
      </c>
      <c r="M21" t="e" cm="1">
        <f t="array" ref="M21">INDEX('GMW - Baseline'!$A$2:$MC$200,MATCH(1,('GMW - Baseline'!$MC$2:$MC$200=M$3)*('GMW - Baseline'!$MB$2:$MB$200=M$4),0),$E21-1973)</f>
        <v>#N/A</v>
      </c>
      <c r="N21" t="e" cm="1">
        <f t="array" ref="N21">INDEX('GMW - Baseline'!$A$2:$MC$200,MATCH(1,('GMW - Baseline'!$MC$2:$MC$200=N$3)*('GMW - Baseline'!$MB$2:$MB$200=N$4),0),$E21-1973)</f>
        <v>#N/A</v>
      </c>
      <c r="O21" t="e" cm="1">
        <f t="array" ref="O21">INDEX('GMW - Baseline'!$A$2:$MC$200,MATCH(1,('GMW - Baseline'!$MC$2:$MC$200=O$3)*('GMW - Baseline'!$MB$2:$MB$200=O$4),0),$E21-1973)</f>
        <v>#N/A</v>
      </c>
      <c r="P21" t="e" cm="1">
        <f t="array" ref="P21">INDEX('GMW - Baseline'!$A$2:$MC$200,MATCH(1,('GMW - Baseline'!$MC$2:$MC$200=P$3)*('GMW - Baseline'!$MB$2:$MB$200=P$4),0),$E21-1973)</f>
        <v>#N/A</v>
      </c>
      <c r="Q21" t="e" cm="1">
        <f t="array" ref="Q21">INDEX('GMW - Baseline'!$A$2:$MC$200,MATCH(1,('GMW - Baseline'!$MC$2:$MC$200=Q$3)*('GMW - Baseline'!$MB$2:$MB$200=Q$4),0),$E21-1973)</f>
        <v>#N/A</v>
      </c>
      <c r="R21" t="e" cm="1">
        <f t="array" ref="R21">INDEX('GMW - Baseline'!$A$2:$MC$200,MATCH(1,('GMW - Baseline'!$MC$2:$MC$200=R$3)*('GMW - Baseline'!$MB$2:$MB$200=R$4),0),$E21-1973)</f>
        <v>#N/A</v>
      </c>
      <c r="S21" t="e" cm="1">
        <f t="array" ref="S21">INDEX('GMW - Baseline'!$A$2:$MC$200,MATCH(1,('GMW - Baseline'!$MC$2:$MC$200=S$3)*('GMW - Baseline'!$MB$2:$MB$200=S$4),0),$E21-1973)</f>
        <v>#N/A</v>
      </c>
      <c r="T21" t="e" cm="1">
        <f t="array" ref="T21">INDEX('GMW - Baseline'!$A$2:$MC$200,MATCH(1,('GMW - Baseline'!$MC$2:$MC$200=T$3)*('GMW - Baseline'!$MB$2:$MB$200=T$4),0),$E21-1973)</f>
        <v>#N/A</v>
      </c>
    </row>
    <row r="22" spans="1:20" x14ac:dyDescent="0.25">
      <c r="B22">
        <f t="shared" si="2"/>
        <v>1983</v>
      </c>
      <c r="C22">
        <f t="shared" si="2"/>
        <v>1983</v>
      </c>
      <c r="E22">
        <f t="shared" si="1"/>
        <v>1995</v>
      </c>
      <c r="F22" cm="1">
        <f t="array" ref="F22">INDEX('GMW - Baseline'!$A$2:$MC$200,MATCH(1,('GMW - Baseline'!$MC$2:$MC$200=F$3)*('GMW - Baseline'!$MB$2:$MB$200=F$4),0),$E22-1973)</f>
        <v>305361</v>
      </c>
      <c r="G22" cm="1">
        <f t="array" ref="G22">INDEX('GMW - Baseline'!$A$2:$MC$200,MATCH(1,('GMW - Baseline'!$MC$2:$MC$200=G$3)*('GMW - Baseline'!$MB$2:$MB$200=G$4),0),$E22-1973)</f>
        <v>161090</v>
      </c>
      <c r="H22" cm="1">
        <f t="array" ref="H22">INDEX('GMW - Baseline'!$A$2:$MC$200,MATCH(1,('GMW - Baseline'!$MC$2:$MC$200=H$3)*('GMW - Baseline'!$MB$2:$MB$200=H$4),0),$E22-1973)</f>
        <v>41.762639999999998</v>
      </c>
      <c r="I22" cm="1">
        <f t="array" ref="I22">INDEX('GMW - Baseline'!$A$2:$MC$200,MATCH(1,('GMW - Baseline'!$MC$2:$MC$200=I$3)*('GMW - Baseline'!$MB$2:$MB$200=I$4),0),$E22-1973)</f>
        <v>9.0625</v>
      </c>
      <c r="J22" t="e" cm="1">
        <f t="array" ref="J22">INDEX('GMW - Baseline'!$A$2:$MC$200,MATCH(1,('GMW - Baseline'!$MC$2:$MC$200=J$3)*('GMW - Baseline'!$MB$2:$MB$200=J$4),0),$E22-1973)</f>
        <v>#N/A</v>
      </c>
      <c r="K22" t="e" cm="1">
        <f t="array" ref="K22">INDEX('GMW - Baseline'!$A$2:$MC$200,MATCH(1,('GMW - Baseline'!$MC$2:$MC$200=K$3)*('GMW - Baseline'!$MB$2:$MB$200=K$4),0),$E22-1973)</f>
        <v>#N/A</v>
      </c>
      <c r="L22" t="e" cm="1">
        <f t="array" ref="L22">INDEX('GMW - Baseline'!$A$2:$MC$200,MATCH(1,('GMW - Baseline'!$MC$2:$MC$200=L$3)*('GMW - Baseline'!$MB$2:$MB$200=L$4),0),$E22-1973)</f>
        <v>#N/A</v>
      </c>
      <c r="M22" t="e" cm="1">
        <f t="array" ref="M22">INDEX('GMW - Baseline'!$A$2:$MC$200,MATCH(1,('GMW - Baseline'!$MC$2:$MC$200=M$3)*('GMW - Baseline'!$MB$2:$MB$200=M$4),0),$E22-1973)</f>
        <v>#N/A</v>
      </c>
      <c r="N22" t="e" cm="1">
        <f t="array" ref="N22">INDEX('GMW - Baseline'!$A$2:$MC$200,MATCH(1,('GMW - Baseline'!$MC$2:$MC$200=N$3)*('GMW - Baseline'!$MB$2:$MB$200=N$4),0),$E22-1973)</f>
        <v>#N/A</v>
      </c>
      <c r="O22" t="e" cm="1">
        <f t="array" ref="O22">INDEX('GMW - Baseline'!$A$2:$MC$200,MATCH(1,('GMW - Baseline'!$MC$2:$MC$200=O$3)*('GMW - Baseline'!$MB$2:$MB$200=O$4),0),$E22-1973)</f>
        <v>#N/A</v>
      </c>
      <c r="P22" t="e" cm="1">
        <f t="array" ref="P22">INDEX('GMW - Baseline'!$A$2:$MC$200,MATCH(1,('GMW - Baseline'!$MC$2:$MC$200=P$3)*('GMW - Baseline'!$MB$2:$MB$200=P$4),0),$E22-1973)</f>
        <v>#N/A</v>
      </c>
      <c r="Q22" t="e" cm="1">
        <f t="array" ref="Q22">INDEX('GMW - Baseline'!$A$2:$MC$200,MATCH(1,('GMW - Baseline'!$MC$2:$MC$200=Q$3)*('GMW - Baseline'!$MB$2:$MB$200=Q$4),0),$E22-1973)</f>
        <v>#N/A</v>
      </c>
      <c r="R22" t="e" cm="1">
        <f t="array" ref="R22">INDEX('GMW - Baseline'!$A$2:$MC$200,MATCH(1,('GMW - Baseline'!$MC$2:$MC$200=R$3)*('GMW - Baseline'!$MB$2:$MB$200=R$4),0),$E22-1973)</f>
        <v>#N/A</v>
      </c>
      <c r="S22" t="e" cm="1">
        <f t="array" ref="S22">INDEX('GMW - Baseline'!$A$2:$MC$200,MATCH(1,('GMW - Baseline'!$MC$2:$MC$200=S$3)*('GMW - Baseline'!$MB$2:$MB$200=S$4),0),$E22-1973)</f>
        <v>#N/A</v>
      </c>
      <c r="T22" t="e" cm="1">
        <f t="array" ref="T22">INDEX('GMW - Baseline'!$A$2:$MC$200,MATCH(1,('GMW - Baseline'!$MC$2:$MC$200=T$3)*('GMW - Baseline'!$MB$2:$MB$200=T$4),0),$E22-1973)</f>
        <v>#N/A</v>
      </c>
    </row>
    <row r="23" spans="1:20" x14ac:dyDescent="0.25">
      <c r="A23">
        <v>1984</v>
      </c>
      <c r="B23">
        <f t="shared" si="2"/>
        <v>1984</v>
      </c>
      <c r="C23">
        <f t="shared" si="2"/>
        <v>1983</v>
      </c>
      <c r="D23">
        <f t="shared" si="2"/>
        <v>1983</v>
      </c>
      <c r="E23">
        <f t="shared" si="1"/>
        <v>1996</v>
      </c>
      <c r="F23" cm="1">
        <f t="array" ref="F23">INDEX('GMW - Baseline'!$A$2:$MC$200,MATCH(1,('GMW - Baseline'!$MC$2:$MC$200=F$3)*('GMW - Baseline'!$MB$2:$MB$200=F$4),0),$E23-1973)</f>
        <v>307964</v>
      </c>
      <c r="G23" cm="1">
        <f t="array" ref="G23">INDEX('GMW - Baseline'!$A$2:$MC$200,MATCH(1,('GMW - Baseline'!$MC$2:$MC$200=G$3)*('GMW - Baseline'!$MB$2:$MB$200=G$4),0),$E23-1973)</f>
        <v>162074</v>
      </c>
      <c r="H23" cm="1">
        <f t="array" ref="H23">INDEX('GMW - Baseline'!$A$2:$MC$200,MATCH(1,('GMW - Baseline'!$MC$2:$MC$200=H$3)*('GMW - Baseline'!$MB$2:$MB$200=H$4),0),$E23-1973)</f>
        <v>41.86692</v>
      </c>
      <c r="I23" cm="1">
        <f t="array" ref="I23">INDEX('GMW - Baseline'!$A$2:$MC$200,MATCH(1,('GMW - Baseline'!$MC$2:$MC$200=I$3)*('GMW - Baseline'!$MB$2:$MB$200=I$4),0),$E23-1973)</f>
        <v>8.9432690000000008</v>
      </c>
      <c r="J23" t="e" cm="1">
        <f t="array" ref="J23">INDEX('GMW - Baseline'!$A$2:$MC$200,MATCH(1,('GMW - Baseline'!$MC$2:$MC$200=J$3)*('GMW - Baseline'!$MB$2:$MB$200=J$4),0),$E23-1973)</f>
        <v>#N/A</v>
      </c>
      <c r="K23" t="e" cm="1">
        <f t="array" ref="K23">INDEX('GMW - Baseline'!$A$2:$MC$200,MATCH(1,('GMW - Baseline'!$MC$2:$MC$200=K$3)*('GMW - Baseline'!$MB$2:$MB$200=K$4),0),$E23-1973)</f>
        <v>#N/A</v>
      </c>
      <c r="L23" t="e" cm="1">
        <f t="array" ref="L23">INDEX('GMW - Baseline'!$A$2:$MC$200,MATCH(1,('GMW - Baseline'!$MC$2:$MC$200=L$3)*('GMW - Baseline'!$MB$2:$MB$200=L$4),0),$E23-1973)</f>
        <v>#N/A</v>
      </c>
      <c r="M23" t="e" cm="1">
        <f t="array" ref="M23">INDEX('GMW - Baseline'!$A$2:$MC$200,MATCH(1,('GMW - Baseline'!$MC$2:$MC$200=M$3)*('GMW - Baseline'!$MB$2:$MB$200=M$4),0),$E23-1973)</f>
        <v>#N/A</v>
      </c>
      <c r="N23" t="e" cm="1">
        <f t="array" ref="N23">INDEX('GMW - Baseline'!$A$2:$MC$200,MATCH(1,('GMW - Baseline'!$MC$2:$MC$200=N$3)*('GMW - Baseline'!$MB$2:$MB$200=N$4),0),$E23-1973)</f>
        <v>#N/A</v>
      </c>
      <c r="O23" t="e" cm="1">
        <f t="array" ref="O23">INDEX('GMW - Baseline'!$A$2:$MC$200,MATCH(1,('GMW - Baseline'!$MC$2:$MC$200=O$3)*('GMW - Baseline'!$MB$2:$MB$200=O$4),0),$E23-1973)</f>
        <v>#N/A</v>
      </c>
      <c r="P23" t="e" cm="1">
        <f t="array" ref="P23">INDEX('GMW - Baseline'!$A$2:$MC$200,MATCH(1,('GMW - Baseline'!$MC$2:$MC$200=P$3)*('GMW - Baseline'!$MB$2:$MB$200=P$4),0),$E23-1973)</f>
        <v>#N/A</v>
      </c>
      <c r="Q23" t="e" cm="1">
        <f t="array" ref="Q23">INDEX('GMW - Baseline'!$A$2:$MC$200,MATCH(1,('GMW - Baseline'!$MC$2:$MC$200=Q$3)*('GMW - Baseline'!$MB$2:$MB$200=Q$4),0),$E23-1973)</f>
        <v>#N/A</v>
      </c>
      <c r="R23" t="e" cm="1">
        <f t="array" ref="R23">INDEX('GMW - Baseline'!$A$2:$MC$200,MATCH(1,('GMW - Baseline'!$MC$2:$MC$200=R$3)*('GMW - Baseline'!$MB$2:$MB$200=R$4),0),$E23-1973)</f>
        <v>#N/A</v>
      </c>
      <c r="S23" t="e" cm="1">
        <f t="array" ref="S23">INDEX('GMW - Baseline'!$A$2:$MC$200,MATCH(1,('GMW - Baseline'!$MC$2:$MC$200=S$3)*('GMW - Baseline'!$MB$2:$MB$200=S$4),0),$E23-1973)</f>
        <v>#N/A</v>
      </c>
      <c r="T23" t="e" cm="1">
        <f t="array" ref="T23">INDEX('GMW - Baseline'!$A$2:$MC$200,MATCH(1,('GMW - Baseline'!$MC$2:$MC$200=T$3)*('GMW - Baseline'!$MB$2:$MB$200=T$4),0),$E23-1973)</f>
        <v>#N/A</v>
      </c>
    </row>
    <row r="24" spans="1:20" x14ac:dyDescent="0.25">
      <c r="B24">
        <f t="shared" si="2"/>
        <v>1984</v>
      </c>
      <c r="C24">
        <f t="shared" si="2"/>
        <v>1984</v>
      </c>
      <c r="E24">
        <f t="shared" si="1"/>
        <v>1997</v>
      </c>
      <c r="F24" cm="1">
        <f t="array" ref="F24">INDEX('GMW - Baseline'!$A$2:$MC$200,MATCH(1,('GMW - Baseline'!$MC$2:$MC$200=F$3)*('GMW - Baseline'!$MB$2:$MB$200=F$4),0),$E24-1973)</f>
        <v>304892</v>
      </c>
      <c r="G24" cm="1">
        <f t="array" ref="G24">INDEX('GMW - Baseline'!$A$2:$MC$200,MATCH(1,('GMW - Baseline'!$MC$2:$MC$200=G$3)*('GMW - Baseline'!$MB$2:$MB$200=G$4),0),$E24-1973)</f>
        <v>163369</v>
      </c>
      <c r="H24" cm="1">
        <f t="array" ref="H24">INDEX('GMW - Baseline'!$A$2:$MC$200,MATCH(1,('GMW - Baseline'!$MC$2:$MC$200=H$3)*('GMW - Baseline'!$MB$2:$MB$200=H$4),0),$E24-1973)</f>
        <v>42.779339999999998</v>
      </c>
      <c r="I24" cm="1">
        <f t="array" ref="I24">INDEX('GMW - Baseline'!$A$2:$MC$200,MATCH(1,('GMW - Baseline'!$MC$2:$MC$200=I$3)*('GMW - Baseline'!$MB$2:$MB$200=I$4),0),$E24-1973)</f>
        <v>8.8442310000000006</v>
      </c>
      <c r="J24" t="e" cm="1">
        <f t="array" ref="J24">INDEX('GMW - Baseline'!$A$2:$MC$200,MATCH(1,('GMW - Baseline'!$MC$2:$MC$200=J$3)*('GMW - Baseline'!$MB$2:$MB$200=J$4),0),$E24-1973)</f>
        <v>#N/A</v>
      </c>
      <c r="K24" t="e" cm="1">
        <f t="array" ref="K24">INDEX('GMW - Baseline'!$A$2:$MC$200,MATCH(1,('GMW - Baseline'!$MC$2:$MC$200=K$3)*('GMW - Baseline'!$MB$2:$MB$200=K$4),0),$E24-1973)</f>
        <v>#N/A</v>
      </c>
      <c r="L24" t="e" cm="1">
        <f t="array" ref="L24">INDEX('GMW - Baseline'!$A$2:$MC$200,MATCH(1,('GMW - Baseline'!$MC$2:$MC$200=L$3)*('GMW - Baseline'!$MB$2:$MB$200=L$4),0),$E24-1973)</f>
        <v>#N/A</v>
      </c>
      <c r="M24" t="e" cm="1">
        <f t="array" ref="M24">INDEX('GMW - Baseline'!$A$2:$MC$200,MATCH(1,('GMW - Baseline'!$MC$2:$MC$200=M$3)*('GMW - Baseline'!$MB$2:$MB$200=M$4),0),$E24-1973)</f>
        <v>#N/A</v>
      </c>
      <c r="N24" t="e" cm="1">
        <f t="array" ref="N24">INDEX('GMW - Baseline'!$A$2:$MC$200,MATCH(1,('GMW - Baseline'!$MC$2:$MC$200=N$3)*('GMW - Baseline'!$MB$2:$MB$200=N$4),0),$E24-1973)</f>
        <v>#N/A</v>
      </c>
      <c r="O24" t="e" cm="1">
        <f t="array" ref="O24">INDEX('GMW - Baseline'!$A$2:$MC$200,MATCH(1,('GMW - Baseline'!$MC$2:$MC$200=O$3)*('GMW - Baseline'!$MB$2:$MB$200=O$4),0),$E24-1973)</f>
        <v>#N/A</v>
      </c>
      <c r="P24" t="e" cm="1">
        <f t="array" ref="P24">INDEX('GMW - Baseline'!$A$2:$MC$200,MATCH(1,('GMW - Baseline'!$MC$2:$MC$200=P$3)*('GMW - Baseline'!$MB$2:$MB$200=P$4),0),$E24-1973)</f>
        <v>#N/A</v>
      </c>
      <c r="Q24" t="e" cm="1">
        <f t="array" ref="Q24">INDEX('GMW - Baseline'!$A$2:$MC$200,MATCH(1,('GMW - Baseline'!$MC$2:$MC$200=Q$3)*('GMW - Baseline'!$MB$2:$MB$200=Q$4),0),$E24-1973)</f>
        <v>#N/A</v>
      </c>
      <c r="R24" t="e" cm="1">
        <f t="array" ref="R24">INDEX('GMW - Baseline'!$A$2:$MC$200,MATCH(1,('GMW - Baseline'!$MC$2:$MC$200=R$3)*('GMW - Baseline'!$MB$2:$MB$200=R$4),0),$E24-1973)</f>
        <v>#N/A</v>
      </c>
      <c r="S24" t="e" cm="1">
        <f t="array" ref="S24">INDEX('GMW - Baseline'!$A$2:$MC$200,MATCH(1,('GMW - Baseline'!$MC$2:$MC$200=S$3)*('GMW - Baseline'!$MB$2:$MB$200=S$4),0),$E24-1973)</f>
        <v>#N/A</v>
      </c>
      <c r="T24" t="e" cm="1">
        <f t="array" ref="T24">INDEX('GMW - Baseline'!$A$2:$MC$200,MATCH(1,('GMW - Baseline'!$MC$2:$MC$200=T$3)*('GMW - Baseline'!$MB$2:$MB$200=T$4),0),$E24-1973)</f>
        <v>#N/A</v>
      </c>
    </row>
    <row r="25" spans="1:20" x14ac:dyDescent="0.25">
      <c r="B25">
        <f t="shared" si="2"/>
        <v>1984</v>
      </c>
      <c r="C25">
        <f t="shared" si="2"/>
        <v>1984</v>
      </c>
      <c r="E25">
        <f t="shared" si="1"/>
        <v>1998</v>
      </c>
      <c r="F25" cm="1">
        <f t="array" ref="F25">INDEX('GMW - Baseline'!$A$2:$MC$200,MATCH(1,('GMW - Baseline'!$MC$2:$MC$200=F$3)*('GMW - Baseline'!$MB$2:$MB$200=F$4),0),$E25-1973)</f>
        <v>307122</v>
      </c>
      <c r="G25" cm="1">
        <f t="array" ref="G25">INDEX('GMW - Baseline'!$A$2:$MC$200,MATCH(1,('GMW - Baseline'!$MC$2:$MC$200=G$3)*('GMW - Baseline'!$MB$2:$MB$200=G$4),0),$E25-1973)</f>
        <v>162507</v>
      </c>
      <c r="H25" cm="1">
        <f t="array" ref="H25">INDEX('GMW - Baseline'!$A$2:$MC$200,MATCH(1,('GMW - Baseline'!$MC$2:$MC$200=H$3)*('GMW - Baseline'!$MB$2:$MB$200=H$4),0),$E25-1973)</f>
        <v>42.98789</v>
      </c>
      <c r="I25" cm="1">
        <f t="array" ref="I25">INDEX('GMW - Baseline'!$A$2:$MC$200,MATCH(1,('GMW - Baseline'!$MC$2:$MC$200=I$3)*('GMW - Baseline'!$MB$2:$MB$200=I$4),0),$E25-1973)</f>
        <v>10.89615</v>
      </c>
      <c r="J25" t="e" cm="1">
        <f t="array" ref="J25">INDEX('GMW - Baseline'!$A$2:$MC$200,MATCH(1,('GMW - Baseline'!$MC$2:$MC$200=J$3)*('GMW - Baseline'!$MB$2:$MB$200=J$4),0),$E25-1973)</f>
        <v>#N/A</v>
      </c>
      <c r="K25" t="e" cm="1">
        <f t="array" ref="K25">INDEX('GMW - Baseline'!$A$2:$MC$200,MATCH(1,('GMW - Baseline'!$MC$2:$MC$200=K$3)*('GMW - Baseline'!$MB$2:$MB$200=K$4),0),$E25-1973)</f>
        <v>#N/A</v>
      </c>
      <c r="L25" t="e" cm="1">
        <f t="array" ref="L25">INDEX('GMW - Baseline'!$A$2:$MC$200,MATCH(1,('GMW - Baseline'!$MC$2:$MC$200=L$3)*('GMW - Baseline'!$MB$2:$MB$200=L$4),0),$E25-1973)</f>
        <v>#N/A</v>
      </c>
      <c r="M25" t="e" cm="1">
        <f t="array" ref="M25">INDEX('GMW - Baseline'!$A$2:$MC$200,MATCH(1,('GMW - Baseline'!$MC$2:$MC$200=M$3)*('GMW - Baseline'!$MB$2:$MB$200=M$4),0),$E25-1973)</f>
        <v>#N/A</v>
      </c>
      <c r="N25" t="e" cm="1">
        <f t="array" ref="N25">INDEX('GMW - Baseline'!$A$2:$MC$200,MATCH(1,('GMW - Baseline'!$MC$2:$MC$200=N$3)*('GMW - Baseline'!$MB$2:$MB$200=N$4),0),$E25-1973)</f>
        <v>#N/A</v>
      </c>
      <c r="O25" t="e" cm="1">
        <f t="array" ref="O25">INDEX('GMW - Baseline'!$A$2:$MC$200,MATCH(1,('GMW - Baseline'!$MC$2:$MC$200=O$3)*('GMW - Baseline'!$MB$2:$MB$200=O$4),0),$E25-1973)</f>
        <v>#N/A</v>
      </c>
      <c r="P25" t="e" cm="1">
        <f t="array" ref="P25">INDEX('GMW - Baseline'!$A$2:$MC$200,MATCH(1,('GMW - Baseline'!$MC$2:$MC$200=P$3)*('GMW - Baseline'!$MB$2:$MB$200=P$4),0),$E25-1973)</f>
        <v>#N/A</v>
      </c>
      <c r="Q25" t="e" cm="1">
        <f t="array" ref="Q25">INDEX('GMW - Baseline'!$A$2:$MC$200,MATCH(1,('GMW - Baseline'!$MC$2:$MC$200=Q$3)*('GMW - Baseline'!$MB$2:$MB$200=Q$4),0),$E25-1973)</f>
        <v>#N/A</v>
      </c>
      <c r="R25" t="e" cm="1">
        <f t="array" ref="R25">INDEX('GMW - Baseline'!$A$2:$MC$200,MATCH(1,('GMW - Baseline'!$MC$2:$MC$200=R$3)*('GMW - Baseline'!$MB$2:$MB$200=R$4),0),$E25-1973)</f>
        <v>#N/A</v>
      </c>
      <c r="S25" t="e" cm="1">
        <f t="array" ref="S25">INDEX('GMW - Baseline'!$A$2:$MC$200,MATCH(1,('GMW - Baseline'!$MC$2:$MC$200=S$3)*('GMW - Baseline'!$MB$2:$MB$200=S$4),0),$E25-1973)</f>
        <v>#N/A</v>
      </c>
      <c r="T25" t="e" cm="1">
        <f t="array" ref="T25">INDEX('GMW - Baseline'!$A$2:$MC$200,MATCH(1,('GMW - Baseline'!$MC$2:$MC$200=T$3)*('GMW - Baseline'!$MB$2:$MB$200=T$4),0),$E25-1973)</f>
        <v>#N/A</v>
      </c>
    </row>
    <row r="26" spans="1:20" x14ac:dyDescent="0.25">
      <c r="B26">
        <f t="shared" si="2"/>
        <v>1984</v>
      </c>
      <c r="C26">
        <f t="shared" si="2"/>
        <v>1984</v>
      </c>
      <c r="E26">
        <f t="shared" si="1"/>
        <v>1999</v>
      </c>
      <c r="F26" cm="1">
        <f t="array" ref="F26">INDEX('GMW - Baseline'!$A$2:$MC$200,MATCH(1,('GMW - Baseline'!$MC$2:$MC$200=F$3)*('GMW - Baseline'!$MB$2:$MB$200=F$4),0),$E26-1973)</f>
        <v>312697</v>
      </c>
      <c r="G26" cm="1">
        <f t="array" ref="G26">INDEX('GMW - Baseline'!$A$2:$MC$200,MATCH(1,('GMW - Baseline'!$MC$2:$MC$200=G$3)*('GMW - Baseline'!$MB$2:$MB$200=G$4),0),$E26-1973)</f>
        <v>165575</v>
      </c>
      <c r="H26" cm="1">
        <f t="array" ref="H26">INDEX('GMW - Baseline'!$A$2:$MC$200,MATCH(1,('GMW - Baseline'!$MC$2:$MC$200=H$3)*('GMW - Baseline'!$MB$2:$MB$200=H$4),0),$E26-1973)</f>
        <v>43.431060000000002</v>
      </c>
      <c r="I26" cm="1">
        <f t="array" ref="I26">INDEX('GMW - Baseline'!$A$2:$MC$200,MATCH(1,('GMW - Baseline'!$MC$2:$MC$200=I$3)*('GMW - Baseline'!$MB$2:$MB$200=I$4),0),$E26-1973)</f>
        <v>9.969697</v>
      </c>
      <c r="J26" t="e" cm="1">
        <f t="array" ref="J26">INDEX('GMW - Baseline'!$A$2:$MC$200,MATCH(1,('GMW - Baseline'!$MC$2:$MC$200=J$3)*('GMW - Baseline'!$MB$2:$MB$200=J$4),0),$E26-1973)</f>
        <v>#N/A</v>
      </c>
      <c r="K26" t="e" cm="1">
        <f t="array" ref="K26">INDEX('GMW - Baseline'!$A$2:$MC$200,MATCH(1,('GMW - Baseline'!$MC$2:$MC$200=K$3)*('GMW - Baseline'!$MB$2:$MB$200=K$4),0),$E26-1973)</f>
        <v>#N/A</v>
      </c>
      <c r="L26" t="e" cm="1">
        <f t="array" ref="L26">INDEX('GMW - Baseline'!$A$2:$MC$200,MATCH(1,('GMW - Baseline'!$MC$2:$MC$200=L$3)*('GMW - Baseline'!$MB$2:$MB$200=L$4),0),$E26-1973)</f>
        <v>#N/A</v>
      </c>
      <c r="M26" t="e" cm="1">
        <f t="array" ref="M26">INDEX('GMW - Baseline'!$A$2:$MC$200,MATCH(1,('GMW - Baseline'!$MC$2:$MC$200=M$3)*('GMW - Baseline'!$MB$2:$MB$200=M$4),0),$E26-1973)</f>
        <v>#N/A</v>
      </c>
      <c r="N26" t="e" cm="1">
        <f t="array" ref="N26">INDEX('GMW - Baseline'!$A$2:$MC$200,MATCH(1,('GMW - Baseline'!$MC$2:$MC$200=N$3)*('GMW - Baseline'!$MB$2:$MB$200=N$4),0),$E26-1973)</f>
        <v>#N/A</v>
      </c>
      <c r="O26" t="e" cm="1">
        <f t="array" ref="O26">INDEX('GMW - Baseline'!$A$2:$MC$200,MATCH(1,('GMW - Baseline'!$MC$2:$MC$200=O$3)*('GMW - Baseline'!$MB$2:$MB$200=O$4),0),$E26-1973)</f>
        <v>#N/A</v>
      </c>
      <c r="P26" t="e" cm="1">
        <f t="array" ref="P26">INDEX('GMW - Baseline'!$A$2:$MC$200,MATCH(1,('GMW - Baseline'!$MC$2:$MC$200=P$3)*('GMW - Baseline'!$MB$2:$MB$200=P$4),0),$E26-1973)</f>
        <v>#N/A</v>
      </c>
      <c r="Q26" t="e" cm="1">
        <f t="array" ref="Q26">INDEX('GMW - Baseline'!$A$2:$MC$200,MATCH(1,('GMW - Baseline'!$MC$2:$MC$200=Q$3)*('GMW - Baseline'!$MB$2:$MB$200=Q$4),0),$E26-1973)</f>
        <v>#N/A</v>
      </c>
      <c r="R26" t="e" cm="1">
        <f t="array" ref="R26">INDEX('GMW - Baseline'!$A$2:$MC$200,MATCH(1,('GMW - Baseline'!$MC$2:$MC$200=R$3)*('GMW - Baseline'!$MB$2:$MB$200=R$4),0),$E26-1973)</f>
        <v>#N/A</v>
      </c>
      <c r="S26" t="e" cm="1">
        <f t="array" ref="S26">INDEX('GMW - Baseline'!$A$2:$MC$200,MATCH(1,('GMW - Baseline'!$MC$2:$MC$200=S$3)*('GMW - Baseline'!$MB$2:$MB$200=S$4),0),$E26-1973)</f>
        <v>#N/A</v>
      </c>
      <c r="T26" t="e" cm="1">
        <f t="array" ref="T26">INDEX('GMW - Baseline'!$A$2:$MC$200,MATCH(1,('GMW - Baseline'!$MC$2:$MC$200=T$3)*('GMW - Baseline'!$MB$2:$MB$200=T$4),0),$E26-1973)</f>
        <v>#N/A</v>
      </c>
    </row>
    <row r="27" spans="1:20" x14ac:dyDescent="0.25">
      <c r="A27">
        <v>1985</v>
      </c>
      <c r="B27">
        <f t="shared" si="2"/>
        <v>1985</v>
      </c>
      <c r="C27">
        <f t="shared" si="2"/>
        <v>1984</v>
      </c>
      <c r="D27">
        <f t="shared" si="2"/>
        <v>1984</v>
      </c>
      <c r="E27">
        <f t="shared" si="1"/>
        <v>2000</v>
      </c>
      <c r="F27" cm="1">
        <f t="array" ref="F27">INDEX('GMW - Baseline'!$A$2:$MC$200,MATCH(1,('GMW - Baseline'!$MC$2:$MC$200=F$3)*('GMW - Baseline'!$MB$2:$MB$200=F$4),0),$E27-1973)</f>
        <v>315753</v>
      </c>
      <c r="G27" cm="1">
        <f t="array" ref="G27">INDEX('GMW - Baseline'!$A$2:$MC$200,MATCH(1,('GMW - Baseline'!$MC$2:$MC$200=G$3)*('GMW - Baseline'!$MB$2:$MB$200=G$4),0),$E27-1973)</f>
        <v>169390</v>
      </c>
      <c r="H27" cm="1">
        <f t="array" ref="H27">INDEX('GMW - Baseline'!$A$2:$MC$200,MATCH(1,('GMW - Baseline'!$MC$2:$MC$200=H$3)*('GMW - Baseline'!$MB$2:$MB$200=H$4),0),$E27-1973)</f>
        <v>43.874229999999997</v>
      </c>
      <c r="I27" cm="1">
        <f t="array" ref="I27">INDEX('GMW - Baseline'!$A$2:$MC$200,MATCH(1,('GMW - Baseline'!$MC$2:$MC$200=I$3)*('GMW - Baseline'!$MB$2:$MB$200=I$4),0),$E27-1973)</f>
        <v>12.86914</v>
      </c>
      <c r="J27" t="e" cm="1">
        <f t="array" ref="J27">INDEX('GMW - Baseline'!$A$2:$MC$200,MATCH(1,('GMW - Baseline'!$MC$2:$MC$200=J$3)*('GMW - Baseline'!$MB$2:$MB$200=J$4),0),$E27-1973)</f>
        <v>#N/A</v>
      </c>
      <c r="K27" t="e" cm="1">
        <f t="array" ref="K27">INDEX('GMW - Baseline'!$A$2:$MC$200,MATCH(1,('GMW - Baseline'!$MC$2:$MC$200=K$3)*('GMW - Baseline'!$MB$2:$MB$200=K$4),0),$E27-1973)</f>
        <v>#N/A</v>
      </c>
      <c r="L27" t="e" cm="1">
        <f t="array" ref="L27">INDEX('GMW - Baseline'!$A$2:$MC$200,MATCH(1,('GMW - Baseline'!$MC$2:$MC$200=L$3)*('GMW - Baseline'!$MB$2:$MB$200=L$4),0),$E27-1973)</f>
        <v>#N/A</v>
      </c>
      <c r="M27" t="e" cm="1">
        <f t="array" ref="M27">INDEX('GMW - Baseline'!$A$2:$MC$200,MATCH(1,('GMW - Baseline'!$MC$2:$MC$200=M$3)*('GMW - Baseline'!$MB$2:$MB$200=M$4),0),$E27-1973)</f>
        <v>#N/A</v>
      </c>
      <c r="N27" t="e" cm="1">
        <f t="array" ref="N27">INDEX('GMW - Baseline'!$A$2:$MC$200,MATCH(1,('GMW - Baseline'!$MC$2:$MC$200=N$3)*('GMW - Baseline'!$MB$2:$MB$200=N$4),0),$E27-1973)</f>
        <v>#N/A</v>
      </c>
      <c r="O27" t="e" cm="1">
        <f t="array" ref="O27">INDEX('GMW - Baseline'!$A$2:$MC$200,MATCH(1,('GMW - Baseline'!$MC$2:$MC$200=O$3)*('GMW - Baseline'!$MB$2:$MB$200=O$4),0),$E27-1973)</f>
        <v>#N/A</v>
      </c>
      <c r="P27" t="e" cm="1">
        <f t="array" ref="P27">INDEX('GMW - Baseline'!$A$2:$MC$200,MATCH(1,('GMW - Baseline'!$MC$2:$MC$200=P$3)*('GMW - Baseline'!$MB$2:$MB$200=P$4),0),$E27-1973)</f>
        <v>#N/A</v>
      </c>
      <c r="Q27" t="e" cm="1">
        <f t="array" ref="Q27">INDEX('GMW - Baseline'!$A$2:$MC$200,MATCH(1,('GMW - Baseline'!$MC$2:$MC$200=Q$3)*('GMW - Baseline'!$MB$2:$MB$200=Q$4),0),$E27-1973)</f>
        <v>#N/A</v>
      </c>
      <c r="R27" t="e" cm="1">
        <f t="array" ref="R27">INDEX('GMW - Baseline'!$A$2:$MC$200,MATCH(1,('GMW - Baseline'!$MC$2:$MC$200=R$3)*('GMW - Baseline'!$MB$2:$MB$200=R$4),0),$E27-1973)</f>
        <v>#N/A</v>
      </c>
      <c r="S27" t="e" cm="1">
        <f t="array" ref="S27">INDEX('GMW - Baseline'!$A$2:$MC$200,MATCH(1,('GMW - Baseline'!$MC$2:$MC$200=S$3)*('GMW - Baseline'!$MB$2:$MB$200=S$4),0),$E27-1973)</f>
        <v>#N/A</v>
      </c>
      <c r="T27" t="e" cm="1">
        <f t="array" ref="T27">INDEX('GMW - Baseline'!$A$2:$MC$200,MATCH(1,('GMW - Baseline'!$MC$2:$MC$200=T$3)*('GMW - Baseline'!$MB$2:$MB$200=T$4),0),$E27-1973)</f>
        <v>#N/A</v>
      </c>
    </row>
    <row r="28" spans="1:20" x14ac:dyDescent="0.25">
      <c r="B28">
        <f t="shared" ref="B28:D43" si="3">+B24+1</f>
        <v>1985</v>
      </c>
      <c r="C28">
        <f t="shared" si="3"/>
        <v>1985</v>
      </c>
      <c r="E28">
        <f t="shared" si="1"/>
        <v>2001</v>
      </c>
      <c r="F28" cm="1">
        <f t="array" ref="F28">INDEX('GMW - Baseline'!$A$2:$MC$200,MATCH(1,('GMW - Baseline'!$MC$2:$MC$200=F$3)*('GMW - Baseline'!$MB$2:$MB$200=F$4),0),$E28-1973)</f>
        <v>322451</v>
      </c>
      <c r="G28" cm="1">
        <f t="array" ref="G28">INDEX('GMW - Baseline'!$A$2:$MC$200,MATCH(1,('GMW - Baseline'!$MC$2:$MC$200=G$3)*('GMW - Baseline'!$MB$2:$MB$200=G$4),0),$E28-1973)</f>
        <v>170284</v>
      </c>
      <c r="H28" cm="1">
        <f t="array" ref="H28">INDEX('GMW - Baseline'!$A$2:$MC$200,MATCH(1,('GMW - Baseline'!$MC$2:$MC$200=H$3)*('GMW - Baseline'!$MB$2:$MB$200=H$4),0),$E28-1973)</f>
        <v>44.995199999999997</v>
      </c>
      <c r="I28" cm="1">
        <f t="array" ref="I28">INDEX('GMW - Baseline'!$A$2:$MC$200,MATCH(1,('GMW - Baseline'!$MC$2:$MC$200=I$3)*('GMW - Baseline'!$MB$2:$MB$200=I$4),0),$E28-1973)</f>
        <v>12.48269</v>
      </c>
      <c r="J28" t="e" cm="1">
        <f t="array" ref="J28">INDEX('GMW - Baseline'!$A$2:$MC$200,MATCH(1,('GMW - Baseline'!$MC$2:$MC$200=J$3)*('GMW - Baseline'!$MB$2:$MB$200=J$4),0),$E28-1973)</f>
        <v>#N/A</v>
      </c>
      <c r="K28" t="e" cm="1">
        <f t="array" ref="K28">INDEX('GMW - Baseline'!$A$2:$MC$200,MATCH(1,('GMW - Baseline'!$MC$2:$MC$200=K$3)*('GMW - Baseline'!$MB$2:$MB$200=K$4),0),$E28-1973)</f>
        <v>#N/A</v>
      </c>
      <c r="L28" t="e" cm="1">
        <f t="array" ref="L28">INDEX('GMW - Baseline'!$A$2:$MC$200,MATCH(1,('GMW - Baseline'!$MC$2:$MC$200=L$3)*('GMW - Baseline'!$MB$2:$MB$200=L$4),0),$E28-1973)</f>
        <v>#N/A</v>
      </c>
      <c r="M28" t="e" cm="1">
        <f t="array" ref="M28">INDEX('GMW - Baseline'!$A$2:$MC$200,MATCH(1,('GMW - Baseline'!$MC$2:$MC$200=M$3)*('GMW - Baseline'!$MB$2:$MB$200=M$4),0),$E28-1973)</f>
        <v>#N/A</v>
      </c>
      <c r="N28" t="e" cm="1">
        <f t="array" ref="N28">INDEX('GMW - Baseline'!$A$2:$MC$200,MATCH(1,('GMW - Baseline'!$MC$2:$MC$200=N$3)*('GMW - Baseline'!$MB$2:$MB$200=N$4),0),$E28-1973)</f>
        <v>#N/A</v>
      </c>
      <c r="O28" t="e" cm="1">
        <f t="array" ref="O28">INDEX('GMW - Baseline'!$A$2:$MC$200,MATCH(1,('GMW - Baseline'!$MC$2:$MC$200=O$3)*('GMW - Baseline'!$MB$2:$MB$200=O$4),0),$E28-1973)</f>
        <v>#N/A</v>
      </c>
      <c r="P28" t="e" cm="1">
        <f t="array" ref="P28">INDEX('GMW - Baseline'!$A$2:$MC$200,MATCH(1,('GMW - Baseline'!$MC$2:$MC$200=P$3)*('GMW - Baseline'!$MB$2:$MB$200=P$4),0),$E28-1973)</f>
        <v>#N/A</v>
      </c>
      <c r="Q28" t="e" cm="1">
        <f t="array" ref="Q28">INDEX('GMW - Baseline'!$A$2:$MC$200,MATCH(1,('GMW - Baseline'!$MC$2:$MC$200=Q$3)*('GMW - Baseline'!$MB$2:$MB$200=Q$4),0),$E28-1973)</f>
        <v>#N/A</v>
      </c>
      <c r="R28" t="e" cm="1">
        <f t="array" ref="R28">INDEX('GMW - Baseline'!$A$2:$MC$200,MATCH(1,('GMW - Baseline'!$MC$2:$MC$200=R$3)*('GMW - Baseline'!$MB$2:$MB$200=R$4),0),$E28-1973)</f>
        <v>#N/A</v>
      </c>
      <c r="S28" t="e" cm="1">
        <f t="array" ref="S28">INDEX('GMW - Baseline'!$A$2:$MC$200,MATCH(1,('GMW - Baseline'!$MC$2:$MC$200=S$3)*('GMW - Baseline'!$MB$2:$MB$200=S$4),0),$E28-1973)</f>
        <v>#N/A</v>
      </c>
      <c r="T28" t="e" cm="1">
        <f t="array" ref="T28">INDEX('GMW - Baseline'!$A$2:$MC$200,MATCH(1,('GMW - Baseline'!$MC$2:$MC$200=T$3)*('GMW - Baseline'!$MB$2:$MB$200=T$4),0),$E28-1973)</f>
        <v>#N/A</v>
      </c>
    </row>
    <row r="29" spans="1:20" x14ac:dyDescent="0.25">
      <c r="B29">
        <f t="shared" si="3"/>
        <v>1985</v>
      </c>
      <c r="C29">
        <f t="shared" si="3"/>
        <v>1985</v>
      </c>
      <c r="E29">
        <f t="shared" si="1"/>
        <v>2002</v>
      </c>
      <c r="F29" cm="1">
        <f t="array" ref="F29">INDEX('GMW - Baseline'!$A$2:$MC$200,MATCH(1,('GMW - Baseline'!$MC$2:$MC$200=F$3)*('GMW - Baseline'!$MB$2:$MB$200=F$4),0),$E29-1973)</f>
        <v>322392</v>
      </c>
      <c r="G29" cm="1">
        <f t="array" ref="G29">INDEX('GMW - Baseline'!$A$2:$MC$200,MATCH(1,('GMW - Baseline'!$MC$2:$MC$200=G$3)*('GMW - Baseline'!$MB$2:$MB$200=G$4),0),$E29-1973)</f>
        <v>172709</v>
      </c>
      <c r="H29" cm="1">
        <f t="array" ref="H29">INDEX('GMW - Baseline'!$A$2:$MC$200,MATCH(1,('GMW - Baseline'!$MC$2:$MC$200=H$3)*('GMW - Baseline'!$MB$2:$MB$200=H$4),0),$E29-1973)</f>
        <v>45.125549999999997</v>
      </c>
      <c r="I29" cm="1">
        <f t="array" ref="I29">INDEX('GMW - Baseline'!$A$2:$MC$200,MATCH(1,('GMW - Baseline'!$MC$2:$MC$200=I$3)*('GMW - Baseline'!$MB$2:$MB$200=I$4),0),$E29-1973)</f>
        <v>11.579549999999999</v>
      </c>
      <c r="J29" t="e" cm="1">
        <f t="array" ref="J29">INDEX('GMW - Baseline'!$A$2:$MC$200,MATCH(1,('GMW - Baseline'!$MC$2:$MC$200=J$3)*('GMW - Baseline'!$MB$2:$MB$200=J$4),0),$E29-1973)</f>
        <v>#N/A</v>
      </c>
      <c r="K29" t="e" cm="1">
        <f t="array" ref="K29">INDEX('GMW - Baseline'!$A$2:$MC$200,MATCH(1,('GMW - Baseline'!$MC$2:$MC$200=K$3)*('GMW - Baseline'!$MB$2:$MB$200=K$4),0),$E29-1973)</f>
        <v>#N/A</v>
      </c>
      <c r="L29" t="e" cm="1">
        <f t="array" ref="L29">INDEX('GMW - Baseline'!$A$2:$MC$200,MATCH(1,('GMW - Baseline'!$MC$2:$MC$200=L$3)*('GMW - Baseline'!$MB$2:$MB$200=L$4),0),$E29-1973)</f>
        <v>#N/A</v>
      </c>
      <c r="M29" t="e" cm="1">
        <f t="array" ref="M29">INDEX('GMW - Baseline'!$A$2:$MC$200,MATCH(1,('GMW - Baseline'!$MC$2:$MC$200=M$3)*('GMW - Baseline'!$MB$2:$MB$200=M$4),0),$E29-1973)</f>
        <v>#N/A</v>
      </c>
      <c r="N29" t="e" cm="1">
        <f t="array" ref="N29">INDEX('GMW - Baseline'!$A$2:$MC$200,MATCH(1,('GMW - Baseline'!$MC$2:$MC$200=N$3)*('GMW - Baseline'!$MB$2:$MB$200=N$4),0),$E29-1973)</f>
        <v>#N/A</v>
      </c>
      <c r="O29" t="e" cm="1">
        <f t="array" ref="O29">INDEX('GMW - Baseline'!$A$2:$MC$200,MATCH(1,('GMW - Baseline'!$MC$2:$MC$200=O$3)*('GMW - Baseline'!$MB$2:$MB$200=O$4),0),$E29-1973)</f>
        <v>#N/A</v>
      </c>
      <c r="P29" t="e" cm="1">
        <f t="array" ref="P29">INDEX('GMW - Baseline'!$A$2:$MC$200,MATCH(1,('GMW - Baseline'!$MC$2:$MC$200=P$3)*('GMW - Baseline'!$MB$2:$MB$200=P$4),0),$E29-1973)</f>
        <v>#N/A</v>
      </c>
      <c r="Q29" t="e" cm="1">
        <f t="array" ref="Q29">INDEX('GMW - Baseline'!$A$2:$MC$200,MATCH(1,('GMW - Baseline'!$MC$2:$MC$200=Q$3)*('GMW - Baseline'!$MB$2:$MB$200=Q$4),0),$E29-1973)</f>
        <v>#N/A</v>
      </c>
      <c r="R29" t="e" cm="1">
        <f t="array" ref="R29">INDEX('GMW - Baseline'!$A$2:$MC$200,MATCH(1,('GMW - Baseline'!$MC$2:$MC$200=R$3)*('GMW - Baseline'!$MB$2:$MB$200=R$4),0),$E29-1973)</f>
        <v>#N/A</v>
      </c>
      <c r="S29" t="e" cm="1">
        <f t="array" ref="S29">INDEX('GMW - Baseline'!$A$2:$MC$200,MATCH(1,('GMW - Baseline'!$MC$2:$MC$200=S$3)*('GMW - Baseline'!$MB$2:$MB$200=S$4),0),$E29-1973)</f>
        <v>#N/A</v>
      </c>
      <c r="T29" t="e" cm="1">
        <f t="array" ref="T29">INDEX('GMW - Baseline'!$A$2:$MC$200,MATCH(1,('GMW - Baseline'!$MC$2:$MC$200=T$3)*('GMW - Baseline'!$MB$2:$MB$200=T$4),0),$E29-1973)</f>
        <v>#N/A</v>
      </c>
    </row>
    <row r="30" spans="1:20" x14ac:dyDescent="0.25">
      <c r="B30">
        <f t="shared" si="3"/>
        <v>1985</v>
      </c>
      <c r="C30">
        <f t="shared" si="3"/>
        <v>1985</v>
      </c>
      <c r="E30">
        <f t="shared" si="1"/>
        <v>2003</v>
      </c>
      <c r="F30" cm="1">
        <f t="array" ref="F30">INDEX('GMW - Baseline'!$A$2:$MC$200,MATCH(1,('GMW - Baseline'!$MC$2:$MC$200=F$3)*('GMW - Baseline'!$MB$2:$MB$200=F$4),0),$E30-1973)</f>
        <v>322604</v>
      </c>
      <c r="G30" cm="1">
        <f t="array" ref="G30">INDEX('GMW - Baseline'!$A$2:$MC$200,MATCH(1,('GMW - Baseline'!$MC$2:$MC$200=G$3)*('GMW - Baseline'!$MB$2:$MB$200=G$4),0),$E30-1973)</f>
        <v>174066</v>
      </c>
      <c r="H30" cm="1">
        <f t="array" ref="H30">INDEX('GMW - Baseline'!$A$2:$MC$200,MATCH(1,('GMW - Baseline'!$MC$2:$MC$200=H$3)*('GMW - Baseline'!$MB$2:$MB$200=H$4),0),$E30-1973)</f>
        <v>45.490519999999997</v>
      </c>
      <c r="I30" cm="1">
        <f t="array" ref="I30">INDEX('GMW - Baseline'!$A$2:$MC$200,MATCH(1,('GMW - Baseline'!$MC$2:$MC$200=I$3)*('GMW - Baseline'!$MB$2:$MB$200=I$4),0),$E30-1973)</f>
        <v>11.375</v>
      </c>
      <c r="J30" t="e" cm="1">
        <f t="array" ref="J30">INDEX('GMW - Baseline'!$A$2:$MC$200,MATCH(1,('GMW - Baseline'!$MC$2:$MC$200=J$3)*('GMW - Baseline'!$MB$2:$MB$200=J$4),0),$E30-1973)</f>
        <v>#N/A</v>
      </c>
      <c r="K30" t="e" cm="1">
        <f t="array" ref="K30">INDEX('GMW - Baseline'!$A$2:$MC$200,MATCH(1,('GMW - Baseline'!$MC$2:$MC$200=K$3)*('GMW - Baseline'!$MB$2:$MB$200=K$4),0),$E30-1973)</f>
        <v>#N/A</v>
      </c>
      <c r="L30" t="e" cm="1">
        <f t="array" ref="L30">INDEX('GMW - Baseline'!$A$2:$MC$200,MATCH(1,('GMW - Baseline'!$MC$2:$MC$200=L$3)*('GMW - Baseline'!$MB$2:$MB$200=L$4),0),$E30-1973)</f>
        <v>#N/A</v>
      </c>
      <c r="M30" t="e" cm="1">
        <f t="array" ref="M30">INDEX('GMW - Baseline'!$A$2:$MC$200,MATCH(1,('GMW - Baseline'!$MC$2:$MC$200=M$3)*('GMW - Baseline'!$MB$2:$MB$200=M$4),0),$E30-1973)</f>
        <v>#N/A</v>
      </c>
      <c r="N30" t="e" cm="1">
        <f t="array" ref="N30">INDEX('GMW - Baseline'!$A$2:$MC$200,MATCH(1,('GMW - Baseline'!$MC$2:$MC$200=N$3)*('GMW - Baseline'!$MB$2:$MB$200=N$4),0),$E30-1973)</f>
        <v>#N/A</v>
      </c>
      <c r="O30" t="e" cm="1">
        <f t="array" ref="O30">INDEX('GMW - Baseline'!$A$2:$MC$200,MATCH(1,('GMW - Baseline'!$MC$2:$MC$200=O$3)*('GMW - Baseline'!$MB$2:$MB$200=O$4),0),$E30-1973)</f>
        <v>#N/A</v>
      </c>
      <c r="P30" t="e" cm="1">
        <f t="array" ref="P30">INDEX('GMW - Baseline'!$A$2:$MC$200,MATCH(1,('GMW - Baseline'!$MC$2:$MC$200=P$3)*('GMW - Baseline'!$MB$2:$MB$200=P$4),0),$E30-1973)</f>
        <v>#N/A</v>
      </c>
      <c r="Q30" t="e" cm="1">
        <f t="array" ref="Q30">INDEX('GMW - Baseline'!$A$2:$MC$200,MATCH(1,('GMW - Baseline'!$MC$2:$MC$200=Q$3)*('GMW - Baseline'!$MB$2:$MB$200=Q$4),0),$E30-1973)</f>
        <v>#N/A</v>
      </c>
      <c r="R30" t="e" cm="1">
        <f t="array" ref="R30">INDEX('GMW - Baseline'!$A$2:$MC$200,MATCH(1,('GMW - Baseline'!$MC$2:$MC$200=R$3)*('GMW - Baseline'!$MB$2:$MB$200=R$4),0),$E30-1973)</f>
        <v>#N/A</v>
      </c>
      <c r="S30" t="e" cm="1">
        <f t="array" ref="S30">INDEX('GMW - Baseline'!$A$2:$MC$200,MATCH(1,('GMW - Baseline'!$MC$2:$MC$200=S$3)*('GMW - Baseline'!$MB$2:$MB$200=S$4),0),$E30-1973)</f>
        <v>#N/A</v>
      </c>
      <c r="T30" t="e" cm="1">
        <f t="array" ref="T30">INDEX('GMW - Baseline'!$A$2:$MC$200,MATCH(1,('GMW - Baseline'!$MC$2:$MC$200=T$3)*('GMW - Baseline'!$MB$2:$MB$200=T$4),0),$E30-1973)</f>
        <v>#N/A</v>
      </c>
    </row>
    <row r="31" spans="1:20" x14ac:dyDescent="0.25">
      <c r="A31">
        <v>1986</v>
      </c>
      <c r="B31">
        <f t="shared" si="3"/>
        <v>1986</v>
      </c>
      <c r="C31">
        <f t="shared" si="3"/>
        <v>1985</v>
      </c>
      <c r="D31">
        <f t="shared" si="3"/>
        <v>1985</v>
      </c>
      <c r="E31">
        <f t="shared" si="1"/>
        <v>2004</v>
      </c>
      <c r="F31" cm="1">
        <f t="array" ref="F31">INDEX('GMW - Baseline'!$A$2:$MC$200,MATCH(1,('GMW - Baseline'!$MC$2:$MC$200=F$3)*('GMW - Baseline'!$MB$2:$MB$200=F$4),0),$E31-1973)</f>
        <v>325968</v>
      </c>
      <c r="G31" cm="1">
        <f t="array" ref="G31">INDEX('GMW - Baseline'!$A$2:$MC$200,MATCH(1,('GMW - Baseline'!$MC$2:$MC$200=G$3)*('GMW - Baseline'!$MB$2:$MB$200=G$4),0),$E31-1973)</f>
        <v>178852</v>
      </c>
      <c r="H31" cm="1">
        <f t="array" ref="H31">INDEX('GMW - Baseline'!$A$2:$MC$200,MATCH(1,('GMW - Baseline'!$MC$2:$MC$200=H$3)*('GMW - Baseline'!$MB$2:$MB$200=H$4),0),$E31-1973)</f>
        <v>45.646929999999998</v>
      </c>
      <c r="I31" cm="1">
        <f t="array" ref="I31">INDEX('GMW - Baseline'!$A$2:$MC$200,MATCH(1,('GMW - Baseline'!$MC$2:$MC$200=I$3)*('GMW - Baseline'!$MB$2:$MB$200=I$4),0),$E31-1973)</f>
        <v>12.07813</v>
      </c>
      <c r="J31" t="e" cm="1">
        <f t="array" ref="J31">INDEX('GMW - Baseline'!$A$2:$MC$200,MATCH(1,('GMW - Baseline'!$MC$2:$MC$200=J$3)*('GMW - Baseline'!$MB$2:$MB$200=J$4),0),$E31-1973)</f>
        <v>#N/A</v>
      </c>
      <c r="K31" t="e" cm="1">
        <f t="array" ref="K31">INDEX('GMW - Baseline'!$A$2:$MC$200,MATCH(1,('GMW - Baseline'!$MC$2:$MC$200=K$3)*('GMW - Baseline'!$MB$2:$MB$200=K$4),0),$E31-1973)</f>
        <v>#N/A</v>
      </c>
      <c r="L31" t="e" cm="1">
        <f t="array" ref="L31">INDEX('GMW - Baseline'!$A$2:$MC$200,MATCH(1,('GMW - Baseline'!$MC$2:$MC$200=L$3)*('GMW - Baseline'!$MB$2:$MB$200=L$4),0),$E31-1973)</f>
        <v>#N/A</v>
      </c>
      <c r="M31" t="e" cm="1">
        <f t="array" ref="M31">INDEX('GMW - Baseline'!$A$2:$MC$200,MATCH(1,('GMW - Baseline'!$MC$2:$MC$200=M$3)*('GMW - Baseline'!$MB$2:$MB$200=M$4),0),$E31-1973)</f>
        <v>#N/A</v>
      </c>
      <c r="N31" t="e" cm="1">
        <f t="array" ref="N31">INDEX('GMW - Baseline'!$A$2:$MC$200,MATCH(1,('GMW - Baseline'!$MC$2:$MC$200=N$3)*('GMW - Baseline'!$MB$2:$MB$200=N$4),0),$E31-1973)</f>
        <v>#N/A</v>
      </c>
      <c r="O31" t="e" cm="1">
        <f t="array" ref="O31">INDEX('GMW - Baseline'!$A$2:$MC$200,MATCH(1,('GMW - Baseline'!$MC$2:$MC$200=O$3)*('GMW - Baseline'!$MB$2:$MB$200=O$4),0),$E31-1973)</f>
        <v>#N/A</v>
      </c>
      <c r="P31" t="e" cm="1">
        <f t="array" ref="P31">INDEX('GMW - Baseline'!$A$2:$MC$200,MATCH(1,('GMW - Baseline'!$MC$2:$MC$200=P$3)*('GMW - Baseline'!$MB$2:$MB$200=P$4),0),$E31-1973)</f>
        <v>#N/A</v>
      </c>
      <c r="Q31" t="e" cm="1">
        <f t="array" ref="Q31">INDEX('GMW - Baseline'!$A$2:$MC$200,MATCH(1,('GMW - Baseline'!$MC$2:$MC$200=Q$3)*('GMW - Baseline'!$MB$2:$MB$200=Q$4),0),$E31-1973)</f>
        <v>#N/A</v>
      </c>
      <c r="R31" t="e" cm="1">
        <f t="array" ref="R31">INDEX('GMW - Baseline'!$A$2:$MC$200,MATCH(1,('GMW - Baseline'!$MC$2:$MC$200=R$3)*('GMW - Baseline'!$MB$2:$MB$200=R$4),0),$E31-1973)</f>
        <v>#N/A</v>
      </c>
      <c r="S31" t="e" cm="1">
        <f t="array" ref="S31">INDEX('GMW - Baseline'!$A$2:$MC$200,MATCH(1,('GMW - Baseline'!$MC$2:$MC$200=S$3)*('GMW - Baseline'!$MB$2:$MB$200=S$4),0),$E31-1973)</f>
        <v>#N/A</v>
      </c>
      <c r="T31" t="e" cm="1">
        <f t="array" ref="T31">INDEX('GMW - Baseline'!$A$2:$MC$200,MATCH(1,('GMW - Baseline'!$MC$2:$MC$200=T$3)*('GMW - Baseline'!$MB$2:$MB$200=T$4),0),$E31-1973)</f>
        <v>#N/A</v>
      </c>
    </row>
    <row r="32" spans="1:20" x14ac:dyDescent="0.25">
      <c r="B32">
        <f t="shared" si="3"/>
        <v>1986</v>
      </c>
      <c r="C32">
        <f t="shared" si="3"/>
        <v>1986</v>
      </c>
      <c r="E32">
        <f t="shared" si="1"/>
        <v>2005</v>
      </c>
      <c r="F32" cm="1">
        <f t="array" ref="F32">INDEX('GMW - Baseline'!$A$2:$MC$200,MATCH(1,('GMW - Baseline'!$MC$2:$MC$200=F$3)*('GMW - Baseline'!$MB$2:$MB$200=F$4),0),$E32-1973)</f>
        <v>328872</v>
      </c>
      <c r="G32" cm="1">
        <f t="array" ref="G32">INDEX('GMW - Baseline'!$A$2:$MC$200,MATCH(1,('GMW - Baseline'!$MC$2:$MC$200=G$3)*('GMW - Baseline'!$MB$2:$MB$200=G$4),0),$E32-1973)</f>
        <v>181672</v>
      </c>
      <c r="H32" cm="1">
        <f t="array" ref="H32">INDEX('GMW - Baseline'!$A$2:$MC$200,MATCH(1,('GMW - Baseline'!$MC$2:$MC$200=H$3)*('GMW - Baseline'!$MB$2:$MB$200=H$4),0),$E32-1973)</f>
        <v>46.3508</v>
      </c>
      <c r="I32" cm="1">
        <f t="array" ref="I32">INDEX('GMW - Baseline'!$A$2:$MC$200,MATCH(1,('GMW - Baseline'!$MC$2:$MC$200=I$3)*('GMW - Baseline'!$MB$2:$MB$200=I$4),0),$E32-1973)</f>
        <v>10.328849999999999</v>
      </c>
      <c r="J32" t="e" cm="1">
        <f t="array" ref="J32">INDEX('GMW - Baseline'!$A$2:$MC$200,MATCH(1,('GMW - Baseline'!$MC$2:$MC$200=J$3)*('GMW - Baseline'!$MB$2:$MB$200=J$4),0),$E32-1973)</f>
        <v>#N/A</v>
      </c>
      <c r="K32" t="e" cm="1">
        <f t="array" ref="K32">INDEX('GMW - Baseline'!$A$2:$MC$200,MATCH(1,('GMW - Baseline'!$MC$2:$MC$200=K$3)*('GMW - Baseline'!$MB$2:$MB$200=K$4),0),$E32-1973)</f>
        <v>#N/A</v>
      </c>
      <c r="L32" t="e" cm="1">
        <f t="array" ref="L32">INDEX('GMW - Baseline'!$A$2:$MC$200,MATCH(1,('GMW - Baseline'!$MC$2:$MC$200=L$3)*('GMW - Baseline'!$MB$2:$MB$200=L$4),0),$E32-1973)</f>
        <v>#N/A</v>
      </c>
      <c r="M32" t="e" cm="1">
        <f t="array" ref="M32">INDEX('GMW - Baseline'!$A$2:$MC$200,MATCH(1,('GMW - Baseline'!$MC$2:$MC$200=M$3)*('GMW - Baseline'!$MB$2:$MB$200=M$4),0),$E32-1973)</f>
        <v>#N/A</v>
      </c>
      <c r="N32" t="e" cm="1">
        <f t="array" ref="N32">INDEX('GMW - Baseline'!$A$2:$MC$200,MATCH(1,('GMW - Baseline'!$MC$2:$MC$200=N$3)*('GMW - Baseline'!$MB$2:$MB$200=N$4),0),$E32-1973)</f>
        <v>#N/A</v>
      </c>
      <c r="O32" t="e" cm="1">
        <f t="array" ref="O32">INDEX('GMW - Baseline'!$A$2:$MC$200,MATCH(1,('GMW - Baseline'!$MC$2:$MC$200=O$3)*('GMW - Baseline'!$MB$2:$MB$200=O$4),0),$E32-1973)</f>
        <v>#N/A</v>
      </c>
      <c r="P32" t="e" cm="1">
        <f t="array" ref="P32">INDEX('GMW - Baseline'!$A$2:$MC$200,MATCH(1,('GMW - Baseline'!$MC$2:$MC$200=P$3)*('GMW - Baseline'!$MB$2:$MB$200=P$4),0),$E32-1973)</f>
        <v>#N/A</v>
      </c>
      <c r="Q32" t="e" cm="1">
        <f t="array" ref="Q32">INDEX('GMW - Baseline'!$A$2:$MC$200,MATCH(1,('GMW - Baseline'!$MC$2:$MC$200=Q$3)*('GMW - Baseline'!$MB$2:$MB$200=Q$4),0),$E32-1973)</f>
        <v>#N/A</v>
      </c>
      <c r="R32" t="e" cm="1">
        <f t="array" ref="R32">INDEX('GMW - Baseline'!$A$2:$MC$200,MATCH(1,('GMW - Baseline'!$MC$2:$MC$200=R$3)*('GMW - Baseline'!$MB$2:$MB$200=R$4),0),$E32-1973)</f>
        <v>#N/A</v>
      </c>
      <c r="S32" t="e" cm="1">
        <f t="array" ref="S32">INDEX('GMW - Baseline'!$A$2:$MC$200,MATCH(1,('GMW - Baseline'!$MC$2:$MC$200=S$3)*('GMW - Baseline'!$MB$2:$MB$200=S$4),0),$E32-1973)</f>
        <v>#N/A</v>
      </c>
      <c r="T32" t="e" cm="1">
        <f t="array" ref="T32">INDEX('GMW - Baseline'!$A$2:$MC$200,MATCH(1,('GMW - Baseline'!$MC$2:$MC$200=T$3)*('GMW - Baseline'!$MB$2:$MB$200=T$4),0),$E32-1973)</f>
        <v>#N/A</v>
      </c>
    </row>
    <row r="33" spans="1:20" x14ac:dyDescent="0.25">
      <c r="B33">
        <f t="shared" si="3"/>
        <v>1986</v>
      </c>
      <c r="C33">
        <f t="shared" si="3"/>
        <v>1986</v>
      </c>
      <c r="E33">
        <f t="shared" si="1"/>
        <v>2006</v>
      </c>
      <c r="F33" cm="1">
        <f t="array" ref="F33">INDEX('GMW - Baseline'!$A$2:$MC$200,MATCH(1,('GMW - Baseline'!$MC$2:$MC$200=F$3)*('GMW - Baseline'!$MB$2:$MB$200=F$4),0),$E33-1973)</f>
        <v>330966</v>
      </c>
      <c r="G33" cm="1">
        <f t="array" ref="G33">INDEX('GMW - Baseline'!$A$2:$MC$200,MATCH(1,('GMW - Baseline'!$MC$2:$MC$200=G$3)*('GMW - Baseline'!$MB$2:$MB$200=G$4),0),$E33-1973)</f>
        <v>182857</v>
      </c>
      <c r="H33" cm="1">
        <f t="array" ref="H33">INDEX('GMW - Baseline'!$A$2:$MC$200,MATCH(1,('GMW - Baseline'!$MC$2:$MC$200=H$3)*('GMW - Baseline'!$MB$2:$MB$200=H$4),0),$E33-1973)</f>
        <v>46.533279999999998</v>
      </c>
      <c r="I33" cm="1">
        <f t="array" ref="I33">INDEX('GMW - Baseline'!$A$2:$MC$200,MATCH(1,('GMW - Baseline'!$MC$2:$MC$200=I$3)*('GMW - Baseline'!$MB$2:$MB$200=I$4),0),$E33-1973)</f>
        <v>9.875</v>
      </c>
      <c r="J33" t="e" cm="1">
        <f t="array" ref="J33">INDEX('GMW - Baseline'!$A$2:$MC$200,MATCH(1,('GMW - Baseline'!$MC$2:$MC$200=J$3)*('GMW - Baseline'!$MB$2:$MB$200=J$4),0),$E33-1973)</f>
        <v>#N/A</v>
      </c>
      <c r="K33" t="e" cm="1">
        <f t="array" ref="K33">INDEX('GMW - Baseline'!$A$2:$MC$200,MATCH(1,('GMW - Baseline'!$MC$2:$MC$200=K$3)*('GMW - Baseline'!$MB$2:$MB$200=K$4),0),$E33-1973)</f>
        <v>#N/A</v>
      </c>
      <c r="L33" t="e" cm="1">
        <f t="array" ref="L33">INDEX('GMW - Baseline'!$A$2:$MC$200,MATCH(1,('GMW - Baseline'!$MC$2:$MC$200=L$3)*('GMW - Baseline'!$MB$2:$MB$200=L$4),0),$E33-1973)</f>
        <v>#N/A</v>
      </c>
      <c r="M33" t="e" cm="1">
        <f t="array" ref="M33">INDEX('GMW - Baseline'!$A$2:$MC$200,MATCH(1,('GMW - Baseline'!$MC$2:$MC$200=M$3)*('GMW - Baseline'!$MB$2:$MB$200=M$4),0),$E33-1973)</f>
        <v>#N/A</v>
      </c>
      <c r="N33" t="e" cm="1">
        <f t="array" ref="N33">INDEX('GMW - Baseline'!$A$2:$MC$200,MATCH(1,('GMW - Baseline'!$MC$2:$MC$200=N$3)*('GMW - Baseline'!$MB$2:$MB$200=N$4),0),$E33-1973)</f>
        <v>#N/A</v>
      </c>
      <c r="O33" t="e" cm="1">
        <f t="array" ref="O33">INDEX('GMW - Baseline'!$A$2:$MC$200,MATCH(1,('GMW - Baseline'!$MC$2:$MC$200=O$3)*('GMW - Baseline'!$MB$2:$MB$200=O$4),0),$E33-1973)</f>
        <v>#N/A</v>
      </c>
      <c r="P33" t="e" cm="1">
        <f t="array" ref="P33">INDEX('GMW - Baseline'!$A$2:$MC$200,MATCH(1,('GMW - Baseline'!$MC$2:$MC$200=P$3)*('GMW - Baseline'!$MB$2:$MB$200=P$4),0),$E33-1973)</f>
        <v>#N/A</v>
      </c>
      <c r="Q33" t="e" cm="1">
        <f t="array" ref="Q33">INDEX('GMW - Baseline'!$A$2:$MC$200,MATCH(1,('GMW - Baseline'!$MC$2:$MC$200=Q$3)*('GMW - Baseline'!$MB$2:$MB$200=Q$4),0),$E33-1973)</f>
        <v>#N/A</v>
      </c>
      <c r="R33" t="e" cm="1">
        <f t="array" ref="R33">INDEX('GMW - Baseline'!$A$2:$MC$200,MATCH(1,('GMW - Baseline'!$MC$2:$MC$200=R$3)*('GMW - Baseline'!$MB$2:$MB$200=R$4),0),$E33-1973)</f>
        <v>#N/A</v>
      </c>
      <c r="S33" t="e" cm="1">
        <f t="array" ref="S33">INDEX('GMW - Baseline'!$A$2:$MC$200,MATCH(1,('GMW - Baseline'!$MC$2:$MC$200=S$3)*('GMW - Baseline'!$MB$2:$MB$200=S$4),0),$E33-1973)</f>
        <v>#N/A</v>
      </c>
      <c r="T33" t="e" cm="1">
        <f t="array" ref="T33">INDEX('GMW - Baseline'!$A$2:$MC$200,MATCH(1,('GMW - Baseline'!$MC$2:$MC$200=T$3)*('GMW - Baseline'!$MB$2:$MB$200=T$4),0),$E33-1973)</f>
        <v>#N/A</v>
      </c>
    </row>
    <row r="34" spans="1:20" x14ac:dyDescent="0.25">
      <c r="B34">
        <f t="shared" si="3"/>
        <v>1986</v>
      </c>
      <c r="C34">
        <f t="shared" si="3"/>
        <v>1986</v>
      </c>
      <c r="E34">
        <f t="shared" si="1"/>
        <v>2007</v>
      </c>
      <c r="F34" cm="1">
        <f t="array" ref="F34">INDEX('GMW - Baseline'!$A$2:$MC$200,MATCH(1,('GMW - Baseline'!$MC$2:$MC$200=F$3)*('GMW - Baseline'!$MB$2:$MB$200=F$4),0),$E34-1973)</f>
        <v>337367</v>
      </c>
      <c r="G34" cm="1">
        <f t="array" ref="G34">INDEX('GMW - Baseline'!$A$2:$MC$200,MATCH(1,('GMW - Baseline'!$MC$2:$MC$200=G$3)*('GMW - Baseline'!$MB$2:$MB$200=G$4),0),$E34-1973)</f>
        <v>183752</v>
      </c>
      <c r="H34" cm="1">
        <f t="array" ref="H34">INDEX('GMW - Baseline'!$A$2:$MC$200,MATCH(1,('GMW - Baseline'!$MC$2:$MC$200=H$3)*('GMW - Baseline'!$MB$2:$MB$200=H$4),0),$E34-1973)</f>
        <v>46.924320000000002</v>
      </c>
      <c r="I34" cm="1">
        <f t="array" ref="I34">INDEX('GMW - Baseline'!$A$2:$MC$200,MATCH(1,('GMW - Baseline'!$MC$2:$MC$200=I$3)*('GMW - Baseline'!$MB$2:$MB$200=I$4),0),$E34-1973)</f>
        <v>10.72348</v>
      </c>
      <c r="J34" t="e" cm="1">
        <f t="array" ref="J34">INDEX('GMW - Baseline'!$A$2:$MC$200,MATCH(1,('GMW - Baseline'!$MC$2:$MC$200=J$3)*('GMW - Baseline'!$MB$2:$MB$200=J$4),0),$E34-1973)</f>
        <v>#N/A</v>
      </c>
      <c r="K34" t="e" cm="1">
        <f t="array" ref="K34">INDEX('GMW - Baseline'!$A$2:$MC$200,MATCH(1,('GMW - Baseline'!$MC$2:$MC$200=K$3)*('GMW - Baseline'!$MB$2:$MB$200=K$4),0),$E34-1973)</f>
        <v>#N/A</v>
      </c>
      <c r="L34" t="e" cm="1">
        <f t="array" ref="L34">INDEX('GMW - Baseline'!$A$2:$MC$200,MATCH(1,('GMW - Baseline'!$MC$2:$MC$200=L$3)*('GMW - Baseline'!$MB$2:$MB$200=L$4),0),$E34-1973)</f>
        <v>#N/A</v>
      </c>
      <c r="M34" t="e" cm="1">
        <f t="array" ref="M34">INDEX('GMW - Baseline'!$A$2:$MC$200,MATCH(1,('GMW - Baseline'!$MC$2:$MC$200=M$3)*('GMW - Baseline'!$MB$2:$MB$200=M$4),0),$E34-1973)</f>
        <v>#N/A</v>
      </c>
      <c r="N34" t="e" cm="1">
        <f t="array" ref="N34">INDEX('GMW - Baseline'!$A$2:$MC$200,MATCH(1,('GMW - Baseline'!$MC$2:$MC$200=N$3)*('GMW - Baseline'!$MB$2:$MB$200=N$4),0),$E34-1973)</f>
        <v>#N/A</v>
      </c>
      <c r="O34" t="e" cm="1">
        <f t="array" ref="O34">INDEX('GMW - Baseline'!$A$2:$MC$200,MATCH(1,('GMW - Baseline'!$MC$2:$MC$200=O$3)*('GMW - Baseline'!$MB$2:$MB$200=O$4),0),$E34-1973)</f>
        <v>#N/A</v>
      </c>
      <c r="P34" t="e" cm="1">
        <f t="array" ref="P34">INDEX('GMW - Baseline'!$A$2:$MC$200,MATCH(1,('GMW - Baseline'!$MC$2:$MC$200=P$3)*('GMW - Baseline'!$MB$2:$MB$200=P$4),0),$E34-1973)</f>
        <v>#N/A</v>
      </c>
      <c r="Q34" t="e" cm="1">
        <f t="array" ref="Q34">INDEX('GMW - Baseline'!$A$2:$MC$200,MATCH(1,('GMW - Baseline'!$MC$2:$MC$200=Q$3)*('GMW - Baseline'!$MB$2:$MB$200=Q$4),0),$E34-1973)</f>
        <v>#N/A</v>
      </c>
      <c r="R34" t="e" cm="1">
        <f t="array" ref="R34">INDEX('GMW - Baseline'!$A$2:$MC$200,MATCH(1,('GMW - Baseline'!$MC$2:$MC$200=R$3)*('GMW - Baseline'!$MB$2:$MB$200=R$4),0),$E34-1973)</f>
        <v>#N/A</v>
      </c>
      <c r="S34" t="e" cm="1">
        <f t="array" ref="S34">INDEX('GMW - Baseline'!$A$2:$MC$200,MATCH(1,('GMW - Baseline'!$MC$2:$MC$200=S$3)*('GMW - Baseline'!$MB$2:$MB$200=S$4),0),$E34-1973)</f>
        <v>#N/A</v>
      </c>
      <c r="T34" t="e" cm="1">
        <f t="array" ref="T34">INDEX('GMW - Baseline'!$A$2:$MC$200,MATCH(1,('GMW - Baseline'!$MC$2:$MC$200=T$3)*('GMW - Baseline'!$MB$2:$MB$200=T$4),0),$E34-1973)</f>
        <v>#N/A</v>
      </c>
    </row>
    <row r="35" spans="1:20" x14ac:dyDescent="0.25">
      <c r="A35">
        <v>1987</v>
      </c>
      <c r="B35">
        <f t="shared" si="3"/>
        <v>1987</v>
      </c>
      <c r="C35">
        <f t="shared" si="3"/>
        <v>1986</v>
      </c>
      <c r="D35">
        <f t="shared" si="3"/>
        <v>1986</v>
      </c>
      <c r="E35">
        <f t="shared" si="1"/>
        <v>2008</v>
      </c>
      <c r="F35" cm="1">
        <f t="array" ref="F35">INDEX('GMW - Baseline'!$A$2:$MC$200,MATCH(1,('GMW - Baseline'!$MC$2:$MC$200=F$3)*('GMW - Baseline'!$MB$2:$MB$200=F$4),0),$E35-1973)</f>
        <v>339754</v>
      </c>
      <c r="G35" cm="1">
        <f t="array" ref="G35">INDEX('GMW - Baseline'!$A$2:$MC$200,MATCH(1,('GMW - Baseline'!$MC$2:$MC$200=G$3)*('GMW - Baseline'!$MB$2:$MB$200=G$4),0),$E35-1973)</f>
        <v>185943</v>
      </c>
      <c r="H35" cm="1">
        <f t="array" ref="H35">INDEX('GMW - Baseline'!$A$2:$MC$200,MATCH(1,('GMW - Baseline'!$MC$2:$MC$200=H$3)*('GMW - Baseline'!$MB$2:$MB$200=H$4),0),$E35-1973)</f>
        <v>47.237139999999997</v>
      </c>
      <c r="I35" cm="1">
        <f t="array" ref="I35">INDEX('GMW - Baseline'!$A$2:$MC$200,MATCH(1,('GMW - Baseline'!$MC$2:$MC$200=I$3)*('GMW - Baseline'!$MB$2:$MB$200=I$4),0),$E35-1973)</f>
        <v>10.664059999999999</v>
      </c>
      <c r="J35" t="e" cm="1">
        <f t="array" ref="J35">INDEX('GMW - Baseline'!$A$2:$MC$200,MATCH(1,('GMW - Baseline'!$MC$2:$MC$200=J$3)*('GMW - Baseline'!$MB$2:$MB$200=J$4),0),$E35-1973)</f>
        <v>#N/A</v>
      </c>
      <c r="K35" t="e" cm="1">
        <f t="array" ref="K35">INDEX('GMW - Baseline'!$A$2:$MC$200,MATCH(1,('GMW - Baseline'!$MC$2:$MC$200=K$3)*('GMW - Baseline'!$MB$2:$MB$200=K$4),0),$E35-1973)</f>
        <v>#N/A</v>
      </c>
      <c r="L35" t="e" cm="1">
        <f t="array" ref="L35">INDEX('GMW - Baseline'!$A$2:$MC$200,MATCH(1,('GMW - Baseline'!$MC$2:$MC$200=L$3)*('GMW - Baseline'!$MB$2:$MB$200=L$4),0),$E35-1973)</f>
        <v>#N/A</v>
      </c>
      <c r="M35" t="e" cm="1">
        <f t="array" ref="M35">INDEX('GMW - Baseline'!$A$2:$MC$200,MATCH(1,('GMW - Baseline'!$MC$2:$MC$200=M$3)*('GMW - Baseline'!$MB$2:$MB$200=M$4),0),$E35-1973)</f>
        <v>#N/A</v>
      </c>
      <c r="N35" t="e" cm="1">
        <f t="array" ref="N35">INDEX('GMW - Baseline'!$A$2:$MC$200,MATCH(1,('GMW - Baseline'!$MC$2:$MC$200=N$3)*('GMW - Baseline'!$MB$2:$MB$200=N$4),0),$E35-1973)</f>
        <v>#N/A</v>
      </c>
      <c r="O35" t="e" cm="1">
        <f t="array" ref="O35">INDEX('GMW - Baseline'!$A$2:$MC$200,MATCH(1,('GMW - Baseline'!$MC$2:$MC$200=O$3)*('GMW - Baseline'!$MB$2:$MB$200=O$4),0),$E35-1973)</f>
        <v>#N/A</v>
      </c>
      <c r="P35" t="e" cm="1">
        <f t="array" ref="P35">INDEX('GMW - Baseline'!$A$2:$MC$200,MATCH(1,('GMW - Baseline'!$MC$2:$MC$200=P$3)*('GMW - Baseline'!$MB$2:$MB$200=P$4),0),$E35-1973)</f>
        <v>#N/A</v>
      </c>
      <c r="Q35" t="e" cm="1">
        <f t="array" ref="Q35">INDEX('GMW - Baseline'!$A$2:$MC$200,MATCH(1,('GMW - Baseline'!$MC$2:$MC$200=Q$3)*('GMW - Baseline'!$MB$2:$MB$200=Q$4),0),$E35-1973)</f>
        <v>#N/A</v>
      </c>
      <c r="R35" t="e" cm="1">
        <f t="array" ref="R35">INDEX('GMW - Baseline'!$A$2:$MC$200,MATCH(1,('GMW - Baseline'!$MC$2:$MC$200=R$3)*('GMW - Baseline'!$MB$2:$MB$200=R$4),0),$E35-1973)</f>
        <v>#N/A</v>
      </c>
      <c r="S35" t="e" cm="1">
        <f t="array" ref="S35">INDEX('GMW - Baseline'!$A$2:$MC$200,MATCH(1,('GMW - Baseline'!$MC$2:$MC$200=S$3)*('GMW - Baseline'!$MB$2:$MB$200=S$4),0),$E35-1973)</f>
        <v>#N/A</v>
      </c>
      <c r="T35" t="e" cm="1">
        <f t="array" ref="T35">INDEX('GMW - Baseline'!$A$2:$MC$200,MATCH(1,('GMW - Baseline'!$MC$2:$MC$200=T$3)*('GMW - Baseline'!$MB$2:$MB$200=T$4),0),$E35-1973)</f>
        <v>#N/A</v>
      </c>
    </row>
    <row r="36" spans="1:20" x14ac:dyDescent="0.25">
      <c r="B36">
        <f t="shared" si="3"/>
        <v>1987</v>
      </c>
      <c r="C36">
        <f t="shared" si="3"/>
        <v>1987</v>
      </c>
      <c r="E36">
        <f t="shared" si="1"/>
        <v>2009</v>
      </c>
      <c r="F36" cm="1">
        <f t="array" ref="F36">INDEX('GMW - Baseline'!$A$2:$MC$200,MATCH(1,('GMW - Baseline'!$MC$2:$MC$200=F$3)*('GMW - Baseline'!$MB$2:$MB$200=F$4),0),$E36-1973)</f>
        <v>344795</v>
      </c>
      <c r="G36" cm="1">
        <f t="array" ref="G36">INDEX('GMW - Baseline'!$A$2:$MC$200,MATCH(1,('GMW - Baseline'!$MC$2:$MC$200=G$3)*('GMW - Baseline'!$MB$2:$MB$200=G$4),0),$E36-1973)</f>
        <v>189091</v>
      </c>
      <c r="H36" cm="1">
        <f t="array" ref="H36">INDEX('GMW - Baseline'!$A$2:$MC$200,MATCH(1,('GMW - Baseline'!$MC$2:$MC$200=H$3)*('GMW - Baseline'!$MB$2:$MB$200=H$4),0),$E36-1973)</f>
        <v>47.836730000000003</v>
      </c>
      <c r="I36" cm="1">
        <f t="array" ref="I36">INDEX('GMW - Baseline'!$A$2:$MC$200,MATCH(1,('GMW - Baseline'!$MC$2:$MC$200=I$3)*('GMW - Baseline'!$MB$2:$MB$200=I$4),0),$E36-1973)</f>
        <v>9.228847</v>
      </c>
      <c r="J36" t="e" cm="1">
        <f t="array" ref="J36">INDEX('GMW - Baseline'!$A$2:$MC$200,MATCH(1,('GMW - Baseline'!$MC$2:$MC$200=J$3)*('GMW - Baseline'!$MB$2:$MB$200=J$4),0),$E36-1973)</f>
        <v>#N/A</v>
      </c>
      <c r="K36" t="e" cm="1">
        <f t="array" ref="K36">INDEX('GMW - Baseline'!$A$2:$MC$200,MATCH(1,('GMW - Baseline'!$MC$2:$MC$200=K$3)*('GMW - Baseline'!$MB$2:$MB$200=K$4),0),$E36-1973)</f>
        <v>#N/A</v>
      </c>
      <c r="L36" t="e" cm="1">
        <f t="array" ref="L36">INDEX('GMW - Baseline'!$A$2:$MC$200,MATCH(1,('GMW - Baseline'!$MC$2:$MC$200=L$3)*('GMW - Baseline'!$MB$2:$MB$200=L$4),0),$E36-1973)</f>
        <v>#N/A</v>
      </c>
      <c r="M36" t="e" cm="1">
        <f t="array" ref="M36">INDEX('GMW - Baseline'!$A$2:$MC$200,MATCH(1,('GMW - Baseline'!$MC$2:$MC$200=M$3)*('GMW - Baseline'!$MB$2:$MB$200=M$4),0),$E36-1973)</f>
        <v>#N/A</v>
      </c>
      <c r="N36" t="e" cm="1">
        <f t="array" ref="N36">INDEX('GMW - Baseline'!$A$2:$MC$200,MATCH(1,('GMW - Baseline'!$MC$2:$MC$200=N$3)*('GMW - Baseline'!$MB$2:$MB$200=N$4),0),$E36-1973)</f>
        <v>#N/A</v>
      </c>
      <c r="O36" t="e" cm="1">
        <f t="array" ref="O36">INDEX('GMW - Baseline'!$A$2:$MC$200,MATCH(1,('GMW - Baseline'!$MC$2:$MC$200=O$3)*('GMW - Baseline'!$MB$2:$MB$200=O$4),0),$E36-1973)</f>
        <v>#N/A</v>
      </c>
      <c r="P36" t="e" cm="1">
        <f t="array" ref="P36">INDEX('GMW - Baseline'!$A$2:$MC$200,MATCH(1,('GMW - Baseline'!$MC$2:$MC$200=P$3)*('GMW - Baseline'!$MB$2:$MB$200=P$4),0),$E36-1973)</f>
        <v>#N/A</v>
      </c>
      <c r="Q36" t="e" cm="1">
        <f t="array" ref="Q36">INDEX('GMW - Baseline'!$A$2:$MC$200,MATCH(1,('GMW - Baseline'!$MC$2:$MC$200=Q$3)*('GMW - Baseline'!$MB$2:$MB$200=Q$4),0),$E36-1973)</f>
        <v>#N/A</v>
      </c>
      <c r="R36" t="e" cm="1">
        <f t="array" ref="R36">INDEX('GMW - Baseline'!$A$2:$MC$200,MATCH(1,('GMW - Baseline'!$MC$2:$MC$200=R$3)*('GMW - Baseline'!$MB$2:$MB$200=R$4),0),$E36-1973)</f>
        <v>#N/A</v>
      </c>
      <c r="S36" t="e" cm="1">
        <f t="array" ref="S36">INDEX('GMW - Baseline'!$A$2:$MC$200,MATCH(1,('GMW - Baseline'!$MC$2:$MC$200=S$3)*('GMW - Baseline'!$MB$2:$MB$200=S$4),0),$E36-1973)</f>
        <v>#N/A</v>
      </c>
      <c r="T36" t="e" cm="1">
        <f t="array" ref="T36">INDEX('GMW - Baseline'!$A$2:$MC$200,MATCH(1,('GMW - Baseline'!$MC$2:$MC$200=T$3)*('GMW - Baseline'!$MB$2:$MB$200=T$4),0),$E36-1973)</f>
        <v>#N/A</v>
      </c>
    </row>
    <row r="37" spans="1:20" x14ac:dyDescent="0.25">
      <c r="B37">
        <f t="shared" si="3"/>
        <v>1987</v>
      </c>
      <c r="C37">
        <f t="shared" si="3"/>
        <v>1987</v>
      </c>
      <c r="E37">
        <f t="shared" si="1"/>
        <v>2010</v>
      </c>
      <c r="F37" cm="1">
        <f t="array" ref="F37">INDEX('GMW - Baseline'!$A$2:$MC$200,MATCH(1,('GMW - Baseline'!$MC$2:$MC$200=F$3)*('GMW - Baseline'!$MB$2:$MB$200=F$4),0),$E37-1973)</f>
        <v>353365</v>
      </c>
      <c r="G37" cm="1">
        <f t="array" ref="G37">INDEX('GMW - Baseline'!$A$2:$MC$200,MATCH(1,('GMW - Baseline'!$MC$2:$MC$200=G$3)*('GMW - Baseline'!$MB$2:$MB$200=G$4),0),$E37-1973)</f>
        <v>193017</v>
      </c>
      <c r="H37" cm="1">
        <f t="array" ref="H37">INDEX('GMW - Baseline'!$A$2:$MC$200,MATCH(1,('GMW - Baseline'!$MC$2:$MC$200=H$3)*('GMW - Baseline'!$MB$2:$MB$200=H$4),0),$E37-1973)</f>
        <v>47.888869999999997</v>
      </c>
      <c r="I37" cm="1">
        <f t="array" ref="I37">INDEX('GMW - Baseline'!$A$2:$MC$200,MATCH(1,('GMW - Baseline'!$MC$2:$MC$200=I$3)*('GMW - Baseline'!$MB$2:$MB$200=I$4),0),$E37-1973)</f>
        <v>9.4810610000000004</v>
      </c>
      <c r="J37" t="e" cm="1">
        <f t="array" ref="J37">INDEX('GMW - Baseline'!$A$2:$MC$200,MATCH(1,('GMW - Baseline'!$MC$2:$MC$200=J$3)*('GMW - Baseline'!$MB$2:$MB$200=J$4),0),$E37-1973)</f>
        <v>#N/A</v>
      </c>
      <c r="K37" t="e" cm="1">
        <f t="array" ref="K37">INDEX('GMW - Baseline'!$A$2:$MC$200,MATCH(1,('GMW - Baseline'!$MC$2:$MC$200=K$3)*('GMW - Baseline'!$MB$2:$MB$200=K$4),0),$E37-1973)</f>
        <v>#N/A</v>
      </c>
      <c r="L37" t="e" cm="1">
        <f t="array" ref="L37">INDEX('GMW - Baseline'!$A$2:$MC$200,MATCH(1,('GMW - Baseline'!$MC$2:$MC$200=L$3)*('GMW - Baseline'!$MB$2:$MB$200=L$4),0),$E37-1973)</f>
        <v>#N/A</v>
      </c>
      <c r="M37" t="e" cm="1">
        <f t="array" ref="M37">INDEX('GMW - Baseline'!$A$2:$MC$200,MATCH(1,('GMW - Baseline'!$MC$2:$MC$200=M$3)*('GMW - Baseline'!$MB$2:$MB$200=M$4),0),$E37-1973)</f>
        <v>#N/A</v>
      </c>
      <c r="N37" t="e" cm="1">
        <f t="array" ref="N37">INDEX('GMW - Baseline'!$A$2:$MC$200,MATCH(1,('GMW - Baseline'!$MC$2:$MC$200=N$3)*('GMW - Baseline'!$MB$2:$MB$200=N$4),0),$E37-1973)</f>
        <v>#N/A</v>
      </c>
      <c r="O37" t="e" cm="1">
        <f t="array" ref="O37">INDEX('GMW - Baseline'!$A$2:$MC$200,MATCH(1,('GMW - Baseline'!$MC$2:$MC$200=O$3)*('GMW - Baseline'!$MB$2:$MB$200=O$4),0),$E37-1973)</f>
        <v>#N/A</v>
      </c>
      <c r="P37" t="e" cm="1">
        <f t="array" ref="P37">INDEX('GMW - Baseline'!$A$2:$MC$200,MATCH(1,('GMW - Baseline'!$MC$2:$MC$200=P$3)*('GMW - Baseline'!$MB$2:$MB$200=P$4),0),$E37-1973)</f>
        <v>#N/A</v>
      </c>
      <c r="Q37" t="e" cm="1">
        <f t="array" ref="Q37">INDEX('GMW - Baseline'!$A$2:$MC$200,MATCH(1,('GMW - Baseline'!$MC$2:$MC$200=Q$3)*('GMW - Baseline'!$MB$2:$MB$200=Q$4),0),$E37-1973)</f>
        <v>#N/A</v>
      </c>
      <c r="R37" t="e" cm="1">
        <f t="array" ref="R37">INDEX('GMW - Baseline'!$A$2:$MC$200,MATCH(1,('GMW - Baseline'!$MC$2:$MC$200=R$3)*('GMW - Baseline'!$MB$2:$MB$200=R$4),0),$E37-1973)</f>
        <v>#N/A</v>
      </c>
      <c r="S37" t="e" cm="1">
        <f t="array" ref="S37">INDEX('GMW - Baseline'!$A$2:$MC$200,MATCH(1,('GMW - Baseline'!$MC$2:$MC$200=S$3)*('GMW - Baseline'!$MB$2:$MB$200=S$4),0),$E37-1973)</f>
        <v>#N/A</v>
      </c>
      <c r="T37" t="e" cm="1">
        <f t="array" ref="T37">INDEX('GMW - Baseline'!$A$2:$MC$200,MATCH(1,('GMW - Baseline'!$MC$2:$MC$200=T$3)*('GMW - Baseline'!$MB$2:$MB$200=T$4),0),$E37-1973)</f>
        <v>#N/A</v>
      </c>
    </row>
    <row r="38" spans="1:20" x14ac:dyDescent="0.25">
      <c r="B38">
        <f t="shared" si="3"/>
        <v>1987</v>
      </c>
      <c r="C38">
        <f t="shared" si="3"/>
        <v>1987</v>
      </c>
      <c r="E38">
        <f t="shared" si="1"/>
        <v>2011</v>
      </c>
      <c r="F38" cm="1">
        <f t="array" ref="F38">INDEX('GMW - Baseline'!$A$2:$MC$200,MATCH(1,('GMW - Baseline'!$MC$2:$MC$200=F$3)*('GMW - Baseline'!$MB$2:$MB$200=F$4),0),$E38-1973)</f>
        <v>357439</v>
      </c>
      <c r="G38" cm="1">
        <f t="array" ref="G38">INDEX('GMW - Baseline'!$A$2:$MC$200,MATCH(1,('GMW - Baseline'!$MC$2:$MC$200=G$3)*('GMW - Baseline'!$MB$2:$MB$200=G$4),0),$E38-1973)</f>
        <v>197212</v>
      </c>
      <c r="H38" cm="1">
        <f t="array" ref="H38">INDEX('GMW - Baseline'!$A$2:$MC$200,MATCH(1,('GMW - Baseline'!$MC$2:$MC$200=H$3)*('GMW - Baseline'!$MB$2:$MB$200=H$4),0),$E38-1973)</f>
        <v>48.436320000000002</v>
      </c>
      <c r="I38" cm="1">
        <f t="array" ref="I38">INDEX('GMW - Baseline'!$A$2:$MC$200,MATCH(1,('GMW - Baseline'!$MC$2:$MC$200=I$3)*('GMW - Baseline'!$MB$2:$MB$200=I$4),0),$E38-1973)</f>
        <v>9.0189389999999996</v>
      </c>
      <c r="J38" t="e" cm="1">
        <f t="array" ref="J38">INDEX('GMW - Baseline'!$A$2:$MC$200,MATCH(1,('GMW - Baseline'!$MC$2:$MC$200=J$3)*('GMW - Baseline'!$MB$2:$MB$200=J$4),0),$E38-1973)</f>
        <v>#N/A</v>
      </c>
      <c r="K38" t="e" cm="1">
        <f t="array" ref="K38">INDEX('GMW - Baseline'!$A$2:$MC$200,MATCH(1,('GMW - Baseline'!$MC$2:$MC$200=K$3)*('GMW - Baseline'!$MB$2:$MB$200=K$4),0),$E38-1973)</f>
        <v>#N/A</v>
      </c>
      <c r="L38" t="e" cm="1">
        <f t="array" ref="L38">INDEX('GMW - Baseline'!$A$2:$MC$200,MATCH(1,('GMW - Baseline'!$MC$2:$MC$200=L$3)*('GMW - Baseline'!$MB$2:$MB$200=L$4),0),$E38-1973)</f>
        <v>#N/A</v>
      </c>
      <c r="M38" t="e" cm="1">
        <f t="array" ref="M38">INDEX('GMW - Baseline'!$A$2:$MC$200,MATCH(1,('GMW - Baseline'!$MC$2:$MC$200=M$3)*('GMW - Baseline'!$MB$2:$MB$200=M$4),0),$E38-1973)</f>
        <v>#N/A</v>
      </c>
      <c r="N38" t="e" cm="1">
        <f t="array" ref="N38">INDEX('GMW - Baseline'!$A$2:$MC$200,MATCH(1,('GMW - Baseline'!$MC$2:$MC$200=N$3)*('GMW - Baseline'!$MB$2:$MB$200=N$4),0),$E38-1973)</f>
        <v>#N/A</v>
      </c>
      <c r="O38" t="e" cm="1">
        <f t="array" ref="O38">INDEX('GMW - Baseline'!$A$2:$MC$200,MATCH(1,('GMW - Baseline'!$MC$2:$MC$200=O$3)*('GMW - Baseline'!$MB$2:$MB$200=O$4),0),$E38-1973)</f>
        <v>#N/A</v>
      </c>
      <c r="P38" t="e" cm="1">
        <f t="array" ref="P38">INDEX('GMW - Baseline'!$A$2:$MC$200,MATCH(1,('GMW - Baseline'!$MC$2:$MC$200=P$3)*('GMW - Baseline'!$MB$2:$MB$200=P$4),0),$E38-1973)</f>
        <v>#N/A</v>
      </c>
      <c r="Q38" t="e" cm="1">
        <f t="array" ref="Q38">INDEX('GMW - Baseline'!$A$2:$MC$200,MATCH(1,('GMW - Baseline'!$MC$2:$MC$200=Q$3)*('GMW - Baseline'!$MB$2:$MB$200=Q$4),0),$E38-1973)</f>
        <v>#N/A</v>
      </c>
      <c r="R38" t="e" cm="1">
        <f t="array" ref="R38">INDEX('GMW - Baseline'!$A$2:$MC$200,MATCH(1,('GMW - Baseline'!$MC$2:$MC$200=R$3)*('GMW - Baseline'!$MB$2:$MB$200=R$4),0),$E38-1973)</f>
        <v>#N/A</v>
      </c>
      <c r="S38" t="e" cm="1">
        <f t="array" ref="S38">INDEX('GMW - Baseline'!$A$2:$MC$200,MATCH(1,('GMW - Baseline'!$MC$2:$MC$200=S$3)*('GMW - Baseline'!$MB$2:$MB$200=S$4),0),$E38-1973)</f>
        <v>#N/A</v>
      </c>
      <c r="T38" t="e" cm="1">
        <f t="array" ref="T38">INDEX('GMW - Baseline'!$A$2:$MC$200,MATCH(1,('GMW - Baseline'!$MC$2:$MC$200=T$3)*('GMW - Baseline'!$MB$2:$MB$200=T$4),0),$E38-1973)</f>
        <v>#N/A</v>
      </c>
    </row>
    <row r="39" spans="1:20" x14ac:dyDescent="0.25">
      <c r="A39">
        <v>1988</v>
      </c>
      <c r="B39">
        <f t="shared" si="3"/>
        <v>1988</v>
      </c>
      <c r="C39">
        <f t="shared" si="3"/>
        <v>1987</v>
      </c>
      <c r="D39">
        <f t="shared" si="3"/>
        <v>1987</v>
      </c>
      <c r="E39">
        <f t="shared" si="1"/>
        <v>2012</v>
      </c>
      <c r="F39" cm="1">
        <f t="array" ref="F39">INDEX('GMW - Baseline'!$A$2:$MC$200,MATCH(1,('GMW - Baseline'!$MC$2:$MC$200=F$3)*('GMW - Baseline'!$MB$2:$MB$200=F$4),0),$E39-1973)</f>
        <v>363267</v>
      </c>
      <c r="G39" cm="1">
        <f t="array" ref="G39">INDEX('GMW - Baseline'!$A$2:$MC$200,MATCH(1,('GMW - Baseline'!$MC$2:$MC$200=G$3)*('GMW - Baseline'!$MB$2:$MB$200=G$4),0),$E39-1973)</f>
        <v>199926</v>
      </c>
      <c r="H39" cm="1">
        <f t="array" ref="H39">INDEX('GMW - Baseline'!$A$2:$MC$200,MATCH(1,('GMW - Baseline'!$MC$2:$MC$200=H$3)*('GMW - Baseline'!$MB$2:$MB$200=H$4),0),$E39-1973)</f>
        <v>48.566670000000002</v>
      </c>
      <c r="I39" cm="1">
        <f t="array" ref="I39">INDEX('GMW - Baseline'!$A$2:$MC$200,MATCH(1,('GMW - Baseline'!$MC$2:$MC$200=I$3)*('GMW - Baseline'!$MB$2:$MB$200=I$4),0),$E39-1973)</f>
        <v>8.6288459999999993</v>
      </c>
      <c r="J39" t="e" cm="1">
        <f t="array" ref="J39">INDEX('GMW - Baseline'!$A$2:$MC$200,MATCH(1,('GMW - Baseline'!$MC$2:$MC$200=J$3)*('GMW - Baseline'!$MB$2:$MB$200=J$4),0),$E39-1973)</f>
        <v>#N/A</v>
      </c>
      <c r="K39" t="e" cm="1">
        <f t="array" ref="K39">INDEX('GMW - Baseline'!$A$2:$MC$200,MATCH(1,('GMW - Baseline'!$MC$2:$MC$200=K$3)*('GMW - Baseline'!$MB$2:$MB$200=K$4),0),$E39-1973)</f>
        <v>#N/A</v>
      </c>
      <c r="L39" t="e" cm="1">
        <f t="array" ref="L39">INDEX('GMW - Baseline'!$A$2:$MC$200,MATCH(1,('GMW - Baseline'!$MC$2:$MC$200=L$3)*('GMW - Baseline'!$MB$2:$MB$200=L$4),0),$E39-1973)</f>
        <v>#N/A</v>
      </c>
      <c r="M39" t="e" cm="1">
        <f t="array" ref="M39">INDEX('GMW - Baseline'!$A$2:$MC$200,MATCH(1,('GMW - Baseline'!$MC$2:$MC$200=M$3)*('GMW - Baseline'!$MB$2:$MB$200=M$4),0),$E39-1973)</f>
        <v>#N/A</v>
      </c>
      <c r="N39" t="e" cm="1">
        <f t="array" ref="N39">INDEX('GMW - Baseline'!$A$2:$MC$200,MATCH(1,('GMW - Baseline'!$MC$2:$MC$200=N$3)*('GMW - Baseline'!$MB$2:$MB$200=N$4),0),$E39-1973)</f>
        <v>#N/A</v>
      </c>
      <c r="O39" t="e" cm="1">
        <f t="array" ref="O39">INDEX('GMW - Baseline'!$A$2:$MC$200,MATCH(1,('GMW - Baseline'!$MC$2:$MC$200=O$3)*('GMW - Baseline'!$MB$2:$MB$200=O$4),0),$E39-1973)</f>
        <v>#N/A</v>
      </c>
      <c r="P39" t="e" cm="1">
        <f t="array" ref="P39">INDEX('GMW - Baseline'!$A$2:$MC$200,MATCH(1,('GMW - Baseline'!$MC$2:$MC$200=P$3)*('GMW - Baseline'!$MB$2:$MB$200=P$4),0),$E39-1973)</f>
        <v>#N/A</v>
      </c>
      <c r="Q39" t="e" cm="1">
        <f t="array" ref="Q39">INDEX('GMW - Baseline'!$A$2:$MC$200,MATCH(1,('GMW - Baseline'!$MC$2:$MC$200=Q$3)*('GMW - Baseline'!$MB$2:$MB$200=Q$4),0),$E39-1973)</f>
        <v>#N/A</v>
      </c>
      <c r="R39" t="e" cm="1">
        <f t="array" ref="R39">INDEX('GMW - Baseline'!$A$2:$MC$200,MATCH(1,('GMW - Baseline'!$MC$2:$MC$200=R$3)*('GMW - Baseline'!$MB$2:$MB$200=R$4),0),$E39-1973)</f>
        <v>#N/A</v>
      </c>
      <c r="S39" t="e" cm="1">
        <f t="array" ref="S39">INDEX('GMW - Baseline'!$A$2:$MC$200,MATCH(1,('GMW - Baseline'!$MC$2:$MC$200=S$3)*('GMW - Baseline'!$MB$2:$MB$200=S$4),0),$E39-1973)</f>
        <v>#N/A</v>
      </c>
      <c r="T39" t="e" cm="1">
        <f t="array" ref="T39">INDEX('GMW - Baseline'!$A$2:$MC$200,MATCH(1,('GMW - Baseline'!$MC$2:$MC$200=T$3)*('GMW - Baseline'!$MB$2:$MB$200=T$4),0),$E39-1973)</f>
        <v>#N/A</v>
      </c>
    </row>
    <row r="40" spans="1:20" x14ac:dyDescent="0.25">
      <c r="B40">
        <f t="shared" si="3"/>
        <v>1988</v>
      </c>
      <c r="C40">
        <f t="shared" si="3"/>
        <v>1988</v>
      </c>
      <c r="E40">
        <f t="shared" si="1"/>
        <v>2013</v>
      </c>
      <c r="F40" cm="1">
        <f t="array" ref="F40">INDEX('GMW - Baseline'!$A$2:$MC$200,MATCH(1,('GMW - Baseline'!$MC$2:$MC$200=F$3)*('GMW - Baseline'!$MB$2:$MB$200=F$4),0),$E40-1973)</f>
        <v>365209</v>
      </c>
      <c r="G40" cm="1">
        <f t="array" ref="G40">INDEX('GMW - Baseline'!$A$2:$MC$200,MATCH(1,('GMW - Baseline'!$MC$2:$MC$200=G$3)*('GMW - Baseline'!$MB$2:$MB$200=G$4),0),$E40-1973)</f>
        <v>202789</v>
      </c>
      <c r="H40" cm="1">
        <f t="array" ref="H40">INDEX('GMW - Baseline'!$A$2:$MC$200,MATCH(1,('GMW - Baseline'!$MC$2:$MC$200=H$3)*('GMW - Baseline'!$MB$2:$MB$200=H$4),0),$E40-1973)</f>
        <v>49.5</v>
      </c>
      <c r="I40" cm="1">
        <f t="array" ref="I40">INDEX('GMW - Baseline'!$A$2:$MC$200,MATCH(1,('GMW - Baseline'!$MC$2:$MC$200=I$3)*('GMW - Baseline'!$MB$2:$MB$200=I$4),0),$E40-1973)</f>
        <v>7.9673080000000001</v>
      </c>
      <c r="J40" t="e" cm="1">
        <f t="array" ref="J40">INDEX('GMW - Baseline'!$A$2:$MC$200,MATCH(1,('GMW - Baseline'!$MC$2:$MC$200=J$3)*('GMW - Baseline'!$MB$2:$MB$200=J$4),0),$E40-1973)</f>
        <v>#N/A</v>
      </c>
      <c r="K40" t="e" cm="1">
        <f t="array" ref="K40">INDEX('GMW - Baseline'!$A$2:$MC$200,MATCH(1,('GMW - Baseline'!$MC$2:$MC$200=K$3)*('GMW - Baseline'!$MB$2:$MB$200=K$4),0),$E40-1973)</f>
        <v>#N/A</v>
      </c>
      <c r="L40" t="e" cm="1">
        <f t="array" ref="L40">INDEX('GMW - Baseline'!$A$2:$MC$200,MATCH(1,('GMW - Baseline'!$MC$2:$MC$200=L$3)*('GMW - Baseline'!$MB$2:$MB$200=L$4),0),$E40-1973)</f>
        <v>#N/A</v>
      </c>
      <c r="M40" t="e" cm="1">
        <f t="array" ref="M40">INDEX('GMW - Baseline'!$A$2:$MC$200,MATCH(1,('GMW - Baseline'!$MC$2:$MC$200=M$3)*('GMW - Baseline'!$MB$2:$MB$200=M$4),0),$E40-1973)</f>
        <v>#N/A</v>
      </c>
      <c r="N40" t="e" cm="1">
        <f t="array" ref="N40">INDEX('GMW - Baseline'!$A$2:$MC$200,MATCH(1,('GMW - Baseline'!$MC$2:$MC$200=N$3)*('GMW - Baseline'!$MB$2:$MB$200=N$4),0),$E40-1973)</f>
        <v>#N/A</v>
      </c>
      <c r="O40" t="e" cm="1">
        <f t="array" ref="O40">INDEX('GMW - Baseline'!$A$2:$MC$200,MATCH(1,('GMW - Baseline'!$MC$2:$MC$200=O$3)*('GMW - Baseline'!$MB$2:$MB$200=O$4),0),$E40-1973)</f>
        <v>#N/A</v>
      </c>
      <c r="P40" t="e" cm="1">
        <f t="array" ref="P40">INDEX('GMW - Baseline'!$A$2:$MC$200,MATCH(1,('GMW - Baseline'!$MC$2:$MC$200=P$3)*('GMW - Baseline'!$MB$2:$MB$200=P$4),0),$E40-1973)</f>
        <v>#N/A</v>
      </c>
      <c r="Q40" t="e" cm="1">
        <f t="array" ref="Q40">INDEX('GMW - Baseline'!$A$2:$MC$200,MATCH(1,('GMW - Baseline'!$MC$2:$MC$200=Q$3)*('GMW - Baseline'!$MB$2:$MB$200=Q$4),0),$E40-1973)</f>
        <v>#N/A</v>
      </c>
      <c r="R40" t="e" cm="1">
        <f t="array" ref="R40">INDEX('GMW - Baseline'!$A$2:$MC$200,MATCH(1,('GMW - Baseline'!$MC$2:$MC$200=R$3)*('GMW - Baseline'!$MB$2:$MB$200=R$4),0),$E40-1973)</f>
        <v>#N/A</v>
      </c>
      <c r="S40" t="e" cm="1">
        <f t="array" ref="S40">INDEX('GMW - Baseline'!$A$2:$MC$200,MATCH(1,('GMW - Baseline'!$MC$2:$MC$200=S$3)*('GMW - Baseline'!$MB$2:$MB$200=S$4),0),$E40-1973)</f>
        <v>#N/A</v>
      </c>
      <c r="T40" t="e" cm="1">
        <f t="array" ref="T40">INDEX('GMW - Baseline'!$A$2:$MC$200,MATCH(1,('GMW - Baseline'!$MC$2:$MC$200=T$3)*('GMW - Baseline'!$MB$2:$MB$200=T$4),0),$E40-1973)</f>
        <v>#N/A</v>
      </c>
    </row>
    <row r="41" spans="1:20" x14ac:dyDescent="0.25">
      <c r="B41">
        <f t="shared" si="3"/>
        <v>1988</v>
      </c>
      <c r="C41">
        <f t="shared" si="3"/>
        <v>1988</v>
      </c>
      <c r="E41">
        <f t="shared" si="1"/>
        <v>2014</v>
      </c>
      <c r="F41" cm="1">
        <f t="array" ref="F41">INDEX('GMW - Baseline'!$A$2:$MC$200,MATCH(1,('GMW - Baseline'!$MC$2:$MC$200=F$3)*('GMW - Baseline'!$MB$2:$MB$200=F$4),0),$E41-1973)</f>
        <v>369774</v>
      </c>
      <c r="G41" cm="1">
        <f t="array" ref="G41">INDEX('GMW - Baseline'!$A$2:$MC$200,MATCH(1,('GMW - Baseline'!$MC$2:$MC$200=G$3)*('GMW - Baseline'!$MB$2:$MB$200=G$4),0),$E41-1973)</f>
        <v>207502</v>
      </c>
      <c r="H41" cm="1">
        <f t="array" ref="H41">INDEX('GMW - Baseline'!$A$2:$MC$200,MATCH(1,('GMW - Baseline'!$MC$2:$MC$200=H$3)*('GMW - Baseline'!$MB$2:$MB$200=H$4),0),$E41-1973)</f>
        <v>49.9</v>
      </c>
      <c r="I41" cm="1">
        <f t="array" ref="I41">INDEX('GMW - Baseline'!$A$2:$MC$200,MATCH(1,('GMW - Baseline'!$MC$2:$MC$200=I$3)*('GMW - Baseline'!$MB$2:$MB$200=I$4),0),$E41-1973)</f>
        <v>10.920450000000001</v>
      </c>
      <c r="J41" t="e" cm="1">
        <f t="array" ref="J41">INDEX('GMW - Baseline'!$A$2:$MC$200,MATCH(1,('GMW - Baseline'!$MC$2:$MC$200=J$3)*('GMW - Baseline'!$MB$2:$MB$200=J$4),0),$E41-1973)</f>
        <v>#N/A</v>
      </c>
      <c r="K41" t="e" cm="1">
        <f t="array" ref="K41">INDEX('GMW - Baseline'!$A$2:$MC$200,MATCH(1,('GMW - Baseline'!$MC$2:$MC$200=K$3)*('GMW - Baseline'!$MB$2:$MB$200=K$4),0),$E41-1973)</f>
        <v>#N/A</v>
      </c>
      <c r="L41" t="e" cm="1">
        <f t="array" ref="L41">INDEX('GMW - Baseline'!$A$2:$MC$200,MATCH(1,('GMW - Baseline'!$MC$2:$MC$200=L$3)*('GMW - Baseline'!$MB$2:$MB$200=L$4),0),$E41-1973)</f>
        <v>#N/A</v>
      </c>
      <c r="M41" t="e" cm="1">
        <f t="array" ref="M41">INDEX('GMW - Baseline'!$A$2:$MC$200,MATCH(1,('GMW - Baseline'!$MC$2:$MC$200=M$3)*('GMW - Baseline'!$MB$2:$MB$200=M$4),0),$E41-1973)</f>
        <v>#N/A</v>
      </c>
      <c r="N41" t="e" cm="1">
        <f t="array" ref="N41">INDEX('GMW - Baseline'!$A$2:$MC$200,MATCH(1,('GMW - Baseline'!$MC$2:$MC$200=N$3)*('GMW - Baseline'!$MB$2:$MB$200=N$4),0),$E41-1973)</f>
        <v>#N/A</v>
      </c>
      <c r="O41" t="e" cm="1">
        <f t="array" ref="O41">INDEX('GMW - Baseline'!$A$2:$MC$200,MATCH(1,('GMW - Baseline'!$MC$2:$MC$200=O$3)*('GMW - Baseline'!$MB$2:$MB$200=O$4),0),$E41-1973)</f>
        <v>#N/A</v>
      </c>
      <c r="P41" t="e" cm="1">
        <f t="array" ref="P41">INDEX('GMW - Baseline'!$A$2:$MC$200,MATCH(1,('GMW - Baseline'!$MC$2:$MC$200=P$3)*('GMW - Baseline'!$MB$2:$MB$200=P$4),0),$E41-1973)</f>
        <v>#N/A</v>
      </c>
      <c r="Q41" t="e" cm="1">
        <f t="array" ref="Q41">INDEX('GMW - Baseline'!$A$2:$MC$200,MATCH(1,('GMW - Baseline'!$MC$2:$MC$200=Q$3)*('GMW - Baseline'!$MB$2:$MB$200=Q$4),0),$E41-1973)</f>
        <v>#N/A</v>
      </c>
      <c r="R41" t="e" cm="1">
        <f t="array" ref="R41">INDEX('GMW - Baseline'!$A$2:$MC$200,MATCH(1,('GMW - Baseline'!$MC$2:$MC$200=R$3)*('GMW - Baseline'!$MB$2:$MB$200=R$4),0),$E41-1973)</f>
        <v>#N/A</v>
      </c>
      <c r="S41" t="e" cm="1">
        <f t="array" ref="S41">INDEX('GMW - Baseline'!$A$2:$MC$200,MATCH(1,('GMW - Baseline'!$MC$2:$MC$200=S$3)*('GMW - Baseline'!$MB$2:$MB$200=S$4),0),$E41-1973)</f>
        <v>#N/A</v>
      </c>
      <c r="T41" t="e" cm="1">
        <f t="array" ref="T41">INDEX('GMW - Baseline'!$A$2:$MC$200,MATCH(1,('GMW - Baseline'!$MC$2:$MC$200=T$3)*('GMW - Baseline'!$MB$2:$MB$200=T$4),0),$E41-1973)</f>
        <v>#N/A</v>
      </c>
    </row>
    <row r="42" spans="1:20" x14ac:dyDescent="0.25">
      <c r="B42">
        <f t="shared" si="3"/>
        <v>1988</v>
      </c>
      <c r="C42">
        <f t="shared" si="3"/>
        <v>1988</v>
      </c>
      <c r="E42">
        <f t="shared" si="1"/>
        <v>2015</v>
      </c>
      <c r="F42" cm="1">
        <f t="array" ref="F42">INDEX('GMW - Baseline'!$A$2:$MC$200,MATCH(1,('GMW - Baseline'!$MC$2:$MC$200=F$3)*('GMW - Baseline'!$MB$2:$MB$200=F$4),0),$E42-1973)</f>
        <v>372752</v>
      </c>
      <c r="G42" cm="1">
        <f t="array" ref="G42">INDEX('GMW - Baseline'!$A$2:$MC$200,MATCH(1,('GMW - Baseline'!$MC$2:$MC$200=G$3)*('GMW - Baseline'!$MB$2:$MB$200=G$4),0),$E42-1973)</f>
        <v>209369</v>
      </c>
      <c r="H42" cm="1">
        <f t="array" ref="H42">INDEX('GMW - Baseline'!$A$2:$MC$200,MATCH(1,('GMW - Baseline'!$MC$2:$MC$200=H$3)*('GMW - Baseline'!$MB$2:$MB$200=H$4),0),$E42-1973)</f>
        <v>50.466670000000001</v>
      </c>
      <c r="I42" cm="1">
        <f t="array" ref="I42">INDEX('GMW - Baseline'!$A$2:$MC$200,MATCH(1,('GMW - Baseline'!$MC$2:$MC$200=I$3)*('GMW - Baseline'!$MB$2:$MB$200=I$4),0),$E42-1973)</f>
        <v>12.275</v>
      </c>
      <c r="J42" t="e" cm="1">
        <f t="array" ref="J42">INDEX('GMW - Baseline'!$A$2:$MC$200,MATCH(1,('GMW - Baseline'!$MC$2:$MC$200=J$3)*('GMW - Baseline'!$MB$2:$MB$200=J$4),0),$E42-1973)</f>
        <v>#N/A</v>
      </c>
      <c r="K42" t="e" cm="1">
        <f t="array" ref="K42">INDEX('GMW - Baseline'!$A$2:$MC$200,MATCH(1,('GMW - Baseline'!$MC$2:$MC$200=K$3)*('GMW - Baseline'!$MB$2:$MB$200=K$4),0),$E42-1973)</f>
        <v>#N/A</v>
      </c>
      <c r="L42" t="e" cm="1">
        <f t="array" ref="L42">INDEX('GMW - Baseline'!$A$2:$MC$200,MATCH(1,('GMW - Baseline'!$MC$2:$MC$200=L$3)*('GMW - Baseline'!$MB$2:$MB$200=L$4),0),$E42-1973)</f>
        <v>#N/A</v>
      </c>
      <c r="M42" t="e" cm="1">
        <f t="array" ref="M42">INDEX('GMW - Baseline'!$A$2:$MC$200,MATCH(1,('GMW - Baseline'!$MC$2:$MC$200=M$3)*('GMW - Baseline'!$MB$2:$MB$200=M$4),0),$E42-1973)</f>
        <v>#N/A</v>
      </c>
      <c r="N42" t="e" cm="1">
        <f t="array" ref="N42">INDEX('GMW - Baseline'!$A$2:$MC$200,MATCH(1,('GMW - Baseline'!$MC$2:$MC$200=N$3)*('GMW - Baseline'!$MB$2:$MB$200=N$4),0),$E42-1973)</f>
        <v>#N/A</v>
      </c>
      <c r="O42" t="e" cm="1">
        <f t="array" ref="O42">INDEX('GMW - Baseline'!$A$2:$MC$200,MATCH(1,('GMW - Baseline'!$MC$2:$MC$200=O$3)*('GMW - Baseline'!$MB$2:$MB$200=O$4),0),$E42-1973)</f>
        <v>#N/A</v>
      </c>
      <c r="P42" t="e" cm="1">
        <f t="array" ref="P42">INDEX('GMW - Baseline'!$A$2:$MC$200,MATCH(1,('GMW - Baseline'!$MC$2:$MC$200=P$3)*('GMW - Baseline'!$MB$2:$MB$200=P$4),0),$E42-1973)</f>
        <v>#N/A</v>
      </c>
      <c r="Q42" t="e" cm="1">
        <f t="array" ref="Q42">INDEX('GMW - Baseline'!$A$2:$MC$200,MATCH(1,('GMW - Baseline'!$MC$2:$MC$200=Q$3)*('GMW - Baseline'!$MB$2:$MB$200=Q$4),0),$E42-1973)</f>
        <v>#N/A</v>
      </c>
      <c r="R42" t="e" cm="1">
        <f t="array" ref="R42">INDEX('GMW - Baseline'!$A$2:$MC$200,MATCH(1,('GMW - Baseline'!$MC$2:$MC$200=R$3)*('GMW - Baseline'!$MB$2:$MB$200=R$4),0),$E42-1973)</f>
        <v>#N/A</v>
      </c>
      <c r="S42" t="e" cm="1">
        <f t="array" ref="S42">INDEX('GMW - Baseline'!$A$2:$MC$200,MATCH(1,('GMW - Baseline'!$MC$2:$MC$200=S$3)*('GMW - Baseline'!$MB$2:$MB$200=S$4),0),$E42-1973)</f>
        <v>#N/A</v>
      </c>
      <c r="T42" t="e" cm="1">
        <f t="array" ref="T42">INDEX('GMW - Baseline'!$A$2:$MC$200,MATCH(1,('GMW - Baseline'!$MC$2:$MC$200=T$3)*('GMW - Baseline'!$MB$2:$MB$200=T$4),0),$E42-1973)</f>
        <v>#N/A</v>
      </c>
    </row>
    <row r="43" spans="1:20" x14ac:dyDescent="0.25">
      <c r="A43">
        <v>1989</v>
      </c>
      <c r="B43">
        <f t="shared" si="3"/>
        <v>1989</v>
      </c>
      <c r="C43">
        <f t="shared" si="3"/>
        <v>1988</v>
      </c>
      <c r="D43">
        <f t="shared" si="3"/>
        <v>1988</v>
      </c>
      <c r="E43">
        <f t="shared" si="1"/>
        <v>2016</v>
      </c>
      <c r="F43" cm="1">
        <f t="array" ref="F43">INDEX('GMW - Baseline'!$A$2:$MC$200,MATCH(1,('GMW - Baseline'!$MC$2:$MC$200=F$3)*('GMW - Baseline'!$MB$2:$MB$200=F$4),0),$E43-1973)</f>
        <v>374612</v>
      </c>
      <c r="G43" cm="1">
        <f t="array" ref="G43">INDEX('GMW - Baseline'!$A$2:$MC$200,MATCH(1,('GMW - Baseline'!$MC$2:$MC$200=G$3)*('GMW - Baseline'!$MB$2:$MB$200=G$4),0),$E43-1973)</f>
        <v>211167</v>
      </c>
      <c r="H43" cm="1">
        <f t="array" ref="H43">INDEX('GMW - Baseline'!$A$2:$MC$200,MATCH(1,('GMW - Baseline'!$MC$2:$MC$200=H$3)*('GMW - Baseline'!$MB$2:$MB$200=H$4),0),$E43-1973)</f>
        <v>51</v>
      </c>
      <c r="I43" cm="1">
        <f t="array" ref="I43">INDEX('GMW - Baseline'!$A$2:$MC$200,MATCH(1,('GMW - Baseline'!$MC$2:$MC$200=I$3)*('GMW - Baseline'!$MB$2:$MB$200=I$4),0),$E43-1973)</f>
        <v>12.875</v>
      </c>
      <c r="J43" t="e" cm="1">
        <f t="array" ref="J43">INDEX('GMW - Baseline'!$A$2:$MC$200,MATCH(1,('GMW - Baseline'!$MC$2:$MC$200=J$3)*('GMW - Baseline'!$MB$2:$MB$200=J$4),0),$E43-1973)</f>
        <v>#N/A</v>
      </c>
      <c r="K43" t="e" cm="1">
        <f t="array" ref="K43">INDEX('GMW - Baseline'!$A$2:$MC$200,MATCH(1,('GMW - Baseline'!$MC$2:$MC$200=K$3)*('GMW - Baseline'!$MB$2:$MB$200=K$4),0),$E43-1973)</f>
        <v>#N/A</v>
      </c>
      <c r="L43" t="e" cm="1">
        <f t="array" ref="L43">INDEX('GMW - Baseline'!$A$2:$MC$200,MATCH(1,('GMW - Baseline'!$MC$2:$MC$200=L$3)*('GMW - Baseline'!$MB$2:$MB$200=L$4),0),$E43-1973)</f>
        <v>#N/A</v>
      </c>
      <c r="M43" t="e" cm="1">
        <f t="array" ref="M43">INDEX('GMW - Baseline'!$A$2:$MC$200,MATCH(1,('GMW - Baseline'!$MC$2:$MC$200=M$3)*('GMW - Baseline'!$MB$2:$MB$200=M$4),0),$E43-1973)</f>
        <v>#N/A</v>
      </c>
      <c r="N43" t="e" cm="1">
        <f t="array" ref="N43">INDEX('GMW - Baseline'!$A$2:$MC$200,MATCH(1,('GMW - Baseline'!$MC$2:$MC$200=N$3)*('GMW - Baseline'!$MB$2:$MB$200=N$4),0),$E43-1973)</f>
        <v>#N/A</v>
      </c>
      <c r="O43" t="e" cm="1">
        <f t="array" ref="O43">INDEX('GMW - Baseline'!$A$2:$MC$200,MATCH(1,('GMW - Baseline'!$MC$2:$MC$200=O$3)*('GMW - Baseline'!$MB$2:$MB$200=O$4),0),$E43-1973)</f>
        <v>#N/A</v>
      </c>
      <c r="P43" t="e" cm="1">
        <f t="array" ref="P43">INDEX('GMW - Baseline'!$A$2:$MC$200,MATCH(1,('GMW - Baseline'!$MC$2:$MC$200=P$3)*('GMW - Baseline'!$MB$2:$MB$200=P$4),0),$E43-1973)</f>
        <v>#N/A</v>
      </c>
      <c r="Q43" t="e" cm="1">
        <f t="array" ref="Q43">INDEX('GMW - Baseline'!$A$2:$MC$200,MATCH(1,('GMW - Baseline'!$MC$2:$MC$200=Q$3)*('GMW - Baseline'!$MB$2:$MB$200=Q$4),0),$E43-1973)</f>
        <v>#N/A</v>
      </c>
      <c r="R43" t="e" cm="1">
        <f t="array" ref="R43">INDEX('GMW - Baseline'!$A$2:$MC$200,MATCH(1,('GMW - Baseline'!$MC$2:$MC$200=R$3)*('GMW - Baseline'!$MB$2:$MB$200=R$4),0),$E43-1973)</f>
        <v>#N/A</v>
      </c>
      <c r="S43" t="e" cm="1">
        <f t="array" ref="S43">INDEX('GMW - Baseline'!$A$2:$MC$200,MATCH(1,('GMW - Baseline'!$MC$2:$MC$200=S$3)*('GMW - Baseline'!$MB$2:$MB$200=S$4),0),$E43-1973)</f>
        <v>#N/A</v>
      </c>
      <c r="T43" t="e" cm="1">
        <f t="array" ref="T43">INDEX('GMW - Baseline'!$A$2:$MC$200,MATCH(1,('GMW - Baseline'!$MC$2:$MC$200=T$3)*('GMW - Baseline'!$MB$2:$MB$200=T$4),0),$E43-1973)</f>
        <v>#N/A</v>
      </c>
    </row>
    <row r="44" spans="1:20" x14ac:dyDescent="0.25">
      <c r="B44">
        <f t="shared" ref="B44:D59" si="4">+B40+1</f>
        <v>1989</v>
      </c>
      <c r="C44">
        <f t="shared" si="4"/>
        <v>1989</v>
      </c>
      <c r="E44">
        <f t="shared" si="1"/>
        <v>2017</v>
      </c>
      <c r="F44" cm="1">
        <f t="array" ref="F44">INDEX('GMW - Baseline'!$A$2:$MC$200,MATCH(1,('GMW - Baseline'!$MC$2:$MC$200=F$3)*('GMW - Baseline'!$MB$2:$MB$200=F$4),0),$E44-1973)</f>
        <v>376951</v>
      </c>
      <c r="G44" cm="1">
        <f t="array" ref="G44">INDEX('GMW - Baseline'!$A$2:$MC$200,MATCH(1,('GMW - Baseline'!$MC$2:$MC$200=G$3)*('GMW - Baseline'!$MB$2:$MB$200=G$4),0),$E44-1973)</f>
        <v>212989</v>
      </c>
      <c r="H44" cm="1">
        <f t="array" ref="H44">INDEX('GMW - Baseline'!$A$2:$MC$200,MATCH(1,('GMW - Baseline'!$MC$2:$MC$200=H$3)*('GMW - Baseline'!$MB$2:$MB$200=H$4),0),$E44-1973)</f>
        <v>52.133339999999997</v>
      </c>
      <c r="I44" cm="1">
        <f t="array" ref="I44">INDEX('GMW - Baseline'!$A$2:$MC$200,MATCH(1,('GMW - Baseline'!$MC$2:$MC$200=I$3)*('GMW - Baseline'!$MB$2:$MB$200=I$4),0),$E44-1973)</f>
        <v>13.23846</v>
      </c>
      <c r="J44" t="e" cm="1">
        <f t="array" ref="J44">INDEX('GMW - Baseline'!$A$2:$MC$200,MATCH(1,('GMW - Baseline'!$MC$2:$MC$200=J$3)*('GMW - Baseline'!$MB$2:$MB$200=J$4),0),$E44-1973)</f>
        <v>#N/A</v>
      </c>
      <c r="K44" t="e" cm="1">
        <f t="array" ref="K44">INDEX('GMW - Baseline'!$A$2:$MC$200,MATCH(1,('GMW - Baseline'!$MC$2:$MC$200=K$3)*('GMW - Baseline'!$MB$2:$MB$200=K$4),0),$E44-1973)</f>
        <v>#N/A</v>
      </c>
      <c r="L44" t="e" cm="1">
        <f t="array" ref="L44">INDEX('GMW - Baseline'!$A$2:$MC$200,MATCH(1,('GMW - Baseline'!$MC$2:$MC$200=L$3)*('GMW - Baseline'!$MB$2:$MB$200=L$4),0),$E44-1973)</f>
        <v>#N/A</v>
      </c>
      <c r="M44" t="e" cm="1">
        <f t="array" ref="M44">INDEX('GMW - Baseline'!$A$2:$MC$200,MATCH(1,('GMW - Baseline'!$MC$2:$MC$200=M$3)*('GMW - Baseline'!$MB$2:$MB$200=M$4),0),$E44-1973)</f>
        <v>#N/A</v>
      </c>
      <c r="N44" t="e" cm="1">
        <f t="array" ref="N44">INDEX('GMW - Baseline'!$A$2:$MC$200,MATCH(1,('GMW - Baseline'!$MC$2:$MC$200=N$3)*('GMW - Baseline'!$MB$2:$MB$200=N$4),0),$E44-1973)</f>
        <v>#N/A</v>
      </c>
      <c r="O44" t="e" cm="1">
        <f t="array" ref="O44">INDEX('GMW - Baseline'!$A$2:$MC$200,MATCH(1,('GMW - Baseline'!$MC$2:$MC$200=O$3)*('GMW - Baseline'!$MB$2:$MB$200=O$4),0),$E44-1973)</f>
        <v>#N/A</v>
      </c>
      <c r="P44" t="e" cm="1">
        <f t="array" ref="P44">INDEX('GMW - Baseline'!$A$2:$MC$200,MATCH(1,('GMW - Baseline'!$MC$2:$MC$200=P$3)*('GMW - Baseline'!$MB$2:$MB$200=P$4),0),$E44-1973)</f>
        <v>#N/A</v>
      </c>
      <c r="Q44" t="e" cm="1">
        <f t="array" ref="Q44">INDEX('GMW - Baseline'!$A$2:$MC$200,MATCH(1,('GMW - Baseline'!$MC$2:$MC$200=Q$3)*('GMW - Baseline'!$MB$2:$MB$200=Q$4),0),$E44-1973)</f>
        <v>#N/A</v>
      </c>
      <c r="R44" t="e" cm="1">
        <f t="array" ref="R44">INDEX('GMW - Baseline'!$A$2:$MC$200,MATCH(1,('GMW - Baseline'!$MC$2:$MC$200=R$3)*('GMW - Baseline'!$MB$2:$MB$200=R$4),0),$E44-1973)</f>
        <v>#N/A</v>
      </c>
      <c r="S44" t="e" cm="1">
        <f t="array" ref="S44">INDEX('GMW - Baseline'!$A$2:$MC$200,MATCH(1,('GMW - Baseline'!$MC$2:$MC$200=S$3)*('GMW - Baseline'!$MB$2:$MB$200=S$4),0),$E44-1973)</f>
        <v>#N/A</v>
      </c>
      <c r="T44" t="e" cm="1">
        <f t="array" ref="T44">INDEX('GMW - Baseline'!$A$2:$MC$200,MATCH(1,('GMW - Baseline'!$MC$2:$MC$200=T$3)*('GMW - Baseline'!$MB$2:$MB$200=T$4),0),$E44-1973)</f>
        <v>#N/A</v>
      </c>
    </row>
    <row r="45" spans="1:20" x14ac:dyDescent="0.25">
      <c r="B45">
        <f t="shared" si="4"/>
        <v>1989</v>
      </c>
      <c r="C45">
        <f t="shared" si="4"/>
        <v>1989</v>
      </c>
      <c r="E45">
        <f t="shared" si="1"/>
        <v>2018</v>
      </c>
      <c r="F45" cm="1">
        <f t="array" ref="F45">INDEX('GMW - Baseline'!$A$2:$MC$200,MATCH(1,('GMW - Baseline'!$MC$2:$MC$200=F$3)*('GMW - Baseline'!$MB$2:$MB$200=F$4),0),$E45-1973)</f>
        <v>377573</v>
      </c>
      <c r="G45" cm="1">
        <f t="array" ref="G45">INDEX('GMW - Baseline'!$A$2:$MC$200,MATCH(1,('GMW - Baseline'!$MC$2:$MC$200=G$3)*('GMW - Baseline'!$MB$2:$MB$200=G$4),0),$E45-1973)</f>
        <v>212810</v>
      </c>
      <c r="H45" cm="1">
        <f t="array" ref="H45">INDEX('GMW - Baseline'!$A$2:$MC$200,MATCH(1,('GMW - Baseline'!$MC$2:$MC$200=H$3)*('GMW - Baseline'!$MB$2:$MB$200=H$4),0),$E45-1973)</f>
        <v>52.466670000000001</v>
      </c>
      <c r="I45" cm="1">
        <f t="array" ref="I45">INDEX('GMW - Baseline'!$A$2:$MC$200,MATCH(1,('GMW - Baseline'!$MC$2:$MC$200=I$3)*('GMW - Baseline'!$MB$2:$MB$200=I$4),0),$E45-1973)</f>
        <v>13.760579999999999</v>
      </c>
      <c r="J45" t="e" cm="1">
        <f t="array" ref="J45">INDEX('GMW - Baseline'!$A$2:$MC$200,MATCH(1,('GMW - Baseline'!$MC$2:$MC$200=J$3)*('GMW - Baseline'!$MB$2:$MB$200=J$4),0),$E45-1973)</f>
        <v>#N/A</v>
      </c>
      <c r="K45" t="e" cm="1">
        <f t="array" ref="K45">INDEX('GMW - Baseline'!$A$2:$MC$200,MATCH(1,('GMW - Baseline'!$MC$2:$MC$200=K$3)*('GMW - Baseline'!$MB$2:$MB$200=K$4),0),$E45-1973)</f>
        <v>#N/A</v>
      </c>
      <c r="L45" t="e" cm="1">
        <f t="array" ref="L45">INDEX('GMW - Baseline'!$A$2:$MC$200,MATCH(1,('GMW - Baseline'!$MC$2:$MC$200=L$3)*('GMW - Baseline'!$MB$2:$MB$200=L$4),0),$E45-1973)</f>
        <v>#N/A</v>
      </c>
      <c r="M45" t="e" cm="1">
        <f t="array" ref="M45">INDEX('GMW - Baseline'!$A$2:$MC$200,MATCH(1,('GMW - Baseline'!$MC$2:$MC$200=M$3)*('GMW - Baseline'!$MB$2:$MB$200=M$4),0),$E45-1973)</f>
        <v>#N/A</v>
      </c>
      <c r="N45" t="e" cm="1">
        <f t="array" ref="N45">INDEX('GMW - Baseline'!$A$2:$MC$200,MATCH(1,('GMW - Baseline'!$MC$2:$MC$200=N$3)*('GMW - Baseline'!$MB$2:$MB$200=N$4),0),$E45-1973)</f>
        <v>#N/A</v>
      </c>
      <c r="O45" t="e" cm="1">
        <f t="array" ref="O45">INDEX('GMW - Baseline'!$A$2:$MC$200,MATCH(1,('GMW - Baseline'!$MC$2:$MC$200=O$3)*('GMW - Baseline'!$MB$2:$MB$200=O$4),0),$E45-1973)</f>
        <v>#N/A</v>
      </c>
      <c r="P45" t="e" cm="1">
        <f t="array" ref="P45">INDEX('GMW - Baseline'!$A$2:$MC$200,MATCH(1,('GMW - Baseline'!$MC$2:$MC$200=P$3)*('GMW - Baseline'!$MB$2:$MB$200=P$4),0),$E45-1973)</f>
        <v>#N/A</v>
      </c>
      <c r="Q45" t="e" cm="1">
        <f t="array" ref="Q45">INDEX('GMW - Baseline'!$A$2:$MC$200,MATCH(1,('GMW - Baseline'!$MC$2:$MC$200=Q$3)*('GMW - Baseline'!$MB$2:$MB$200=Q$4),0),$E45-1973)</f>
        <v>#N/A</v>
      </c>
      <c r="R45" t="e" cm="1">
        <f t="array" ref="R45">INDEX('GMW - Baseline'!$A$2:$MC$200,MATCH(1,('GMW - Baseline'!$MC$2:$MC$200=R$3)*('GMW - Baseline'!$MB$2:$MB$200=R$4),0),$E45-1973)</f>
        <v>#N/A</v>
      </c>
      <c r="S45" t="e" cm="1">
        <f t="array" ref="S45">INDEX('GMW - Baseline'!$A$2:$MC$200,MATCH(1,('GMW - Baseline'!$MC$2:$MC$200=S$3)*('GMW - Baseline'!$MB$2:$MB$200=S$4),0),$E45-1973)</f>
        <v>#N/A</v>
      </c>
      <c r="T45" t="e" cm="1">
        <f t="array" ref="T45">INDEX('GMW - Baseline'!$A$2:$MC$200,MATCH(1,('GMW - Baseline'!$MC$2:$MC$200=T$3)*('GMW - Baseline'!$MB$2:$MB$200=T$4),0),$E45-1973)</f>
        <v>#N/A</v>
      </c>
    </row>
    <row r="46" spans="1:20" x14ac:dyDescent="0.25">
      <c r="B46">
        <f t="shared" si="4"/>
        <v>1989</v>
      </c>
      <c r="C46">
        <f t="shared" si="4"/>
        <v>1989</v>
      </c>
      <c r="E46">
        <f t="shared" si="1"/>
        <v>2019</v>
      </c>
      <c r="F46" cm="1">
        <f t="array" ref="F46">INDEX('GMW - Baseline'!$A$2:$MC$200,MATCH(1,('GMW - Baseline'!$MC$2:$MC$200=F$3)*('GMW - Baseline'!$MB$2:$MB$200=F$4),0),$E46-1973)</f>
        <v>377508</v>
      </c>
      <c r="G46" cm="1">
        <f t="array" ref="G46">INDEX('GMW - Baseline'!$A$2:$MC$200,MATCH(1,('GMW - Baseline'!$MC$2:$MC$200=G$3)*('GMW - Baseline'!$MB$2:$MB$200=G$4),0),$E46-1973)</f>
        <v>213685</v>
      </c>
      <c r="H46" cm="1">
        <f t="array" ref="H46">INDEX('GMW - Baseline'!$A$2:$MC$200,MATCH(1,('GMW - Baseline'!$MC$2:$MC$200=H$3)*('GMW - Baseline'!$MB$2:$MB$200=H$4),0),$E46-1973)</f>
        <v>53.266669999999998</v>
      </c>
      <c r="I46" cm="1">
        <f t="array" ref="I46">INDEX('GMW - Baseline'!$A$2:$MC$200,MATCH(1,('GMW - Baseline'!$MC$2:$MC$200=I$3)*('GMW - Baseline'!$MB$2:$MB$200=I$4),0),$E46-1973)</f>
        <v>14.805770000000001</v>
      </c>
      <c r="J46" t="e" cm="1">
        <f t="array" ref="J46">INDEX('GMW - Baseline'!$A$2:$MC$200,MATCH(1,('GMW - Baseline'!$MC$2:$MC$200=J$3)*('GMW - Baseline'!$MB$2:$MB$200=J$4),0),$E46-1973)</f>
        <v>#N/A</v>
      </c>
      <c r="K46" t="e" cm="1">
        <f t="array" ref="K46">INDEX('GMW - Baseline'!$A$2:$MC$200,MATCH(1,('GMW - Baseline'!$MC$2:$MC$200=K$3)*('GMW - Baseline'!$MB$2:$MB$200=K$4),0),$E46-1973)</f>
        <v>#N/A</v>
      </c>
      <c r="L46" t="e" cm="1">
        <f t="array" ref="L46">INDEX('GMW - Baseline'!$A$2:$MC$200,MATCH(1,('GMW - Baseline'!$MC$2:$MC$200=L$3)*('GMW - Baseline'!$MB$2:$MB$200=L$4),0),$E46-1973)</f>
        <v>#N/A</v>
      </c>
      <c r="M46" t="e" cm="1">
        <f t="array" ref="M46">INDEX('GMW - Baseline'!$A$2:$MC$200,MATCH(1,('GMW - Baseline'!$MC$2:$MC$200=M$3)*('GMW - Baseline'!$MB$2:$MB$200=M$4),0),$E46-1973)</f>
        <v>#N/A</v>
      </c>
      <c r="N46" t="e" cm="1">
        <f t="array" ref="N46">INDEX('GMW - Baseline'!$A$2:$MC$200,MATCH(1,('GMW - Baseline'!$MC$2:$MC$200=N$3)*('GMW - Baseline'!$MB$2:$MB$200=N$4),0),$E46-1973)</f>
        <v>#N/A</v>
      </c>
      <c r="O46" t="e" cm="1">
        <f t="array" ref="O46">INDEX('GMW - Baseline'!$A$2:$MC$200,MATCH(1,('GMW - Baseline'!$MC$2:$MC$200=O$3)*('GMW - Baseline'!$MB$2:$MB$200=O$4),0),$E46-1973)</f>
        <v>#N/A</v>
      </c>
      <c r="P46" t="e" cm="1">
        <f t="array" ref="P46">INDEX('GMW - Baseline'!$A$2:$MC$200,MATCH(1,('GMW - Baseline'!$MC$2:$MC$200=P$3)*('GMW - Baseline'!$MB$2:$MB$200=P$4),0),$E46-1973)</f>
        <v>#N/A</v>
      </c>
      <c r="Q46" t="e" cm="1">
        <f t="array" ref="Q46">INDEX('GMW - Baseline'!$A$2:$MC$200,MATCH(1,('GMW - Baseline'!$MC$2:$MC$200=Q$3)*('GMW - Baseline'!$MB$2:$MB$200=Q$4),0),$E46-1973)</f>
        <v>#N/A</v>
      </c>
      <c r="R46" t="e" cm="1">
        <f t="array" ref="R46">INDEX('GMW - Baseline'!$A$2:$MC$200,MATCH(1,('GMW - Baseline'!$MC$2:$MC$200=R$3)*('GMW - Baseline'!$MB$2:$MB$200=R$4),0),$E46-1973)</f>
        <v>#N/A</v>
      </c>
      <c r="S46" t="e" cm="1">
        <f t="array" ref="S46">INDEX('GMW - Baseline'!$A$2:$MC$200,MATCH(1,('GMW - Baseline'!$MC$2:$MC$200=S$3)*('GMW - Baseline'!$MB$2:$MB$200=S$4),0),$E46-1973)</f>
        <v>#N/A</v>
      </c>
      <c r="T46" t="e" cm="1">
        <f t="array" ref="T46">INDEX('GMW - Baseline'!$A$2:$MC$200,MATCH(1,('GMW - Baseline'!$MC$2:$MC$200=T$3)*('GMW - Baseline'!$MB$2:$MB$200=T$4),0),$E46-1973)</f>
        <v>#N/A</v>
      </c>
    </row>
    <row r="47" spans="1:20" x14ac:dyDescent="0.25">
      <c r="A47">
        <v>1990</v>
      </c>
      <c r="B47">
        <f t="shared" si="4"/>
        <v>1990</v>
      </c>
      <c r="C47">
        <f t="shared" si="4"/>
        <v>1989</v>
      </c>
      <c r="D47">
        <f t="shared" si="4"/>
        <v>1989</v>
      </c>
      <c r="E47">
        <f t="shared" si="1"/>
        <v>2020</v>
      </c>
      <c r="F47" cm="1">
        <f t="array" ref="F47">INDEX('GMW - Baseline'!$A$2:$MC$200,MATCH(1,('GMW - Baseline'!$MC$2:$MC$200=F$3)*('GMW - Baseline'!$MB$2:$MB$200=F$4),0),$E47-1973)</f>
        <v>379458</v>
      </c>
      <c r="G47" cm="1">
        <f t="array" ref="G47">INDEX('GMW - Baseline'!$A$2:$MC$200,MATCH(1,('GMW - Baseline'!$MC$2:$MC$200=G$3)*('GMW - Baseline'!$MB$2:$MB$200=G$4),0),$E47-1973)</f>
        <v>215861</v>
      </c>
      <c r="H47" cm="1">
        <f t="array" ref="H47">INDEX('GMW - Baseline'!$A$2:$MC$200,MATCH(1,('GMW - Baseline'!$MC$2:$MC$200=H$3)*('GMW - Baseline'!$MB$2:$MB$200=H$4),0),$E47-1973)</f>
        <v>53.933329999999998</v>
      </c>
      <c r="I47" cm="1">
        <f t="array" ref="I47">INDEX('GMW - Baseline'!$A$2:$MC$200,MATCH(1,('GMW - Baseline'!$MC$2:$MC$200=I$3)*('GMW - Baseline'!$MB$2:$MB$200=I$4),0),$E47-1973)</f>
        <v>14.875</v>
      </c>
      <c r="J47" t="e" cm="1">
        <f t="array" ref="J47">INDEX('GMW - Baseline'!$A$2:$MC$200,MATCH(1,('GMW - Baseline'!$MC$2:$MC$200=J$3)*('GMW - Baseline'!$MB$2:$MB$200=J$4),0),$E47-1973)</f>
        <v>#N/A</v>
      </c>
      <c r="K47" t="e" cm="1">
        <f t="array" ref="K47">INDEX('GMW - Baseline'!$A$2:$MC$200,MATCH(1,('GMW - Baseline'!$MC$2:$MC$200=K$3)*('GMW - Baseline'!$MB$2:$MB$200=K$4),0),$E47-1973)</f>
        <v>#N/A</v>
      </c>
      <c r="L47" t="e" cm="1">
        <f t="array" ref="L47">INDEX('GMW - Baseline'!$A$2:$MC$200,MATCH(1,('GMW - Baseline'!$MC$2:$MC$200=L$3)*('GMW - Baseline'!$MB$2:$MB$200=L$4),0),$E47-1973)</f>
        <v>#N/A</v>
      </c>
      <c r="M47" t="e" cm="1">
        <f t="array" ref="M47">INDEX('GMW - Baseline'!$A$2:$MC$200,MATCH(1,('GMW - Baseline'!$MC$2:$MC$200=M$3)*('GMW - Baseline'!$MB$2:$MB$200=M$4),0),$E47-1973)</f>
        <v>#N/A</v>
      </c>
      <c r="N47" t="e" cm="1">
        <f t="array" ref="N47">INDEX('GMW - Baseline'!$A$2:$MC$200,MATCH(1,('GMW - Baseline'!$MC$2:$MC$200=N$3)*('GMW - Baseline'!$MB$2:$MB$200=N$4),0),$E47-1973)</f>
        <v>#N/A</v>
      </c>
      <c r="O47" t="e" cm="1">
        <f t="array" ref="O47">INDEX('GMW - Baseline'!$A$2:$MC$200,MATCH(1,('GMW - Baseline'!$MC$2:$MC$200=O$3)*('GMW - Baseline'!$MB$2:$MB$200=O$4),0),$E47-1973)</f>
        <v>#N/A</v>
      </c>
      <c r="P47" t="e" cm="1">
        <f t="array" ref="P47">INDEX('GMW - Baseline'!$A$2:$MC$200,MATCH(1,('GMW - Baseline'!$MC$2:$MC$200=P$3)*('GMW - Baseline'!$MB$2:$MB$200=P$4),0),$E47-1973)</f>
        <v>#N/A</v>
      </c>
      <c r="Q47" t="e" cm="1">
        <f t="array" ref="Q47">INDEX('GMW - Baseline'!$A$2:$MC$200,MATCH(1,('GMW - Baseline'!$MC$2:$MC$200=Q$3)*('GMW - Baseline'!$MB$2:$MB$200=Q$4),0),$E47-1973)</f>
        <v>#N/A</v>
      </c>
      <c r="R47" t="e" cm="1">
        <f t="array" ref="R47">INDEX('GMW - Baseline'!$A$2:$MC$200,MATCH(1,('GMW - Baseline'!$MC$2:$MC$200=R$3)*('GMW - Baseline'!$MB$2:$MB$200=R$4),0),$E47-1973)</f>
        <v>#N/A</v>
      </c>
      <c r="S47" t="e" cm="1">
        <f t="array" ref="S47">INDEX('GMW - Baseline'!$A$2:$MC$200,MATCH(1,('GMW - Baseline'!$MC$2:$MC$200=S$3)*('GMW - Baseline'!$MB$2:$MB$200=S$4),0),$E47-1973)</f>
        <v>#N/A</v>
      </c>
      <c r="T47" t="e" cm="1">
        <f t="array" ref="T47">INDEX('GMW - Baseline'!$A$2:$MC$200,MATCH(1,('GMW - Baseline'!$MC$2:$MC$200=T$3)*('GMW - Baseline'!$MB$2:$MB$200=T$4),0),$E47-1973)</f>
        <v>#N/A</v>
      </c>
    </row>
    <row r="48" spans="1:20" x14ac:dyDescent="0.25">
      <c r="B48">
        <f t="shared" si="4"/>
        <v>1990</v>
      </c>
      <c r="C48">
        <f t="shared" si="4"/>
        <v>1990</v>
      </c>
      <c r="E48">
        <f t="shared" si="1"/>
        <v>2021</v>
      </c>
      <c r="F48" cm="1">
        <f t="array" ref="F48">INDEX('GMW - Baseline'!$A$2:$MC$200,MATCH(1,('GMW - Baseline'!$MC$2:$MC$200=F$3)*('GMW - Baseline'!$MB$2:$MB$200=F$4),0),$E48-1973)</f>
        <v>381997</v>
      </c>
      <c r="G48" cm="1">
        <f t="array" ref="G48">INDEX('GMW - Baseline'!$A$2:$MC$200,MATCH(1,('GMW - Baseline'!$MC$2:$MC$200=G$3)*('GMW - Baseline'!$MB$2:$MB$200=G$4),0),$E48-1973)</f>
        <v>216571</v>
      </c>
      <c r="H48" cm="1">
        <f t="array" ref="H48">INDEX('GMW - Baseline'!$A$2:$MC$200,MATCH(1,('GMW - Baseline'!$MC$2:$MC$200=H$3)*('GMW - Baseline'!$MB$2:$MB$200=H$4),0),$E48-1973)</f>
        <v>55.6</v>
      </c>
      <c r="I48" cm="1">
        <f t="array" ref="I48">INDEX('GMW - Baseline'!$A$2:$MC$200,MATCH(1,('GMW - Baseline'!$MC$2:$MC$200=I$3)*('GMW - Baseline'!$MB$2:$MB$200=I$4),0),$E48-1973)</f>
        <v>14.875</v>
      </c>
      <c r="J48" t="e" cm="1">
        <f t="array" ref="J48">INDEX('GMW - Baseline'!$A$2:$MC$200,MATCH(1,('GMW - Baseline'!$MC$2:$MC$200=J$3)*('GMW - Baseline'!$MB$2:$MB$200=J$4),0),$E48-1973)</f>
        <v>#N/A</v>
      </c>
      <c r="K48" t="e" cm="1">
        <f t="array" ref="K48">INDEX('GMW - Baseline'!$A$2:$MC$200,MATCH(1,('GMW - Baseline'!$MC$2:$MC$200=K$3)*('GMW - Baseline'!$MB$2:$MB$200=K$4),0),$E48-1973)</f>
        <v>#N/A</v>
      </c>
      <c r="L48" t="e" cm="1">
        <f t="array" ref="L48">INDEX('GMW - Baseline'!$A$2:$MC$200,MATCH(1,('GMW - Baseline'!$MC$2:$MC$200=L$3)*('GMW - Baseline'!$MB$2:$MB$200=L$4),0),$E48-1973)</f>
        <v>#N/A</v>
      </c>
      <c r="M48" t="e" cm="1">
        <f t="array" ref="M48">INDEX('GMW - Baseline'!$A$2:$MC$200,MATCH(1,('GMW - Baseline'!$MC$2:$MC$200=M$3)*('GMW - Baseline'!$MB$2:$MB$200=M$4),0),$E48-1973)</f>
        <v>#N/A</v>
      </c>
      <c r="N48" t="e" cm="1">
        <f t="array" ref="N48">INDEX('GMW - Baseline'!$A$2:$MC$200,MATCH(1,('GMW - Baseline'!$MC$2:$MC$200=N$3)*('GMW - Baseline'!$MB$2:$MB$200=N$4),0),$E48-1973)</f>
        <v>#N/A</v>
      </c>
      <c r="O48" t="e" cm="1">
        <f t="array" ref="O48">INDEX('GMW - Baseline'!$A$2:$MC$200,MATCH(1,('GMW - Baseline'!$MC$2:$MC$200=O$3)*('GMW - Baseline'!$MB$2:$MB$200=O$4),0),$E48-1973)</f>
        <v>#N/A</v>
      </c>
      <c r="P48" t="e" cm="1">
        <f t="array" ref="P48">INDEX('GMW - Baseline'!$A$2:$MC$200,MATCH(1,('GMW - Baseline'!$MC$2:$MC$200=P$3)*('GMW - Baseline'!$MB$2:$MB$200=P$4),0),$E48-1973)</f>
        <v>#N/A</v>
      </c>
      <c r="Q48" t="e" cm="1">
        <f t="array" ref="Q48">INDEX('GMW - Baseline'!$A$2:$MC$200,MATCH(1,('GMW - Baseline'!$MC$2:$MC$200=Q$3)*('GMW - Baseline'!$MB$2:$MB$200=Q$4),0),$E48-1973)</f>
        <v>#N/A</v>
      </c>
      <c r="R48" t="e" cm="1">
        <f t="array" ref="R48">INDEX('GMW - Baseline'!$A$2:$MC$200,MATCH(1,('GMW - Baseline'!$MC$2:$MC$200=R$3)*('GMW - Baseline'!$MB$2:$MB$200=R$4),0),$E48-1973)</f>
        <v>#N/A</v>
      </c>
      <c r="S48" t="e" cm="1">
        <f t="array" ref="S48">INDEX('GMW - Baseline'!$A$2:$MC$200,MATCH(1,('GMW - Baseline'!$MC$2:$MC$200=S$3)*('GMW - Baseline'!$MB$2:$MB$200=S$4),0),$E48-1973)</f>
        <v>#N/A</v>
      </c>
      <c r="T48" t="e" cm="1">
        <f t="array" ref="T48">INDEX('GMW - Baseline'!$A$2:$MC$200,MATCH(1,('GMW - Baseline'!$MC$2:$MC$200=T$3)*('GMW - Baseline'!$MB$2:$MB$200=T$4),0),$E48-1973)</f>
        <v>#N/A</v>
      </c>
    </row>
    <row r="49" spans="1:20" x14ac:dyDescent="0.25">
      <c r="B49">
        <f t="shared" si="4"/>
        <v>1990</v>
      </c>
      <c r="C49">
        <f t="shared" si="4"/>
        <v>1990</v>
      </c>
      <c r="E49">
        <f t="shared" si="1"/>
        <v>2022</v>
      </c>
      <c r="F49" cm="1">
        <f t="array" ref="F49">INDEX('GMW - Baseline'!$A$2:$MC$200,MATCH(1,('GMW - Baseline'!$MC$2:$MC$200=F$3)*('GMW - Baseline'!$MB$2:$MB$200=F$4),0),$E49-1973)</f>
        <v>377831</v>
      </c>
      <c r="G49" cm="1">
        <f t="array" ref="G49">INDEX('GMW - Baseline'!$A$2:$MC$200,MATCH(1,('GMW - Baseline'!$MC$2:$MC$200=G$3)*('GMW - Baseline'!$MB$2:$MB$200=G$4),0),$E49-1973)</f>
        <v>215211</v>
      </c>
      <c r="H49" cm="1">
        <f t="array" ref="H49">INDEX('GMW - Baseline'!$A$2:$MC$200,MATCH(1,('GMW - Baseline'!$MC$2:$MC$200=H$3)*('GMW - Baseline'!$MB$2:$MB$200=H$4),0),$E49-1973)</f>
        <v>56.4</v>
      </c>
      <c r="I49" cm="1">
        <f t="array" ref="I49">INDEX('GMW - Baseline'!$A$2:$MC$200,MATCH(1,('GMW - Baseline'!$MC$2:$MC$200=I$3)*('GMW - Baseline'!$MB$2:$MB$200=I$4),0),$E49-1973)</f>
        <v>14.875</v>
      </c>
      <c r="J49" t="e" cm="1">
        <f t="array" ref="J49">INDEX('GMW - Baseline'!$A$2:$MC$200,MATCH(1,('GMW - Baseline'!$MC$2:$MC$200=J$3)*('GMW - Baseline'!$MB$2:$MB$200=J$4),0),$E49-1973)</f>
        <v>#N/A</v>
      </c>
      <c r="K49" t="e" cm="1">
        <f t="array" ref="K49">INDEX('GMW - Baseline'!$A$2:$MC$200,MATCH(1,('GMW - Baseline'!$MC$2:$MC$200=K$3)*('GMW - Baseline'!$MB$2:$MB$200=K$4),0),$E49-1973)</f>
        <v>#N/A</v>
      </c>
      <c r="L49" t="e" cm="1">
        <f t="array" ref="L49">INDEX('GMW - Baseline'!$A$2:$MC$200,MATCH(1,('GMW - Baseline'!$MC$2:$MC$200=L$3)*('GMW - Baseline'!$MB$2:$MB$200=L$4),0),$E49-1973)</f>
        <v>#N/A</v>
      </c>
      <c r="M49" t="e" cm="1">
        <f t="array" ref="M49">INDEX('GMW - Baseline'!$A$2:$MC$200,MATCH(1,('GMW - Baseline'!$MC$2:$MC$200=M$3)*('GMW - Baseline'!$MB$2:$MB$200=M$4),0),$E49-1973)</f>
        <v>#N/A</v>
      </c>
      <c r="N49" t="e" cm="1">
        <f t="array" ref="N49">INDEX('GMW - Baseline'!$A$2:$MC$200,MATCH(1,('GMW - Baseline'!$MC$2:$MC$200=N$3)*('GMW - Baseline'!$MB$2:$MB$200=N$4),0),$E49-1973)</f>
        <v>#N/A</v>
      </c>
      <c r="O49" t="e" cm="1">
        <f t="array" ref="O49">INDEX('GMW - Baseline'!$A$2:$MC$200,MATCH(1,('GMW - Baseline'!$MC$2:$MC$200=O$3)*('GMW - Baseline'!$MB$2:$MB$200=O$4),0),$E49-1973)</f>
        <v>#N/A</v>
      </c>
      <c r="P49" t="e" cm="1">
        <f t="array" ref="P49">INDEX('GMW - Baseline'!$A$2:$MC$200,MATCH(1,('GMW - Baseline'!$MC$2:$MC$200=P$3)*('GMW - Baseline'!$MB$2:$MB$200=P$4),0),$E49-1973)</f>
        <v>#N/A</v>
      </c>
      <c r="Q49" t="e" cm="1">
        <f t="array" ref="Q49">INDEX('GMW - Baseline'!$A$2:$MC$200,MATCH(1,('GMW - Baseline'!$MC$2:$MC$200=Q$3)*('GMW - Baseline'!$MB$2:$MB$200=Q$4),0),$E49-1973)</f>
        <v>#N/A</v>
      </c>
      <c r="R49" t="e" cm="1">
        <f t="array" ref="R49">INDEX('GMW - Baseline'!$A$2:$MC$200,MATCH(1,('GMW - Baseline'!$MC$2:$MC$200=R$3)*('GMW - Baseline'!$MB$2:$MB$200=R$4),0),$E49-1973)</f>
        <v>#N/A</v>
      </c>
      <c r="S49" t="e" cm="1">
        <f t="array" ref="S49">INDEX('GMW - Baseline'!$A$2:$MC$200,MATCH(1,('GMW - Baseline'!$MC$2:$MC$200=S$3)*('GMW - Baseline'!$MB$2:$MB$200=S$4),0),$E49-1973)</f>
        <v>#N/A</v>
      </c>
      <c r="T49" t="e" cm="1">
        <f t="array" ref="T49">INDEX('GMW - Baseline'!$A$2:$MC$200,MATCH(1,('GMW - Baseline'!$MC$2:$MC$200=T$3)*('GMW - Baseline'!$MB$2:$MB$200=T$4),0),$E49-1973)</f>
        <v>#N/A</v>
      </c>
    </row>
    <row r="50" spans="1:20" x14ac:dyDescent="0.25">
      <c r="B50">
        <f t="shared" si="4"/>
        <v>1990</v>
      </c>
      <c r="C50">
        <f t="shared" si="4"/>
        <v>1990</v>
      </c>
      <c r="E50">
        <f t="shared" si="1"/>
        <v>2023</v>
      </c>
      <c r="F50" cm="1">
        <f t="array" ref="F50">INDEX('GMW - Baseline'!$A$2:$MC$200,MATCH(1,('GMW - Baseline'!$MC$2:$MC$200=F$3)*('GMW - Baseline'!$MB$2:$MB$200=F$4),0),$E50-1973)</f>
        <v>375916</v>
      </c>
      <c r="G50" cm="1">
        <f t="array" ref="G50">INDEX('GMW - Baseline'!$A$2:$MC$200,MATCH(1,('GMW - Baseline'!$MC$2:$MC$200=G$3)*('GMW - Baseline'!$MB$2:$MB$200=G$4),0),$E50-1973)</f>
        <v>215007</v>
      </c>
      <c r="H50" cm="1">
        <f t="array" ref="H50">INDEX('GMW - Baseline'!$A$2:$MC$200,MATCH(1,('GMW - Baseline'!$MC$2:$MC$200=H$3)*('GMW - Baseline'!$MB$2:$MB$200=H$4),0),$E50-1973)</f>
        <v>57.466670000000001</v>
      </c>
      <c r="I50" cm="1">
        <f t="array" ref="I50">INDEX('GMW - Baseline'!$A$2:$MC$200,MATCH(1,('GMW - Baseline'!$MC$2:$MC$200=I$3)*('GMW - Baseline'!$MB$2:$MB$200=I$4),0),$E50-1973)</f>
        <v>13.950760000000001</v>
      </c>
      <c r="J50" t="e" cm="1">
        <f t="array" ref="J50">INDEX('GMW - Baseline'!$A$2:$MC$200,MATCH(1,('GMW - Baseline'!$MC$2:$MC$200=J$3)*('GMW - Baseline'!$MB$2:$MB$200=J$4),0),$E50-1973)</f>
        <v>#N/A</v>
      </c>
      <c r="K50" t="e" cm="1">
        <f t="array" ref="K50">INDEX('GMW - Baseline'!$A$2:$MC$200,MATCH(1,('GMW - Baseline'!$MC$2:$MC$200=K$3)*('GMW - Baseline'!$MB$2:$MB$200=K$4),0),$E50-1973)</f>
        <v>#N/A</v>
      </c>
      <c r="L50" t="e" cm="1">
        <f t="array" ref="L50">INDEX('GMW - Baseline'!$A$2:$MC$200,MATCH(1,('GMW - Baseline'!$MC$2:$MC$200=L$3)*('GMW - Baseline'!$MB$2:$MB$200=L$4),0),$E50-1973)</f>
        <v>#N/A</v>
      </c>
      <c r="M50" t="e" cm="1">
        <f t="array" ref="M50">INDEX('GMW - Baseline'!$A$2:$MC$200,MATCH(1,('GMW - Baseline'!$MC$2:$MC$200=M$3)*('GMW - Baseline'!$MB$2:$MB$200=M$4),0),$E50-1973)</f>
        <v>#N/A</v>
      </c>
      <c r="N50" t="e" cm="1">
        <f t="array" ref="N50">INDEX('GMW - Baseline'!$A$2:$MC$200,MATCH(1,('GMW - Baseline'!$MC$2:$MC$200=N$3)*('GMW - Baseline'!$MB$2:$MB$200=N$4),0),$E50-1973)</f>
        <v>#N/A</v>
      </c>
      <c r="O50" t="e" cm="1">
        <f t="array" ref="O50">INDEX('GMW - Baseline'!$A$2:$MC$200,MATCH(1,('GMW - Baseline'!$MC$2:$MC$200=O$3)*('GMW - Baseline'!$MB$2:$MB$200=O$4),0),$E50-1973)</f>
        <v>#N/A</v>
      </c>
      <c r="P50" t="e" cm="1">
        <f t="array" ref="P50">INDEX('GMW - Baseline'!$A$2:$MC$200,MATCH(1,('GMW - Baseline'!$MC$2:$MC$200=P$3)*('GMW - Baseline'!$MB$2:$MB$200=P$4),0),$E50-1973)</f>
        <v>#N/A</v>
      </c>
      <c r="Q50" t="e" cm="1">
        <f t="array" ref="Q50">INDEX('GMW - Baseline'!$A$2:$MC$200,MATCH(1,('GMW - Baseline'!$MC$2:$MC$200=Q$3)*('GMW - Baseline'!$MB$2:$MB$200=Q$4),0),$E50-1973)</f>
        <v>#N/A</v>
      </c>
      <c r="R50" t="e" cm="1">
        <f t="array" ref="R50">INDEX('GMW - Baseline'!$A$2:$MC$200,MATCH(1,('GMW - Baseline'!$MC$2:$MC$200=R$3)*('GMW - Baseline'!$MB$2:$MB$200=R$4),0),$E50-1973)</f>
        <v>#N/A</v>
      </c>
      <c r="S50" t="e" cm="1">
        <f t="array" ref="S50">INDEX('GMW - Baseline'!$A$2:$MC$200,MATCH(1,('GMW - Baseline'!$MC$2:$MC$200=S$3)*('GMW - Baseline'!$MB$2:$MB$200=S$4),0),$E50-1973)</f>
        <v>#N/A</v>
      </c>
      <c r="T50" t="e" cm="1">
        <f t="array" ref="T50">INDEX('GMW - Baseline'!$A$2:$MC$200,MATCH(1,('GMW - Baseline'!$MC$2:$MC$200=T$3)*('GMW - Baseline'!$MB$2:$MB$200=T$4),0),$E50-1973)</f>
        <v>#N/A</v>
      </c>
    </row>
    <row r="51" spans="1:20" x14ac:dyDescent="0.25">
      <c r="A51">
        <v>1991</v>
      </c>
      <c r="B51">
        <f t="shared" si="4"/>
        <v>1991</v>
      </c>
      <c r="C51">
        <f t="shared" si="4"/>
        <v>1990</v>
      </c>
      <c r="D51">
        <f t="shared" si="4"/>
        <v>1990</v>
      </c>
      <c r="E51">
        <f t="shared" si="1"/>
        <v>2024</v>
      </c>
      <c r="F51" cm="1">
        <f t="array" ref="F51">INDEX('GMW - Baseline'!$A$2:$MC$200,MATCH(1,('GMW - Baseline'!$MC$2:$MC$200=F$3)*('GMW - Baseline'!$MB$2:$MB$200=F$4),0),$E51-1973)</f>
        <v>374060</v>
      </c>
      <c r="G51" cm="1">
        <f t="array" ref="G51">INDEX('GMW - Baseline'!$A$2:$MC$200,MATCH(1,('GMW - Baseline'!$MC$2:$MC$200=G$3)*('GMW - Baseline'!$MB$2:$MB$200=G$4),0),$E51-1973)</f>
        <v>214735</v>
      </c>
      <c r="H51" cm="1">
        <f t="array" ref="H51">INDEX('GMW - Baseline'!$A$2:$MC$200,MATCH(1,('GMW - Baseline'!$MC$2:$MC$200=H$3)*('GMW - Baseline'!$MB$2:$MB$200=H$4),0),$E51-1973)</f>
        <v>57.666670000000003</v>
      </c>
      <c r="I51" cm="1">
        <f t="array" ref="I51">INDEX('GMW - Baseline'!$A$2:$MC$200,MATCH(1,('GMW - Baseline'!$MC$2:$MC$200=I$3)*('GMW - Baseline'!$MB$2:$MB$200=I$4),0),$E51-1973)</f>
        <v>13.39063</v>
      </c>
      <c r="J51" t="e" cm="1">
        <f t="array" ref="J51">INDEX('GMW - Baseline'!$A$2:$MC$200,MATCH(1,('GMW - Baseline'!$MC$2:$MC$200=J$3)*('GMW - Baseline'!$MB$2:$MB$200=J$4),0),$E51-1973)</f>
        <v>#N/A</v>
      </c>
      <c r="K51" t="e" cm="1">
        <f t="array" ref="K51">INDEX('GMW - Baseline'!$A$2:$MC$200,MATCH(1,('GMW - Baseline'!$MC$2:$MC$200=K$3)*('GMW - Baseline'!$MB$2:$MB$200=K$4),0),$E51-1973)</f>
        <v>#N/A</v>
      </c>
      <c r="L51" t="e" cm="1">
        <f t="array" ref="L51">INDEX('GMW - Baseline'!$A$2:$MC$200,MATCH(1,('GMW - Baseline'!$MC$2:$MC$200=L$3)*('GMW - Baseline'!$MB$2:$MB$200=L$4),0),$E51-1973)</f>
        <v>#N/A</v>
      </c>
      <c r="M51" t="e" cm="1">
        <f t="array" ref="M51">INDEX('GMW - Baseline'!$A$2:$MC$200,MATCH(1,('GMW - Baseline'!$MC$2:$MC$200=M$3)*('GMW - Baseline'!$MB$2:$MB$200=M$4),0),$E51-1973)</f>
        <v>#N/A</v>
      </c>
      <c r="N51" t="e" cm="1">
        <f t="array" ref="N51">INDEX('GMW - Baseline'!$A$2:$MC$200,MATCH(1,('GMW - Baseline'!$MC$2:$MC$200=N$3)*('GMW - Baseline'!$MB$2:$MB$200=N$4),0),$E51-1973)</f>
        <v>#N/A</v>
      </c>
      <c r="O51" t="e" cm="1">
        <f t="array" ref="O51">INDEX('GMW - Baseline'!$A$2:$MC$200,MATCH(1,('GMW - Baseline'!$MC$2:$MC$200=O$3)*('GMW - Baseline'!$MB$2:$MB$200=O$4),0),$E51-1973)</f>
        <v>#N/A</v>
      </c>
      <c r="P51" t="e" cm="1">
        <f t="array" ref="P51">INDEX('GMW - Baseline'!$A$2:$MC$200,MATCH(1,('GMW - Baseline'!$MC$2:$MC$200=P$3)*('GMW - Baseline'!$MB$2:$MB$200=P$4),0),$E51-1973)</f>
        <v>#N/A</v>
      </c>
      <c r="Q51" t="e" cm="1">
        <f t="array" ref="Q51">INDEX('GMW - Baseline'!$A$2:$MC$200,MATCH(1,('GMW - Baseline'!$MC$2:$MC$200=Q$3)*('GMW - Baseline'!$MB$2:$MB$200=Q$4),0),$E51-1973)</f>
        <v>#N/A</v>
      </c>
      <c r="R51" t="e" cm="1">
        <f t="array" ref="R51">INDEX('GMW - Baseline'!$A$2:$MC$200,MATCH(1,('GMW - Baseline'!$MC$2:$MC$200=R$3)*('GMW - Baseline'!$MB$2:$MB$200=R$4),0),$E51-1973)</f>
        <v>#N/A</v>
      </c>
      <c r="S51" t="e" cm="1">
        <f t="array" ref="S51">INDEX('GMW - Baseline'!$A$2:$MC$200,MATCH(1,('GMW - Baseline'!$MC$2:$MC$200=S$3)*('GMW - Baseline'!$MB$2:$MB$200=S$4),0),$E51-1973)</f>
        <v>#N/A</v>
      </c>
      <c r="T51" t="e" cm="1">
        <f t="array" ref="T51">INDEX('GMW - Baseline'!$A$2:$MC$200,MATCH(1,('GMW - Baseline'!$MC$2:$MC$200=T$3)*('GMW - Baseline'!$MB$2:$MB$200=T$4),0),$E51-1973)</f>
        <v>#N/A</v>
      </c>
    </row>
    <row r="52" spans="1:20" x14ac:dyDescent="0.25">
      <c r="B52">
        <f t="shared" si="4"/>
        <v>1991</v>
      </c>
      <c r="C52">
        <f t="shared" si="4"/>
        <v>1991</v>
      </c>
      <c r="E52">
        <f t="shared" si="1"/>
        <v>2025</v>
      </c>
      <c r="F52" cm="1">
        <f t="array" ref="F52">INDEX('GMW - Baseline'!$A$2:$MC$200,MATCH(1,('GMW - Baseline'!$MC$2:$MC$200=F$3)*('GMW - Baseline'!$MB$2:$MB$200=F$4),0),$E52-1973)</f>
        <v>373608</v>
      </c>
      <c r="G52" cm="1">
        <f t="array" ref="G52">INDEX('GMW - Baseline'!$A$2:$MC$200,MATCH(1,('GMW - Baseline'!$MC$2:$MC$200=G$3)*('GMW - Baseline'!$MB$2:$MB$200=G$4),0),$E52-1973)</f>
        <v>213315</v>
      </c>
      <c r="H52" cm="1">
        <f t="array" ref="H52">INDEX('GMW - Baseline'!$A$2:$MC$200,MATCH(1,('GMW - Baseline'!$MC$2:$MC$200=H$3)*('GMW - Baseline'!$MB$2:$MB$200=H$4),0),$E52-1973)</f>
        <v>60.266669999999998</v>
      </c>
      <c r="I52" cm="1">
        <f t="array" ref="I52">INDEX('GMW - Baseline'!$A$2:$MC$200,MATCH(1,('GMW - Baseline'!$MC$2:$MC$200=I$3)*('GMW - Baseline'!$MB$2:$MB$200=I$4),0),$E52-1973)</f>
        <v>11.74423</v>
      </c>
      <c r="J52" t="e" cm="1">
        <f t="array" ref="J52">INDEX('GMW - Baseline'!$A$2:$MC$200,MATCH(1,('GMW - Baseline'!$MC$2:$MC$200=J$3)*('GMW - Baseline'!$MB$2:$MB$200=J$4),0),$E52-1973)</f>
        <v>#N/A</v>
      </c>
      <c r="K52" t="e" cm="1">
        <f t="array" ref="K52">INDEX('GMW - Baseline'!$A$2:$MC$200,MATCH(1,('GMW - Baseline'!$MC$2:$MC$200=K$3)*('GMW - Baseline'!$MB$2:$MB$200=K$4),0),$E52-1973)</f>
        <v>#N/A</v>
      </c>
      <c r="L52" t="e" cm="1">
        <f t="array" ref="L52">INDEX('GMW - Baseline'!$A$2:$MC$200,MATCH(1,('GMW - Baseline'!$MC$2:$MC$200=L$3)*('GMW - Baseline'!$MB$2:$MB$200=L$4),0),$E52-1973)</f>
        <v>#N/A</v>
      </c>
      <c r="M52" t="e" cm="1">
        <f t="array" ref="M52">INDEX('GMW - Baseline'!$A$2:$MC$200,MATCH(1,('GMW - Baseline'!$MC$2:$MC$200=M$3)*('GMW - Baseline'!$MB$2:$MB$200=M$4),0),$E52-1973)</f>
        <v>#N/A</v>
      </c>
      <c r="N52" t="e" cm="1">
        <f t="array" ref="N52">INDEX('GMW - Baseline'!$A$2:$MC$200,MATCH(1,('GMW - Baseline'!$MC$2:$MC$200=N$3)*('GMW - Baseline'!$MB$2:$MB$200=N$4),0),$E52-1973)</f>
        <v>#N/A</v>
      </c>
      <c r="O52" t="e" cm="1">
        <f t="array" ref="O52">INDEX('GMW - Baseline'!$A$2:$MC$200,MATCH(1,('GMW - Baseline'!$MC$2:$MC$200=O$3)*('GMW - Baseline'!$MB$2:$MB$200=O$4),0),$E52-1973)</f>
        <v>#N/A</v>
      </c>
      <c r="P52" t="e" cm="1">
        <f t="array" ref="P52">INDEX('GMW - Baseline'!$A$2:$MC$200,MATCH(1,('GMW - Baseline'!$MC$2:$MC$200=P$3)*('GMW - Baseline'!$MB$2:$MB$200=P$4),0),$E52-1973)</f>
        <v>#N/A</v>
      </c>
      <c r="Q52" t="e" cm="1">
        <f t="array" ref="Q52">INDEX('GMW - Baseline'!$A$2:$MC$200,MATCH(1,('GMW - Baseline'!$MC$2:$MC$200=Q$3)*('GMW - Baseline'!$MB$2:$MB$200=Q$4),0),$E52-1973)</f>
        <v>#N/A</v>
      </c>
      <c r="R52" t="e" cm="1">
        <f t="array" ref="R52">INDEX('GMW - Baseline'!$A$2:$MC$200,MATCH(1,('GMW - Baseline'!$MC$2:$MC$200=R$3)*('GMW - Baseline'!$MB$2:$MB$200=R$4),0),$E52-1973)</f>
        <v>#N/A</v>
      </c>
      <c r="S52" t="e" cm="1">
        <f t="array" ref="S52">INDEX('GMW - Baseline'!$A$2:$MC$200,MATCH(1,('GMW - Baseline'!$MC$2:$MC$200=S$3)*('GMW - Baseline'!$MB$2:$MB$200=S$4),0),$E52-1973)</f>
        <v>#N/A</v>
      </c>
      <c r="T52" t="e" cm="1">
        <f t="array" ref="T52">INDEX('GMW - Baseline'!$A$2:$MC$200,MATCH(1,('GMW - Baseline'!$MC$2:$MC$200=T$3)*('GMW - Baseline'!$MB$2:$MB$200=T$4),0),$E52-1973)</f>
        <v>#N/A</v>
      </c>
    </row>
    <row r="53" spans="1:20" x14ac:dyDescent="0.25">
      <c r="B53">
        <f t="shared" si="4"/>
        <v>1991</v>
      </c>
      <c r="C53">
        <f t="shared" si="4"/>
        <v>1991</v>
      </c>
      <c r="E53">
        <f t="shared" si="1"/>
        <v>2026</v>
      </c>
      <c r="F53" cm="1">
        <f t="array" ref="F53">INDEX('GMW - Baseline'!$A$2:$MC$200,MATCH(1,('GMW - Baseline'!$MC$2:$MC$200=F$3)*('GMW - Baseline'!$MB$2:$MB$200=F$4),0),$E53-1973)</f>
        <v>372878</v>
      </c>
      <c r="G53" cm="1">
        <f t="array" ref="G53">INDEX('GMW - Baseline'!$A$2:$MC$200,MATCH(1,('GMW - Baseline'!$MC$2:$MC$200=G$3)*('GMW - Baseline'!$MB$2:$MB$200=G$4),0),$E53-1973)</f>
        <v>213544</v>
      </c>
      <c r="H53" cm="1">
        <f t="array" ref="H53">INDEX('GMW - Baseline'!$A$2:$MC$200,MATCH(1,('GMW - Baseline'!$MC$2:$MC$200=H$3)*('GMW - Baseline'!$MB$2:$MB$200=H$4),0),$E53-1973)</f>
        <v>60.833329999999997</v>
      </c>
      <c r="I53" cm="1">
        <f t="array" ref="I53">INDEX('GMW - Baseline'!$A$2:$MC$200,MATCH(1,('GMW - Baseline'!$MC$2:$MC$200=I$3)*('GMW - Baseline'!$MB$2:$MB$200=I$4),0),$E53-1973)</f>
        <v>10.799239999999999</v>
      </c>
      <c r="J53" t="e" cm="1">
        <f t="array" ref="J53">INDEX('GMW - Baseline'!$A$2:$MC$200,MATCH(1,('GMW - Baseline'!$MC$2:$MC$200=J$3)*('GMW - Baseline'!$MB$2:$MB$200=J$4),0),$E53-1973)</f>
        <v>#N/A</v>
      </c>
      <c r="K53" t="e" cm="1">
        <f t="array" ref="K53">INDEX('GMW - Baseline'!$A$2:$MC$200,MATCH(1,('GMW - Baseline'!$MC$2:$MC$200=K$3)*('GMW - Baseline'!$MB$2:$MB$200=K$4),0),$E53-1973)</f>
        <v>#N/A</v>
      </c>
      <c r="L53" t="e" cm="1">
        <f t="array" ref="L53">INDEX('GMW - Baseline'!$A$2:$MC$200,MATCH(1,('GMW - Baseline'!$MC$2:$MC$200=L$3)*('GMW - Baseline'!$MB$2:$MB$200=L$4),0),$E53-1973)</f>
        <v>#N/A</v>
      </c>
      <c r="M53" t="e" cm="1">
        <f t="array" ref="M53">INDEX('GMW - Baseline'!$A$2:$MC$200,MATCH(1,('GMW - Baseline'!$MC$2:$MC$200=M$3)*('GMW - Baseline'!$MB$2:$MB$200=M$4),0),$E53-1973)</f>
        <v>#N/A</v>
      </c>
      <c r="N53" t="e" cm="1">
        <f t="array" ref="N53">INDEX('GMW - Baseline'!$A$2:$MC$200,MATCH(1,('GMW - Baseline'!$MC$2:$MC$200=N$3)*('GMW - Baseline'!$MB$2:$MB$200=N$4),0),$E53-1973)</f>
        <v>#N/A</v>
      </c>
      <c r="O53" t="e" cm="1">
        <f t="array" ref="O53">INDEX('GMW - Baseline'!$A$2:$MC$200,MATCH(1,('GMW - Baseline'!$MC$2:$MC$200=O$3)*('GMW - Baseline'!$MB$2:$MB$200=O$4),0),$E53-1973)</f>
        <v>#N/A</v>
      </c>
      <c r="P53" t="e" cm="1">
        <f t="array" ref="P53">INDEX('GMW - Baseline'!$A$2:$MC$200,MATCH(1,('GMW - Baseline'!$MC$2:$MC$200=P$3)*('GMW - Baseline'!$MB$2:$MB$200=P$4),0),$E53-1973)</f>
        <v>#N/A</v>
      </c>
      <c r="Q53" t="e" cm="1">
        <f t="array" ref="Q53">INDEX('GMW - Baseline'!$A$2:$MC$200,MATCH(1,('GMW - Baseline'!$MC$2:$MC$200=Q$3)*('GMW - Baseline'!$MB$2:$MB$200=Q$4),0),$E53-1973)</f>
        <v>#N/A</v>
      </c>
      <c r="R53" t="e" cm="1">
        <f t="array" ref="R53">INDEX('GMW - Baseline'!$A$2:$MC$200,MATCH(1,('GMW - Baseline'!$MC$2:$MC$200=R$3)*('GMW - Baseline'!$MB$2:$MB$200=R$4),0),$E53-1973)</f>
        <v>#N/A</v>
      </c>
      <c r="S53" t="e" cm="1">
        <f t="array" ref="S53">INDEX('GMW - Baseline'!$A$2:$MC$200,MATCH(1,('GMW - Baseline'!$MC$2:$MC$200=S$3)*('GMW - Baseline'!$MB$2:$MB$200=S$4),0),$E53-1973)</f>
        <v>#N/A</v>
      </c>
      <c r="T53" t="e" cm="1">
        <f t="array" ref="T53">INDEX('GMW - Baseline'!$A$2:$MC$200,MATCH(1,('GMW - Baseline'!$MC$2:$MC$200=T$3)*('GMW - Baseline'!$MB$2:$MB$200=T$4),0),$E53-1973)</f>
        <v>#N/A</v>
      </c>
    </row>
    <row r="54" spans="1:20" x14ac:dyDescent="0.25">
      <c r="B54">
        <f t="shared" si="4"/>
        <v>1991</v>
      </c>
      <c r="C54">
        <f t="shared" si="4"/>
        <v>1991</v>
      </c>
      <c r="E54">
        <f t="shared" si="1"/>
        <v>2027</v>
      </c>
      <c r="F54" cm="1">
        <f t="array" ref="F54">INDEX('GMW - Baseline'!$A$2:$MC$200,MATCH(1,('GMW - Baseline'!$MC$2:$MC$200=F$3)*('GMW - Baseline'!$MB$2:$MB$200=F$4),0),$E54-1973)</f>
        <v>373357</v>
      </c>
      <c r="G54" cm="1">
        <f t="array" ref="G54">INDEX('GMW - Baseline'!$A$2:$MC$200,MATCH(1,('GMW - Baseline'!$MC$2:$MC$200=G$3)*('GMW - Baseline'!$MB$2:$MB$200=G$4),0),$E54-1973)</f>
        <v>213576</v>
      </c>
      <c r="H54" cm="1">
        <f t="array" ref="H54">INDEX('GMW - Baseline'!$A$2:$MC$200,MATCH(1,('GMW - Baseline'!$MC$2:$MC$200=H$3)*('GMW - Baseline'!$MB$2:$MB$200=H$4),0),$E54-1973)</f>
        <v>61.466670000000001</v>
      </c>
      <c r="I54" cm="1">
        <f t="array" ref="I54">INDEX('GMW - Baseline'!$A$2:$MC$200,MATCH(1,('GMW - Baseline'!$MC$2:$MC$200=I$3)*('GMW - Baseline'!$MB$2:$MB$200=I$4),0),$E54-1973)</f>
        <v>10.375</v>
      </c>
      <c r="J54" t="e" cm="1">
        <f t="array" ref="J54">INDEX('GMW - Baseline'!$A$2:$MC$200,MATCH(1,('GMW - Baseline'!$MC$2:$MC$200=J$3)*('GMW - Baseline'!$MB$2:$MB$200=J$4),0),$E54-1973)</f>
        <v>#N/A</v>
      </c>
      <c r="K54" t="e" cm="1">
        <f t="array" ref="K54">INDEX('GMW - Baseline'!$A$2:$MC$200,MATCH(1,('GMW - Baseline'!$MC$2:$MC$200=K$3)*('GMW - Baseline'!$MB$2:$MB$200=K$4),0),$E54-1973)</f>
        <v>#N/A</v>
      </c>
      <c r="L54" t="e" cm="1">
        <f t="array" ref="L54">INDEX('GMW - Baseline'!$A$2:$MC$200,MATCH(1,('GMW - Baseline'!$MC$2:$MC$200=L$3)*('GMW - Baseline'!$MB$2:$MB$200=L$4),0),$E54-1973)</f>
        <v>#N/A</v>
      </c>
      <c r="M54" t="e" cm="1">
        <f t="array" ref="M54">INDEX('GMW - Baseline'!$A$2:$MC$200,MATCH(1,('GMW - Baseline'!$MC$2:$MC$200=M$3)*('GMW - Baseline'!$MB$2:$MB$200=M$4),0),$E54-1973)</f>
        <v>#N/A</v>
      </c>
      <c r="N54" t="e" cm="1">
        <f t="array" ref="N54">INDEX('GMW - Baseline'!$A$2:$MC$200,MATCH(1,('GMW - Baseline'!$MC$2:$MC$200=N$3)*('GMW - Baseline'!$MB$2:$MB$200=N$4),0),$E54-1973)</f>
        <v>#N/A</v>
      </c>
      <c r="O54" t="e" cm="1">
        <f t="array" ref="O54">INDEX('GMW - Baseline'!$A$2:$MC$200,MATCH(1,('GMW - Baseline'!$MC$2:$MC$200=O$3)*('GMW - Baseline'!$MB$2:$MB$200=O$4),0),$E54-1973)</f>
        <v>#N/A</v>
      </c>
      <c r="P54" t="e" cm="1">
        <f t="array" ref="P54">INDEX('GMW - Baseline'!$A$2:$MC$200,MATCH(1,('GMW - Baseline'!$MC$2:$MC$200=P$3)*('GMW - Baseline'!$MB$2:$MB$200=P$4),0),$E54-1973)</f>
        <v>#N/A</v>
      </c>
      <c r="Q54" t="e" cm="1">
        <f t="array" ref="Q54">INDEX('GMW - Baseline'!$A$2:$MC$200,MATCH(1,('GMW - Baseline'!$MC$2:$MC$200=Q$3)*('GMW - Baseline'!$MB$2:$MB$200=Q$4),0),$E54-1973)</f>
        <v>#N/A</v>
      </c>
      <c r="R54" t="e" cm="1">
        <f t="array" ref="R54">INDEX('GMW - Baseline'!$A$2:$MC$200,MATCH(1,('GMW - Baseline'!$MC$2:$MC$200=R$3)*('GMW - Baseline'!$MB$2:$MB$200=R$4),0),$E54-1973)</f>
        <v>#N/A</v>
      </c>
      <c r="S54" t="e" cm="1">
        <f t="array" ref="S54">INDEX('GMW - Baseline'!$A$2:$MC$200,MATCH(1,('GMW - Baseline'!$MC$2:$MC$200=S$3)*('GMW - Baseline'!$MB$2:$MB$200=S$4),0),$E54-1973)</f>
        <v>#N/A</v>
      </c>
      <c r="T54" t="e" cm="1">
        <f t="array" ref="T54">INDEX('GMW - Baseline'!$A$2:$MC$200,MATCH(1,('GMW - Baseline'!$MC$2:$MC$200=T$3)*('GMW - Baseline'!$MB$2:$MB$200=T$4),0),$E54-1973)</f>
        <v>#N/A</v>
      </c>
    </row>
    <row r="55" spans="1:20" x14ac:dyDescent="0.25">
      <c r="A55">
        <v>1992</v>
      </c>
      <c r="B55">
        <f t="shared" si="4"/>
        <v>1992</v>
      </c>
      <c r="C55">
        <f t="shared" si="4"/>
        <v>1991</v>
      </c>
      <c r="D55">
        <f t="shared" si="4"/>
        <v>1991</v>
      </c>
      <c r="E55">
        <f t="shared" si="1"/>
        <v>2028</v>
      </c>
      <c r="F55" cm="1">
        <f t="array" ref="F55">INDEX('GMW - Baseline'!$A$2:$MC$200,MATCH(1,('GMW - Baseline'!$MC$2:$MC$200=F$3)*('GMW - Baseline'!$MB$2:$MB$200=F$4),0),$E55-1973)</f>
        <v>373317</v>
      </c>
      <c r="G55" cm="1">
        <f t="array" ref="G55">INDEX('GMW - Baseline'!$A$2:$MC$200,MATCH(1,('GMW - Baseline'!$MC$2:$MC$200=G$3)*('GMW - Baseline'!$MB$2:$MB$200=G$4),0),$E55-1973)</f>
        <v>213040</v>
      </c>
      <c r="H55" cm="1">
        <f t="array" ref="H55">INDEX('GMW - Baseline'!$A$2:$MC$200,MATCH(1,('GMW - Baseline'!$MC$2:$MC$200=H$3)*('GMW - Baseline'!$MB$2:$MB$200=H$4),0),$E55-1973)</f>
        <v>61.7</v>
      </c>
      <c r="I55" cm="1">
        <f t="array" ref="I55">INDEX('GMW - Baseline'!$A$2:$MC$200,MATCH(1,('GMW - Baseline'!$MC$2:$MC$200=I$3)*('GMW - Baseline'!$MB$2:$MB$200=I$4),0),$E55-1973)</f>
        <v>10.375</v>
      </c>
      <c r="J55" t="e" cm="1">
        <f t="array" ref="J55">INDEX('GMW - Baseline'!$A$2:$MC$200,MATCH(1,('GMW - Baseline'!$MC$2:$MC$200=J$3)*('GMW - Baseline'!$MB$2:$MB$200=J$4),0),$E55-1973)</f>
        <v>#N/A</v>
      </c>
      <c r="K55" t="e" cm="1">
        <f t="array" ref="K55">INDEX('GMW - Baseline'!$A$2:$MC$200,MATCH(1,('GMW - Baseline'!$MC$2:$MC$200=K$3)*('GMW - Baseline'!$MB$2:$MB$200=K$4),0),$E55-1973)</f>
        <v>#N/A</v>
      </c>
      <c r="L55" t="e" cm="1">
        <f t="array" ref="L55">INDEX('GMW - Baseline'!$A$2:$MC$200,MATCH(1,('GMW - Baseline'!$MC$2:$MC$200=L$3)*('GMW - Baseline'!$MB$2:$MB$200=L$4),0),$E55-1973)</f>
        <v>#N/A</v>
      </c>
      <c r="M55" t="e" cm="1">
        <f t="array" ref="M55">INDEX('GMW - Baseline'!$A$2:$MC$200,MATCH(1,('GMW - Baseline'!$MC$2:$MC$200=M$3)*('GMW - Baseline'!$MB$2:$MB$200=M$4),0),$E55-1973)</f>
        <v>#N/A</v>
      </c>
      <c r="N55" t="e" cm="1">
        <f t="array" ref="N55">INDEX('GMW - Baseline'!$A$2:$MC$200,MATCH(1,('GMW - Baseline'!$MC$2:$MC$200=N$3)*('GMW - Baseline'!$MB$2:$MB$200=N$4),0),$E55-1973)</f>
        <v>#N/A</v>
      </c>
      <c r="O55" t="e" cm="1">
        <f t="array" ref="O55">INDEX('GMW - Baseline'!$A$2:$MC$200,MATCH(1,('GMW - Baseline'!$MC$2:$MC$200=O$3)*('GMW - Baseline'!$MB$2:$MB$200=O$4),0),$E55-1973)</f>
        <v>#N/A</v>
      </c>
      <c r="P55" t="e" cm="1">
        <f t="array" ref="P55">INDEX('GMW - Baseline'!$A$2:$MC$200,MATCH(1,('GMW - Baseline'!$MC$2:$MC$200=P$3)*('GMW - Baseline'!$MB$2:$MB$200=P$4),0),$E55-1973)</f>
        <v>#N/A</v>
      </c>
      <c r="Q55" t="e" cm="1">
        <f t="array" ref="Q55">INDEX('GMW - Baseline'!$A$2:$MC$200,MATCH(1,('GMW - Baseline'!$MC$2:$MC$200=Q$3)*('GMW - Baseline'!$MB$2:$MB$200=Q$4),0),$E55-1973)</f>
        <v>#N/A</v>
      </c>
      <c r="R55" t="e" cm="1">
        <f t="array" ref="R55">INDEX('GMW - Baseline'!$A$2:$MC$200,MATCH(1,('GMW - Baseline'!$MC$2:$MC$200=R$3)*('GMW - Baseline'!$MB$2:$MB$200=R$4),0),$E55-1973)</f>
        <v>#N/A</v>
      </c>
      <c r="S55" t="e" cm="1">
        <f t="array" ref="S55">INDEX('GMW - Baseline'!$A$2:$MC$200,MATCH(1,('GMW - Baseline'!$MC$2:$MC$200=S$3)*('GMW - Baseline'!$MB$2:$MB$200=S$4),0),$E55-1973)</f>
        <v>#N/A</v>
      </c>
      <c r="T55" t="e" cm="1">
        <f t="array" ref="T55">INDEX('GMW - Baseline'!$A$2:$MC$200,MATCH(1,('GMW - Baseline'!$MC$2:$MC$200=T$3)*('GMW - Baseline'!$MB$2:$MB$200=T$4),0),$E55-1973)</f>
        <v>#N/A</v>
      </c>
    </row>
    <row r="56" spans="1:20" x14ac:dyDescent="0.25">
      <c r="B56">
        <f t="shared" si="4"/>
        <v>1992</v>
      </c>
      <c r="C56">
        <f t="shared" si="4"/>
        <v>1992</v>
      </c>
      <c r="E56">
        <f t="shared" si="1"/>
        <v>2029</v>
      </c>
      <c r="F56" cm="1">
        <f t="array" ref="F56">INDEX('GMW - Baseline'!$A$2:$MC$200,MATCH(1,('GMW - Baseline'!$MC$2:$MC$200=F$3)*('GMW - Baseline'!$MB$2:$MB$200=F$4),0),$E56-1973)</f>
        <v>372751</v>
      </c>
      <c r="G56" cm="1">
        <f t="array" ref="G56">INDEX('GMW - Baseline'!$A$2:$MC$200,MATCH(1,('GMW - Baseline'!$MC$2:$MC$200=G$3)*('GMW - Baseline'!$MB$2:$MB$200=G$4),0),$E56-1973)</f>
        <v>215855</v>
      </c>
      <c r="H56" cm="1">
        <f t="array" ref="H56">INDEX('GMW - Baseline'!$A$2:$MC$200,MATCH(1,('GMW - Baseline'!$MC$2:$MC$200=H$3)*('GMW - Baseline'!$MB$2:$MB$200=H$4),0),$E56-1973)</f>
        <v>62.833329999999997</v>
      </c>
      <c r="I56" cm="1">
        <f t="array" ref="I56">INDEX('GMW - Baseline'!$A$2:$MC$200,MATCH(1,('GMW - Baseline'!$MC$2:$MC$200=I$3)*('GMW - Baseline'!$MB$2:$MB$200=I$4),0),$E56-1973)</f>
        <v>10.059620000000001</v>
      </c>
      <c r="J56" t="e" cm="1">
        <f t="array" ref="J56">INDEX('GMW - Baseline'!$A$2:$MC$200,MATCH(1,('GMW - Baseline'!$MC$2:$MC$200=J$3)*('GMW - Baseline'!$MB$2:$MB$200=J$4),0),$E56-1973)</f>
        <v>#N/A</v>
      </c>
      <c r="K56" t="e" cm="1">
        <f t="array" ref="K56">INDEX('GMW - Baseline'!$A$2:$MC$200,MATCH(1,('GMW - Baseline'!$MC$2:$MC$200=K$3)*('GMW - Baseline'!$MB$2:$MB$200=K$4),0),$E56-1973)</f>
        <v>#N/A</v>
      </c>
      <c r="L56" t="e" cm="1">
        <f t="array" ref="L56">INDEX('GMW - Baseline'!$A$2:$MC$200,MATCH(1,('GMW - Baseline'!$MC$2:$MC$200=L$3)*('GMW - Baseline'!$MB$2:$MB$200=L$4),0),$E56-1973)</f>
        <v>#N/A</v>
      </c>
      <c r="M56" t="e" cm="1">
        <f t="array" ref="M56">INDEX('GMW - Baseline'!$A$2:$MC$200,MATCH(1,('GMW - Baseline'!$MC$2:$MC$200=M$3)*('GMW - Baseline'!$MB$2:$MB$200=M$4),0),$E56-1973)</f>
        <v>#N/A</v>
      </c>
      <c r="N56" t="e" cm="1">
        <f t="array" ref="N56">INDEX('GMW - Baseline'!$A$2:$MC$200,MATCH(1,('GMW - Baseline'!$MC$2:$MC$200=N$3)*('GMW - Baseline'!$MB$2:$MB$200=N$4),0),$E56-1973)</f>
        <v>#N/A</v>
      </c>
      <c r="O56" t="e" cm="1">
        <f t="array" ref="O56">INDEX('GMW - Baseline'!$A$2:$MC$200,MATCH(1,('GMW - Baseline'!$MC$2:$MC$200=O$3)*('GMW - Baseline'!$MB$2:$MB$200=O$4),0),$E56-1973)</f>
        <v>#N/A</v>
      </c>
      <c r="P56" t="e" cm="1">
        <f t="array" ref="P56">INDEX('GMW - Baseline'!$A$2:$MC$200,MATCH(1,('GMW - Baseline'!$MC$2:$MC$200=P$3)*('GMW - Baseline'!$MB$2:$MB$200=P$4),0),$E56-1973)</f>
        <v>#N/A</v>
      </c>
      <c r="Q56" t="e" cm="1">
        <f t="array" ref="Q56">INDEX('GMW - Baseline'!$A$2:$MC$200,MATCH(1,('GMW - Baseline'!$MC$2:$MC$200=Q$3)*('GMW - Baseline'!$MB$2:$MB$200=Q$4),0),$E56-1973)</f>
        <v>#N/A</v>
      </c>
      <c r="R56" t="e" cm="1">
        <f t="array" ref="R56">INDEX('GMW - Baseline'!$A$2:$MC$200,MATCH(1,('GMW - Baseline'!$MC$2:$MC$200=R$3)*('GMW - Baseline'!$MB$2:$MB$200=R$4),0),$E56-1973)</f>
        <v>#N/A</v>
      </c>
      <c r="S56" t="e" cm="1">
        <f t="array" ref="S56">INDEX('GMW - Baseline'!$A$2:$MC$200,MATCH(1,('GMW - Baseline'!$MC$2:$MC$200=S$3)*('GMW - Baseline'!$MB$2:$MB$200=S$4),0),$E56-1973)</f>
        <v>#N/A</v>
      </c>
      <c r="T56" t="e" cm="1">
        <f t="array" ref="T56">INDEX('GMW - Baseline'!$A$2:$MC$200,MATCH(1,('GMW - Baseline'!$MC$2:$MC$200=T$3)*('GMW - Baseline'!$MB$2:$MB$200=T$4),0),$E56-1973)</f>
        <v>#N/A</v>
      </c>
    </row>
    <row r="57" spans="1:20" x14ac:dyDescent="0.25">
      <c r="B57">
        <f t="shared" si="4"/>
        <v>1992</v>
      </c>
      <c r="C57">
        <f t="shared" si="4"/>
        <v>1992</v>
      </c>
      <c r="E57">
        <f t="shared" si="1"/>
        <v>2030</v>
      </c>
      <c r="F57" cm="1">
        <f t="array" ref="F57">INDEX('GMW - Baseline'!$A$2:$MC$200,MATCH(1,('GMW - Baseline'!$MC$2:$MC$200=F$3)*('GMW - Baseline'!$MB$2:$MB$200=F$4),0),$E57-1973)</f>
        <v>374537</v>
      </c>
      <c r="G57" cm="1">
        <f t="array" ref="G57">INDEX('GMW - Baseline'!$A$2:$MC$200,MATCH(1,('GMW - Baseline'!$MC$2:$MC$200=G$3)*('GMW - Baseline'!$MB$2:$MB$200=G$4),0),$E57-1973)</f>
        <v>217123</v>
      </c>
      <c r="H57" cm="1">
        <f t="array" ref="H57">INDEX('GMW - Baseline'!$A$2:$MC$200,MATCH(1,('GMW - Baseline'!$MC$2:$MC$200=H$3)*('GMW - Baseline'!$MB$2:$MB$200=H$4),0),$E57-1973)</f>
        <v>62.733330000000002</v>
      </c>
      <c r="I57" cm="1">
        <f t="array" ref="I57">INDEX('GMW - Baseline'!$A$2:$MC$200,MATCH(1,('GMW - Baseline'!$MC$2:$MC$200=I$3)*('GMW - Baseline'!$MB$2:$MB$200=I$4),0),$E57-1973)</f>
        <v>9.7689389999999996</v>
      </c>
      <c r="J57" t="e" cm="1">
        <f t="array" ref="J57">INDEX('GMW - Baseline'!$A$2:$MC$200,MATCH(1,('GMW - Baseline'!$MC$2:$MC$200=J$3)*('GMW - Baseline'!$MB$2:$MB$200=J$4),0),$E57-1973)</f>
        <v>#N/A</v>
      </c>
      <c r="K57" t="e" cm="1">
        <f t="array" ref="K57">INDEX('GMW - Baseline'!$A$2:$MC$200,MATCH(1,('GMW - Baseline'!$MC$2:$MC$200=K$3)*('GMW - Baseline'!$MB$2:$MB$200=K$4),0),$E57-1973)</f>
        <v>#N/A</v>
      </c>
      <c r="L57" t="e" cm="1">
        <f t="array" ref="L57">INDEX('GMW - Baseline'!$A$2:$MC$200,MATCH(1,('GMW - Baseline'!$MC$2:$MC$200=L$3)*('GMW - Baseline'!$MB$2:$MB$200=L$4),0),$E57-1973)</f>
        <v>#N/A</v>
      </c>
      <c r="M57" t="e" cm="1">
        <f t="array" ref="M57">INDEX('GMW - Baseline'!$A$2:$MC$200,MATCH(1,('GMW - Baseline'!$MC$2:$MC$200=M$3)*('GMW - Baseline'!$MB$2:$MB$200=M$4),0),$E57-1973)</f>
        <v>#N/A</v>
      </c>
      <c r="N57" t="e" cm="1">
        <f t="array" ref="N57">INDEX('GMW - Baseline'!$A$2:$MC$200,MATCH(1,('GMW - Baseline'!$MC$2:$MC$200=N$3)*('GMW - Baseline'!$MB$2:$MB$200=N$4),0),$E57-1973)</f>
        <v>#N/A</v>
      </c>
      <c r="O57" t="e" cm="1">
        <f t="array" ref="O57">INDEX('GMW - Baseline'!$A$2:$MC$200,MATCH(1,('GMW - Baseline'!$MC$2:$MC$200=O$3)*('GMW - Baseline'!$MB$2:$MB$200=O$4),0),$E57-1973)</f>
        <v>#N/A</v>
      </c>
      <c r="P57" t="e" cm="1">
        <f t="array" ref="P57">INDEX('GMW - Baseline'!$A$2:$MC$200,MATCH(1,('GMW - Baseline'!$MC$2:$MC$200=P$3)*('GMW - Baseline'!$MB$2:$MB$200=P$4),0),$E57-1973)</f>
        <v>#N/A</v>
      </c>
      <c r="Q57" t="e" cm="1">
        <f t="array" ref="Q57">INDEX('GMW - Baseline'!$A$2:$MC$200,MATCH(1,('GMW - Baseline'!$MC$2:$MC$200=Q$3)*('GMW - Baseline'!$MB$2:$MB$200=Q$4),0),$E57-1973)</f>
        <v>#N/A</v>
      </c>
      <c r="R57" t="e" cm="1">
        <f t="array" ref="R57">INDEX('GMW - Baseline'!$A$2:$MC$200,MATCH(1,('GMW - Baseline'!$MC$2:$MC$200=R$3)*('GMW - Baseline'!$MB$2:$MB$200=R$4),0),$E57-1973)</f>
        <v>#N/A</v>
      </c>
      <c r="S57" t="e" cm="1">
        <f t="array" ref="S57">INDEX('GMW - Baseline'!$A$2:$MC$200,MATCH(1,('GMW - Baseline'!$MC$2:$MC$200=S$3)*('GMW - Baseline'!$MB$2:$MB$200=S$4),0),$E57-1973)</f>
        <v>#N/A</v>
      </c>
      <c r="T57" t="e" cm="1">
        <f t="array" ref="T57">INDEX('GMW - Baseline'!$A$2:$MC$200,MATCH(1,('GMW - Baseline'!$MC$2:$MC$200=T$3)*('GMW - Baseline'!$MB$2:$MB$200=T$4),0),$E57-1973)</f>
        <v>#N/A</v>
      </c>
    </row>
    <row r="58" spans="1:20" x14ac:dyDescent="0.25">
      <c r="B58">
        <f t="shared" si="4"/>
        <v>1992</v>
      </c>
      <c r="C58">
        <f t="shared" si="4"/>
        <v>1992</v>
      </c>
      <c r="E58">
        <f t="shared" si="1"/>
        <v>2031</v>
      </c>
      <c r="F58" cm="1">
        <f t="array" ref="F58">INDEX('GMW - Baseline'!$A$2:$MC$200,MATCH(1,('GMW - Baseline'!$MC$2:$MC$200=F$3)*('GMW - Baseline'!$MB$2:$MB$200=F$4),0),$E58-1973)</f>
        <v>377418</v>
      </c>
      <c r="G58" cm="1">
        <f t="array" ref="G58">INDEX('GMW - Baseline'!$A$2:$MC$200,MATCH(1,('GMW - Baseline'!$MC$2:$MC$200=G$3)*('GMW - Baseline'!$MB$2:$MB$200=G$4),0),$E58-1973)</f>
        <v>217528</v>
      </c>
      <c r="H58" cm="1">
        <f t="array" ref="H58">INDEX('GMW - Baseline'!$A$2:$MC$200,MATCH(1,('GMW - Baseline'!$MC$2:$MC$200=H$3)*('GMW - Baseline'!$MB$2:$MB$200=H$4),0),$E58-1973)</f>
        <v>63.133339999999997</v>
      </c>
      <c r="I58" cm="1">
        <f t="array" ref="I58">INDEX('GMW - Baseline'!$A$2:$MC$200,MATCH(1,('GMW - Baseline'!$MC$2:$MC$200=I$3)*('GMW - Baseline'!$MB$2:$MB$200=I$4),0),$E58-1973)</f>
        <v>7.5113640000000004</v>
      </c>
      <c r="J58" t="e" cm="1">
        <f t="array" ref="J58">INDEX('GMW - Baseline'!$A$2:$MC$200,MATCH(1,('GMW - Baseline'!$MC$2:$MC$200=J$3)*('GMW - Baseline'!$MB$2:$MB$200=J$4),0),$E58-1973)</f>
        <v>#N/A</v>
      </c>
      <c r="K58" t="e" cm="1">
        <f t="array" ref="K58">INDEX('GMW - Baseline'!$A$2:$MC$200,MATCH(1,('GMW - Baseline'!$MC$2:$MC$200=K$3)*('GMW - Baseline'!$MB$2:$MB$200=K$4),0),$E58-1973)</f>
        <v>#N/A</v>
      </c>
      <c r="L58" t="e" cm="1">
        <f t="array" ref="L58">INDEX('GMW - Baseline'!$A$2:$MC$200,MATCH(1,('GMW - Baseline'!$MC$2:$MC$200=L$3)*('GMW - Baseline'!$MB$2:$MB$200=L$4),0),$E58-1973)</f>
        <v>#N/A</v>
      </c>
      <c r="M58" t="e" cm="1">
        <f t="array" ref="M58">INDEX('GMW - Baseline'!$A$2:$MC$200,MATCH(1,('GMW - Baseline'!$MC$2:$MC$200=M$3)*('GMW - Baseline'!$MB$2:$MB$200=M$4),0),$E58-1973)</f>
        <v>#N/A</v>
      </c>
      <c r="N58" t="e" cm="1">
        <f t="array" ref="N58">INDEX('GMW - Baseline'!$A$2:$MC$200,MATCH(1,('GMW - Baseline'!$MC$2:$MC$200=N$3)*('GMW - Baseline'!$MB$2:$MB$200=N$4),0),$E58-1973)</f>
        <v>#N/A</v>
      </c>
      <c r="O58" t="e" cm="1">
        <f t="array" ref="O58">INDEX('GMW - Baseline'!$A$2:$MC$200,MATCH(1,('GMW - Baseline'!$MC$2:$MC$200=O$3)*('GMW - Baseline'!$MB$2:$MB$200=O$4),0),$E58-1973)</f>
        <v>#N/A</v>
      </c>
      <c r="P58" t="e" cm="1">
        <f t="array" ref="P58">INDEX('GMW - Baseline'!$A$2:$MC$200,MATCH(1,('GMW - Baseline'!$MC$2:$MC$200=P$3)*('GMW - Baseline'!$MB$2:$MB$200=P$4),0),$E58-1973)</f>
        <v>#N/A</v>
      </c>
      <c r="Q58" t="e" cm="1">
        <f t="array" ref="Q58">INDEX('GMW - Baseline'!$A$2:$MC$200,MATCH(1,('GMW - Baseline'!$MC$2:$MC$200=Q$3)*('GMW - Baseline'!$MB$2:$MB$200=Q$4),0),$E58-1973)</f>
        <v>#N/A</v>
      </c>
      <c r="R58" t="e" cm="1">
        <f t="array" ref="R58">INDEX('GMW - Baseline'!$A$2:$MC$200,MATCH(1,('GMW - Baseline'!$MC$2:$MC$200=R$3)*('GMW - Baseline'!$MB$2:$MB$200=R$4),0),$E58-1973)</f>
        <v>#N/A</v>
      </c>
      <c r="S58" t="e" cm="1">
        <f t="array" ref="S58">INDEX('GMW - Baseline'!$A$2:$MC$200,MATCH(1,('GMW - Baseline'!$MC$2:$MC$200=S$3)*('GMW - Baseline'!$MB$2:$MB$200=S$4),0),$E58-1973)</f>
        <v>#N/A</v>
      </c>
      <c r="T58" t="e" cm="1">
        <f t="array" ref="T58">INDEX('GMW - Baseline'!$A$2:$MC$200,MATCH(1,('GMW - Baseline'!$MC$2:$MC$200=T$3)*('GMW - Baseline'!$MB$2:$MB$200=T$4),0),$E58-1973)</f>
        <v>#N/A</v>
      </c>
    </row>
    <row r="59" spans="1:20" x14ac:dyDescent="0.25">
      <c r="A59">
        <v>1993</v>
      </c>
      <c r="B59">
        <f t="shared" si="4"/>
        <v>1993</v>
      </c>
      <c r="C59">
        <f t="shared" si="4"/>
        <v>1992</v>
      </c>
      <c r="D59">
        <f t="shared" si="4"/>
        <v>1992</v>
      </c>
      <c r="E59">
        <f t="shared" si="1"/>
        <v>2032</v>
      </c>
      <c r="F59" cm="1">
        <f t="array" ref="F59">INDEX('GMW - Baseline'!$A$2:$MC$200,MATCH(1,('GMW - Baseline'!$MC$2:$MC$200=F$3)*('GMW - Baseline'!$MB$2:$MB$200=F$4),0),$E59-1973)</f>
        <v>379370</v>
      </c>
      <c r="G59" cm="1">
        <f t="array" ref="G59">INDEX('GMW - Baseline'!$A$2:$MC$200,MATCH(1,('GMW - Baseline'!$MC$2:$MC$200=G$3)*('GMW - Baseline'!$MB$2:$MB$200=G$4),0),$E59-1973)</f>
        <v>219343</v>
      </c>
      <c r="H59" cm="1">
        <f t="array" ref="H59">INDEX('GMW - Baseline'!$A$2:$MC$200,MATCH(1,('GMW - Baseline'!$MC$2:$MC$200=H$3)*('GMW - Baseline'!$MB$2:$MB$200=H$4),0),$E59-1973)</f>
        <v>63.2</v>
      </c>
      <c r="I59" cm="1">
        <f t="array" ref="I59">INDEX('GMW - Baseline'!$A$2:$MC$200,MATCH(1,('GMW - Baseline'!$MC$2:$MC$200=I$3)*('GMW - Baseline'!$MB$2:$MB$200=I$4),0),$E59-1973)</f>
        <v>6.140625</v>
      </c>
      <c r="J59" t="e" cm="1">
        <f t="array" ref="J59">INDEX('GMW - Baseline'!$A$2:$MC$200,MATCH(1,('GMW - Baseline'!$MC$2:$MC$200=J$3)*('GMW - Baseline'!$MB$2:$MB$200=J$4),0),$E59-1973)</f>
        <v>#N/A</v>
      </c>
      <c r="K59" t="e" cm="1">
        <f t="array" ref="K59">INDEX('GMW - Baseline'!$A$2:$MC$200,MATCH(1,('GMW - Baseline'!$MC$2:$MC$200=K$3)*('GMW - Baseline'!$MB$2:$MB$200=K$4),0),$E59-1973)</f>
        <v>#N/A</v>
      </c>
      <c r="L59" t="e" cm="1">
        <f t="array" ref="L59">INDEX('GMW - Baseline'!$A$2:$MC$200,MATCH(1,('GMW - Baseline'!$MC$2:$MC$200=L$3)*('GMW - Baseline'!$MB$2:$MB$200=L$4),0),$E59-1973)</f>
        <v>#N/A</v>
      </c>
      <c r="M59" t="e" cm="1">
        <f t="array" ref="M59">INDEX('GMW - Baseline'!$A$2:$MC$200,MATCH(1,('GMW - Baseline'!$MC$2:$MC$200=M$3)*('GMW - Baseline'!$MB$2:$MB$200=M$4),0),$E59-1973)</f>
        <v>#N/A</v>
      </c>
      <c r="N59" t="e" cm="1">
        <f t="array" ref="N59">INDEX('GMW - Baseline'!$A$2:$MC$200,MATCH(1,('GMW - Baseline'!$MC$2:$MC$200=N$3)*('GMW - Baseline'!$MB$2:$MB$200=N$4),0),$E59-1973)</f>
        <v>#N/A</v>
      </c>
      <c r="O59" t="e" cm="1">
        <f t="array" ref="O59">INDEX('GMW - Baseline'!$A$2:$MC$200,MATCH(1,('GMW - Baseline'!$MC$2:$MC$200=O$3)*('GMW - Baseline'!$MB$2:$MB$200=O$4),0),$E59-1973)</f>
        <v>#N/A</v>
      </c>
      <c r="P59" t="e" cm="1">
        <f t="array" ref="P59">INDEX('GMW - Baseline'!$A$2:$MC$200,MATCH(1,('GMW - Baseline'!$MC$2:$MC$200=P$3)*('GMW - Baseline'!$MB$2:$MB$200=P$4),0),$E59-1973)</f>
        <v>#N/A</v>
      </c>
      <c r="Q59" t="e" cm="1">
        <f t="array" ref="Q59">INDEX('GMW - Baseline'!$A$2:$MC$200,MATCH(1,('GMW - Baseline'!$MC$2:$MC$200=Q$3)*('GMW - Baseline'!$MB$2:$MB$200=Q$4),0),$E59-1973)</f>
        <v>#N/A</v>
      </c>
      <c r="R59" t="e" cm="1">
        <f t="array" ref="R59">INDEX('GMW - Baseline'!$A$2:$MC$200,MATCH(1,('GMW - Baseline'!$MC$2:$MC$200=R$3)*('GMW - Baseline'!$MB$2:$MB$200=R$4),0),$E59-1973)</f>
        <v>#N/A</v>
      </c>
      <c r="S59" t="e" cm="1">
        <f t="array" ref="S59">INDEX('GMW - Baseline'!$A$2:$MC$200,MATCH(1,('GMW - Baseline'!$MC$2:$MC$200=S$3)*('GMW - Baseline'!$MB$2:$MB$200=S$4),0),$E59-1973)</f>
        <v>#N/A</v>
      </c>
      <c r="T59" t="e" cm="1">
        <f t="array" ref="T59">INDEX('GMW - Baseline'!$A$2:$MC$200,MATCH(1,('GMW - Baseline'!$MC$2:$MC$200=T$3)*('GMW - Baseline'!$MB$2:$MB$200=T$4),0),$E59-1973)</f>
        <v>#N/A</v>
      </c>
    </row>
    <row r="60" spans="1:20" x14ac:dyDescent="0.25">
      <c r="B60">
        <f t="shared" ref="B60:D75" si="5">+B56+1</f>
        <v>1993</v>
      </c>
      <c r="C60">
        <f t="shared" si="5"/>
        <v>1993</v>
      </c>
      <c r="E60">
        <f t="shared" si="1"/>
        <v>2033</v>
      </c>
      <c r="F60" cm="1">
        <f t="array" ref="F60">INDEX('GMW - Baseline'!$A$2:$MC$200,MATCH(1,('GMW - Baseline'!$MC$2:$MC$200=F$3)*('GMW - Baseline'!$MB$2:$MB$200=F$4),0),$E60-1973)</f>
        <v>381045</v>
      </c>
      <c r="G60" cm="1">
        <f t="array" ref="G60">INDEX('GMW - Baseline'!$A$2:$MC$200,MATCH(1,('GMW - Baseline'!$MC$2:$MC$200=G$3)*('GMW - Baseline'!$MB$2:$MB$200=G$4),0),$E60-1973)</f>
        <v>219780</v>
      </c>
      <c r="H60" cm="1">
        <f t="array" ref="H60">INDEX('GMW - Baseline'!$A$2:$MC$200,MATCH(1,('GMW - Baseline'!$MC$2:$MC$200=H$3)*('GMW - Baseline'!$MB$2:$MB$200=H$4),0),$E60-1973)</f>
        <v>64.433329999999998</v>
      </c>
      <c r="I60" cm="1">
        <f t="array" ref="I60">INDEX('GMW - Baseline'!$A$2:$MC$200,MATCH(1,('GMW - Baseline'!$MC$2:$MC$200=I$3)*('GMW - Baseline'!$MB$2:$MB$200=I$4),0),$E60-1973)</f>
        <v>5.875</v>
      </c>
      <c r="J60" t="e" cm="1">
        <f t="array" ref="J60">INDEX('GMW - Baseline'!$A$2:$MC$200,MATCH(1,('GMW - Baseline'!$MC$2:$MC$200=J$3)*('GMW - Baseline'!$MB$2:$MB$200=J$4),0),$E60-1973)</f>
        <v>#N/A</v>
      </c>
      <c r="K60" t="e" cm="1">
        <f t="array" ref="K60">INDEX('GMW - Baseline'!$A$2:$MC$200,MATCH(1,('GMW - Baseline'!$MC$2:$MC$200=K$3)*('GMW - Baseline'!$MB$2:$MB$200=K$4),0),$E60-1973)</f>
        <v>#N/A</v>
      </c>
      <c r="L60" t="e" cm="1">
        <f t="array" ref="L60">INDEX('GMW - Baseline'!$A$2:$MC$200,MATCH(1,('GMW - Baseline'!$MC$2:$MC$200=L$3)*('GMW - Baseline'!$MB$2:$MB$200=L$4),0),$E60-1973)</f>
        <v>#N/A</v>
      </c>
      <c r="M60" t="e" cm="1">
        <f t="array" ref="M60">INDEX('GMW - Baseline'!$A$2:$MC$200,MATCH(1,('GMW - Baseline'!$MC$2:$MC$200=M$3)*('GMW - Baseline'!$MB$2:$MB$200=M$4),0),$E60-1973)</f>
        <v>#N/A</v>
      </c>
      <c r="N60" t="e" cm="1">
        <f t="array" ref="N60">INDEX('GMW - Baseline'!$A$2:$MC$200,MATCH(1,('GMW - Baseline'!$MC$2:$MC$200=N$3)*('GMW - Baseline'!$MB$2:$MB$200=N$4),0),$E60-1973)</f>
        <v>#N/A</v>
      </c>
      <c r="O60" t="e" cm="1">
        <f t="array" ref="O60">INDEX('GMW - Baseline'!$A$2:$MC$200,MATCH(1,('GMW - Baseline'!$MC$2:$MC$200=O$3)*('GMW - Baseline'!$MB$2:$MB$200=O$4),0),$E60-1973)</f>
        <v>#N/A</v>
      </c>
      <c r="P60" t="e" cm="1">
        <f t="array" ref="P60">INDEX('GMW - Baseline'!$A$2:$MC$200,MATCH(1,('GMW - Baseline'!$MC$2:$MC$200=P$3)*('GMW - Baseline'!$MB$2:$MB$200=P$4),0),$E60-1973)</f>
        <v>#N/A</v>
      </c>
      <c r="Q60" t="e" cm="1">
        <f t="array" ref="Q60">INDEX('GMW - Baseline'!$A$2:$MC$200,MATCH(1,('GMW - Baseline'!$MC$2:$MC$200=Q$3)*('GMW - Baseline'!$MB$2:$MB$200=Q$4),0),$E60-1973)</f>
        <v>#N/A</v>
      </c>
      <c r="R60" t="e" cm="1">
        <f t="array" ref="R60">INDEX('GMW - Baseline'!$A$2:$MC$200,MATCH(1,('GMW - Baseline'!$MC$2:$MC$200=R$3)*('GMW - Baseline'!$MB$2:$MB$200=R$4),0),$E60-1973)</f>
        <v>#N/A</v>
      </c>
      <c r="S60" t="e" cm="1">
        <f t="array" ref="S60">INDEX('GMW - Baseline'!$A$2:$MC$200,MATCH(1,('GMW - Baseline'!$MC$2:$MC$200=S$3)*('GMW - Baseline'!$MB$2:$MB$200=S$4),0),$E60-1973)</f>
        <v>#N/A</v>
      </c>
      <c r="T60" t="e" cm="1">
        <f t="array" ref="T60">INDEX('GMW - Baseline'!$A$2:$MC$200,MATCH(1,('GMW - Baseline'!$MC$2:$MC$200=T$3)*('GMW - Baseline'!$MB$2:$MB$200=T$4),0),$E60-1973)</f>
        <v>#N/A</v>
      </c>
    </row>
    <row r="61" spans="1:20" x14ac:dyDescent="0.25">
      <c r="B61">
        <f t="shared" si="5"/>
        <v>1993</v>
      </c>
      <c r="C61">
        <f t="shared" si="5"/>
        <v>1993</v>
      </c>
      <c r="E61">
        <f t="shared" si="1"/>
        <v>2034</v>
      </c>
      <c r="F61" cm="1">
        <f t="array" ref="F61">INDEX('GMW - Baseline'!$A$2:$MC$200,MATCH(1,('GMW - Baseline'!$MC$2:$MC$200=F$3)*('GMW - Baseline'!$MB$2:$MB$200=F$4),0),$E61-1973)</f>
        <v>384524</v>
      </c>
      <c r="G61" cm="1">
        <f t="array" ref="G61">INDEX('GMW - Baseline'!$A$2:$MC$200,MATCH(1,('GMW - Baseline'!$MC$2:$MC$200=G$3)*('GMW - Baseline'!$MB$2:$MB$200=G$4),0),$E61-1973)</f>
        <v>223611</v>
      </c>
      <c r="H61" cm="1">
        <f t="array" ref="H61">INDEX('GMW - Baseline'!$A$2:$MC$200,MATCH(1,('GMW - Baseline'!$MC$2:$MC$200=H$3)*('GMW - Baseline'!$MB$2:$MB$200=H$4),0),$E61-1973)</f>
        <v>64.5</v>
      </c>
      <c r="I61" cm="1">
        <f t="array" ref="I61">INDEX('GMW - Baseline'!$A$2:$MC$200,MATCH(1,('GMW - Baseline'!$MC$2:$MC$200=I$3)*('GMW - Baseline'!$MB$2:$MB$200=I$4),0),$E61-1973)</f>
        <v>5.875</v>
      </c>
      <c r="J61" t="e" cm="1">
        <f t="array" ref="J61">INDEX('GMW - Baseline'!$A$2:$MC$200,MATCH(1,('GMW - Baseline'!$MC$2:$MC$200=J$3)*('GMW - Baseline'!$MB$2:$MB$200=J$4),0),$E61-1973)</f>
        <v>#N/A</v>
      </c>
      <c r="K61" t="e" cm="1">
        <f t="array" ref="K61">INDEX('GMW - Baseline'!$A$2:$MC$200,MATCH(1,('GMW - Baseline'!$MC$2:$MC$200=K$3)*('GMW - Baseline'!$MB$2:$MB$200=K$4),0),$E61-1973)</f>
        <v>#N/A</v>
      </c>
      <c r="L61" t="e" cm="1">
        <f t="array" ref="L61">INDEX('GMW - Baseline'!$A$2:$MC$200,MATCH(1,('GMW - Baseline'!$MC$2:$MC$200=L$3)*('GMW - Baseline'!$MB$2:$MB$200=L$4),0),$E61-1973)</f>
        <v>#N/A</v>
      </c>
      <c r="M61" t="e" cm="1">
        <f t="array" ref="M61">INDEX('GMW - Baseline'!$A$2:$MC$200,MATCH(1,('GMW - Baseline'!$MC$2:$MC$200=M$3)*('GMW - Baseline'!$MB$2:$MB$200=M$4),0),$E61-1973)</f>
        <v>#N/A</v>
      </c>
      <c r="N61" t="e" cm="1">
        <f t="array" ref="N61">INDEX('GMW - Baseline'!$A$2:$MC$200,MATCH(1,('GMW - Baseline'!$MC$2:$MC$200=N$3)*('GMW - Baseline'!$MB$2:$MB$200=N$4),0),$E61-1973)</f>
        <v>#N/A</v>
      </c>
      <c r="O61" t="e" cm="1">
        <f t="array" ref="O61">INDEX('GMW - Baseline'!$A$2:$MC$200,MATCH(1,('GMW - Baseline'!$MC$2:$MC$200=O$3)*('GMW - Baseline'!$MB$2:$MB$200=O$4),0),$E61-1973)</f>
        <v>#N/A</v>
      </c>
      <c r="P61" t="e" cm="1">
        <f t="array" ref="P61">INDEX('GMW - Baseline'!$A$2:$MC$200,MATCH(1,('GMW - Baseline'!$MC$2:$MC$200=P$3)*('GMW - Baseline'!$MB$2:$MB$200=P$4),0),$E61-1973)</f>
        <v>#N/A</v>
      </c>
      <c r="Q61" t="e" cm="1">
        <f t="array" ref="Q61">INDEX('GMW - Baseline'!$A$2:$MC$200,MATCH(1,('GMW - Baseline'!$MC$2:$MC$200=Q$3)*('GMW - Baseline'!$MB$2:$MB$200=Q$4),0),$E61-1973)</f>
        <v>#N/A</v>
      </c>
      <c r="R61" t="e" cm="1">
        <f t="array" ref="R61">INDEX('GMW - Baseline'!$A$2:$MC$200,MATCH(1,('GMW - Baseline'!$MC$2:$MC$200=R$3)*('GMW - Baseline'!$MB$2:$MB$200=R$4),0),$E61-1973)</f>
        <v>#N/A</v>
      </c>
      <c r="S61" t="e" cm="1">
        <f t="array" ref="S61">INDEX('GMW - Baseline'!$A$2:$MC$200,MATCH(1,('GMW - Baseline'!$MC$2:$MC$200=S$3)*('GMW - Baseline'!$MB$2:$MB$200=S$4),0),$E61-1973)</f>
        <v>#N/A</v>
      </c>
      <c r="T61" t="e" cm="1">
        <f t="array" ref="T61">INDEX('GMW - Baseline'!$A$2:$MC$200,MATCH(1,('GMW - Baseline'!$MC$2:$MC$200=T$3)*('GMW - Baseline'!$MB$2:$MB$200=T$4),0),$E61-1973)</f>
        <v>#N/A</v>
      </c>
    </row>
    <row r="62" spans="1:20" x14ac:dyDescent="0.25">
      <c r="B62">
        <f t="shared" si="5"/>
        <v>1993</v>
      </c>
      <c r="C62">
        <f t="shared" si="5"/>
        <v>1993</v>
      </c>
      <c r="E62">
        <f t="shared" si="1"/>
        <v>2035</v>
      </c>
      <c r="F62" cm="1">
        <f t="array" ref="F62">INDEX('GMW - Baseline'!$A$2:$MC$200,MATCH(1,('GMW - Baseline'!$MC$2:$MC$200=F$3)*('GMW - Baseline'!$MB$2:$MB$200=F$4),0),$E62-1973)</f>
        <v>387143</v>
      </c>
      <c r="G62" cm="1">
        <f t="array" ref="G62">INDEX('GMW - Baseline'!$A$2:$MC$200,MATCH(1,('GMW - Baseline'!$MC$2:$MC$200=G$3)*('GMW - Baseline'!$MB$2:$MB$200=G$4),0),$E62-1973)</f>
        <v>225346</v>
      </c>
      <c r="H62" cm="1">
        <f t="array" ref="H62">INDEX('GMW - Baseline'!$A$2:$MC$200,MATCH(1,('GMW - Baseline'!$MC$2:$MC$200=H$3)*('GMW - Baseline'!$MB$2:$MB$200=H$4),0),$E62-1973)</f>
        <v>64.666659999999993</v>
      </c>
      <c r="I62" cm="1">
        <f t="array" ref="I62">INDEX('GMW - Baseline'!$A$2:$MC$200,MATCH(1,('GMW - Baseline'!$MC$2:$MC$200=I$3)*('GMW - Baseline'!$MB$2:$MB$200=I$4),0),$E62-1973)</f>
        <v>5.655303</v>
      </c>
      <c r="J62" t="e" cm="1">
        <f t="array" ref="J62">INDEX('GMW - Baseline'!$A$2:$MC$200,MATCH(1,('GMW - Baseline'!$MC$2:$MC$200=J$3)*('GMW - Baseline'!$MB$2:$MB$200=J$4),0),$E62-1973)</f>
        <v>#N/A</v>
      </c>
      <c r="K62" t="e" cm="1">
        <f t="array" ref="K62">INDEX('GMW - Baseline'!$A$2:$MC$200,MATCH(1,('GMW - Baseline'!$MC$2:$MC$200=K$3)*('GMW - Baseline'!$MB$2:$MB$200=K$4),0),$E62-1973)</f>
        <v>#N/A</v>
      </c>
      <c r="L62" t="e" cm="1">
        <f t="array" ref="L62">INDEX('GMW - Baseline'!$A$2:$MC$200,MATCH(1,('GMW - Baseline'!$MC$2:$MC$200=L$3)*('GMW - Baseline'!$MB$2:$MB$200=L$4),0),$E62-1973)</f>
        <v>#N/A</v>
      </c>
      <c r="M62" t="e" cm="1">
        <f t="array" ref="M62">INDEX('GMW - Baseline'!$A$2:$MC$200,MATCH(1,('GMW - Baseline'!$MC$2:$MC$200=M$3)*('GMW - Baseline'!$MB$2:$MB$200=M$4),0),$E62-1973)</f>
        <v>#N/A</v>
      </c>
      <c r="N62" t="e" cm="1">
        <f t="array" ref="N62">INDEX('GMW - Baseline'!$A$2:$MC$200,MATCH(1,('GMW - Baseline'!$MC$2:$MC$200=N$3)*('GMW - Baseline'!$MB$2:$MB$200=N$4),0),$E62-1973)</f>
        <v>#N/A</v>
      </c>
      <c r="O62" t="e" cm="1">
        <f t="array" ref="O62">INDEX('GMW - Baseline'!$A$2:$MC$200,MATCH(1,('GMW - Baseline'!$MC$2:$MC$200=O$3)*('GMW - Baseline'!$MB$2:$MB$200=O$4),0),$E62-1973)</f>
        <v>#N/A</v>
      </c>
      <c r="P62" t="e" cm="1">
        <f t="array" ref="P62">INDEX('GMW - Baseline'!$A$2:$MC$200,MATCH(1,('GMW - Baseline'!$MC$2:$MC$200=P$3)*('GMW - Baseline'!$MB$2:$MB$200=P$4),0),$E62-1973)</f>
        <v>#N/A</v>
      </c>
      <c r="Q62" t="e" cm="1">
        <f t="array" ref="Q62">INDEX('GMW - Baseline'!$A$2:$MC$200,MATCH(1,('GMW - Baseline'!$MC$2:$MC$200=Q$3)*('GMW - Baseline'!$MB$2:$MB$200=Q$4),0),$E62-1973)</f>
        <v>#N/A</v>
      </c>
      <c r="R62" t="e" cm="1">
        <f t="array" ref="R62">INDEX('GMW - Baseline'!$A$2:$MC$200,MATCH(1,('GMW - Baseline'!$MC$2:$MC$200=R$3)*('GMW - Baseline'!$MB$2:$MB$200=R$4),0),$E62-1973)</f>
        <v>#N/A</v>
      </c>
      <c r="S62" t="e" cm="1">
        <f t="array" ref="S62">INDEX('GMW - Baseline'!$A$2:$MC$200,MATCH(1,('GMW - Baseline'!$MC$2:$MC$200=S$3)*('GMW - Baseline'!$MB$2:$MB$200=S$4),0),$E62-1973)</f>
        <v>#N/A</v>
      </c>
      <c r="T62" t="e" cm="1">
        <f t="array" ref="T62">INDEX('GMW - Baseline'!$A$2:$MC$200,MATCH(1,('GMW - Baseline'!$MC$2:$MC$200=T$3)*('GMW - Baseline'!$MB$2:$MB$200=T$4),0),$E62-1973)</f>
        <v>#N/A</v>
      </c>
    </row>
    <row r="63" spans="1:20" x14ac:dyDescent="0.25">
      <c r="A63">
        <v>1994</v>
      </c>
      <c r="B63">
        <f t="shared" si="5"/>
        <v>1994</v>
      </c>
      <c r="C63">
        <f t="shared" si="5"/>
        <v>1993</v>
      </c>
      <c r="D63">
        <f t="shared" si="5"/>
        <v>1993</v>
      </c>
      <c r="E63">
        <f t="shared" si="1"/>
        <v>2036</v>
      </c>
      <c r="F63" cm="1">
        <f t="array" ref="F63">INDEX('GMW - Baseline'!$A$2:$MC$200,MATCH(1,('GMW - Baseline'!$MC$2:$MC$200=F$3)*('GMW - Baseline'!$MB$2:$MB$200=F$4),0),$E63-1973)</f>
        <v>391026</v>
      </c>
      <c r="G63" cm="1">
        <f t="array" ref="G63">INDEX('GMW - Baseline'!$A$2:$MC$200,MATCH(1,('GMW - Baseline'!$MC$2:$MC$200=G$3)*('GMW - Baseline'!$MB$2:$MB$200=G$4),0),$E63-1973)</f>
        <v>227586</v>
      </c>
      <c r="H63" cm="1">
        <f t="array" ref="H63">INDEX('GMW - Baseline'!$A$2:$MC$200,MATCH(1,('GMW - Baseline'!$MC$2:$MC$200=H$3)*('GMW - Baseline'!$MB$2:$MB$200=H$4),0),$E63-1973)</f>
        <v>64.766670000000005</v>
      </c>
      <c r="I63" cm="1">
        <f t="array" ref="I63">INDEX('GMW - Baseline'!$A$2:$MC$200,MATCH(1,('GMW - Baseline'!$MC$2:$MC$200=I$3)*('GMW - Baseline'!$MB$2:$MB$200=I$4),0),$E63-1973)</f>
        <v>5.2265629999999996</v>
      </c>
      <c r="J63" t="e" cm="1">
        <f t="array" ref="J63">INDEX('GMW - Baseline'!$A$2:$MC$200,MATCH(1,('GMW - Baseline'!$MC$2:$MC$200=J$3)*('GMW - Baseline'!$MB$2:$MB$200=J$4),0),$E63-1973)</f>
        <v>#N/A</v>
      </c>
      <c r="K63" t="e" cm="1">
        <f t="array" ref="K63">INDEX('GMW - Baseline'!$A$2:$MC$200,MATCH(1,('GMW - Baseline'!$MC$2:$MC$200=K$3)*('GMW - Baseline'!$MB$2:$MB$200=K$4),0),$E63-1973)</f>
        <v>#N/A</v>
      </c>
      <c r="L63" t="e" cm="1">
        <f t="array" ref="L63">INDEX('GMW - Baseline'!$A$2:$MC$200,MATCH(1,('GMW - Baseline'!$MC$2:$MC$200=L$3)*('GMW - Baseline'!$MB$2:$MB$200=L$4),0),$E63-1973)</f>
        <v>#N/A</v>
      </c>
      <c r="M63" t="e" cm="1">
        <f t="array" ref="M63">INDEX('GMW - Baseline'!$A$2:$MC$200,MATCH(1,('GMW - Baseline'!$MC$2:$MC$200=M$3)*('GMW - Baseline'!$MB$2:$MB$200=M$4),0),$E63-1973)</f>
        <v>#N/A</v>
      </c>
      <c r="N63" t="e" cm="1">
        <f t="array" ref="N63">INDEX('GMW - Baseline'!$A$2:$MC$200,MATCH(1,('GMW - Baseline'!$MC$2:$MC$200=N$3)*('GMW - Baseline'!$MB$2:$MB$200=N$4),0),$E63-1973)</f>
        <v>#N/A</v>
      </c>
      <c r="O63" t="e" cm="1">
        <f t="array" ref="O63">INDEX('GMW - Baseline'!$A$2:$MC$200,MATCH(1,('GMW - Baseline'!$MC$2:$MC$200=O$3)*('GMW - Baseline'!$MB$2:$MB$200=O$4),0),$E63-1973)</f>
        <v>#N/A</v>
      </c>
      <c r="P63" t="e" cm="1">
        <f t="array" ref="P63">INDEX('GMW - Baseline'!$A$2:$MC$200,MATCH(1,('GMW - Baseline'!$MC$2:$MC$200=P$3)*('GMW - Baseline'!$MB$2:$MB$200=P$4),0),$E63-1973)</f>
        <v>#N/A</v>
      </c>
      <c r="Q63" t="e" cm="1">
        <f t="array" ref="Q63">INDEX('GMW - Baseline'!$A$2:$MC$200,MATCH(1,('GMW - Baseline'!$MC$2:$MC$200=Q$3)*('GMW - Baseline'!$MB$2:$MB$200=Q$4),0),$E63-1973)</f>
        <v>#N/A</v>
      </c>
      <c r="R63" t="e" cm="1">
        <f t="array" ref="R63">INDEX('GMW - Baseline'!$A$2:$MC$200,MATCH(1,('GMW - Baseline'!$MC$2:$MC$200=R$3)*('GMW - Baseline'!$MB$2:$MB$200=R$4),0),$E63-1973)</f>
        <v>#N/A</v>
      </c>
      <c r="S63" t="e" cm="1">
        <f t="array" ref="S63">INDEX('GMW - Baseline'!$A$2:$MC$200,MATCH(1,('GMW - Baseline'!$MC$2:$MC$200=S$3)*('GMW - Baseline'!$MB$2:$MB$200=S$4),0),$E63-1973)</f>
        <v>#N/A</v>
      </c>
      <c r="T63" t="e" cm="1">
        <f t="array" ref="T63">INDEX('GMW - Baseline'!$A$2:$MC$200,MATCH(1,('GMW - Baseline'!$MC$2:$MC$200=T$3)*('GMW - Baseline'!$MB$2:$MB$200=T$4),0),$E63-1973)</f>
        <v>#N/A</v>
      </c>
    </row>
    <row r="64" spans="1:20" x14ac:dyDescent="0.25">
      <c r="B64">
        <f t="shared" si="5"/>
        <v>1994</v>
      </c>
      <c r="C64">
        <f t="shared" si="5"/>
        <v>1994</v>
      </c>
      <c r="E64">
        <f t="shared" si="1"/>
        <v>2037</v>
      </c>
      <c r="F64" cm="1">
        <f t="array" ref="F64">INDEX('GMW - Baseline'!$A$2:$MC$200,MATCH(1,('GMW - Baseline'!$MC$2:$MC$200=F$3)*('GMW - Baseline'!$MB$2:$MB$200=F$4),0),$E64-1973)</f>
        <v>394588</v>
      </c>
      <c r="G64" cm="1">
        <f t="array" ref="G64">INDEX('GMW - Baseline'!$A$2:$MC$200,MATCH(1,('GMW - Baseline'!$MC$2:$MC$200=G$3)*('GMW - Baseline'!$MB$2:$MB$200=G$4),0),$E64-1973)</f>
        <v>227983</v>
      </c>
      <c r="H64" cm="1">
        <f t="array" ref="H64">INDEX('GMW - Baseline'!$A$2:$MC$200,MATCH(1,('GMW - Baseline'!$MC$2:$MC$200=H$3)*('GMW - Baseline'!$MB$2:$MB$200=H$4),0),$E64-1973)</f>
        <v>65.7</v>
      </c>
      <c r="I64" cm="1">
        <f t="array" ref="I64">INDEX('GMW - Baseline'!$A$2:$MC$200,MATCH(1,('GMW - Baseline'!$MC$2:$MC$200=I$3)*('GMW - Baseline'!$MB$2:$MB$200=I$4),0),$E64-1973)</f>
        <v>5.125</v>
      </c>
      <c r="J64" t="e" cm="1">
        <f t="array" ref="J64">INDEX('GMW - Baseline'!$A$2:$MC$200,MATCH(1,('GMW - Baseline'!$MC$2:$MC$200=J$3)*('GMW - Baseline'!$MB$2:$MB$200=J$4),0),$E64-1973)</f>
        <v>#N/A</v>
      </c>
      <c r="K64" t="e" cm="1">
        <f t="array" ref="K64">INDEX('GMW - Baseline'!$A$2:$MC$200,MATCH(1,('GMW - Baseline'!$MC$2:$MC$200=K$3)*('GMW - Baseline'!$MB$2:$MB$200=K$4),0),$E64-1973)</f>
        <v>#N/A</v>
      </c>
      <c r="L64" t="e" cm="1">
        <f t="array" ref="L64">INDEX('GMW - Baseline'!$A$2:$MC$200,MATCH(1,('GMW - Baseline'!$MC$2:$MC$200=L$3)*('GMW - Baseline'!$MB$2:$MB$200=L$4),0),$E64-1973)</f>
        <v>#N/A</v>
      </c>
      <c r="M64" t="e" cm="1">
        <f t="array" ref="M64">INDEX('GMW - Baseline'!$A$2:$MC$200,MATCH(1,('GMW - Baseline'!$MC$2:$MC$200=M$3)*('GMW - Baseline'!$MB$2:$MB$200=M$4),0),$E64-1973)</f>
        <v>#N/A</v>
      </c>
      <c r="N64" t="e" cm="1">
        <f t="array" ref="N64">INDEX('GMW - Baseline'!$A$2:$MC$200,MATCH(1,('GMW - Baseline'!$MC$2:$MC$200=N$3)*('GMW - Baseline'!$MB$2:$MB$200=N$4),0),$E64-1973)</f>
        <v>#N/A</v>
      </c>
      <c r="O64" t="e" cm="1">
        <f t="array" ref="O64">INDEX('GMW - Baseline'!$A$2:$MC$200,MATCH(1,('GMW - Baseline'!$MC$2:$MC$200=O$3)*('GMW - Baseline'!$MB$2:$MB$200=O$4),0),$E64-1973)</f>
        <v>#N/A</v>
      </c>
      <c r="P64" t="e" cm="1">
        <f t="array" ref="P64">INDEX('GMW - Baseline'!$A$2:$MC$200,MATCH(1,('GMW - Baseline'!$MC$2:$MC$200=P$3)*('GMW - Baseline'!$MB$2:$MB$200=P$4),0),$E64-1973)</f>
        <v>#N/A</v>
      </c>
      <c r="Q64" t="e" cm="1">
        <f t="array" ref="Q64">INDEX('GMW - Baseline'!$A$2:$MC$200,MATCH(1,('GMW - Baseline'!$MC$2:$MC$200=Q$3)*('GMW - Baseline'!$MB$2:$MB$200=Q$4),0),$E64-1973)</f>
        <v>#N/A</v>
      </c>
      <c r="R64" t="e" cm="1">
        <f t="array" ref="R64">INDEX('GMW - Baseline'!$A$2:$MC$200,MATCH(1,('GMW - Baseline'!$MC$2:$MC$200=R$3)*('GMW - Baseline'!$MB$2:$MB$200=R$4),0),$E64-1973)</f>
        <v>#N/A</v>
      </c>
      <c r="S64" t="e" cm="1">
        <f t="array" ref="S64">INDEX('GMW - Baseline'!$A$2:$MC$200,MATCH(1,('GMW - Baseline'!$MC$2:$MC$200=S$3)*('GMW - Baseline'!$MB$2:$MB$200=S$4),0),$E64-1973)</f>
        <v>#N/A</v>
      </c>
      <c r="T64" t="e" cm="1">
        <f t="array" ref="T64">INDEX('GMW - Baseline'!$A$2:$MC$200,MATCH(1,('GMW - Baseline'!$MC$2:$MC$200=T$3)*('GMW - Baseline'!$MB$2:$MB$200=T$4),0),$E64-1973)</f>
        <v>#N/A</v>
      </c>
    </row>
    <row r="65" spans="1:20" x14ac:dyDescent="0.25">
      <c r="B65">
        <f t="shared" si="5"/>
        <v>1994</v>
      </c>
      <c r="C65">
        <f t="shared" si="5"/>
        <v>1994</v>
      </c>
      <c r="E65">
        <f t="shared" si="1"/>
        <v>2038</v>
      </c>
      <c r="F65" cm="1">
        <f t="array" ref="F65">INDEX('GMW - Baseline'!$A$2:$MC$200,MATCH(1,('GMW - Baseline'!$MC$2:$MC$200=F$3)*('GMW - Baseline'!$MB$2:$MB$200=F$4),0),$E65-1973)</f>
        <v>398566</v>
      </c>
      <c r="G65" cm="1">
        <f t="array" ref="G65">INDEX('GMW - Baseline'!$A$2:$MC$200,MATCH(1,('GMW - Baseline'!$MC$2:$MC$200=G$3)*('GMW - Baseline'!$MB$2:$MB$200=G$4),0),$E65-1973)</f>
        <v>229961</v>
      </c>
      <c r="H65" cm="1">
        <f t="array" ref="H65">INDEX('GMW - Baseline'!$A$2:$MC$200,MATCH(1,('GMW - Baseline'!$MC$2:$MC$200=H$3)*('GMW - Baseline'!$MB$2:$MB$200=H$4),0),$E65-1973)</f>
        <v>65.633330000000001</v>
      </c>
      <c r="I65" cm="1">
        <f t="array" ref="I65">INDEX('GMW - Baseline'!$A$2:$MC$200,MATCH(1,('GMW - Baseline'!$MC$2:$MC$200=I$3)*('GMW - Baseline'!$MB$2:$MB$200=I$4),0),$E65-1973)</f>
        <v>5.2386359999999996</v>
      </c>
      <c r="J65" t="e" cm="1">
        <f t="array" ref="J65">INDEX('GMW - Baseline'!$A$2:$MC$200,MATCH(1,('GMW - Baseline'!$MC$2:$MC$200=J$3)*('GMW - Baseline'!$MB$2:$MB$200=J$4),0),$E65-1973)</f>
        <v>#N/A</v>
      </c>
      <c r="K65" t="e" cm="1">
        <f t="array" ref="K65">INDEX('GMW - Baseline'!$A$2:$MC$200,MATCH(1,('GMW - Baseline'!$MC$2:$MC$200=K$3)*('GMW - Baseline'!$MB$2:$MB$200=K$4),0),$E65-1973)</f>
        <v>#N/A</v>
      </c>
      <c r="L65" t="e" cm="1">
        <f t="array" ref="L65">INDEX('GMW - Baseline'!$A$2:$MC$200,MATCH(1,('GMW - Baseline'!$MC$2:$MC$200=L$3)*('GMW - Baseline'!$MB$2:$MB$200=L$4),0),$E65-1973)</f>
        <v>#N/A</v>
      </c>
      <c r="M65" t="e" cm="1">
        <f t="array" ref="M65">INDEX('GMW - Baseline'!$A$2:$MC$200,MATCH(1,('GMW - Baseline'!$MC$2:$MC$200=M$3)*('GMW - Baseline'!$MB$2:$MB$200=M$4),0),$E65-1973)</f>
        <v>#N/A</v>
      </c>
      <c r="N65" t="e" cm="1">
        <f t="array" ref="N65">INDEX('GMW - Baseline'!$A$2:$MC$200,MATCH(1,('GMW - Baseline'!$MC$2:$MC$200=N$3)*('GMW - Baseline'!$MB$2:$MB$200=N$4),0),$E65-1973)</f>
        <v>#N/A</v>
      </c>
      <c r="O65" t="e" cm="1">
        <f t="array" ref="O65">INDEX('GMW - Baseline'!$A$2:$MC$200,MATCH(1,('GMW - Baseline'!$MC$2:$MC$200=O$3)*('GMW - Baseline'!$MB$2:$MB$200=O$4),0),$E65-1973)</f>
        <v>#N/A</v>
      </c>
      <c r="P65" t="e" cm="1">
        <f t="array" ref="P65">INDEX('GMW - Baseline'!$A$2:$MC$200,MATCH(1,('GMW - Baseline'!$MC$2:$MC$200=P$3)*('GMW - Baseline'!$MB$2:$MB$200=P$4),0),$E65-1973)</f>
        <v>#N/A</v>
      </c>
      <c r="Q65" t="e" cm="1">
        <f t="array" ref="Q65">INDEX('GMW - Baseline'!$A$2:$MC$200,MATCH(1,('GMW - Baseline'!$MC$2:$MC$200=Q$3)*('GMW - Baseline'!$MB$2:$MB$200=Q$4),0),$E65-1973)</f>
        <v>#N/A</v>
      </c>
      <c r="R65" t="e" cm="1">
        <f t="array" ref="R65">INDEX('GMW - Baseline'!$A$2:$MC$200,MATCH(1,('GMW - Baseline'!$MC$2:$MC$200=R$3)*('GMW - Baseline'!$MB$2:$MB$200=R$4),0),$E65-1973)</f>
        <v>#N/A</v>
      </c>
      <c r="S65" t="e" cm="1">
        <f t="array" ref="S65">INDEX('GMW - Baseline'!$A$2:$MC$200,MATCH(1,('GMW - Baseline'!$MC$2:$MC$200=S$3)*('GMW - Baseline'!$MB$2:$MB$200=S$4),0),$E65-1973)</f>
        <v>#N/A</v>
      </c>
      <c r="T65" t="e" cm="1">
        <f t="array" ref="T65">INDEX('GMW - Baseline'!$A$2:$MC$200,MATCH(1,('GMW - Baseline'!$MC$2:$MC$200=T$3)*('GMW - Baseline'!$MB$2:$MB$200=T$4),0),$E65-1973)</f>
        <v>#N/A</v>
      </c>
    </row>
    <row r="66" spans="1:20" x14ac:dyDescent="0.25">
      <c r="B66">
        <f t="shared" si="5"/>
        <v>1994</v>
      </c>
      <c r="C66">
        <f t="shared" si="5"/>
        <v>1994</v>
      </c>
      <c r="E66">
        <f t="shared" si="1"/>
        <v>2039</v>
      </c>
      <c r="F66" cm="1">
        <f t="array" ref="F66">INDEX('GMW - Baseline'!$A$2:$MC$200,MATCH(1,('GMW - Baseline'!$MC$2:$MC$200=F$3)*('GMW - Baseline'!$MB$2:$MB$200=F$4),0),$E66-1973)</f>
        <v>400279</v>
      </c>
      <c r="G66" cm="1">
        <f t="array" ref="G66">INDEX('GMW - Baseline'!$A$2:$MC$200,MATCH(1,('GMW - Baseline'!$MC$2:$MC$200=G$3)*('GMW - Baseline'!$MB$2:$MB$200=G$4),0),$E66-1973)</f>
        <v>231570</v>
      </c>
      <c r="H66" cm="1">
        <f t="array" ref="H66">INDEX('GMW - Baseline'!$A$2:$MC$200,MATCH(1,('GMW - Baseline'!$MC$2:$MC$200=H$3)*('GMW - Baseline'!$MB$2:$MB$200=H$4),0),$E66-1973)</f>
        <v>65.8</v>
      </c>
      <c r="I66" cm="1">
        <f t="array" ref="I66">INDEX('GMW - Baseline'!$A$2:$MC$200,MATCH(1,('GMW - Baseline'!$MC$2:$MC$200=I$3)*('GMW - Baseline'!$MB$2:$MB$200=I$4),0),$E66-1973)</f>
        <v>5.7634619999999996</v>
      </c>
      <c r="J66" t="e" cm="1">
        <f t="array" ref="J66">INDEX('GMW - Baseline'!$A$2:$MC$200,MATCH(1,('GMW - Baseline'!$MC$2:$MC$200=J$3)*('GMW - Baseline'!$MB$2:$MB$200=J$4),0),$E66-1973)</f>
        <v>#N/A</v>
      </c>
      <c r="K66" t="e" cm="1">
        <f t="array" ref="K66">INDEX('GMW - Baseline'!$A$2:$MC$200,MATCH(1,('GMW - Baseline'!$MC$2:$MC$200=K$3)*('GMW - Baseline'!$MB$2:$MB$200=K$4),0),$E66-1973)</f>
        <v>#N/A</v>
      </c>
      <c r="L66" t="e" cm="1">
        <f t="array" ref="L66">INDEX('GMW - Baseline'!$A$2:$MC$200,MATCH(1,('GMW - Baseline'!$MC$2:$MC$200=L$3)*('GMW - Baseline'!$MB$2:$MB$200=L$4),0),$E66-1973)</f>
        <v>#N/A</v>
      </c>
      <c r="M66" t="e" cm="1">
        <f t="array" ref="M66">INDEX('GMW - Baseline'!$A$2:$MC$200,MATCH(1,('GMW - Baseline'!$MC$2:$MC$200=M$3)*('GMW - Baseline'!$MB$2:$MB$200=M$4),0),$E66-1973)</f>
        <v>#N/A</v>
      </c>
      <c r="N66" t="e" cm="1">
        <f t="array" ref="N66">INDEX('GMW - Baseline'!$A$2:$MC$200,MATCH(1,('GMW - Baseline'!$MC$2:$MC$200=N$3)*('GMW - Baseline'!$MB$2:$MB$200=N$4),0),$E66-1973)</f>
        <v>#N/A</v>
      </c>
      <c r="O66" t="e" cm="1">
        <f t="array" ref="O66">INDEX('GMW - Baseline'!$A$2:$MC$200,MATCH(1,('GMW - Baseline'!$MC$2:$MC$200=O$3)*('GMW - Baseline'!$MB$2:$MB$200=O$4),0),$E66-1973)</f>
        <v>#N/A</v>
      </c>
      <c r="P66" t="e" cm="1">
        <f t="array" ref="P66">INDEX('GMW - Baseline'!$A$2:$MC$200,MATCH(1,('GMW - Baseline'!$MC$2:$MC$200=P$3)*('GMW - Baseline'!$MB$2:$MB$200=P$4),0),$E66-1973)</f>
        <v>#N/A</v>
      </c>
      <c r="Q66" t="e" cm="1">
        <f t="array" ref="Q66">INDEX('GMW - Baseline'!$A$2:$MC$200,MATCH(1,('GMW - Baseline'!$MC$2:$MC$200=Q$3)*('GMW - Baseline'!$MB$2:$MB$200=Q$4),0),$E66-1973)</f>
        <v>#N/A</v>
      </c>
      <c r="R66" t="e" cm="1">
        <f t="array" ref="R66">INDEX('GMW - Baseline'!$A$2:$MC$200,MATCH(1,('GMW - Baseline'!$MC$2:$MC$200=R$3)*('GMW - Baseline'!$MB$2:$MB$200=R$4),0),$E66-1973)</f>
        <v>#N/A</v>
      </c>
      <c r="S66" t="e" cm="1">
        <f t="array" ref="S66">INDEX('GMW - Baseline'!$A$2:$MC$200,MATCH(1,('GMW - Baseline'!$MC$2:$MC$200=S$3)*('GMW - Baseline'!$MB$2:$MB$200=S$4),0),$E66-1973)</f>
        <v>#N/A</v>
      </c>
      <c r="T66" t="e" cm="1">
        <f t="array" ref="T66">INDEX('GMW - Baseline'!$A$2:$MC$200,MATCH(1,('GMW - Baseline'!$MC$2:$MC$200=T$3)*('GMW - Baseline'!$MB$2:$MB$200=T$4),0),$E66-1973)</f>
        <v>#N/A</v>
      </c>
    </row>
    <row r="67" spans="1:20" x14ac:dyDescent="0.25">
      <c r="A67">
        <v>1995</v>
      </c>
      <c r="B67">
        <f t="shared" si="5"/>
        <v>1995</v>
      </c>
      <c r="C67">
        <f t="shared" si="5"/>
        <v>1994</v>
      </c>
      <c r="D67">
        <f t="shared" si="5"/>
        <v>1994</v>
      </c>
      <c r="E67">
        <f t="shared" si="1"/>
        <v>2040</v>
      </c>
      <c r="F67" cm="1">
        <f t="array" ref="F67">INDEX('GMW - Baseline'!$A$2:$MC$200,MATCH(1,('GMW - Baseline'!$MC$2:$MC$200=F$3)*('GMW - Baseline'!$MB$2:$MB$200=F$4),0),$E67-1973)</f>
        <v>402390</v>
      </c>
      <c r="G67" cm="1">
        <f t="array" ref="G67">INDEX('GMW - Baseline'!$A$2:$MC$200,MATCH(1,('GMW - Baseline'!$MC$2:$MC$200=G$3)*('GMW - Baseline'!$MB$2:$MB$200=G$4),0),$E67-1973)</f>
        <v>231674</v>
      </c>
      <c r="H67" cm="1">
        <f t="array" ref="H67">INDEX('GMW - Baseline'!$A$2:$MC$200,MATCH(1,('GMW - Baseline'!$MC$2:$MC$200=H$3)*('GMW - Baseline'!$MB$2:$MB$200=H$4),0),$E67-1973)</f>
        <v>66.333340000000007</v>
      </c>
      <c r="I67" cm="1">
        <f t="array" ref="I67">INDEX('GMW - Baseline'!$A$2:$MC$200,MATCH(1,('GMW - Baseline'!$MC$2:$MC$200=I$3)*('GMW - Baseline'!$MB$2:$MB$200=I$4),0),$E67-1973)</f>
        <v>6.4480769999999996</v>
      </c>
      <c r="J67" t="e" cm="1">
        <f t="array" ref="J67">INDEX('GMW - Baseline'!$A$2:$MC$200,MATCH(1,('GMW - Baseline'!$MC$2:$MC$200=J$3)*('GMW - Baseline'!$MB$2:$MB$200=J$4),0),$E67-1973)</f>
        <v>#N/A</v>
      </c>
      <c r="K67" t="e" cm="1">
        <f t="array" ref="K67">INDEX('GMW - Baseline'!$A$2:$MC$200,MATCH(1,('GMW - Baseline'!$MC$2:$MC$200=K$3)*('GMW - Baseline'!$MB$2:$MB$200=K$4),0),$E67-1973)</f>
        <v>#N/A</v>
      </c>
      <c r="L67" t="e" cm="1">
        <f t="array" ref="L67">INDEX('GMW - Baseline'!$A$2:$MC$200,MATCH(1,('GMW - Baseline'!$MC$2:$MC$200=L$3)*('GMW - Baseline'!$MB$2:$MB$200=L$4),0),$E67-1973)</f>
        <v>#N/A</v>
      </c>
      <c r="M67" t="e" cm="1">
        <f t="array" ref="M67">INDEX('GMW - Baseline'!$A$2:$MC$200,MATCH(1,('GMW - Baseline'!$MC$2:$MC$200=M$3)*('GMW - Baseline'!$MB$2:$MB$200=M$4),0),$E67-1973)</f>
        <v>#N/A</v>
      </c>
      <c r="N67" t="e" cm="1">
        <f t="array" ref="N67">INDEX('GMW - Baseline'!$A$2:$MC$200,MATCH(1,('GMW - Baseline'!$MC$2:$MC$200=N$3)*('GMW - Baseline'!$MB$2:$MB$200=N$4),0),$E67-1973)</f>
        <v>#N/A</v>
      </c>
      <c r="O67" t="e" cm="1">
        <f t="array" ref="O67">INDEX('GMW - Baseline'!$A$2:$MC$200,MATCH(1,('GMW - Baseline'!$MC$2:$MC$200=O$3)*('GMW - Baseline'!$MB$2:$MB$200=O$4),0),$E67-1973)</f>
        <v>#N/A</v>
      </c>
      <c r="P67" t="e" cm="1">
        <f t="array" ref="P67">INDEX('GMW - Baseline'!$A$2:$MC$200,MATCH(1,('GMW - Baseline'!$MC$2:$MC$200=P$3)*('GMW - Baseline'!$MB$2:$MB$200=P$4),0),$E67-1973)</f>
        <v>#N/A</v>
      </c>
      <c r="Q67" t="e" cm="1">
        <f t="array" ref="Q67">INDEX('GMW - Baseline'!$A$2:$MC$200,MATCH(1,('GMW - Baseline'!$MC$2:$MC$200=Q$3)*('GMW - Baseline'!$MB$2:$MB$200=Q$4),0),$E67-1973)</f>
        <v>#N/A</v>
      </c>
      <c r="R67" t="e" cm="1">
        <f t="array" ref="R67">INDEX('GMW - Baseline'!$A$2:$MC$200,MATCH(1,('GMW - Baseline'!$MC$2:$MC$200=R$3)*('GMW - Baseline'!$MB$2:$MB$200=R$4),0),$E67-1973)</f>
        <v>#N/A</v>
      </c>
      <c r="S67" t="e" cm="1">
        <f t="array" ref="S67">INDEX('GMW - Baseline'!$A$2:$MC$200,MATCH(1,('GMW - Baseline'!$MC$2:$MC$200=S$3)*('GMW - Baseline'!$MB$2:$MB$200=S$4),0),$E67-1973)</f>
        <v>#N/A</v>
      </c>
      <c r="T67" t="e" cm="1">
        <f t="array" ref="T67">INDEX('GMW - Baseline'!$A$2:$MC$200,MATCH(1,('GMW - Baseline'!$MC$2:$MC$200=T$3)*('GMW - Baseline'!$MB$2:$MB$200=T$4),0),$E67-1973)</f>
        <v>#N/A</v>
      </c>
    </row>
    <row r="68" spans="1:20" x14ac:dyDescent="0.25">
      <c r="B68">
        <f t="shared" si="5"/>
        <v>1995</v>
      </c>
      <c r="C68">
        <f t="shared" si="5"/>
        <v>1995</v>
      </c>
      <c r="E68">
        <f t="shared" si="1"/>
        <v>2041</v>
      </c>
      <c r="F68" cm="1">
        <f t="array" ref="F68">INDEX('GMW - Baseline'!$A$2:$MC$200,MATCH(1,('GMW - Baseline'!$MC$2:$MC$200=F$3)*('GMW - Baseline'!$MB$2:$MB$200=F$4),0),$E68-1973)</f>
        <v>403259</v>
      </c>
      <c r="G68" cm="1">
        <f t="array" ref="G68">INDEX('GMW - Baseline'!$A$2:$MC$200,MATCH(1,('GMW - Baseline'!$MC$2:$MC$200=G$3)*('GMW - Baseline'!$MB$2:$MB$200=G$4),0),$E68-1973)</f>
        <v>233343</v>
      </c>
      <c r="H68" cm="1">
        <f t="array" ref="H68">INDEX('GMW - Baseline'!$A$2:$MC$200,MATCH(1,('GMW - Baseline'!$MC$2:$MC$200=H$3)*('GMW - Baseline'!$MB$2:$MB$200=H$4),0),$E68-1973)</f>
        <v>67.266670000000005</v>
      </c>
      <c r="I68" cm="1">
        <f t="array" ref="I68">INDEX('GMW - Baseline'!$A$2:$MC$200,MATCH(1,('GMW - Baseline'!$MC$2:$MC$200=I$3)*('GMW - Baseline'!$MB$2:$MB$200=I$4),0),$E68-1973)</f>
        <v>6.625</v>
      </c>
      <c r="J68" t="e" cm="1">
        <f t="array" ref="J68">INDEX('GMW - Baseline'!$A$2:$MC$200,MATCH(1,('GMW - Baseline'!$MC$2:$MC$200=J$3)*('GMW - Baseline'!$MB$2:$MB$200=J$4),0),$E68-1973)</f>
        <v>#N/A</v>
      </c>
      <c r="K68" t="e" cm="1">
        <f t="array" ref="K68">INDEX('GMW - Baseline'!$A$2:$MC$200,MATCH(1,('GMW - Baseline'!$MC$2:$MC$200=K$3)*('GMW - Baseline'!$MB$2:$MB$200=K$4),0),$E68-1973)</f>
        <v>#N/A</v>
      </c>
      <c r="L68" t="e" cm="1">
        <f t="array" ref="L68">INDEX('GMW - Baseline'!$A$2:$MC$200,MATCH(1,('GMW - Baseline'!$MC$2:$MC$200=L$3)*('GMW - Baseline'!$MB$2:$MB$200=L$4),0),$E68-1973)</f>
        <v>#N/A</v>
      </c>
      <c r="M68" t="e" cm="1">
        <f t="array" ref="M68">INDEX('GMW - Baseline'!$A$2:$MC$200,MATCH(1,('GMW - Baseline'!$MC$2:$MC$200=M$3)*('GMW - Baseline'!$MB$2:$MB$200=M$4),0),$E68-1973)</f>
        <v>#N/A</v>
      </c>
      <c r="N68" t="e" cm="1">
        <f t="array" ref="N68">INDEX('GMW - Baseline'!$A$2:$MC$200,MATCH(1,('GMW - Baseline'!$MC$2:$MC$200=N$3)*('GMW - Baseline'!$MB$2:$MB$200=N$4),0),$E68-1973)</f>
        <v>#N/A</v>
      </c>
      <c r="O68" t="e" cm="1">
        <f t="array" ref="O68">INDEX('GMW - Baseline'!$A$2:$MC$200,MATCH(1,('GMW - Baseline'!$MC$2:$MC$200=O$3)*('GMW - Baseline'!$MB$2:$MB$200=O$4),0),$E68-1973)</f>
        <v>#N/A</v>
      </c>
      <c r="P68" t="e" cm="1">
        <f t="array" ref="P68">INDEX('GMW - Baseline'!$A$2:$MC$200,MATCH(1,('GMW - Baseline'!$MC$2:$MC$200=P$3)*('GMW - Baseline'!$MB$2:$MB$200=P$4),0),$E68-1973)</f>
        <v>#N/A</v>
      </c>
      <c r="Q68" t="e" cm="1">
        <f t="array" ref="Q68">INDEX('GMW - Baseline'!$A$2:$MC$200,MATCH(1,('GMW - Baseline'!$MC$2:$MC$200=Q$3)*('GMW - Baseline'!$MB$2:$MB$200=Q$4),0),$E68-1973)</f>
        <v>#N/A</v>
      </c>
      <c r="R68" t="e" cm="1">
        <f t="array" ref="R68">INDEX('GMW - Baseline'!$A$2:$MC$200,MATCH(1,('GMW - Baseline'!$MC$2:$MC$200=R$3)*('GMW - Baseline'!$MB$2:$MB$200=R$4),0),$E68-1973)</f>
        <v>#N/A</v>
      </c>
      <c r="S68" t="e" cm="1">
        <f t="array" ref="S68">INDEX('GMW - Baseline'!$A$2:$MC$200,MATCH(1,('GMW - Baseline'!$MC$2:$MC$200=S$3)*('GMW - Baseline'!$MB$2:$MB$200=S$4),0),$E68-1973)</f>
        <v>#N/A</v>
      </c>
      <c r="T68" t="e" cm="1">
        <f t="array" ref="T68">INDEX('GMW - Baseline'!$A$2:$MC$200,MATCH(1,('GMW - Baseline'!$MC$2:$MC$200=T$3)*('GMW - Baseline'!$MB$2:$MB$200=T$4),0),$E68-1973)</f>
        <v>#N/A</v>
      </c>
    </row>
    <row r="69" spans="1:20" x14ac:dyDescent="0.25">
      <c r="B69">
        <f t="shared" si="5"/>
        <v>1995</v>
      </c>
      <c r="C69">
        <f t="shared" si="5"/>
        <v>1995</v>
      </c>
      <c r="E69">
        <f t="shared" si="1"/>
        <v>2042</v>
      </c>
      <c r="F69" cm="1">
        <f t="array" ref="F69">INDEX('GMW - Baseline'!$A$2:$MC$200,MATCH(1,('GMW - Baseline'!$MC$2:$MC$200=F$3)*('GMW - Baseline'!$MB$2:$MB$200=F$4),0),$E69-1973)</f>
        <v>407795</v>
      </c>
      <c r="G69" cm="1">
        <f t="array" ref="G69">INDEX('GMW - Baseline'!$A$2:$MC$200,MATCH(1,('GMW - Baseline'!$MC$2:$MC$200=G$3)*('GMW - Baseline'!$MB$2:$MB$200=G$4),0),$E69-1973)</f>
        <v>234345</v>
      </c>
      <c r="H69" cm="1">
        <f t="array" ref="H69">INDEX('GMW - Baseline'!$A$2:$MC$200,MATCH(1,('GMW - Baseline'!$MC$2:$MC$200=H$3)*('GMW - Baseline'!$MB$2:$MB$200=H$4),0),$E69-1973)</f>
        <v>67.400000000000006</v>
      </c>
      <c r="I69" cm="1">
        <f t="array" ref="I69">INDEX('GMW - Baseline'!$A$2:$MC$200,MATCH(1,('GMW - Baseline'!$MC$2:$MC$200=I$3)*('GMW - Baseline'!$MB$2:$MB$200=I$4),0),$E69-1973)</f>
        <v>6.625</v>
      </c>
      <c r="J69" t="e" cm="1">
        <f t="array" ref="J69">INDEX('GMW - Baseline'!$A$2:$MC$200,MATCH(1,('GMW - Baseline'!$MC$2:$MC$200=J$3)*('GMW - Baseline'!$MB$2:$MB$200=J$4),0),$E69-1973)</f>
        <v>#N/A</v>
      </c>
      <c r="K69" t="e" cm="1">
        <f t="array" ref="K69">INDEX('GMW - Baseline'!$A$2:$MC$200,MATCH(1,('GMW - Baseline'!$MC$2:$MC$200=K$3)*('GMW - Baseline'!$MB$2:$MB$200=K$4),0),$E69-1973)</f>
        <v>#N/A</v>
      </c>
      <c r="L69" t="e" cm="1">
        <f t="array" ref="L69">INDEX('GMW - Baseline'!$A$2:$MC$200,MATCH(1,('GMW - Baseline'!$MC$2:$MC$200=L$3)*('GMW - Baseline'!$MB$2:$MB$200=L$4),0),$E69-1973)</f>
        <v>#N/A</v>
      </c>
      <c r="M69" t="e" cm="1">
        <f t="array" ref="M69">INDEX('GMW - Baseline'!$A$2:$MC$200,MATCH(1,('GMW - Baseline'!$MC$2:$MC$200=M$3)*('GMW - Baseline'!$MB$2:$MB$200=M$4),0),$E69-1973)</f>
        <v>#N/A</v>
      </c>
      <c r="N69" t="e" cm="1">
        <f t="array" ref="N69">INDEX('GMW - Baseline'!$A$2:$MC$200,MATCH(1,('GMW - Baseline'!$MC$2:$MC$200=N$3)*('GMW - Baseline'!$MB$2:$MB$200=N$4),0),$E69-1973)</f>
        <v>#N/A</v>
      </c>
      <c r="O69" t="e" cm="1">
        <f t="array" ref="O69">INDEX('GMW - Baseline'!$A$2:$MC$200,MATCH(1,('GMW - Baseline'!$MC$2:$MC$200=O$3)*('GMW - Baseline'!$MB$2:$MB$200=O$4),0),$E69-1973)</f>
        <v>#N/A</v>
      </c>
      <c r="P69" t="e" cm="1">
        <f t="array" ref="P69">INDEX('GMW - Baseline'!$A$2:$MC$200,MATCH(1,('GMW - Baseline'!$MC$2:$MC$200=P$3)*('GMW - Baseline'!$MB$2:$MB$200=P$4),0),$E69-1973)</f>
        <v>#N/A</v>
      </c>
      <c r="Q69" t="e" cm="1">
        <f t="array" ref="Q69">INDEX('GMW - Baseline'!$A$2:$MC$200,MATCH(1,('GMW - Baseline'!$MC$2:$MC$200=Q$3)*('GMW - Baseline'!$MB$2:$MB$200=Q$4),0),$E69-1973)</f>
        <v>#N/A</v>
      </c>
      <c r="R69" t="e" cm="1">
        <f t="array" ref="R69">INDEX('GMW - Baseline'!$A$2:$MC$200,MATCH(1,('GMW - Baseline'!$MC$2:$MC$200=R$3)*('GMW - Baseline'!$MB$2:$MB$200=R$4),0),$E69-1973)</f>
        <v>#N/A</v>
      </c>
      <c r="S69" t="e" cm="1">
        <f t="array" ref="S69">INDEX('GMW - Baseline'!$A$2:$MC$200,MATCH(1,('GMW - Baseline'!$MC$2:$MC$200=S$3)*('GMW - Baseline'!$MB$2:$MB$200=S$4),0),$E69-1973)</f>
        <v>#N/A</v>
      </c>
      <c r="T69" t="e" cm="1">
        <f t="array" ref="T69">INDEX('GMW - Baseline'!$A$2:$MC$200,MATCH(1,('GMW - Baseline'!$MC$2:$MC$200=T$3)*('GMW - Baseline'!$MB$2:$MB$200=T$4),0),$E69-1973)</f>
        <v>#N/A</v>
      </c>
    </row>
    <row r="70" spans="1:20" x14ac:dyDescent="0.25">
      <c r="B70">
        <f t="shared" si="5"/>
        <v>1995</v>
      </c>
      <c r="C70">
        <f t="shared" si="5"/>
        <v>1995</v>
      </c>
      <c r="E70">
        <f t="shared" si="1"/>
        <v>2043</v>
      </c>
      <c r="F70" cm="1">
        <f t="array" ref="F70">INDEX('GMW - Baseline'!$A$2:$MC$200,MATCH(1,('GMW - Baseline'!$MC$2:$MC$200=F$3)*('GMW - Baseline'!$MB$2:$MB$200=F$4),0),$E70-1973)</f>
        <v>409132</v>
      </c>
      <c r="G70" cm="1">
        <f t="array" ref="G70">INDEX('GMW - Baseline'!$A$2:$MC$200,MATCH(1,('GMW - Baseline'!$MC$2:$MC$200=G$3)*('GMW - Baseline'!$MB$2:$MB$200=G$4),0),$E70-1973)</f>
        <v>237147</v>
      </c>
      <c r="H70" cm="1">
        <f t="array" ref="H70">INDEX('GMW - Baseline'!$A$2:$MC$200,MATCH(1,('GMW - Baseline'!$MC$2:$MC$200=H$3)*('GMW - Baseline'!$MB$2:$MB$200=H$4),0),$E70-1973)</f>
        <v>67.733329999999995</v>
      </c>
      <c r="I70" cm="1">
        <f t="array" ref="I70">INDEX('GMW - Baseline'!$A$2:$MC$200,MATCH(1,('GMW - Baseline'!$MC$2:$MC$200=I$3)*('GMW - Baseline'!$MB$2:$MB$200=I$4),0),$E70-1973)</f>
        <v>6.5750000000000002</v>
      </c>
      <c r="J70" t="e" cm="1">
        <f t="array" ref="J70">INDEX('GMW - Baseline'!$A$2:$MC$200,MATCH(1,('GMW - Baseline'!$MC$2:$MC$200=J$3)*('GMW - Baseline'!$MB$2:$MB$200=J$4),0),$E70-1973)</f>
        <v>#N/A</v>
      </c>
      <c r="K70" t="e" cm="1">
        <f t="array" ref="K70">INDEX('GMW - Baseline'!$A$2:$MC$200,MATCH(1,('GMW - Baseline'!$MC$2:$MC$200=K$3)*('GMW - Baseline'!$MB$2:$MB$200=K$4),0),$E70-1973)</f>
        <v>#N/A</v>
      </c>
      <c r="L70" t="e" cm="1">
        <f t="array" ref="L70">INDEX('GMW - Baseline'!$A$2:$MC$200,MATCH(1,('GMW - Baseline'!$MC$2:$MC$200=L$3)*('GMW - Baseline'!$MB$2:$MB$200=L$4),0),$E70-1973)</f>
        <v>#N/A</v>
      </c>
      <c r="M70" t="e" cm="1">
        <f t="array" ref="M70">INDEX('GMW - Baseline'!$A$2:$MC$200,MATCH(1,('GMW - Baseline'!$MC$2:$MC$200=M$3)*('GMW - Baseline'!$MB$2:$MB$200=M$4),0),$E70-1973)</f>
        <v>#N/A</v>
      </c>
      <c r="N70" t="e" cm="1">
        <f t="array" ref="N70">INDEX('GMW - Baseline'!$A$2:$MC$200,MATCH(1,('GMW - Baseline'!$MC$2:$MC$200=N$3)*('GMW - Baseline'!$MB$2:$MB$200=N$4),0),$E70-1973)</f>
        <v>#N/A</v>
      </c>
      <c r="O70" t="e" cm="1">
        <f t="array" ref="O70">INDEX('GMW - Baseline'!$A$2:$MC$200,MATCH(1,('GMW - Baseline'!$MC$2:$MC$200=O$3)*('GMW - Baseline'!$MB$2:$MB$200=O$4),0),$E70-1973)</f>
        <v>#N/A</v>
      </c>
      <c r="P70" t="e" cm="1">
        <f t="array" ref="P70">INDEX('GMW - Baseline'!$A$2:$MC$200,MATCH(1,('GMW - Baseline'!$MC$2:$MC$200=P$3)*('GMW - Baseline'!$MB$2:$MB$200=P$4),0),$E70-1973)</f>
        <v>#N/A</v>
      </c>
      <c r="Q70" t="e" cm="1">
        <f t="array" ref="Q70">INDEX('GMW - Baseline'!$A$2:$MC$200,MATCH(1,('GMW - Baseline'!$MC$2:$MC$200=Q$3)*('GMW - Baseline'!$MB$2:$MB$200=Q$4),0),$E70-1973)</f>
        <v>#N/A</v>
      </c>
      <c r="R70" t="e" cm="1">
        <f t="array" ref="R70">INDEX('GMW - Baseline'!$A$2:$MC$200,MATCH(1,('GMW - Baseline'!$MC$2:$MC$200=R$3)*('GMW - Baseline'!$MB$2:$MB$200=R$4),0),$E70-1973)</f>
        <v>#N/A</v>
      </c>
      <c r="S70" t="e" cm="1">
        <f t="array" ref="S70">INDEX('GMW - Baseline'!$A$2:$MC$200,MATCH(1,('GMW - Baseline'!$MC$2:$MC$200=S$3)*('GMW - Baseline'!$MB$2:$MB$200=S$4),0),$E70-1973)</f>
        <v>#N/A</v>
      </c>
      <c r="T70" t="e" cm="1">
        <f t="array" ref="T70">INDEX('GMW - Baseline'!$A$2:$MC$200,MATCH(1,('GMW - Baseline'!$MC$2:$MC$200=T$3)*('GMW - Baseline'!$MB$2:$MB$200=T$4),0),$E70-1973)</f>
        <v>#N/A</v>
      </c>
    </row>
    <row r="71" spans="1:20" x14ac:dyDescent="0.25">
      <c r="A71">
        <v>1996</v>
      </c>
      <c r="B71">
        <f t="shared" si="5"/>
        <v>1996</v>
      </c>
      <c r="C71">
        <f t="shared" si="5"/>
        <v>1995</v>
      </c>
      <c r="D71">
        <f t="shared" si="5"/>
        <v>1995</v>
      </c>
      <c r="E71">
        <f t="shared" si="1"/>
        <v>2044</v>
      </c>
      <c r="F71" cm="1">
        <f t="array" ref="F71">INDEX('GMW - Baseline'!$A$2:$MC$200,MATCH(1,('GMW - Baseline'!$MC$2:$MC$200=F$3)*('GMW - Baseline'!$MB$2:$MB$200=F$4),0),$E71-1973)</f>
        <v>412022</v>
      </c>
      <c r="G71" cm="1">
        <f t="array" ref="G71">INDEX('GMW - Baseline'!$A$2:$MC$200,MATCH(1,('GMW - Baseline'!$MC$2:$MC$200=G$3)*('GMW - Baseline'!$MB$2:$MB$200=G$4),0),$E71-1973)</f>
        <v>239556</v>
      </c>
      <c r="H71" cm="1">
        <f t="array" ref="H71">INDEX('GMW - Baseline'!$A$2:$MC$200,MATCH(1,('GMW - Baseline'!$MC$2:$MC$200=H$3)*('GMW - Baseline'!$MB$2:$MB$200=H$4),0),$E71-1973)</f>
        <v>68.099999999999994</v>
      </c>
      <c r="I71" cm="1">
        <f t="array" ref="I71">INDEX('GMW - Baseline'!$A$2:$MC$200,MATCH(1,('GMW - Baseline'!$MC$2:$MC$200=I$3)*('GMW - Baseline'!$MB$2:$MB$200=I$4),0),$E71-1973)</f>
        <v>6.1288460000000002</v>
      </c>
      <c r="J71" t="e" cm="1">
        <f t="array" ref="J71">INDEX('GMW - Baseline'!$A$2:$MC$200,MATCH(1,('GMW - Baseline'!$MC$2:$MC$200=J$3)*('GMW - Baseline'!$MB$2:$MB$200=J$4),0),$E71-1973)</f>
        <v>#N/A</v>
      </c>
      <c r="K71" t="e" cm="1">
        <f t="array" ref="K71">INDEX('GMW - Baseline'!$A$2:$MC$200,MATCH(1,('GMW - Baseline'!$MC$2:$MC$200=K$3)*('GMW - Baseline'!$MB$2:$MB$200=K$4),0),$E71-1973)</f>
        <v>#N/A</v>
      </c>
      <c r="L71" t="e" cm="1">
        <f t="array" ref="L71">INDEX('GMW - Baseline'!$A$2:$MC$200,MATCH(1,('GMW - Baseline'!$MC$2:$MC$200=L$3)*('GMW - Baseline'!$MB$2:$MB$200=L$4),0),$E71-1973)</f>
        <v>#N/A</v>
      </c>
      <c r="M71" t="e" cm="1">
        <f t="array" ref="M71">INDEX('GMW - Baseline'!$A$2:$MC$200,MATCH(1,('GMW - Baseline'!$MC$2:$MC$200=M$3)*('GMW - Baseline'!$MB$2:$MB$200=M$4),0),$E71-1973)</f>
        <v>#N/A</v>
      </c>
      <c r="N71" t="e" cm="1">
        <f t="array" ref="N71">INDEX('GMW - Baseline'!$A$2:$MC$200,MATCH(1,('GMW - Baseline'!$MC$2:$MC$200=N$3)*('GMW - Baseline'!$MB$2:$MB$200=N$4),0),$E71-1973)</f>
        <v>#N/A</v>
      </c>
      <c r="O71" t="e" cm="1">
        <f t="array" ref="O71">INDEX('GMW - Baseline'!$A$2:$MC$200,MATCH(1,('GMW - Baseline'!$MC$2:$MC$200=O$3)*('GMW - Baseline'!$MB$2:$MB$200=O$4),0),$E71-1973)</f>
        <v>#N/A</v>
      </c>
      <c r="P71" t="e" cm="1">
        <f t="array" ref="P71">INDEX('GMW - Baseline'!$A$2:$MC$200,MATCH(1,('GMW - Baseline'!$MC$2:$MC$200=P$3)*('GMW - Baseline'!$MB$2:$MB$200=P$4),0),$E71-1973)</f>
        <v>#N/A</v>
      </c>
      <c r="Q71" t="e" cm="1">
        <f t="array" ref="Q71">INDEX('GMW - Baseline'!$A$2:$MC$200,MATCH(1,('GMW - Baseline'!$MC$2:$MC$200=Q$3)*('GMW - Baseline'!$MB$2:$MB$200=Q$4),0),$E71-1973)</f>
        <v>#N/A</v>
      </c>
      <c r="R71" t="e" cm="1">
        <f t="array" ref="R71">INDEX('GMW - Baseline'!$A$2:$MC$200,MATCH(1,('GMW - Baseline'!$MC$2:$MC$200=R$3)*('GMW - Baseline'!$MB$2:$MB$200=R$4),0),$E71-1973)</f>
        <v>#N/A</v>
      </c>
      <c r="S71" t="e" cm="1">
        <f t="array" ref="S71">INDEX('GMW - Baseline'!$A$2:$MC$200,MATCH(1,('GMW - Baseline'!$MC$2:$MC$200=S$3)*('GMW - Baseline'!$MB$2:$MB$200=S$4),0),$E71-1973)</f>
        <v>#N/A</v>
      </c>
      <c r="T71" t="e" cm="1">
        <f t="array" ref="T71">INDEX('GMW - Baseline'!$A$2:$MC$200,MATCH(1,('GMW - Baseline'!$MC$2:$MC$200=T$3)*('GMW - Baseline'!$MB$2:$MB$200=T$4),0),$E71-1973)</f>
        <v>#N/A</v>
      </c>
    </row>
    <row r="72" spans="1:20" x14ac:dyDescent="0.25">
      <c r="B72">
        <f t="shared" si="5"/>
        <v>1996</v>
      </c>
      <c r="C72">
        <f t="shared" si="5"/>
        <v>1996</v>
      </c>
      <c r="E72">
        <f t="shared" si="1"/>
        <v>2045</v>
      </c>
      <c r="F72" cm="1">
        <f t="array" ref="F72">INDEX('GMW - Baseline'!$A$2:$MC$200,MATCH(1,('GMW - Baseline'!$MC$2:$MC$200=F$3)*('GMW - Baseline'!$MB$2:$MB$200=F$4),0),$E72-1973)</f>
        <v>413325</v>
      </c>
      <c r="G72" cm="1">
        <f t="array" ref="G72">INDEX('GMW - Baseline'!$A$2:$MC$200,MATCH(1,('GMW - Baseline'!$MC$2:$MC$200=G$3)*('GMW - Baseline'!$MB$2:$MB$200=G$4),0),$E72-1973)</f>
        <v>241559</v>
      </c>
      <c r="H72" cm="1">
        <f t="array" ref="H72">INDEX('GMW - Baseline'!$A$2:$MC$200,MATCH(1,('GMW - Baseline'!$MC$2:$MC$200=H$3)*('GMW - Baseline'!$MB$2:$MB$200=H$4),0),$E72-1973)</f>
        <v>68.866669999999999</v>
      </c>
      <c r="I72" cm="1">
        <f t="array" ref="I72">INDEX('GMW - Baseline'!$A$2:$MC$200,MATCH(1,('GMW - Baseline'!$MC$2:$MC$200=I$3)*('GMW - Baseline'!$MB$2:$MB$200=I$4),0),$E72-1973)</f>
        <v>5.8721160000000001</v>
      </c>
      <c r="J72" t="e" cm="1">
        <f t="array" ref="J72">INDEX('GMW - Baseline'!$A$2:$MC$200,MATCH(1,('GMW - Baseline'!$MC$2:$MC$200=J$3)*('GMW - Baseline'!$MB$2:$MB$200=J$4),0),$E72-1973)</f>
        <v>#N/A</v>
      </c>
      <c r="K72" t="e" cm="1">
        <f t="array" ref="K72">INDEX('GMW - Baseline'!$A$2:$MC$200,MATCH(1,('GMW - Baseline'!$MC$2:$MC$200=K$3)*('GMW - Baseline'!$MB$2:$MB$200=K$4),0),$E72-1973)</f>
        <v>#N/A</v>
      </c>
      <c r="L72" t="e" cm="1">
        <f t="array" ref="L72">INDEX('GMW - Baseline'!$A$2:$MC$200,MATCH(1,('GMW - Baseline'!$MC$2:$MC$200=L$3)*('GMW - Baseline'!$MB$2:$MB$200=L$4),0),$E72-1973)</f>
        <v>#N/A</v>
      </c>
      <c r="M72" t="e" cm="1">
        <f t="array" ref="M72">INDEX('GMW - Baseline'!$A$2:$MC$200,MATCH(1,('GMW - Baseline'!$MC$2:$MC$200=M$3)*('GMW - Baseline'!$MB$2:$MB$200=M$4),0),$E72-1973)</f>
        <v>#N/A</v>
      </c>
      <c r="N72" t="e" cm="1">
        <f t="array" ref="N72">INDEX('GMW - Baseline'!$A$2:$MC$200,MATCH(1,('GMW - Baseline'!$MC$2:$MC$200=N$3)*('GMW - Baseline'!$MB$2:$MB$200=N$4),0),$E72-1973)</f>
        <v>#N/A</v>
      </c>
      <c r="O72" t="e" cm="1">
        <f t="array" ref="O72">INDEX('GMW - Baseline'!$A$2:$MC$200,MATCH(1,('GMW - Baseline'!$MC$2:$MC$200=O$3)*('GMW - Baseline'!$MB$2:$MB$200=O$4),0),$E72-1973)</f>
        <v>#N/A</v>
      </c>
      <c r="P72" t="e" cm="1">
        <f t="array" ref="P72">INDEX('GMW - Baseline'!$A$2:$MC$200,MATCH(1,('GMW - Baseline'!$MC$2:$MC$200=P$3)*('GMW - Baseline'!$MB$2:$MB$200=P$4),0),$E72-1973)</f>
        <v>#N/A</v>
      </c>
      <c r="Q72" t="e" cm="1">
        <f t="array" ref="Q72">INDEX('GMW - Baseline'!$A$2:$MC$200,MATCH(1,('GMW - Baseline'!$MC$2:$MC$200=Q$3)*('GMW - Baseline'!$MB$2:$MB$200=Q$4),0),$E72-1973)</f>
        <v>#N/A</v>
      </c>
      <c r="R72" t="e" cm="1">
        <f t="array" ref="R72">INDEX('GMW - Baseline'!$A$2:$MC$200,MATCH(1,('GMW - Baseline'!$MC$2:$MC$200=R$3)*('GMW - Baseline'!$MB$2:$MB$200=R$4),0),$E72-1973)</f>
        <v>#N/A</v>
      </c>
      <c r="S72" t="e" cm="1">
        <f t="array" ref="S72">INDEX('GMW - Baseline'!$A$2:$MC$200,MATCH(1,('GMW - Baseline'!$MC$2:$MC$200=S$3)*('GMW - Baseline'!$MB$2:$MB$200=S$4),0),$E72-1973)</f>
        <v>#N/A</v>
      </c>
      <c r="T72" t="e" cm="1">
        <f t="array" ref="T72">INDEX('GMW - Baseline'!$A$2:$MC$200,MATCH(1,('GMW - Baseline'!$MC$2:$MC$200=T$3)*('GMW - Baseline'!$MB$2:$MB$200=T$4),0),$E72-1973)</f>
        <v>#N/A</v>
      </c>
    </row>
    <row r="73" spans="1:20" x14ac:dyDescent="0.25">
      <c r="B73">
        <f t="shared" si="5"/>
        <v>1996</v>
      </c>
      <c r="C73">
        <f t="shared" si="5"/>
        <v>1996</v>
      </c>
      <c r="E73">
        <f t="shared" ref="E73:E136" si="6">+E72+1</f>
        <v>2046</v>
      </c>
      <c r="F73" cm="1">
        <f t="array" ref="F73">INDEX('GMW - Baseline'!$A$2:$MC$200,MATCH(1,('GMW - Baseline'!$MC$2:$MC$200=F$3)*('GMW - Baseline'!$MB$2:$MB$200=F$4),0),$E73-1973)</f>
        <v>417019</v>
      </c>
      <c r="G73" cm="1">
        <f t="array" ref="G73">INDEX('GMW - Baseline'!$A$2:$MC$200,MATCH(1,('GMW - Baseline'!$MC$2:$MC$200=G$3)*('GMW - Baseline'!$MB$2:$MB$200=G$4),0),$E73-1973)</f>
        <v>243639</v>
      </c>
      <c r="H73" cm="1">
        <f t="array" ref="H73">INDEX('GMW - Baseline'!$A$2:$MC$200,MATCH(1,('GMW - Baseline'!$MC$2:$MC$200=H$3)*('GMW - Baseline'!$MB$2:$MB$200=H$4),0),$E73-1973)</f>
        <v>68.933329999999998</v>
      </c>
      <c r="I73" cm="1">
        <f t="array" ref="I73">INDEX('GMW - Baseline'!$A$2:$MC$200,MATCH(1,('GMW - Baseline'!$MC$2:$MC$200=I$3)*('GMW - Baseline'!$MB$2:$MB$200=I$4),0),$E73-1973)</f>
        <v>5.6875</v>
      </c>
      <c r="J73" t="e" cm="1">
        <f t="array" ref="J73">INDEX('GMW - Baseline'!$A$2:$MC$200,MATCH(1,('GMW - Baseline'!$MC$2:$MC$200=J$3)*('GMW - Baseline'!$MB$2:$MB$200=J$4),0),$E73-1973)</f>
        <v>#N/A</v>
      </c>
      <c r="K73" t="e" cm="1">
        <f t="array" ref="K73">INDEX('GMW - Baseline'!$A$2:$MC$200,MATCH(1,('GMW - Baseline'!$MC$2:$MC$200=K$3)*('GMW - Baseline'!$MB$2:$MB$200=K$4),0),$E73-1973)</f>
        <v>#N/A</v>
      </c>
      <c r="L73" t="e" cm="1">
        <f t="array" ref="L73">INDEX('GMW - Baseline'!$A$2:$MC$200,MATCH(1,('GMW - Baseline'!$MC$2:$MC$200=L$3)*('GMW - Baseline'!$MB$2:$MB$200=L$4),0),$E73-1973)</f>
        <v>#N/A</v>
      </c>
      <c r="M73" t="e" cm="1">
        <f t="array" ref="M73">INDEX('GMW - Baseline'!$A$2:$MC$200,MATCH(1,('GMW - Baseline'!$MC$2:$MC$200=M$3)*('GMW - Baseline'!$MB$2:$MB$200=M$4),0),$E73-1973)</f>
        <v>#N/A</v>
      </c>
      <c r="N73" t="e" cm="1">
        <f t="array" ref="N73">INDEX('GMW - Baseline'!$A$2:$MC$200,MATCH(1,('GMW - Baseline'!$MC$2:$MC$200=N$3)*('GMW - Baseline'!$MB$2:$MB$200=N$4),0),$E73-1973)</f>
        <v>#N/A</v>
      </c>
      <c r="O73" t="e" cm="1">
        <f t="array" ref="O73">INDEX('GMW - Baseline'!$A$2:$MC$200,MATCH(1,('GMW - Baseline'!$MC$2:$MC$200=O$3)*('GMW - Baseline'!$MB$2:$MB$200=O$4),0),$E73-1973)</f>
        <v>#N/A</v>
      </c>
      <c r="P73" t="e" cm="1">
        <f t="array" ref="P73">INDEX('GMW - Baseline'!$A$2:$MC$200,MATCH(1,('GMW - Baseline'!$MC$2:$MC$200=P$3)*('GMW - Baseline'!$MB$2:$MB$200=P$4),0),$E73-1973)</f>
        <v>#N/A</v>
      </c>
      <c r="Q73" t="e" cm="1">
        <f t="array" ref="Q73">INDEX('GMW - Baseline'!$A$2:$MC$200,MATCH(1,('GMW - Baseline'!$MC$2:$MC$200=Q$3)*('GMW - Baseline'!$MB$2:$MB$200=Q$4),0),$E73-1973)</f>
        <v>#N/A</v>
      </c>
      <c r="R73" t="e" cm="1">
        <f t="array" ref="R73">INDEX('GMW - Baseline'!$A$2:$MC$200,MATCH(1,('GMW - Baseline'!$MC$2:$MC$200=R$3)*('GMW - Baseline'!$MB$2:$MB$200=R$4),0),$E73-1973)</f>
        <v>#N/A</v>
      </c>
      <c r="S73" t="e" cm="1">
        <f t="array" ref="S73">INDEX('GMW - Baseline'!$A$2:$MC$200,MATCH(1,('GMW - Baseline'!$MC$2:$MC$200=S$3)*('GMW - Baseline'!$MB$2:$MB$200=S$4),0),$E73-1973)</f>
        <v>#N/A</v>
      </c>
      <c r="T73" t="e" cm="1">
        <f t="array" ref="T73">INDEX('GMW - Baseline'!$A$2:$MC$200,MATCH(1,('GMW - Baseline'!$MC$2:$MC$200=T$3)*('GMW - Baseline'!$MB$2:$MB$200=T$4),0),$E73-1973)</f>
        <v>#N/A</v>
      </c>
    </row>
    <row r="74" spans="1:20" x14ac:dyDescent="0.25">
      <c r="B74">
        <f t="shared" si="5"/>
        <v>1996</v>
      </c>
      <c r="C74">
        <f t="shared" si="5"/>
        <v>1996</v>
      </c>
      <c r="E74">
        <f t="shared" si="6"/>
        <v>2047</v>
      </c>
      <c r="F74" cm="1">
        <f t="array" ref="F74">INDEX('GMW - Baseline'!$A$2:$MC$200,MATCH(1,('GMW - Baseline'!$MC$2:$MC$200=F$3)*('GMW - Baseline'!$MB$2:$MB$200=F$4),0),$E74-1973)</f>
        <v>422639</v>
      </c>
      <c r="G74" cm="1">
        <f t="array" ref="G74">INDEX('GMW - Baseline'!$A$2:$MC$200,MATCH(1,('GMW - Baseline'!$MC$2:$MC$200=G$3)*('GMW - Baseline'!$MB$2:$MB$200=G$4),0),$E74-1973)</f>
        <v>246780</v>
      </c>
      <c r="H74" cm="1">
        <f t="array" ref="H74">INDEX('GMW - Baseline'!$A$2:$MC$200,MATCH(1,('GMW - Baseline'!$MC$2:$MC$200=H$3)*('GMW - Baseline'!$MB$2:$MB$200=H$4),0),$E74-1973)</f>
        <v>69.366669999999999</v>
      </c>
      <c r="I74" cm="1">
        <f t="array" ref="I74">INDEX('GMW - Baseline'!$A$2:$MC$200,MATCH(1,('GMW - Baseline'!$MC$2:$MC$200=I$3)*('GMW - Baseline'!$MB$2:$MB$200=I$4),0),$E74-1973)</f>
        <v>5.8579549999999996</v>
      </c>
      <c r="J74" t="e" cm="1">
        <f t="array" ref="J74">INDEX('GMW - Baseline'!$A$2:$MC$200,MATCH(1,('GMW - Baseline'!$MC$2:$MC$200=J$3)*('GMW - Baseline'!$MB$2:$MB$200=J$4),0),$E74-1973)</f>
        <v>#N/A</v>
      </c>
      <c r="K74" t="e" cm="1">
        <f t="array" ref="K74">INDEX('GMW - Baseline'!$A$2:$MC$200,MATCH(1,('GMW - Baseline'!$MC$2:$MC$200=K$3)*('GMW - Baseline'!$MB$2:$MB$200=K$4),0),$E74-1973)</f>
        <v>#N/A</v>
      </c>
      <c r="L74" t="e" cm="1">
        <f t="array" ref="L74">INDEX('GMW - Baseline'!$A$2:$MC$200,MATCH(1,('GMW - Baseline'!$MC$2:$MC$200=L$3)*('GMW - Baseline'!$MB$2:$MB$200=L$4),0),$E74-1973)</f>
        <v>#N/A</v>
      </c>
      <c r="M74" t="e" cm="1">
        <f t="array" ref="M74">INDEX('GMW - Baseline'!$A$2:$MC$200,MATCH(1,('GMW - Baseline'!$MC$2:$MC$200=M$3)*('GMW - Baseline'!$MB$2:$MB$200=M$4),0),$E74-1973)</f>
        <v>#N/A</v>
      </c>
      <c r="N74" t="e" cm="1">
        <f t="array" ref="N74">INDEX('GMW - Baseline'!$A$2:$MC$200,MATCH(1,('GMW - Baseline'!$MC$2:$MC$200=N$3)*('GMW - Baseline'!$MB$2:$MB$200=N$4),0),$E74-1973)</f>
        <v>#N/A</v>
      </c>
      <c r="O74" t="e" cm="1">
        <f t="array" ref="O74">INDEX('GMW - Baseline'!$A$2:$MC$200,MATCH(1,('GMW - Baseline'!$MC$2:$MC$200=O$3)*('GMW - Baseline'!$MB$2:$MB$200=O$4),0),$E74-1973)</f>
        <v>#N/A</v>
      </c>
      <c r="P74" t="e" cm="1">
        <f t="array" ref="P74">INDEX('GMW - Baseline'!$A$2:$MC$200,MATCH(1,('GMW - Baseline'!$MC$2:$MC$200=P$3)*('GMW - Baseline'!$MB$2:$MB$200=P$4),0),$E74-1973)</f>
        <v>#N/A</v>
      </c>
      <c r="Q74" t="e" cm="1">
        <f t="array" ref="Q74">INDEX('GMW - Baseline'!$A$2:$MC$200,MATCH(1,('GMW - Baseline'!$MC$2:$MC$200=Q$3)*('GMW - Baseline'!$MB$2:$MB$200=Q$4),0),$E74-1973)</f>
        <v>#N/A</v>
      </c>
      <c r="R74" t="e" cm="1">
        <f t="array" ref="R74">INDEX('GMW - Baseline'!$A$2:$MC$200,MATCH(1,('GMW - Baseline'!$MC$2:$MC$200=R$3)*('GMW - Baseline'!$MB$2:$MB$200=R$4),0),$E74-1973)</f>
        <v>#N/A</v>
      </c>
      <c r="S74" t="e" cm="1">
        <f t="array" ref="S74">INDEX('GMW - Baseline'!$A$2:$MC$200,MATCH(1,('GMW - Baseline'!$MC$2:$MC$200=S$3)*('GMW - Baseline'!$MB$2:$MB$200=S$4),0),$E74-1973)</f>
        <v>#N/A</v>
      </c>
      <c r="T74" t="e" cm="1">
        <f t="array" ref="T74">INDEX('GMW - Baseline'!$A$2:$MC$200,MATCH(1,('GMW - Baseline'!$MC$2:$MC$200=T$3)*('GMW - Baseline'!$MB$2:$MB$200=T$4),0),$E74-1973)</f>
        <v>#N/A</v>
      </c>
    </row>
    <row r="75" spans="1:20" x14ac:dyDescent="0.25">
      <c r="A75">
        <v>1997</v>
      </c>
      <c r="B75">
        <f t="shared" si="5"/>
        <v>1997</v>
      </c>
      <c r="C75">
        <f t="shared" si="5"/>
        <v>1996</v>
      </c>
      <c r="D75">
        <f t="shared" si="5"/>
        <v>1996</v>
      </c>
      <c r="E75">
        <f t="shared" si="6"/>
        <v>2048</v>
      </c>
      <c r="F75" cm="1">
        <f t="array" ref="F75">INDEX('GMW - Baseline'!$A$2:$MC$200,MATCH(1,('GMW - Baseline'!$MC$2:$MC$200=F$3)*('GMW - Baseline'!$MB$2:$MB$200=F$4),0),$E75-1973)</f>
        <v>429418</v>
      </c>
      <c r="G75" cm="1">
        <f t="array" ref="G75">INDEX('GMW - Baseline'!$A$2:$MC$200,MATCH(1,('GMW - Baseline'!$MC$2:$MC$200=G$3)*('GMW - Baseline'!$MB$2:$MB$200=G$4),0),$E75-1973)</f>
        <v>249328</v>
      </c>
      <c r="H75" cm="1">
        <f t="array" ref="H75">INDEX('GMW - Baseline'!$A$2:$MC$200,MATCH(1,('GMW - Baseline'!$MC$2:$MC$200=H$3)*('GMW - Baseline'!$MB$2:$MB$200=H$4),0),$E75-1973)</f>
        <v>69.366669999999999</v>
      </c>
      <c r="I75" cm="1">
        <f t="array" ref="I75">INDEX('GMW - Baseline'!$A$2:$MC$200,MATCH(1,('GMW - Baseline'!$MC$2:$MC$200=I$3)*('GMW - Baseline'!$MB$2:$MB$200=I$4),0),$E75-1973)</f>
        <v>5.9375</v>
      </c>
      <c r="J75" t="e" cm="1">
        <f t="array" ref="J75">INDEX('GMW - Baseline'!$A$2:$MC$200,MATCH(1,('GMW - Baseline'!$MC$2:$MC$200=J$3)*('GMW - Baseline'!$MB$2:$MB$200=J$4),0),$E75-1973)</f>
        <v>#N/A</v>
      </c>
      <c r="K75" t="e" cm="1">
        <f t="array" ref="K75">INDEX('GMW - Baseline'!$A$2:$MC$200,MATCH(1,('GMW - Baseline'!$MC$2:$MC$200=K$3)*('GMW - Baseline'!$MB$2:$MB$200=K$4),0),$E75-1973)</f>
        <v>#N/A</v>
      </c>
      <c r="L75" t="e" cm="1">
        <f t="array" ref="L75">INDEX('GMW - Baseline'!$A$2:$MC$200,MATCH(1,('GMW - Baseline'!$MC$2:$MC$200=L$3)*('GMW - Baseline'!$MB$2:$MB$200=L$4),0),$E75-1973)</f>
        <v>#N/A</v>
      </c>
      <c r="M75" t="e" cm="1">
        <f t="array" ref="M75">INDEX('GMW - Baseline'!$A$2:$MC$200,MATCH(1,('GMW - Baseline'!$MC$2:$MC$200=M$3)*('GMW - Baseline'!$MB$2:$MB$200=M$4),0),$E75-1973)</f>
        <v>#N/A</v>
      </c>
      <c r="N75" t="e" cm="1">
        <f t="array" ref="N75">INDEX('GMW - Baseline'!$A$2:$MC$200,MATCH(1,('GMW - Baseline'!$MC$2:$MC$200=N$3)*('GMW - Baseline'!$MB$2:$MB$200=N$4),0),$E75-1973)</f>
        <v>#N/A</v>
      </c>
      <c r="O75" t="e" cm="1">
        <f t="array" ref="O75">INDEX('GMW - Baseline'!$A$2:$MC$200,MATCH(1,('GMW - Baseline'!$MC$2:$MC$200=O$3)*('GMW - Baseline'!$MB$2:$MB$200=O$4),0),$E75-1973)</f>
        <v>#N/A</v>
      </c>
      <c r="P75" t="e" cm="1">
        <f t="array" ref="P75">INDEX('GMW - Baseline'!$A$2:$MC$200,MATCH(1,('GMW - Baseline'!$MC$2:$MC$200=P$3)*('GMW - Baseline'!$MB$2:$MB$200=P$4),0),$E75-1973)</f>
        <v>#N/A</v>
      </c>
      <c r="Q75" t="e" cm="1">
        <f t="array" ref="Q75">INDEX('GMW - Baseline'!$A$2:$MC$200,MATCH(1,('GMW - Baseline'!$MC$2:$MC$200=Q$3)*('GMW - Baseline'!$MB$2:$MB$200=Q$4),0),$E75-1973)</f>
        <v>#N/A</v>
      </c>
      <c r="R75" t="e" cm="1">
        <f t="array" ref="R75">INDEX('GMW - Baseline'!$A$2:$MC$200,MATCH(1,('GMW - Baseline'!$MC$2:$MC$200=R$3)*('GMW - Baseline'!$MB$2:$MB$200=R$4),0),$E75-1973)</f>
        <v>#N/A</v>
      </c>
      <c r="S75" t="e" cm="1">
        <f t="array" ref="S75">INDEX('GMW - Baseline'!$A$2:$MC$200,MATCH(1,('GMW - Baseline'!$MC$2:$MC$200=S$3)*('GMW - Baseline'!$MB$2:$MB$200=S$4),0),$E75-1973)</f>
        <v>#N/A</v>
      </c>
      <c r="T75" t="e" cm="1">
        <f t="array" ref="T75">INDEX('GMW - Baseline'!$A$2:$MC$200,MATCH(1,('GMW - Baseline'!$MC$2:$MC$200=T$3)*('GMW - Baseline'!$MB$2:$MB$200=T$4),0),$E75-1973)</f>
        <v>#N/A</v>
      </c>
    </row>
    <row r="76" spans="1:20" x14ac:dyDescent="0.25">
      <c r="B76">
        <f t="shared" ref="B76:D91" si="7">+B72+1</f>
        <v>1997</v>
      </c>
      <c r="C76">
        <f t="shared" si="7"/>
        <v>1997</v>
      </c>
      <c r="E76">
        <f t="shared" si="6"/>
        <v>2049</v>
      </c>
      <c r="F76" cm="1">
        <f t="array" ref="F76">INDEX('GMW - Baseline'!$A$2:$MC$200,MATCH(1,('GMW - Baseline'!$MC$2:$MC$200=F$3)*('GMW - Baseline'!$MB$2:$MB$200=F$4),0),$E76-1973)</f>
        <v>434199</v>
      </c>
      <c r="G76" cm="1">
        <f t="array" ref="G76">INDEX('GMW - Baseline'!$A$2:$MC$200,MATCH(1,('GMW - Baseline'!$MC$2:$MC$200=G$3)*('GMW - Baseline'!$MB$2:$MB$200=G$4),0),$E76-1973)</f>
        <v>253090</v>
      </c>
      <c r="H76" cm="1">
        <f t="array" ref="H76">INDEX('GMW - Baseline'!$A$2:$MC$200,MATCH(1,('GMW - Baseline'!$MC$2:$MC$200=H$3)*('GMW - Baseline'!$MB$2:$MB$200=H$4),0),$E76-1973)</f>
        <v>70</v>
      </c>
      <c r="I76" cm="1">
        <f t="array" ref="I76">INDEX('GMW - Baseline'!$A$2:$MC$200,MATCH(1,('GMW - Baseline'!$MC$2:$MC$200=I$3)*('GMW - Baseline'!$MB$2:$MB$200=I$4),0),$E76-1973)</f>
        <v>6.1951919999999996</v>
      </c>
      <c r="J76" t="e" cm="1">
        <f t="array" ref="J76">INDEX('GMW - Baseline'!$A$2:$MC$200,MATCH(1,('GMW - Baseline'!$MC$2:$MC$200=J$3)*('GMW - Baseline'!$MB$2:$MB$200=J$4),0),$E76-1973)</f>
        <v>#N/A</v>
      </c>
      <c r="K76" t="e" cm="1">
        <f t="array" ref="K76">INDEX('GMW - Baseline'!$A$2:$MC$200,MATCH(1,('GMW - Baseline'!$MC$2:$MC$200=K$3)*('GMW - Baseline'!$MB$2:$MB$200=K$4),0),$E76-1973)</f>
        <v>#N/A</v>
      </c>
      <c r="L76" t="e" cm="1">
        <f t="array" ref="L76">INDEX('GMW - Baseline'!$A$2:$MC$200,MATCH(1,('GMW - Baseline'!$MC$2:$MC$200=L$3)*('GMW - Baseline'!$MB$2:$MB$200=L$4),0),$E76-1973)</f>
        <v>#N/A</v>
      </c>
      <c r="M76" t="e" cm="1">
        <f t="array" ref="M76">INDEX('GMW - Baseline'!$A$2:$MC$200,MATCH(1,('GMW - Baseline'!$MC$2:$MC$200=M$3)*('GMW - Baseline'!$MB$2:$MB$200=M$4),0),$E76-1973)</f>
        <v>#N/A</v>
      </c>
      <c r="N76" t="e" cm="1">
        <f t="array" ref="N76">INDEX('GMW - Baseline'!$A$2:$MC$200,MATCH(1,('GMW - Baseline'!$MC$2:$MC$200=N$3)*('GMW - Baseline'!$MB$2:$MB$200=N$4),0),$E76-1973)</f>
        <v>#N/A</v>
      </c>
      <c r="O76" t="e" cm="1">
        <f t="array" ref="O76">INDEX('GMW - Baseline'!$A$2:$MC$200,MATCH(1,('GMW - Baseline'!$MC$2:$MC$200=O$3)*('GMW - Baseline'!$MB$2:$MB$200=O$4),0),$E76-1973)</f>
        <v>#N/A</v>
      </c>
      <c r="P76" t="e" cm="1">
        <f t="array" ref="P76">INDEX('GMW - Baseline'!$A$2:$MC$200,MATCH(1,('GMW - Baseline'!$MC$2:$MC$200=P$3)*('GMW - Baseline'!$MB$2:$MB$200=P$4),0),$E76-1973)</f>
        <v>#N/A</v>
      </c>
      <c r="Q76" t="e" cm="1">
        <f t="array" ref="Q76">INDEX('GMW - Baseline'!$A$2:$MC$200,MATCH(1,('GMW - Baseline'!$MC$2:$MC$200=Q$3)*('GMW - Baseline'!$MB$2:$MB$200=Q$4),0),$E76-1973)</f>
        <v>#N/A</v>
      </c>
      <c r="R76" t="e" cm="1">
        <f t="array" ref="R76">INDEX('GMW - Baseline'!$A$2:$MC$200,MATCH(1,('GMW - Baseline'!$MC$2:$MC$200=R$3)*('GMW - Baseline'!$MB$2:$MB$200=R$4),0),$E76-1973)</f>
        <v>#N/A</v>
      </c>
      <c r="S76" t="e" cm="1">
        <f t="array" ref="S76">INDEX('GMW - Baseline'!$A$2:$MC$200,MATCH(1,('GMW - Baseline'!$MC$2:$MC$200=S$3)*('GMW - Baseline'!$MB$2:$MB$200=S$4),0),$E76-1973)</f>
        <v>#N/A</v>
      </c>
      <c r="T76" t="e" cm="1">
        <f t="array" ref="T76">INDEX('GMW - Baseline'!$A$2:$MC$200,MATCH(1,('GMW - Baseline'!$MC$2:$MC$200=T$3)*('GMW - Baseline'!$MB$2:$MB$200=T$4),0),$E76-1973)</f>
        <v>#N/A</v>
      </c>
    </row>
    <row r="77" spans="1:20" x14ac:dyDescent="0.25">
      <c r="B77">
        <f t="shared" si="7"/>
        <v>1997</v>
      </c>
      <c r="C77">
        <f t="shared" si="7"/>
        <v>1997</v>
      </c>
      <c r="E77">
        <f t="shared" si="6"/>
        <v>2050</v>
      </c>
      <c r="F77" cm="1">
        <f t="array" ref="F77">INDEX('GMW - Baseline'!$A$2:$MC$200,MATCH(1,('GMW - Baseline'!$MC$2:$MC$200=F$3)*('GMW - Baseline'!$MB$2:$MB$200=F$4),0),$E77-1973)</f>
        <v>438100</v>
      </c>
      <c r="G77" cm="1">
        <f t="array" ref="G77">INDEX('GMW - Baseline'!$A$2:$MC$200,MATCH(1,('GMW - Baseline'!$MC$2:$MC$200=G$3)*('GMW - Baseline'!$MB$2:$MB$200=G$4),0),$E77-1973)</f>
        <v>256735</v>
      </c>
      <c r="H77" cm="1">
        <f t="array" ref="H77">INDEX('GMW - Baseline'!$A$2:$MC$200,MATCH(1,('GMW - Baseline'!$MC$2:$MC$200=H$3)*('GMW - Baseline'!$MB$2:$MB$200=H$4),0),$E77-1973)</f>
        <v>70.266670000000005</v>
      </c>
      <c r="I77" cm="1">
        <f t="array" ref="I77">INDEX('GMW - Baseline'!$A$2:$MC$200,MATCH(1,('GMW - Baseline'!$MC$2:$MC$200=I$3)*('GMW - Baseline'!$MB$2:$MB$200=I$4),0),$E77-1973)</f>
        <v>6.8712119999999999</v>
      </c>
      <c r="J77" t="e" cm="1">
        <f t="array" ref="J77">INDEX('GMW - Baseline'!$A$2:$MC$200,MATCH(1,('GMW - Baseline'!$MC$2:$MC$200=J$3)*('GMW - Baseline'!$MB$2:$MB$200=J$4),0),$E77-1973)</f>
        <v>#N/A</v>
      </c>
      <c r="K77" t="e" cm="1">
        <f t="array" ref="K77">INDEX('GMW - Baseline'!$A$2:$MC$200,MATCH(1,('GMW - Baseline'!$MC$2:$MC$200=K$3)*('GMW - Baseline'!$MB$2:$MB$200=K$4),0),$E77-1973)</f>
        <v>#N/A</v>
      </c>
      <c r="L77" t="e" cm="1">
        <f t="array" ref="L77">INDEX('GMW - Baseline'!$A$2:$MC$200,MATCH(1,('GMW - Baseline'!$MC$2:$MC$200=L$3)*('GMW - Baseline'!$MB$2:$MB$200=L$4),0),$E77-1973)</f>
        <v>#N/A</v>
      </c>
      <c r="M77" t="e" cm="1">
        <f t="array" ref="M77">INDEX('GMW - Baseline'!$A$2:$MC$200,MATCH(1,('GMW - Baseline'!$MC$2:$MC$200=M$3)*('GMW - Baseline'!$MB$2:$MB$200=M$4),0),$E77-1973)</f>
        <v>#N/A</v>
      </c>
      <c r="N77" t="e" cm="1">
        <f t="array" ref="N77">INDEX('GMW - Baseline'!$A$2:$MC$200,MATCH(1,('GMW - Baseline'!$MC$2:$MC$200=N$3)*('GMW - Baseline'!$MB$2:$MB$200=N$4),0),$E77-1973)</f>
        <v>#N/A</v>
      </c>
      <c r="O77" t="e" cm="1">
        <f t="array" ref="O77">INDEX('GMW - Baseline'!$A$2:$MC$200,MATCH(1,('GMW - Baseline'!$MC$2:$MC$200=O$3)*('GMW - Baseline'!$MB$2:$MB$200=O$4),0),$E77-1973)</f>
        <v>#N/A</v>
      </c>
      <c r="P77" t="e" cm="1">
        <f t="array" ref="P77">INDEX('GMW - Baseline'!$A$2:$MC$200,MATCH(1,('GMW - Baseline'!$MC$2:$MC$200=P$3)*('GMW - Baseline'!$MB$2:$MB$200=P$4),0),$E77-1973)</f>
        <v>#N/A</v>
      </c>
      <c r="Q77" t="e" cm="1">
        <f t="array" ref="Q77">INDEX('GMW - Baseline'!$A$2:$MC$200,MATCH(1,('GMW - Baseline'!$MC$2:$MC$200=Q$3)*('GMW - Baseline'!$MB$2:$MB$200=Q$4),0),$E77-1973)</f>
        <v>#N/A</v>
      </c>
      <c r="R77" t="e" cm="1">
        <f t="array" ref="R77">INDEX('GMW - Baseline'!$A$2:$MC$200,MATCH(1,('GMW - Baseline'!$MC$2:$MC$200=R$3)*('GMW - Baseline'!$MB$2:$MB$200=R$4),0),$E77-1973)</f>
        <v>#N/A</v>
      </c>
      <c r="S77" t="e" cm="1">
        <f t="array" ref="S77">INDEX('GMW - Baseline'!$A$2:$MC$200,MATCH(1,('GMW - Baseline'!$MC$2:$MC$200=S$3)*('GMW - Baseline'!$MB$2:$MB$200=S$4),0),$E77-1973)</f>
        <v>#N/A</v>
      </c>
      <c r="T77" t="e" cm="1">
        <f t="array" ref="T77">INDEX('GMW - Baseline'!$A$2:$MC$200,MATCH(1,('GMW - Baseline'!$MC$2:$MC$200=T$3)*('GMW - Baseline'!$MB$2:$MB$200=T$4),0),$E77-1973)</f>
        <v>#N/A</v>
      </c>
    </row>
    <row r="78" spans="1:20" x14ac:dyDescent="0.25">
      <c r="B78">
        <f t="shared" si="7"/>
        <v>1997</v>
      </c>
      <c r="C78">
        <f t="shared" si="7"/>
        <v>1997</v>
      </c>
      <c r="E78">
        <f t="shared" si="6"/>
        <v>2051</v>
      </c>
      <c r="F78" cm="1">
        <f t="array" ref="F78">INDEX('GMW - Baseline'!$A$2:$MC$200,MATCH(1,('GMW - Baseline'!$MC$2:$MC$200=F$3)*('GMW - Baseline'!$MB$2:$MB$200=F$4),0),$E78-1973)</f>
        <v>444540</v>
      </c>
      <c r="G78" cm="1">
        <f t="array" ref="G78">INDEX('GMW - Baseline'!$A$2:$MC$200,MATCH(1,('GMW - Baseline'!$MC$2:$MC$200=G$3)*('GMW - Baseline'!$MB$2:$MB$200=G$4),0),$E78-1973)</f>
        <v>258701</v>
      </c>
      <c r="H78" cm="1">
        <f t="array" ref="H78">INDEX('GMW - Baseline'!$A$2:$MC$200,MATCH(1,('GMW - Baseline'!$MC$2:$MC$200=H$3)*('GMW - Baseline'!$MB$2:$MB$200=H$4),0),$E78-1973)</f>
        <v>70.633330000000001</v>
      </c>
      <c r="I78" cm="1">
        <f t="array" ref="I78">INDEX('GMW - Baseline'!$A$2:$MC$200,MATCH(1,('GMW - Baseline'!$MC$2:$MC$200=I$3)*('GMW - Baseline'!$MB$2:$MB$200=I$4),0),$E78-1973)</f>
        <v>7.1515149999999998</v>
      </c>
      <c r="J78" t="e" cm="1">
        <f t="array" ref="J78">INDEX('GMW - Baseline'!$A$2:$MC$200,MATCH(1,('GMW - Baseline'!$MC$2:$MC$200=J$3)*('GMW - Baseline'!$MB$2:$MB$200=J$4),0),$E78-1973)</f>
        <v>#N/A</v>
      </c>
      <c r="K78" t="e" cm="1">
        <f t="array" ref="K78">INDEX('GMW - Baseline'!$A$2:$MC$200,MATCH(1,('GMW - Baseline'!$MC$2:$MC$200=K$3)*('GMW - Baseline'!$MB$2:$MB$200=K$4),0),$E78-1973)</f>
        <v>#N/A</v>
      </c>
      <c r="L78" t="e" cm="1">
        <f t="array" ref="L78">INDEX('GMW - Baseline'!$A$2:$MC$200,MATCH(1,('GMW - Baseline'!$MC$2:$MC$200=L$3)*('GMW - Baseline'!$MB$2:$MB$200=L$4),0),$E78-1973)</f>
        <v>#N/A</v>
      </c>
      <c r="M78" t="e" cm="1">
        <f t="array" ref="M78">INDEX('GMW - Baseline'!$A$2:$MC$200,MATCH(1,('GMW - Baseline'!$MC$2:$MC$200=M$3)*('GMW - Baseline'!$MB$2:$MB$200=M$4),0),$E78-1973)</f>
        <v>#N/A</v>
      </c>
      <c r="N78" t="e" cm="1">
        <f t="array" ref="N78">INDEX('GMW - Baseline'!$A$2:$MC$200,MATCH(1,('GMW - Baseline'!$MC$2:$MC$200=N$3)*('GMW - Baseline'!$MB$2:$MB$200=N$4),0),$E78-1973)</f>
        <v>#N/A</v>
      </c>
      <c r="O78" t="e" cm="1">
        <f t="array" ref="O78">INDEX('GMW - Baseline'!$A$2:$MC$200,MATCH(1,('GMW - Baseline'!$MC$2:$MC$200=O$3)*('GMW - Baseline'!$MB$2:$MB$200=O$4),0),$E78-1973)</f>
        <v>#N/A</v>
      </c>
      <c r="P78" t="e" cm="1">
        <f t="array" ref="P78">INDEX('GMW - Baseline'!$A$2:$MC$200,MATCH(1,('GMW - Baseline'!$MC$2:$MC$200=P$3)*('GMW - Baseline'!$MB$2:$MB$200=P$4),0),$E78-1973)</f>
        <v>#N/A</v>
      </c>
      <c r="Q78" t="e" cm="1">
        <f t="array" ref="Q78">INDEX('GMW - Baseline'!$A$2:$MC$200,MATCH(1,('GMW - Baseline'!$MC$2:$MC$200=Q$3)*('GMW - Baseline'!$MB$2:$MB$200=Q$4),0),$E78-1973)</f>
        <v>#N/A</v>
      </c>
      <c r="R78" t="e" cm="1">
        <f t="array" ref="R78">INDEX('GMW - Baseline'!$A$2:$MC$200,MATCH(1,('GMW - Baseline'!$MC$2:$MC$200=R$3)*('GMW - Baseline'!$MB$2:$MB$200=R$4),0),$E78-1973)</f>
        <v>#N/A</v>
      </c>
      <c r="S78" t="e" cm="1">
        <f t="array" ref="S78">INDEX('GMW - Baseline'!$A$2:$MC$200,MATCH(1,('GMW - Baseline'!$MC$2:$MC$200=S$3)*('GMW - Baseline'!$MB$2:$MB$200=S$4),0),$E78-1973)</f>
        <v>#N/A</v>
      </c>
      <c r="T78" t="e" cm="1">
        <f t="array" ref="T78">INDEX('GMW - Baseline'!$A$2:$MC$200,MATCH(1,('GMW - Baseline'!$MC$2:$MC$200=T$3)*('GMW - Baseline'!$MB$2:$MB$200=T$4),0),$E78-1973)</f>
        <v>#N/A</v>
      </c>
    </row>
    <row r="79" spans="1:20" x14ac:dyDescent="0.25">
      <c r="A79">
        <v>1998</v>
      </c>
      <c r="B79">
        <f t="shared" si="7"/>
        <v>1998</v>
      </c>
      <c r="C79">
        <f t="shared" si="7"/>
        <v>1997</v>
      </c>
      <c r="D79">
        <f t="shared" si="7"/>
        <v>1997</v>
      </c>
      <c r="E79">
        <f t="shared" si="6"/>
        <v>2052</v>
      </c>
      <c r="F79" cm="1">
        <f t="array" ref="F79">INDEX('GMW - Baseline'!$A$2:$MC$200,MATCH(1,('GMW - Baseline'!$MC$2:$MC$200=F$3)*('GMW - Baseline'!$MB$2:$MB$200=F$4),0),$E79-1973)</f>
        <v>447712</v>
      </c>
      <c r="G79" cm="1">
        <f t="array" ref="G79">INDEX('GMW - Baseline'!$A$2:$MC$200,MATCH(1,('GMW - Baseline'!$MC$2:$MC$200=G$3)*('GMW - Baseline'!$MB$2:$MB$200=G$4),0),$E79-1973)</f>
        <v>260797</v>
      </c>
      <c r="H79" cm="1">
        <f t="array" ref="H79">INDEX('GMW - Baseline'!$A$2:$MC$200,MATCH(1,('GMW - Baseline'!$MC$2:$MC$200=H$3)*('GMW - Baseline'!$MB$2:$MB$200=H$4),0),$E79-1973)</f>
        <v>70.5</v>
      </c>
      <c r="I79" cm="1">
        <f t="array" ref="I79">INDEX('GMW - Baseline'!$A$2:$MC$200,MATCH(1,('GMW - Baseline'!$MC$2:$MC$200=I$3)*('GMW - Baseline'!$MB$2:$MB$200=I$4),0),$E79-1973)</f>
        <v>7.25</v>
      </c>
      <c r="J79" t="e" cm="1">
        <f t="array" ref="J79">INDEX('GMW - Baseline'!$A$2:$MC$200,MATCH(1,('GMW - Baseline'!$MC$2:$MC$200=J$3)*('GMW - Baseline'!$MB$2:$MB$200=J$4),0),$E79-1973)</f>
        <v>#N/A</v>
      </c>
      <c r="K79" t="e" cm="1">
        <f t="array" ref="K79">INDEX('GMW - Baseline'!$A$2:$MC$200,MATCH(1,('GMW - Baseline'!$MC$2:$MC$200=K$3)*('GMW - Baseline'!$MB$2:$MB$200=K$4),0),$E79-1973)</f>
        <v>#N/A</v>
      </c>
      <c r="L79" t="e" cm="1">
        <f t="array" ref="L79">INDEX('GMW - Baseline'!$A$2:$MC$200,MATCH(1,('GMW - Baseline'!$MC$2:$MC$200=L$3)*('GMW - Baseline'!$MB$2:$MB$200=L$4),0),$E79-1973)</f>
        <v>#N/A</v>
      </c>
      <c r="M79" t="e" cm="1">
        <f t="array" ref="M79">INDEX('GMW - Baseline'!$A$2:$MC$200,MATCH(1,('GMW - Baseline'!$MC$2:$MC$200=M$3)*('GMW - Baseline'!$MB$2:$MB$200=M$4),0),$E79-1973)</f>
        <v>#N/A</v>
      </c>
      <c r="N79" t="e" cm="1">
        <f t="array" ref="N79">INDEX('GMW - Baseline'!$A$2:$MC$200,MATCH(1,('GMW - Baseline'!$MC$2:$MC$200=N$3)*('GMW - Baseline'!$MB$2:$MB$200=N$4),0),$E79-1973)</f>
        <v>#N/A</v>
      </c>
      <c r="O79" t="e" cm="1">
        <f t="array" ref="O79">INDEX('GMW - Baseline'!$A$2:$MC$200,MATCH(1,('GMW - Baseline'!$MC$2:$MC$200=O$3)*('GMW - Baseline'!$MB$2:$MB$200=O$4),0),$E79-1973)</f>
        <v>#N/A</v>
      </c>
      <c r="P79" t="e" cm="1">
        <f t="array" ref="P79">INDEX('GMW - Baseline'!$A$2:$MC$200,MATCH(1,('GMW - Baseline'!$MC$2:$MC$200=P$3)*('GMW - Baseline'!$MB$2:$MB$200=P$4),0),$E79-1973)</f>
        <v>#N/A</v>
      </c>
      <c r="Q79" t="e" cm="1">
        <f t="array" ref="Q79">INDEX('GMW - Baseline'!$A$2:$MC$200,MATCH(1,('GMW - Baseline'!$MC$2:$MC$200=Q$3)*('GMW - Baseline'!$MB$2:$MB$200=Q$4),0),$E79-1973)</f>
        <v>#N/A</v>
      </c>
      <c r="R79" t="e" cm="1">
        <f t="array" ref="R79">INDEX('GMW - Baseline'!$A$2:$MC$200,MATCH(1,('GMW - Baseline'!$MC$2:$MC$200=R$3)*('GMW - Baseline'!$MB$2:$MB$200=R$4),0),$E79-1973)</f>
        <v>#N/A</v>
      </c>
      <c r="S79" t="e" cm="1">
        <f t="array" ref="S79">INDEX('GMW - Baseline'!$A$2:$MC$200,MATCH(1,('GMW - Baseline'!$MC$2:$MC$200=S$3)*('GMW - Baseline'!$MB$2:$MB$200=S$4),0),$E79-1973)</f>
        <v>#N/A</v>
      </c>
      <c r="T79" t="e" cm="1">
        <f t="array" ref="T79">INDEX('GMW - Baseline'!$A$2:$MC$200,MATCH(1,('GMW - Baseline'!$MC$2:$MC$200=T$3)*('GMW - Baseline'!$MB$2:$MB$200=T$4),0),$E79-1973)</f>
        <v>#N/A</v>
      </c>
    </row>
    <row r="80" spans="1:20" x14ac:dyDescent="0.25">
      <c r="B80">
        <f t="shared" si="7"/>
        <v>1998</v>
      </c>
      <c r="C80">
        <f t="shared" si="7"/>
        <v>1998</v>
      </c>
      <c r="E80">
        <f t="shared" si="6"/>
        <v>2053</v>
      </c>
      <c r="F80" cm="1">
        <f t="array" ref="F80">INDEX('GMW - Baseline'!$A$2:$MC$200,MATCH(1,('GMW - Baseline'!$MC$2:$MC$200=F$3)*('GMW - Baseline'!$MB$2:$MB$200=F$4),0),$E80-1973)</f>
        <v>450292</v>
      </c>
      <c r="G80" cm="1">
        <f t="array" ref="G80">INDEX('GMW - Baseline'!$A$2:$MC$200,MATCH(1,('GMW - Baseline'!$MC$2:$MC$200=G$3)*('GMW - Baseline'!$MB$2:$MB$200=G$4),0),$E80-1973)</f>
        <v>263411</v>
      </c>
      <c r="H80" cm="1">
        <f t="array" ref="H80">INDEX('GMW - Baseline'!$A$2:$MC$200,MATCH(1,('GMW - Baseline'!$MC$2:$MC$200=H$3)*('GMW - Baseline'!$MB$2:$MB$200=H$4),0),$E80-1973)</f>
        <v>71.266670000000005</v>
      </c>
      <c r="I80" cm="1">
        <f t="array" ref="I80">INDEX('GMW - Baseline'!$A$2:$MC$200,MATCH(1,('GMW - Baseline'!$MC$2:$MC$200=I$3)*('GMW - Baseline'!$MB$2:$MB$200=I$4),0),$E80-1973)</f>
        <v>7.3230769999999996</v>
      </c>
      <c r="J80" t="e" cm="1">
        <f t="array" ref="J80">INDEX('GMW - Baseline'!$A$2:$MC$200,MATCH(1,('GMW - Baseline'!$MC$2:$MC$200=J$3)*('GMW - Baseline'!$MB$2:$MB$200=J$4),0),$E80-1973)</f>
        <v>#N/A</v>
      </c>
      <c r="K80" t="e" cm="1">
        <f t="array" ref="K80">INDEX('GMW - Baseline'!$A$2:$MC$200,MATCH(1,('GMW - Baseline'!$MC$2:$MC$200=K$3)*('GMW - Baseline'!$MB$2:$MB$200=K$4),0),$E80-1973)</f>
        <v>#N/A</v>
      </c>
      <c r="L80" t="e" cm="1">
        <f t="array" ref="L80">INDEX('GMW - Baseline'!$A$2:$MC$200,MATCH(1,('GMW - Baseline'!$MC$2:$MC$200=L$3)*('GMW - Baseline'!$MB$2:$MB$200=L$4),0),$E80-1973)</f>
        <v>#N/A</v>
      </c>
      <c r="M80" t="e" cm="1">
        <f t="array" ref="M80">INDEX('GMW - Baseline'!$A$2:$MC$200,MATCH(1,('GMW - Baseline'!$MC$2:$MC$200=M$3)*('GMW - Baseline'!$MB$2:$MB$200=M$4),0),$E80-1973)</f>
        <v>#N/A</v>
      </c>
      <c r="N80" t="e" cm="1">
        <f t="array" ref="N80">INDEX('GMW - Baseline'!$A$2:$MC$200,MATCH(1,('GMW - Baseline'!$MC$2:$MC$200=N$3)*('GMW - Baseline'!$MB$2:$MB$200=N$4),0),$E80-1973)</f>
        <v>#N/A</v>
      </c>
      <c r="O80" t="e" cm="1">
        <f t="array" ref="O80">INDEX('GMW - Baseline'!$A$2:$MC$200,MATCH(1,('GMW - Baseline'!$MC$2:$MC$200=O$3)*('GMW - Baseline'!$MB$2:$MB$200=O$4),0),$E80-1973)</f>
        <v>#N/A</v>
      </c>
      <c r="P80" t="e" cm="1">
        <f t="array" ref="P80">INDEX('GMW - Baseline'!$A$2:$MC$200,MATCH(1,('GMW - Baseline'!$MC$2:$MC$200=P$3)*('GMW - Baseline'!$MB$2:$MB$200=P$4),0),$E80-1973)</f>
        <v>#N/A</v>
      </c>
      <c r="Q80" t="e" cm="1">
        <f t="array" ref="Q80">INDEX('GMW - Baseline'!$A$2:$MC$200,MATCH(1,('GMW - Baseline'!$MC$2:$MC$200=Q$3)*('GMW - Baseline'!$MB$2:$MB$200=Q$4),0),$E80-1973)</f>
        <v>#N/A</v>
      </c>
      <c r="R80" t="e" cm="1">
        <f t="array" ref="R80">INDEX('GMW - Baseline'!$A$2:$MC$200,MATCH(1,('GMW - Baseline'!$MC$2:$MC$200=R$3)*('GMW - Baseline'!$MB$2:$MB$200=R$4),0),$E80-1973)</f>
        <v>#N/A</v>
      </c>
      <c r="S80" t="e" cm="1">
        <f t="array" ref="S80">INDEX('GMW - Baseline'!$A$2:$MC$200,MATCH(1,('GMW - Baseline'!$MC$2:$MC$200=S$3)*('GMW - Baseline'!$MB$2:$MB$200=S$4),0),$E80-1973)</f>
        <v>#N/A</v>
      </c>
      <c r="T80" t="e" cm="1">
        <f t="array" ref="T80">INDEX('GMW - Baseline'!$A$2:$MC$200,MATCH(1,('GMW - Baseline'!$MC$2:$MC$200=T$3)*('GMW - Baseline'!$MB$2:$MB$200=T$4),0),$E80-1973)</f>
        <v>#N/A</v>
      </c>
    </row>
    <row r="81" spans="1:20" x14ac:dyDescent="0.25">
      <c r="B81">
        <f t="shared" si="7"/>
        <v>1998</v>
      </c>
      <c r="C81">
        <f t="shared" si="7"/>
        <v>1998</v>
      </c>
      <c r="E81">
        <f t="shared" si="6"/>
        <v>2054</v>
      </c>
      <c r="F81" cm="1">
        <f t="array" ref="F81">INDEX('GMW - Baseline'!$A$2:$MC$200,MATCH(1,('GMW - Baseline'!$MC$2:$MC$200=F$3)*('GMW - Baseline'!$MB$2:$MB$200=F$4),0),$E81-1973)</f>
        <v>451005</v>
      </c>
      <c r="G81" cm="1">
        <f t="array" ref="G81">INDEX('GMW - Baseline'!$A$2:$MC$200,MATCH(1,('GMW - Baseline'!$MC$2:$MC$200=G$3)*('GMW - Baseline'!$MB$2:$MB$200=G$4),0),$E81-1973)</f>
        <v>267649</v>
      </c>
      <c r="H81" cm="1">
        <f t="array" ref="H81">INDEX('GMW - Baseline'!$A$2:$MC$200,MATCH(1,('GMW - Baseline'!$MC$2:$MC$200=H$3)*('GMW - Baseline'!$MB$2:$MB$200=H$4),0),$E81-1973)</f>
        <v>71.233329999999995</v>
      </c>
      <c r="I81" cm="1">
        <f t="array" ref="I81">INDEX('GMW - Baseline'!$A$2:$MC$200,MATCH(1,('GMW - Baseline'!$MC$2:$MC$200=I$3)*('GMW - Baseline'!$MB$2:$MB$200=I$4),0),$E81-1973)</f>
        <v>7.5</v>
      </c>
      <c r="J81" t="e" cm="1">
        <f t="array" ref="J81">INDEX('GMW - Baseline'!$A$2:$MC$200,MATCH(1,('GMW - Baseline'!$MC$2:$MC$200=J$3)*('GMW - Baseline'!$MB$2:$MB$200=J$4),0),$E81-1973)</f>
        <v>#N/A</v>
      </c>
      <c r="K81" t="e" cm="1">
        <f t="array" ref="K81">INDEX('GMW - Baseline'!$A$2:$MC$200,MATCH(1,('GMW - Baseline'!$MC$2:$MC$200=K$3)*('GMW - Baseline'!$MB$2:$MB$200=K$4),0),$E81-1973)</f>
        <v>#N/A</v>
      </c>
      <c r="L81" t="e" cm="1">
        <f t="array" ref="L81">INDEX('GMW - Baseline'!$A$2:$MC$200,MATCH(1,('GMW - Baseline'!$MC$2:$MC$200=L$3)*('GMW - Baseline'!$MB$2:$MB$200=L$4),0),$E81-1973)</f>
        <v>#N/A</v>
      </c>
      <c r="M81" t="e" cm="1">
        <f t="array" ref="M81">INDEX('GMW - Baseline'!$A$2:$MC$200,MATCH(1,('GMW - Baseline'!$MC$2:$MC$200=M$3)*('GMW - Baseline'!$MB$2:$MB$200=M$4),0),$E81-1973)</f>
        <v>#N/A</v>
      </c>
      <c r="N81" t="e" cm="1">
        <f t="array" ref="N81">INDEX('GMW - Baseline'!$A$2:$MC$200,MATCH(1,('GMW - Baseline'!$MC$2:$MC$200=N$3)*('GMW - Baseline'!$MB$2:$MB$200=N$4),0),$E81-1973)</f>
        <v>#N/A</v>
      </c>
      <c r="O81" t="e" cm="1">
        <f t="array" ref="O81">INDEX('GMW - Baseline'!$A$2:$MC$200,MATCH(1,('GMW - Baseline'!$MC$2:$MC$200=O$3)*('GMW - Baseline'!$MB$2:$MB$200=O$4),0),$E81-1973)</f>
        <v>#N/A</v>
      </c>
      <c r="P81" t="e" cm="1">
        <f t="array" ref="P81">INDEX('GMW - Baseline'!$A$2:$MC$200,MATCH(1,('GMW - Baseline'!$MC$2:$MC$200=P$3)*('GMW - Baseline'!$MB$2:$MB$200=P$4),0),$E81-1973)</f>
        <v>#N/A</v>
      </c>
      <c r="Q81" t="e" cm="1">
        <f t="array" ref="Q81">INDEX('GMW - Baseline'!$A$2:$MC$200,MATCH(1,('GMW - Baseline'!$MC$2:$MC$200=Q$3)*('GMW - Baseline'!$MB$2:$MB$200=Q$4),0),$E81-1973)</f>
        <v>#N/A</v>
      </c>
      <c r="R81" t="e" cm="1">
        <f t="array" ref="R81">INDEX('GMW - Baseline'!$A$2:$MC$200,MATCH(1,('GMW - Baseline'!$MC$2:$MC$200=R$3)*('GMW - Baseline'!$MB$2:$MB$200=R$4),0),$E81-1973)</f>
        <v>#N/A</v>
      </c>
      <c r="S81" t="e" cm="1">
        <f t="array" ref="S81">INDEX('GMW - Baseline'!$A$2:$MC$200,MATCH(1,('GMW - Baseline'!$MC$2:$MC$200=S$3)*('GMW - Baseline'!$MB$2:$MB$200=S$4),0),$E81-1973)</f>
        <v>#N/A</v>
      </c>
      <c r="T81" t="e" cm="1">
        <f t="array" ref="T81">INDEX('GMW - Baseline'!$A$2:$MC$200,MATCH(1,('GMW - Baseline'!$MC$2:$MC$200=T$3)*('GMW - Baseline'!$MB$2:$MB$200=T$4),0),$E81-1973)</f>
        <v>#N/A</v>
      </c>
    </row>
    <row r="82" spans="1:20" x14ac:dyDescent="0.25">
      <c r="B82">
        <f t="shared" si="7"/>
        <v>1998</v>
      </c>
      <c r="C82">
        <f t="shared" si="7"/>
        <v>1998</v>
      </c>
      <c r="E82">
        <f t="shared" si="6"/>
        <v>2055</v>
      </c>
      <c r="F82" cm="1">
        <f t="array" ref="F82">INDEX('GMW - Baseline'!$A$2:$MC$200,MATCH(1,('GMW - Baseline'!$MC$2:$MC$200=F$3)*('GMW - Baseline'!$MB$2:$MB$200=F$4),0),$E82-1973)</f>
        <v>453937</v>
      </c>
      <c r="G82" cm="1">
        <f t="array" ref="G82">INDEX('GMW - Baseline'!$A$2:$MC$200,MATCH(1,('GMW - Baseline'!$MC$2:$MC$200=G$3)*('GMW - Baseline'!$MB$2:$MB$200=G$4),0),$E82-1973)</f>
        <v>267397</v>
      </c>
      <c r="H82" cm="1">
        <f t="array" ref="H82">INDEX('GMW - Baseline'!$A$2:$MC$200,MATCH(1,('GMW - Baseline'!$MC$2:$MC$200=H$3)*('GMW - Baseline'!$MB$2:$MB$200=H$4),0),$E82-1973)</f>
        <v>71.633330000000001</v>
      </c>
      <c r="I82" cm="1">
        <f t="array" ref="I82">INDEX('GMW - Baseline'!$A$2:$MC$200,MATCH(1,('GMW - Baseline'!$MC$2:$MC$200=I$3)*('GMW - Baseline'!$MB$2:$MB$200=I$4),0),$E82-1973)</f>
        <v>6.8371209999999998</v>
      </c>
      <c r="J82" t="e" cm="1">
        <f t="array" ref="J82">INDEX('GMW - Baseline'!$A$2:$MC$200,MATCH(1,('GMW - Baseline'!$MC$2:$MC$200=J$3)*('GMW - Baseline'!$MB$2:$MB$200=J$4),0),$E82-1973)</f>
        <v>#N/A</v>
      </c>
      <c r="K82" t="e" cm="1">
        <f t="array" ref="K82">INDEX('GMW - Baseline'!$A$2:$MC$200,MATCH(1,('GMW - Baseline'!$MC$2:$MC$200=K$3)*('GMW - Baseline'!$MB$2:$MB$200=K$4),0),$E82-1973)</f>
        <v>#N/A</v>
      </c>
      <c r="L82" t="e" cm="1">
        <f t="array" ref="L82">INDEX('GMW - Baseline'!$A$2:$MC$200,MATCH(1,('GMW - Baseline'!$MC$2:$MC$200=L$3)*('GMW - Baseline'!$MB$2:$MB$200=L$4),0),$E82-1973)</f>
        <v>#N/A</v>
      </c>
      <c r="M82" t="e" cm="1">
        <f t="array" ref="M82">INDEX('GMW - Baseline'!$A$2:$MC$200,MATCH(1,('GMW - Baseline'!$MC$2:$MC$200=M$3)*('GMW - Baseline'!$MB$2:$MB$200=M$4),0),$E82-1973)</f>
        <v>#N/A</v>
      </c>
      <c r="N82" t="e" cm="1">
        <f t="array" ref="N82">INDEX('GMW - Baseline'!$A$2:$MC$200,MATCH(1,('GMW - Baseline'!$MC$2:$MC$200=N$3)*('GMW - Baseline'!$MB$2:$MB$200=N$4),0),$E82-1973)</f>
        <v>#N/A</v>
      </c>
      <c r="O82" t="e" cm="1">
        <f t="array" ref="O82">INDEX('GMW - Baseline'!$A$2:$MC$200,MATCH(1,('GMW - Baseline'!$MC$2:$MC$200=O$3)*('GMW - Baseline'!$MB$2:$MB$200=O$4),0),$E82-1973)</f>
        <v>#N/A</v>
      </c>
      <c r="P82" t="e" cm="1">
        <f t="array" ref="P82">INDEX('GMW - Baseline'!$A$2:$MC$200,MATCH(1,('GMW - Baseline'!$MC$2:$MC$200=P$3)*('GMW - Baseline'!$MB$2:$MB$200=P$4),0),$E82-1973)</f>
        <v>#N/A</v>
      </c>
      <c r="Q82" t="e" cm="1">
        <f t="array" ref="Q82">INDEX('GMW - Baseline'!$A$2:$MC$200,MATCH(1,('GMW - Baseline'!$MC$2:$MC$200=Q$3)*('GMW - Baseline'!$MB$2:$MB$200=Q$4),0),$E82-1973)</f>
        <v>#N/A</v>
      </c>
      <c r="R82" t="e" cm="1">
        <f t="array" ref="R82">INDEX('GMW - Baseline'!$A$2:$MC$200,MATCH(1,('GMW - Baseline'!$MC$2:$MC$200=R$3)*('GMW - Baseline'!$MB$2:$MB$200=R$4),0),$E82-1973)</f>
        <v>#N/A</v>
      </c>
      <c r="S82" t="e" cm="1">
        <f t="array" ref="S82">INDEX('GMW - Baseline'!$A$2:$MC$200,MATCH(1,('GMW - Baseline'!$MC$2:$MC$200=S$3)*('GMW - Baseline'!$MB$2:$MB$200=S$4),0),$E82-1973)</f>
        <v>#N/A</v>
      </c>
      <c r="T82" t="e" cm="1">
        <f t="array" ref="T82">INDEX('GMW - Baseline'!$A$2:$MC$200,MATCH(1,('GMW - Baseline'!$MC$2:$MC$200=T$3)*('GMW - Baseline'!$MB$2:$MB$200=T$4),0),$E82-1973)</f>
        <v>#N/A</v>
      </c>
    </row>
    <row r="83" spans="1:20" x14ac:dyDescent="0.25">
      <c r="A83">
        <v>1999</v>
      </c>
      <c r="B83">
        <f t="shared" si="7"/>
        <v>1999</v>
      </c>
      <c r="C83">
        <f t="shared" si="7"/>
        <v>1998</v>
      </c>
      <c r="D83">
        <f t="shared" si="7"/>
        <v>1998</v>
      </c>
      <c r="E83">
        <f t="shared" si="6"/>
        <v>2056</v>
      </c>
      <c r="F83" cm="1">
        <f t="array" ref="F83">INDEX('GMW - Baseline'!$A$2:$MC$200,MATCH(1,('GMW - Baseline'!$MC$2:$MC$200=F$3)*('GMW - Baseline'!$MB$2:$MB$200=F$4),0),$E83-1973)</f>
        <v>457044</v>
      </c>
      <c r="G83" cm="1">
        <f t="array" ref="G83">INDEX('GMW - Baseline'!$A$2:$MC$200,MATCH(1,('GMW - Baseline'!$MC$2:$MC$200=G$3)*('GMW - Baseline'!$MB$2:$MB$200=G$4),0),$E83-1973)</f>
        <v>270159</v>
      </c>
      <c r="H83" cm="1">
        <f t="array" ref="H83">INDEX('GMW - Baseline'!$A$2:$MC$200,MATCH(1,('GMW - Baseline'!$MC$2:$MC$200=H$3)*('GMW - Baseline'!$MB$2:$MB$200=H$4),0),$E83-1973)</f>
        <v>71.599999999999994</v>
      </c>
      <c r="I83" cm="1">
        <f t="array" ref="I83">INDEX('GMW - Baseline'!$A$2:$MC$200,MATCH(1,('GMW - Baseline'!$MC$2:$MC$200=I$3)*('GMW - Baseline'!$MB$2:$MB$200=I$4),0),$E83-1973)</f>
        <v>5.703125</v>
      </c>
      <c r="J83" t="e" cm="1">
        <f t="array" ref="J83">INDEX('GMW - Baseline'!$A$2:$MC$200,MATCH(1,('GMW - Baseline'!$MC$2:$MC$200=J$3)*('GMW - Baseline'!$MB$2:$MB$200=J$4),0),$E83-1973)</f>
        <v>#N/A</v>
      </c>
      <c r="K83" t="e" cm="1">
        <f t="array" ref="K83">INDEX('GMW - Baseline'!$A$2:$MC$200,MATCH(1,('GMW - Baseline'!$MC$2:$MC$200=K$3)*('GMW - Baseline'!$MB$2:$MB$200=K$4),0),$E83-1973)</f>
        <v>#N/A</v>
      </c>
      <c r="L83" t="e" cm="1">
        <f t="array" ref="L83">INDEX('GMW - Baseline'!$A$2:$MC$200,MATCH(1,('GMW - Baseline'!$MC$2:$MC$200=L$3)*('GMW - Baseline'!$MB$2:$MB$200=L$4),0),$E83-1973)</f>
        <v>#N/A</v>
      </c>
      <c r="M83" t="e" cm="1">
        <f t="array" ref="M83">INDEX('GMW - Baseline'!$A$2:$MC$200,MATCH(1,('GMW - Baseline'!$MC$2:$MC$200=M$3)*('GMW - Baseline'!$MB$2:$MB$200=M$4),0),$E83-1973)</f>
        <v>#N/A</v>
      </c>
      <c r="N83" t="e" cm="1">
        <f t="array" ref="N83">INDEX('GMW - Baseline'!$A$2:$MC$200,MATCH(1,('GMW - Baseline'!$MC$2:$MC$200=N$3)*('GMW - Baseline'!$MB$2:$MB$200=N$4),0),$E83-1973)</f>
        <v>#N/A</v>
      </c>
      <c r="O83" t="e" cm="1">
        <f t="array" ref="O83">INDEX('GMW - Baseline'!$A$2:$MC$200,MATCH(1,('GMW - Baseline'!$MC$2:$MC$200=O$3)*('GMW - Baseline'!$MB$2:$MB$200=O$4),0),$E83-1973)</f>
        <v>#N/A</v>
      </c>
      <c r="P83" t="e" cm="1">
        <f t="array" ref="P83">INDEX('GMW - Baseline'!$A$2:$MC$200,MATCH(1,('GMW - Baseline'!$MC$2:$MC$200=P$3)*('GMW - Baseline'!$MB$2:$MB$200=P$4),0),$E83-1973)</f>
        <v>#N/A</v>
      </c>
      <c r="Q83" t="e" cm="1">
        <f t="array" ref="Q83">INDEX('GMW - Baseline'!$A$2:$MC$200,MATCH(1,('GMW - Baseline'!$MC$2:$MC$200=Q$3)*('GMW - Baseline'!$MB$2:$MB$200=Q$4),0),$E83-1973)</f>
        <v>#N/A</v>
      </c>
      <c r="R83" t="e" cm="1">
        <f t="array" ref="R83">INDEX('GMW - Baseline'!$A$2:$MC$200,MATCH(1,('GMW - Baseline'!$MC$2:$MC$200=R$3)*('GMW - Baseline'!$MB$2:$MB$200=R$4),0),$E83-1973)</f>
        <v>#N/A</v>
      </c>
      <c r="S83" t="e" cm="1">
        <f t="array" ref="S83">INDEX('GMW - Baseline'!$A$2:$MC$200,MATCH(1,('GMW - Baseline'!$MC$2:$MC$200=S$3)*('GMW - Baseline'!$MB$2:$MB$200=S$4),0),$E83-1973)</f>
        <v>#N/A</v>
      </c>
      <c r="T83" t="e" cm="1">
        <f t="array" ref="T83">INDEX('GMW - Baseline'!$A$2:$MC$200,MATCH(1,('GMW - Baseline'!$MC$2:$MC$200=T$3)*('GMW - Baseline'!$MB$2:$MB$200=T$4),0),$E83-1973)</f>
        <v>#N/A</v>
      </c>
    </row>
    <row r="84" spans="1:20" x14ac:dyDescent="0.25">
      <c r="B84">
        <f t="shared" si="7"/>
        <v>1999</v>
      </c>
      <c r="C84">
        <f t="shared" si="7"/>
        <v>1999</v>
      </c>
      <c r="E84">
        <f t="shared" si="6"/>
        <v>2057</v>
      </c>
      <c r="F84" cm="1">
        <f t="array" ref="F84">INDEX('GMW - Baseline'!$A$2:$MC$200,MATCH(1,('GMW - Baseline'!$MC$2:$MC$200=F$3)*('GMW - Baseline'!$MB$2:$MB$200=F$4),0),$E84-1973)</f>
        <v>458710</v>
      </c>
      <c r="G84" cm="1">
        <f t="array" ref="G84">INDEX('GMW - Baseline'!$A$2:$MC$200,MATCH(1,('GMW - Baseline'!$MC$2:$MC$200=G$3)*('GMW - Baseline'!$MB$2:$MB$200=G$4),0),$E84-1973)</f>
        <v>275407</v>
      </c>
      <c r="H84" cm="1">
        <f t="array" ref="H84">INDEX('GMW - Baseline'!$A$2:$MC$200,MATCH(1,('GMW - Baseline'!$MC$2:$MC$200=H$3)*('GMW - Baseline'!$MB$2:$MB$200=H$4),0),$E84-1973)</f>
        <v>72.3</v>
      </c>
      <c r="I84" cm="1">
        <f t="array" ref="I84">INDEX('GMW - Baseline'!$A$2:$MC$200,MATCH(1,('GMW - Baseline'!$MC$2:$MC$200=I$3)*('GMW - Baseline'!$MB$2:$MB$200=I$4),0),$E84-1973)</f>
        <v>5.211538</v>
      </c>
      <c r="J84" t="e" cm="1">
        <f t="array" ref="J84">INDEX('GMW - Baseline'!$A$2:$MC$200,MATCH(1,('GMW - Baseline'!$MC$2:$MC$200=J$3)*('GMW - Baseline'!$MB$2:$MB$200=J$4),0),$E84-1973)</f>
        <v>#N/A</v>
      </c>
      <c r="K84" t="e" cm="1">
        <f t="array" ref="K84">INDEX('GMW - Baseline'!$A$2:$MC$200,MATCH(1,('GMW - Baseline'!$MC$2:$MC$200=K$3)*('GMW - Baseline'!$MB$2:$MB$200=K$4),0),$E84-1973)</f>
        <v>#N/A</v>
      </c>
      <c r="L84" t="e" cm="1">
        <f t="array" ref="L84">INDEX('GMW - Baseline'!$A$2:$MC$200,MATCH(1,('GMW - Baseline'!$MC$2:$MC$200=L$3)*('GMW - Baseline'!$MB$2:$MB$200=L$4),0),$E84-1973)</f>
        <v>#N/A</v>
      </c>
      <c r="M84" t="e" cm="1">
        <f t="array" ref="M84">INDEX('GMW - Baseline'!$A$2:$MC$200,MATCH(1,('GMW - Baseline'!$MC$2:$MC$200=M$3)*('GMW - Baseline'!$MB$2:$MB$200=M$4),0),$E84-1973)</f>
        <v>#N/A</v>
      </c>
      <c r="N84" t="e" cm="1">
        <f t="array" ref="N84">INDEX('GMW - Baseline'!$A$2:$MC$200,MATCH(1,('GMW - Baseline'!$MC$2:$MC$200=N$3)*('GMW - Baseline'!$MB$2:$MB$200=N$4),0),$E84-1973)</f>
        <v>#N/A</v>
      </c>
      <c r="O84" t="e" cm="1">
        <f t="array" ref="O84">INDEX('GMW - Baseline'!$A$2:$MC$200,MATCH(1,('GMW - Baseline'!$MC$2:$MC$200=O$3)*('GMW - Baseline'!$MB$2:$MB$200=O$4),0),$E84-1973)</f>
        <v>#N/A</v>
      </c>
      <c r="P84" t="e" cm="1">
        <f t="array" ref="P84">INDEX('GMW - Baseline'!$A$2:$MC$200,MATCH(1,('GMW - Baseline'!$MC$2:$MC$200=P$3)*('GMW - Baseline'!$MB$2:$MB$200=P$4),0),$E84-1973)</f>
        <v>#N/A</v>
      </c>
      <c r="Q84" t="e" cm="1">
        <f t="array" ref="Q84">INDEX('GMW - Baseline'!$A$2:$MC$200,MATCH(1,('GMW - Baseline'!$MC$2:$MC$200=Q$3)*('GMW - Baseline'!$MB$2:$MB$200=Q$4),0),$E84-1973)</f>
        <v>#N/A</v>
      </c>
      <c r="R84" t="e" cm="1">
        <f t="array" ref="R84">INDEX('GMW - Baseline'!$A$2:$MC$200,MATCH(1,('GMW - Baseline'!$MC$2:$MC$200=R$3)*('GMW - Baseline'!$MB$2:$MB$200=R$4),0),$E84-1973)</f>
        <v>#N/A</v>
      </c>
      <c r="S84" t="e" cm="1">
        <f t="array" ref="S84">INDEX('GMW - Baseline'!$A$2:$MC$200,MATCH(1,('GMW - Baseline'!$MC$2:$MC$200=S$3)*('GMW - Baseline'!$MB$2:$MB$200=S$4),0),$E84-1973)</f>
        <v>#N/A</v>
      </c>
      <c r="T84" t="e" cm="1">
        <f t="array" ref="T84">INDEX('GMW - Baseline'!$A$2:$MC$200,MATCH(1,('GMW - Baseline'!$MC$2:$MC$200=T$3)*('GMW - Baseline'!$MB$2:$MB$200=T$4),0),$E84-1973)</f>
        <v>#N/A</v>
      </c>
    </row>
    <row r="85" spans="1:20" x14ac:dyDescent="0.25">
      <c r="B85">
        <f t="shared" si="7"/>
        <v>1999</v>
      </c>
      <c r="C85">
        <f t="shared" si="7"/>
        <v>1999</v>
      </c>
      <c r="E85">
        <f t="shared" si="6"/>
        <v>2058</v>
      </c>
      <c r="F85" cm="1">
        <f t="array" ref="F85">INDEX('GMW - Baseline'!$A$2:$MC$200,MATCH(1,('GMW - Baseline'!$MC$2:$MC$200=F$3)*('GMW - Baseline'!$MB$2:$MB$200=F$4),0),$E85-1973)</f>
        <v>466387</v>
      </c>
      <c r="G85" cm="1">
        <f t="array" ref="G85">INDEX('GMW - Baseline'!$A$2:$MC$200,MATCH(1,('GMW - Baseline'!$MC$2:$MC$200=G$3)*('GMW - Baseline'!$MB$2:$MB$200=G$4),0),$E85-1973)</f>
        <v>278331</v>
      </c>
      <c r="H85" cm="1">
        <f t="array" ref="H85">INDEX('GMW - Baseline'!$A$2:$MC$200,MATCH(1,('GMW - Baseline'!$MC$2:$MC$200=H$3)*('GMW - Baseline'!$MB$2:$MB$200=H$4),0),$E85-1973)</f>
        <v>72.133330000000001</v>
      </c>
      <c r="I85" cm="1">
        <f t="array" ref="I85">INDEX('GMW - Baseline'!$A$2:$MC$200,MATCH(1,('GMW - Baseline'!$MC$2:$MC$200=I$3)*('GMW - Baseline'!$MB$2:$MB$200=I$4),0),$E85-1973)</f>
        <v>5.0643940000000001</v>
      </c>
      <c r="J85" t="e" cm="1">
        <f t="array" ref="J85">INDEX('GMW - Baseline'!$A$2:$MC$200,MATCH(1,('GMW - Baseline'!$MC$2:$MC$200=J$3)*('GMW - Baseline'!$MB$2:$MB$200=J$4),0),$E85-1973)</f>
        <v>#N/A</v>
      </c>
      <c r="K85" t="e" cm="1">
        <f t="array" ref="K85">INDEX('GMW - Baseline'!$A$2:$MC$200,MATCH(1,('GMW - Baseline'!$MC$2:$MC$200=K$3)*('GMW - Baseline'!$MB$2:$MB$200=K$4),0),$E85-1973)</f>
        <v>#N/A</v>
      </c>
      <c r="L85" t="e" cm="1">
        <f t="array" ref="L85">INDEX('GMW - Baseline'!$A$2:$MC$200,MATCH(1,('GMW - Baseline'!$MC$2:$MC$200=L$3)*('GMW - Baseline'!$MB$2:$MB$200=L$4),0),$E85-1973)</f>
        <v>#N/A</v>
      </c>
      <c r="M85" t="e" cm="1">
        <f t="array" ref="M85">INDEX('GMW - Baseline'!$A$2:$MC$200,MATCH(1,('GMW - Baseline'!$MC$2:$MC$200=M$3)*('GMW - Baseline'!$MB$2:$MB$200=M$4),0),$E85-1973)</f>
        <v>#N/A</v>
      </c>
      <c r="N85" t="e" cm="1">
        <f t="array" ref="N85">INDEX('GMW - Baseline'!$A$2:$MC$200,MATCH(1,('GMW - Baseline'!$MC$2:$MC$200=N$3)*('GMW - Baseline'!$MB$2:$MB$200=N$4),0),$E85-1973)</f>
        <v>#N/A</v>
      </c>
      <c r="O85" t="e" cm="1">
        <f t="array" ref="O85">INDEX('GMW - Baseline'!$A$2:$MC$200,MATCH(1,('GMW - Baseline'!$MC$2:$MC$200=O$3)*('GMW - Baseline'!$MB$2:$MB$200=O$4),0),$E85-1973)</f>
        <v>#N/A</v>
      </c>
      <c r="P85" t="e" cm="1">
        <f t="array" ref="P85">INDEX('GMW - Baseline'!$A$2:$MC$200,MATCH(1,('GMW - Baseline'!$MC$2:$MC$200=P$3)*('GMW - Baseline'!$MB$2:$MB$200=P$4),0),$E85-1973)</f>
        <v>#N/A</v>
      </c>
      <c r="Q85" t="e" cm="1">
        <f t="array" ref="Q85">INDEX('GMW - Baseline'!$A$2:$MC$200,MATCH(1,('GMW - Baseline'!$MC$2:$MC$200=Q$3)*('GMW - Baseline'!$MB$2:$MB$200=Q$4),0),$E85-1973)</f>
        <v>#N/A</v>
      </c>
      <c r="R85" t="e" cm="1">
        <f t="array" ref="R85">INDEX('GMW - Baseline'!$A$2:$MC$200,MATCH(1,('GMW - Baseline'!$MC$2:$MC$200=R$3)*('GMW - Baseline'!$MB$2:$MB$200=R$4),0),$E85-1973)</f>
        <v>#N/A</v>
      </c>
      <c r="S85" t="e" cm="1">
        <f t="array" ref="S85">INDEX('GMW - Baseline'!$A$2:$MC$200,MATCH(1,('GMW - Baseline'!$MC$2:$MC$200=S$3)*('GMW - Baseline'!$MB$2:$MB$200=S$4),0),$E85-1973)</f>
        <v>#N/A</v>
      </c>
      <c r="T85" t="e" cm="1">
        <f t="array" ref="T85">INDEX('GMW - Baseline'!$A$2:$MC$200,MATCH(1,('GMW - Baseline'!$MC$2:$MC$200=T$3)*('GMW - Baseline'!$MB$2:$MB$200=T$4),0),$E85-1973)</f>
        <v>#N/A</v>
      </c>
    </row>
    <row r="86" spans="1:20" x14ac:dyDescent="0.25">
      <c r="B86">
        <f t="shared" si="7"/>
        <v>1999</v>
      </c>
      <c r="C86">
        <f t="shared" si="7"/>
        <v>1999</v>
      </c>
      <c r="E86">
        <f t="shared" si="6"/>
        <v>2059</v>
      </c>
      <c r="F86" cm="1">
        <f t="array" ref="F86">INDEX('GMW - Baseline'!$A$2:$MC$200,MATCH(1,('GMW - Baseline'!$MC$2:$MC$200=F$3)*('GMW - Baseline'!$MB$2:$MB$200=F$4),0),$E86-1973)</f>
        <v>473892</v>
      </c>
      <c r="G86" cm="1">
        <f t="array" ref="G86">INDEX('GMW - Baseline'!$A$2:$MC$200,MATCH(1,('GMW - Baseline'!$MC$2:$MC$200=G$3)*('GMW - Baseline'!$MB$2:$MB$200=G$4),0),$E86-1973)</f>
        <v>280651</v>
      </c>
      <c r="H86" cm="1">
        <f t="array" ref="H86">INDEX('GMW - Baseline'!$A$2:$MC$200,MATCH(1,('GMW - Baseline'!$MC$2:$MC$200=H$3)*('GMW - Baseline'!$MB$2:$MB$200=H$4),0),$E86-1973)</f>
        <v>72.433329999999998</v>
      </c>
      <c r="I86" cm="1">
        <f t="array" ref="I86">INDEX('GMW - Baseline'!$A$2:$MC$200,MATCH(1,('GMW - Baseline'!$MC$2:$MC$200=I$3)*('GMW - Baseline'!$MB$2:$MB$200=I$4),0),$E86-1973)</f>
        <v>5.4090910000000001</v>
      </c>
      <c r="J86" t="e" cm="1">
        <f t="array" ref="J86">INDEX('GMW - Baseline'!$A$2:$MC$200,MATCH(1,('GMW - Baseline'!$MC$2:$MC$200=J$3)*('GMW - Baseline'!$MB$2:$MB$200=J$4),0),$E86-1973)</f>
        <v>#N/A</v>
      </c>
      <c r="K86" t="e" cm="1">
        <f t="array" ref="K86">INDEX('GMW - Baseline'!$A$2:$MC$200,MATCH(1,('GMW - Baseline'!$MC$2:$MC$200=K$3)*('GMW - Baseline'!$MB$2:$MB$200=K$4),0),$E86-1973)</f>
        <v>#N/A</v>
      </c>
      <c r="L86" t="e" cm="1">
        <f t="array" ref="L86">INDEX('GMW - Baseline'!$A$2:$MC$200,MATCH(1,('GMW - Baseline'!$MC$2:$MC$200=L$3)*('GMW - Baseline'!$MB$2:$MB$200=L$4),0),$E86-1973)</f>
        <v>#N/A</v>
      </c>
      <c r="M86" t="e" cm="1">
        <f t="array" ref="M86">INDEX('GMW - Baseline'!$A$2:$MC$200,MATCH(1,('GMW - Baseline'!$MC$2:$MC$200=M$3)*('GMW - Baseline'!$MB$2:$MB$200=M$4),0),$E86-1973)</f>
        <v>#N/A</v>
      </c>
      <c r="N86" t="e" cm="1">
        <f t="array" ref="N86">INDEX('GMW - Baseline'!$A$2:$MC$200,MATCH(1,('GMW - Baseline'!$MC$2:$MC$200=N$3)*('GMW - Baseline'!$MB$2:$MB$200=N$4),0),$E86-1973)</f>
        <v>#N/A</v>
      </c>
      <c r="O86" t="e" cm="1">
        <f t="array" ref="O86">INDEX('GMW - Baseline'!$A$2:$MC$200,MATCH(1,('GMW - Baseline'!$MC$2:$MC$200=O$3)*('GMW - Baseline'!$MB$2:$MB$200=O$4),0),$E86-1973)</f>
        <v>#N/A</v>
      </c>
      <c r="P86" t="e" cm="1">
        <f t="array" ref="P86">INDEX('GMW - Baseline'!$A$2:$MC$200,MATCH(1,('GMW - Baseline'!$MC$2:$MC$200=P$3)*('GMW - Baseline'!$MB$2:$MB$200=P$4),0),$E86-1973)</f>
        <v>#N/A</v>
      </c>
      <c r="Q86" t="e" cm="1">
        <f t="array" ref="Q86">INDEX('GMW - Baseline'!$A$2:$MC$200,MATCH(1,('GMW - Baseline'!$MC$2:$MC$200=Q$3)*('GMW - Baseline'!$MB$2:$MB$200=Q$4),0),$E86-1973)</f>
        <v>#N/A</v>
      </c>
      <c r="R86" t="e" cm="1">
        <f t="array" ref="R86">INDEX('GMW - Baseline'!$A$2:$MC$200,MATCH(1,('GMW - Baseline'!$MC$2:$MC$200=R$3)*('GMW - Baseline'!$MB$2:$MB$200=R$4),0),$E86-1973)</f>
        <v>#N/A</v>
      </c>
      <c r="S86" t="e" cm="1">
        <f t="array" ref="S86">INDEX('GMW - Baseline'!$A$2:$MC$200,MATCH(1,('GMW - Baseline'!$MC$2:$MC$200=S$3)*('GMW - Baseline'!$MB$2:$MB$200=S$4),0),$E86-1973)</f>
        <v>#N/A</v>
      </c>
      <c r="T86" t="e" cm="1">
        <f t="array" ref="T86">INDEX('GMW - Baseline'!$A$2:$MC$200,MATCH(1,('GMW - Baseline'!$MC$2:$MC$200=T$3)*('GMW - Baseline'!$MB$2:$MB$200=T$4),0),$E86-1973)</f>
        <v>#N/A</v>
      </c>
    </row>
    <row r="87" spans="1:20" x14ac:dyDescent="0.25">
      <c r="A87">
        <v>2000</v>
      </c>
      <c r="B87">
        <f t="shared" si="7"/>
        <v>2000</v>
      </c>
      <c r="C87">
        <f t="shared" si="7"/>
        <v>1999</v>
      </c>
      <c r="D87">
        <f t="shared" si="7"/>
        <v>1999</v>
      </c>
      <c r="E87">
        <f t="shared" si="6"/>
        <v>2060</v>
      </c>
      <c r="F87" cm="1">
        <f t="array" ref="F87">INDEX('GMW - Baseline'!$A$2:$MC$200,MATCH(1,('GMW - Baseline'!$MC$2:$MC$200=F$3)*('GMW - Baseline'!$MB$2:$MB$200=F$4),0),$E87-1973)</f>
        <v>480212</v>
      </c>
      <c r="G87" cm="1">
        <f t="array" ref="G87">INDEX('GMW - Baseline'!$A$2:$MC$200,MATCH(1,('GMW - Baseline'!$MC$2:$MC$200=G$3)*('GMW - Baseline'!$MB$2:$MB$200=G$4),0),$E87-1973)</f>
        <v>284274</v>
      </c>
      <c r="H87" cm="1">
        <f t="array" ref="H87">INDEX('GMW - Baseline'!$A$2:$MC$200,MATCH(1,('GMW - Baseline'!$MC$2:$MC$200=H$3)*('GMW - Baseline'!$MB$2:$MB$200=H$4),0),$E87-1973)</f>
        <v>72.133330000000001</v>
      </c>
      <c r="I87" cm="1">
        <f t="array" ref="I87">INDEX('GMW - Baseline'!$A$2:$MC$200,MATCH(1,('GMW - Baseline'!$MC$2:$MC$200=I$3)*('GMW - Baseline'!$MB$2:$MB$200=I$4),0),$E87-1973)</f>
        <v>5.8615380000000004</v>
      </c>
      <c r="J87" t="e" cm="1">
        <f t="array" ref="J87">INDEX('GMW - Baseline'!$A$2:$MC$200,MATCH(1,('GMW - Baseline'!$MC$2:$MC$200=J$3)*('GMW - Baseline'!$MB$2:$MB$200=J$4),0),$E87-1973)</f>
        <v>#N/A</v>
      </c>
      <c r="K87" t="e" cm="1">
        <f t="array" ref="K87">INDEX('GMW - Baseline'!$A$2:$MC$200,MATCH(1,('GMW - Baseline'!$MC$2:$MC$200=K$3)*('GMW - Baseline'!$MB$2:$MB$200=K$4),0),$E87-1973)</f>
        <v>#N/A</v>
      </c>
      <c r="L87" t="e" cm="1">
        <f t="array" ref="L87">INDEX('GMW - Baseline'!$A$2:$MC$200,MATCH(1,('GMW - Baseline'!$MC$2:$MC$200=L$3)*('GMW - Baseline'!$MB$2:$MB$200=L$4),0),$E87-1973)</f>
        <v>#N/A</v>
      </c>
      <c r="M87" t="e" cm="1">
        <f t="array" ref="M87">INDEX('GMW - Baseline'!$A$2:$MC$200,MATCH(1,('GMW - Baseline'!$MC$2:$MC$200=M$3)*('GMW - Baseline'!$MB$2:$MB$200=M$4),0),$E87-1973)</f>
        <v>#N/A</v>
      </c>
      <c r="N87" t="e" cm="1">
        <f t="array" ref="N87">INDEX('GMW - Baseline'!$A$2:$MC$200,MATCH(1,('GMW - Baseline'!$MC$2:$MC$200=N$3)*('GMW - Baseline'!$MB$2:$MB$200=N$4),0),$E87-1973)</f>
        <v>#N/A</v>
      </c>
      <c r="O87" t="e" cm="1">
        <f t="array" ref="O87">INDEX('GMW - Baseline'!$A$2:$MC$200,MATCH(1,('GMW - Baseline'!$MC$2:$MC$200=O$3)*('GMW - Baseline'!$MB$2:$MB$200=O$4),0),$E87-1973)</f>
        <v>#N/A</v>
      </c>
      <c r="P87" t="e" cm="1">
        <f t="array" ref="P87">INDEX('GMW - Baseline'!$A$2:$MC$200,MATCH(1,('GMW - Baseline'!$MC$2:$MC$200=P$3)*('GMW - Baseline'!$MB$2:$MB$200=P$4),0),$E87-1973)</f>
        <v>#N/A</v>
      </c>
      <c r="Q87" t="e" cm="1">
        <f t="array" ref="Q87">INDEX('GMW - Baseline'!$A$2:$MC$200,MATCH(1,('GMW - Baseline'!$MC$2:$MC$200=Q$3)*('GMW - Baseline'!$MB$2:$MB$200=Q$4),0),$E87-1973)</f>
        <v>#N/A</v>
      </c>
      <c r="R87" t="e" cm="1">
        <f t="array" ref="R87">INDEX('GMW - Baseline'!$A$2:$MC$200,MATCH(1,('GMW - Baseline'!$MC$2:$MC$200=R$3)*('GMW - Baseline'!$MB$2:$MB$200=R$4),0),$E87-1973)</f>
        <v>#N/A</v>
      </c>
      <c r="S87" t="e" cm="1">
        <f t="array" ref="S87">INDEX('GMW - Baseline'!$A$2:$MC$200,MATCH(1,('GMW - Baseline'!$MC$2:$MC$200=S$3)*('GMW - Baseline'!$MB$2:$MB$200=S$4),0),$E87-1973)</f>
        <v>#N/A</v>
      </c>
      <c r="T87" t="e" cm="1">
        <f t="array" ref="T87">INDEX('GMW - Baseline'!$A$2:$MC$200,MATCH(1,('GMW - Baseline'!$MC$2:$MC$200=T$3)*('GMW - Baseline'!$MB$2:$MB$200=T$4),0),$E87-1973)</f>
        <v>#N/A</v>
      </c>
    </row>
    <row r="88" spans="1:20" x14ac:dyDescent="0.25">
      <c r="B88">
        <f t="shared" si="7"/>
        <v>2000</v>
      </c>
      <c r="C88">
        <f t="shared" si="7"/>
        <v>2000</v>
      </c>
      <c r="E88">
        <f t="shared" si="6"/>
        <v>2061</v>
      </c>
      <c r="F88" cm="1">
        <f t="array" ref="F88">INDEX('GMW - Baseline'!$A$2:$MC$200,MATCH(1,('GMW - Baseline'!$MC$2:$MC$200=F$3)*('GMW - Baseline'!$MB$2:$MB$200=F$4),0),$E88-1973)</f>
        <v>483672</v>
      </c>
      <c r="G88" cm="1">
        <f t="array" ref="G88">INDEX('GMW - Baseline'!$A$2:$MC$200,MATCH(1,('GMW - Baseline'!$MC$2:$MC$200=G$3)*('GMW - Baseline'!$MB$2:$MB$200=G$4),0),$E88-1973)</f>
        <v>287388</v>
      </c>
      <c r="H88" cm="1">
        <f t="array" ref="H88">INDEX('GMW - Baseline'!$A$2:$MC$200,MATCH(1,('GMW - Baseline'!$MC$2:$MC$200=H$3)*('GMW - Baseline'!$MB$2:$MB$200=H$4),0),$E88-1973)</f>
        <v>72.766670000000005</v>
      </c>
      <c r="I88" cm="1">
        <f t="array" ref="I88">INDEX('GMW - Baseline'!$A$2:$MC$200,MATCH(1,('GMW - Baseline'!$MC$2:$MC$200=I$3)*('GMW - Baseline'!$MB$2:$MB$200=I$4),0),$E88-1973)</f>
        <v>6</v>
      </c>
      <c r="J88" t="e" cm="1">
        <f t="array" ref="J88">INDEX('GMW - Baseline'!$A$2:$MC$200,MATCH(1,('GMW - Baseline'!$MC$2:$MC$200=J$3)*('GMW - Baseline'!$MB$2:$MB$200=J$4),0),$E88-1973)</f>
        <v>#N/A</v>
      </c>
      <c r="K88" t="e" cm="1">
        <f t="array" ref="K88">INDEX('GMW - Baseline'!$A$2:$MC$200,MATCH(1,('GMW - Baseline'!$MC$2:$MC$200=K$3)*('GMW - Baseline'!$MB$2:$MB$200=K$4),0),$E88-1973)</f>
        <v>#N/A</v>
      </c>
      <c r="L88" t="e" cm="1">
        <f t="array" ref="L88">INDEX('GMW - Baseline'!$A$2:$MC$200,MATCH(1,('GMW - Baseline'!$MC$2:$MC$200=L$3)*('GMW - Baseline'!$MB$2:$MB$200=L$4),0),$E88-1973)</f>
        <v>#N/A</v>
      </c>
      <c r="M88" t="e" cm="1">
        <f t="array" ref="M88">INDEX('GMW - Baseline'!$A$2:$MC$200,MATCH(1,('GMW - Baseline'!$MC$2:$MC$200=M$3)*('GMW - Baseline'!$MB$2:$MB$200=M$4),0),$E88-1973)</f>
        <v>#N/A</v>
      </c>
      <c r="N88" t="e" cm="1">
        <f t="array" ref="N88">INDEX('GMW - Baseline'!$A$2:$MC$200,MATCH(1,('GMW - Baseline'!$MC$2:$MC$200=N$3)*('GMW - Baseline'!$MB$2:$MB$200=N$4),0),$E88-1973)</f>
        <v>#N/A</v>
      </c>
      <c r="O88" t="e" cm="1">
        <f t="array" ref="O88">INDEX('GMW - Baseline'!$A$2:$MC$200,MATCH(1,('GMW - Baseline'!$MC$2:$MC$200=O$3)*('GMW - Baseline'!$MB$2:$MB$200=O$4),0),$E88-1973)</f>
        <v>#N/A</v>
      </c>
      <c r="P88" t="e" cm="1">
        <f t="array" ref="P88">INDEX('GMW - Baseline'!$A$2:$MC$200,MATCH(1,('GMW - Baseline'!$MC$2:$MC$200=P$3)*('GMW - Baseline'!$MB$2:$MB$200=P$4),0),$E88-1973)</f>
        <v>#N/A</v>
      </c>
      <c r="Q88" t="e" cm="1">
        <f t="array" ref="Q88">INDEX('GMW - Baseline'!$A$2:$MC$200,MATCH(1,('GMW - Baseline'!$MC$2:$MC$200=Q$3)*('GMW - Baseline'!$MB$2:$MB$200=Q$4),0),$E88-1973)</f>
        <v>#N/A</v>
      </c>
      <c r="R88" t="e" cm="1">
        <f t="array" ref="R88">INDEX('GMW - Baseline'!$A$2:$MC$200,MATCH(1,('GMW - Baseline'!$MC$2:$MC$200=R$3)*('GMW - Baseline'!$MB$2:$MB$200=R$4),0),$E88-1973)</f>
        <v>#N/A</v>
      </c>
      <c r="S88" t="e" cm="1">
        <f t="array" ref="S88">INDEX('GMW - Baseline'!$A$2:$MC$200,MATCH(1,('GMW - Baseline'!$MC$2:$MC$200=S$3)*('GMW - Baseline'!$MB$2:$MB$200=S$4),0),$E88-1973)</f>
        <v>#N/A</v>
      </c>
      <c r="T88" t="e" cm="1">
        <f t="array" ref="T88">INDEX('GMW - Baseline'!$A$2:$MC$200,MATCH(1,('GMW - Baseline'!$MC$2:$MC$200=T$3)*('GMW - Baseline'!$MB$2:$MB$200=T$4),0),$E88-1973)</f>
        <v>#N/A</v>
      </c>
    </row>
    <row r="89" spans="1:20" x14ac:dyDescent="0.25">
      <c r="B89">
        <f t="shared" si="7"/>
        <v>2000</v>
      </c>
      <c r="C89">
        <f t="shared" si="7"/>
        <v>2000</v>
      </c>
      <c r="E89">
        <f t="shared" si="6"/>
        <v>2062</v>
      </c>
      <c r="F89" cm="1">
        <f t="array" ref="F89">INDEX('GMW - Baseline'!$A$2:$MC$200,MATCH(1,('GMW - Baseline'!$MC$2:$MC$200=F$3)*('GMW - Baseline'!$MB$2:$MB$200=F$4),0),$E89-1973)</f>
        <v>486617</v>
      </c>
      <c r="G89" cm="1">
        <f t="array" ref="G89">INDEX('GMW - Baseline'!$A$2:$MC$200,MATCH(1,('GMW - Baseline'!$MC$2:$MC$200=G$3)*('GMW - Baseline'!$MB$2:$MB$200=G$4),0),$E89-1973)</f>
        <v>290894</v>
      </c>
      <c r="H89" cm="1">
        <f t="array" ref="H89">INDEX('GMW - Baseline'!$A$2:$MC$200,MATCH(1,('GMW - Baseline'!$MC$2:$MC$200=H$3)*('GMW - Baseline'!$MB$2:$MB$200=H$4),0),$E89-1973)</f>
        <v>72.7</v>
      </c>
      <c r="I89" cm="1">
        <f t="array" ref="I89">INDEX('GMW - Baseline'!$A$2:$MC$200,MATCH(1,('GMW - Baseline'!$MC$2:$MC$200=I$3)*('GMW - Baseline'!$MB$2:$MB$200=I$4),0),$E89-1973)</f>
        <v>6</v>
      </c>
      <c r="J89" t="e" cm="1">
        <f t="array" ref="J89">INDEX('GMW - Baseline'!$A$2:$MC$200,MATCH(1,('GMW - Baseline'!$MC$2:$MC$200=J$3)*('GMW - Baseline'!$MB$2:$MB$200=J$4),0),$E89-1973)</f>
        <v>#N/A</v>
      </c>
      <c r="K89" t="e" cm="1">
        <f t="array" ref="K89">INDEX('GMW - Baseline'!$A$2:$MC$200,MATCH(1,('GMW - Baseline'!$MC$2:$MC$200=K$3)*('GMW - Baseline'!$MB$2:$MB$200=K$4),0),$E89-1973)</f>
        <v>#N/A</v>
      </c>
      <c r="L89" t="e" cm="1">
        <f t="array" ref="L89">INDEX('GMW - Baseline'!$A$2:$MC$200,MATCH(1,('GMW - Baseline'!$MC$2:$MC$200=L$3)*('GMW - Baseline'!$MB$2:$MB$200=L$4),0),$E89-1973)</f>
        <v>#N/A</v>
      </c>
      <c r="M89" t="e" cm="1">
        <f t="array" ref="M89">INDEX('GMW - Baseline'!$A$2:$MC$200,MATCH(1,('GMW - Baseline'!$MC$2:$MC$200=M$3)*('GMW - Baseline'!$MB$2:$MB$200=M$4),0),$E89-1973)</f>
        <v>#N/A</v>
      </c>
      <c r="N89" t="e" cm="1">
        <f t="array" ref="N89">INDEX('GMW - Baseline'!$A$2:$MC$200,MATCH(1,('GMW - Baseline'!$MC$2:$MC$200=N$3)*('GMW - Baseline'!$MB$2:$MB$200=N$4),0),$E89-1973)</f>
        <v>#N/A</v>
      </c>
      <c r="O89" t="e" cm="1">
        <f t="array" ref="O89">INDEX('GMW - Baseline'!$A$2:$MC$200,MATCH(1,('GMW - Baseline'!$MC$2:$MC$200=O$3)*('GMW - Baseline'!$MB$2:$MB$200=O$4),0),$E89-1973)</f>
        <v>#N/A</v>
      </c>
      <c r="P89" t="e" cm="1">
        <f t="array" ref="P89">INDEX('GMW - Baseline'!$A$2:$MC$200,MATCH(1,('GMW - Baseline'!$MC$2:$MC$200=P$3)*('GMW - Baseline'!$MB$2:$MB$200=P$4),0),$E89-1973)</f>
        <v>#N/A</v>
      </c>
      <c r="Q89" t="e" cm="1">
        <f t="array" ref="Q89">INDEX('GMW - Baseline'!$A$2:$MC$200,MATCH(1,('GMW - Baseline'!$MC$2:$MC$200=Q$3)*('GMW - Baseline'!$MB$2:$MB$200=Q$4),0),$E89-1973)</f>
        <v>#N/A</v>
      </c>
      <c r="R89" t="e" cm="1">
        <f t="array" ref="R89">INDEX('GMW - Baseline'!$A$2:$MC$200,MATCH(1,('GMW - Baseline'!$MC$2:$MC$200=R$3)*('GMW - Baseline'!$MB$2:$MB$200=R$4),0),$E89-1973)</f>
        <v>#N/A</v>
      </c>
      <c r="S89" t="e" cm="1">
        <f t="array" ref="S89">INDEX('GMW - Baseline'!$A$2:$MC$200,MATCH(1,('GMW - Baseline'!$MC$2:$MC$200=S$3)*('GMW - Baseline'!$MB$2:$MB$200=S$4),0),$E89-1973)</f>
        <v>#N/A</v>
      </c>
      <c r="T89" t="e" cm="1">
        <f t="array" ref="T89">INDEX('GMW - Baseline'!$A$2:$MC$200,MATCH(1,('GMW - Baseline'!$MC$2:$MC$200=T$3)*('GMW - Baseline'!$MB$2:$MB$200=T$4),0),$E89-1973)</f>
        <v>#N/A</v>
      </c>
    </row>
    <row r="90" spans="1:20" x14ac:dyDescent="0.25">
      <c r="B90">
        <f t="shared" si="7"/>
        <v>2000</v>
      </c>
      <c r="C90">
        <f t="shared" si="7"/>
        <v>2000</v>
      </c>
      <c r="E90">
        <f t="shared" si="6"/>
        <v>2063</v>
      </c>
      <c r="F90" cm="1">
        <f t="array" ref="F90">INDEX('GMW - Baseline'!$A$2:$MC$200,MATCH(1,('GMW - Baseline'!$MC$2:$MC$200=F$3)*('GMW - Baseline'!$MB$2:$MB$200=F$4),0),$E90-1973)</f>
        <v>489506</v>
      </c>
      <c r="G90" cm="1">
        <f t="array" ref="G90">INDEX('GMW - Baseline'!$A$2:$MC$200,MATCH(1,('GMW - Baseline'!$MC$2:$MC$200=G$3)*('GMW - Baseline'!$MB$2:$MB$200=G$4),0),$E90-1973)</f>
        <v>293325</v>
      </c>
      <c r="H90" cm="1">
        <f t="array" ref="H90">INDEX('GMW - Baseline'!$A$2:$MC$200,MATCH(1,('GMW - Baseline'!$MC$2:$MC$200=H$3)*('GMW - Baseline'!$MB$2:$MB$200=H$4),0),$E90-1973)</f>
        <v>73.166659999999993</v>
      </c>
      <c r="I90" cm="1">
        <f t="array" ref="I90">INDEX('GMW - Baseline'!$A$2:$MC$200,MATCH(1,('GMW - Baseline'!$MC$2:$MC$200=I$3)*('GMW - Baseline'!$MB$2:$MB$200=I$4),0),$E90-1973)</f>
        <v>6</v>
      </c>
      <c r="J90" t="e" cm="1">
        <f t="array" ref="J90">INDEX('GMW - Baseline'!$A$2:$MC$200,MATCH(1,('GMW - Baseline'!$MC$2:$MC$200=J$3)*('GMW - Baseline'!$MB$2:$MB$200=J$4),0),$E90-1973)</f>
        <v>#N/A</v>
      </c>
      <c r="K90" t="e" cm="1">
        <f t="array" ref="K90">INDEX('GMW - Baseline'!$A$2:$MC$200,MATCH(1,('GMW - Baseline'!$MC$2:$MC$200=K$3)*('GMW - Baseline'!$MB$2:$MB$200=K$4),0),$E90-1973)</f>
        <v>#N/A</v>
      </c>
      <c r="L90" t="e" cm="1">
        <f t="array" ref="L90">INDEX('GMW - Baseline'!$A$2:$MC$200,MATCH(1,('GMW - Baseline'!$MC$2:$MC$200=L$3)*('GMW - Baseline'!$MB$2:$MB$200=L$4),0),$E90-1973)</f>
        <v>#N/A</v>
      </c>
      <c r="M90" t="e" cm="1">
        <f t="array" ref="M90">INDEX('GMW - Baseline'!$A$2:$MC$200,MATCH(1,('GMW - Baseline'!$MC$2:$MC$200=M$3)*('GMW - Baseline'!$MB$2:$MB$200=M$4),0),$E90-1973)</f>
        <v>#N/A</v>
      </c>
      <c r="N90" t="e" cm="1">
        <f t="array" ref="N90">INDEX('GMW - Baseline'!$A$2:$MC$200,MATCH(1,('GMW - Baseline'!$MC$2:$MC$200=N$3)*('GMW - Baseline'!$MB$2:$MB$200=N$4),0),$E90-1973)</f>
        <v>#N/A</v>
      </c>
      <c r="O90" t="e" cm="1">
        <f t="array" ref="O90">INDEX('GMW - Baseline'!$A$2:$MC$200,MATCH(1,('GMW - Baseline'!$MC$2:$MC$200=O$3)*('GMW - Baseline'!$MB$2:$MB$200=O$4),0),$E90-1973)</f>
        <v>#N/A</v>
      </c>
      <c r="P90" t="e" cm="1">
        <f t="array" ref="P90">INDEX('GMW - Baseline'!$A$2:$MC$200,MATCH(1,('GMW - Baseline'!$MC$2:$MC$200=P$3)*('GMW - Baseline'!$MB$2:$MB$200=P$4),0),$E90-1973)</f>
        <v>#N/A</v>
      </c>
      <c r="Q90" t="e" cm="1">
        <f t="array" ref="Q90">INDEX('GMW - Baseline'!$A$2:$MC$200,MATCH(1,('GMW - Baseline'!$MC$2:$MC$200=Q$3)*('GMW - Baseline'!$MB$2:$MB$200=Q$4),0),$E90-1973)</f>
        <v>#N/A</v>
      </c>
      <c r="R90" t="e" cm="1">
        <f t="array" ref="R90">INDEX('GMW - Baseline'!$A$2:$MC$200,MATCH(1,('GMW - Baseline'!$MC$2:$MC$200=R$3)*('GMW - Baseline'!$MB$2:$MB$200=R$4),0),$E90-1973)</f>
        <v>#N/A</v>
      </c>
      <c r="S90" t="e" cm="1">
        <f t="array" ref="S90">INDEX('GMW - Baseline'!$A$2:$MC$200,MATCH(1,('GMW - Baseline'!$MC$2:$MC$200=S$3)*('GMW - Baseline'!$MB$2:$MB$200=S$4),0),$E90-1973)</f>
        <v>#N/A</v>
      </c>
      <c r="T90" t="e" cm="1">
        <f t="array" ref="T90">INDEX('GMW - Baseline'!$A$2:$MC$200,MATCH(1,('GMW - Baseline'!$MC$2:$MC$200=T$3)*('GMW - Baseline'!$MB$2:$MB$200=T$4),0),$E90-1973)</f>
        <v>#N/A</v>
      </c>
    </row>
    <row r="91" spans="1:20" x14ac:dyDescent="0.25">
      <c r="A91">
        <v>2001</v>
      </c>
      <c r="B91">
        <f t="shared" si="7"/>
        <v>2001</v>
      </c>
      <c r="C91">
        <f t="shared" si="7"/>
        <v>2000</v>
      </c>
      <c r="D91">
        <f t="shared" si="7"/>
        <v>2000</v>
      </c>
      <c r="E91">
        <f t="shared" si="6"/>
        <v>2064</v>
      </c>
      <c r="F91" cm="1">
        <f t="array" ref="F91">INDEX('GMW - Baseline'!$A$2:$MC$200,MATCH(1,('GMW - Baseline'!$MC$2:$MC$200=F$3)*('GMW - Baseline'!$MB$2:$MB$200=F$4),0),$E91-1973)</f>
        <v>493575</v>
      </c>
      <c r="G91" cm="1">
        <f t="array" ref="G91">INDEX('GMW - Baseline'!$A$2:$MC$200,MATCH(1,('GMW - Baseline'!$MC$2:$MC$200=G$3)*('GMW - Baseline'!$MB$2:$MB$200=G$4),0),$E91-1973)</f>
        <v>294155</v>
      </c>
      <c r="H91" cm="1">
        <f t="array" ref="H91">INDEX('GMW - Baseline'!$A$2:$MC$200,MATCH(1,('GMW - Baseline'!$MC$2:$MC$200=H$3)*('GMW - Baseline'!$MB$2:$MB$200=H$4),0),$E91-1973)</f>
        <v>72.766670000000005</v>
      </c>
      <c r="I91" cm="1">
        <f t="array" ref="I91">INDEX('GMW - Baseline'!$A$2:$MC$200,MATCH(1,('GMW - Baseline'!$MC$2:$MC$200=I$3)*('GMW - Baseline'!$MB$2:$MB$200=I$4),0),$E91-1973)</f>
        <v>5.8576920000000001</v>
      </c>
      <c r="J91" t="e" cm="1">
        <f t="array" ref="J91">INDEX('GMW - Baseline'!$A$2:$MC$200,MATCH(1,('GMW - Baseline'!$MC$2:$MC$200=J$3)*('GMW - Baseline'!$MB$2:$MB$200=J$4),0),$E91-1973)</f>
        <v>#N/A</v>
      </c>
      <c r="K91" t="e" cm="1">
        <f t="array" ref="K91">INDEX('GMW - Baseline'!$A$2:$MC$200,MATCH(1,('GMW - Baseline'!$MC$2:$MC$200=K$3)*('GMW - Baseline'!$MB$2:$MB$200=K$4),0),$E91-1973)</f>
        <v>#N/A</v>
      </c>
      <c r="L91" t="e" cm="1">
        <f t="array" ref="L91">INDEX('GMW - Baseline'!$A$2:$MC$200,MATCH(1,('GMW - Baseline'!$MC$2:$MC$200=L$3)*('GMW - Baseline'!$MB$2:$MB$200=L$4),0),$E91-1973)</f>
        <v>#N/A</v>
      </c>
      <c r="M91" t="e" cm="1">
        <f t="array" ref="M91">INDEX('GMW - Baseline'!$A$2:$MC$200,MATCH(1,('GMW - Baseline'!$MC$2:$MC$200=M$3)*('GMW - Baseline'!$MB$2:$MB$200=M$4),0),$E91-1973)</f>
        <v>#N/A</v>
      </c>
      <c r="N91" t="e" cm="1">
        <f t="array" ref="N91">INDEX('GMW - Baseline'!$A$2:$MC$200,MATCH(1,('GMW - Baseline'!$MC$2:$MC$200=N$3)*('GMW - Baseline'!$MB$2:$MB$200=N$4),0),$E91-1973)</f>
        <v>#N/A</v>
      </c>
      <c r="O91" t="e" cm="1">
        <f t="array" ref="O91">INDEX('GMW - Baseline'!$A$2:$MC$200,MATCH(1,('GMW - Baseline'!$MC$2:$MC$200=O$3)*('GMW - Baseline'!$MB$2:$MB$200=O$4),0),$E91-1973)</f>
        <v>#N/A</v>
      </c>
      <c r="P91" t="e" cm="1">
        <f t="array" ref="P91">INDEX('GMW - Baseline'!$A$2:$MC$200,MATCH(1,('GMW - Baseline'!$MC$2:$MC$200=P$3)*('GMW - Baseline'!$MB$2:$MB$200=P$4),0),$E91-1973)</f>
        <v>#N/A</v>
      </c>
      <c r="Q91" t="e" cm="1">
        <f t="array" ref="Q91">INDEX('GMW - Baseline'!$A$2:$MC$200,MATCH(1,('GMW - Baseline'!$MC$2:$MC$200=Q$3)*('GMW - Baseline'!$MB$2:$MB$200=Q$4),0),$E91-1973)</f>
        <v>#N/A</v>
      </c>
      <c r="R91" t="e" cm="1">
        <f t="array" ref="R91">INDEX('GMW - Baseline'!$A$2:$MC$200,MATCH(1,('GMW - Baseline'!$MC$2:$MC$200=R$3)*('GMW - Baseline'!$MB$2:$MB$200=R$4),0),$E91-1973)</f>
        <v>#N/A</v>
      </c>
      <c r="S91" t="e" cm="1">
        <f t="array" ref="S91">INDEX('GMW - Baseline'!$A$2:$MC$200,MATCH(1,('GMW - Baseline'!$MC$2:$MC$200=S$3)*('GMW - Baseline'!$MB$2:$MB$200=S$4),0),$E91-1973)</f>
        <v>#N/A</v>
      </c>
      <c r="T91" t="e" cm="1">
        <f t="array" ref="T91">INDEX('GMW - Baseline'!$A$2:$MC$200,MATCH(1,('GMW - Baseline'!$MC$2:$MC$200=T$3)*('GMW - Baseline'!$MB$2:$MB$200=T$4),0),$E91-1973)</f>
        <v>#N/A</v>
      </c>
    </row>
    <row r="92" spans="1:20" x14ac:dyDescent="0.25">
      <c r="B92">
        <f t="shared" ref="B92:D107" si="8">+B88+1</f>
        <v>2001</v>
      </c>
      <c r="C92">
        <f t="shared" si="8"/>
        <v>2001</v>
      </c>
      <c r="E92">
        <f t="shared" si="6"/>
        <v>2065</v>
      </c>
      <c r="F92" cm="1">
        <f t="array" ref="F92">INDEX('GMW - Baseline'!$A$2:$MC$200,MATCH(1,('GMW - Baseline'!$MC$2:$MC$200=F$3)*('GMW - Baseline'!$MB$2:$MB$200=F$4),0),$E92-1973)</f>
        <v>495602</v>
      </c>
      <c r="G92" cm="1">
        <f t="array" ref="G92">INDEX('GMW - Baseline'!$A$2:$MC$200,MATCH(1,('GMW - Baseline'!$MC$2:$MC$200=G$3)*('GMW - Baseline'!$MB$2:$MB$200=G$4),0),$E92-1973)</f>
        <v>296378</v>
      </c>
      <c r="H92" cm="1">
        <f t="array" ref="H92">INDEX('GMW - Baseline'!$A$2:$MC$200,MATCH(1,('GMW - Baseline'!$MC$2:$MC$200=H$3)*('GMW - Baseline'!$MB$2:$MB$200=H$4),0),$E92-1973)</f>
        <v>73.833340000000007</v>
      </c>
      <c r="I92" cm="1">
        <f t="array" ref="I92">INDEX('GMW - Baseline'!$A$2:$MC$200,MATCH(1,('GMW - Baseline'!$MC$2:$MC$200=I$3)*('GMW - Baseline'!$MB$2:$MB$200=I$4),0),$E92-1973)</f>
        <v>5.3692310000000001</v>
      </c>
      <c r="J92" t="e" cm="1">
        <f t="array" ref="J92">INDEX('GMW - Baseline'!$A$2:$MC$200,MATCH(1,('GMW - Baseline'!$MC$2:$MC$200=J$3)*('GMW - Baseline'!$MB$2:$MB$200=J$4),0),$E92-1973)</f>
        <v>#N/A</v>
      </c>
      <c r="K92" t="e" cm="1">
        <f t="array" ref="K92">INDEX('GMW - Baseline'!$A$2:$MC$200,MATCH(1,('GMW - Baseline'!$MC$2:$MC$200=K$3)*('GMW - Baseline'!$MB$2:$MB$200=K$4),0),$E92-1973)</f>
        <v>#N/A</v>
      </c>
      <c r="L92" t="e" cm="1">
        <f t="array" ref="L92">INDEX('GMW - Baseline'!$A$2:$MC$200,MATCH(1,('GMW - Baseline'!$MC$2:$MC$200=L$3)*('GMW - Baseline'!$MB$2:$MB$200=L$4),0),$E92-1973)</f>
        <v>#N/A</v>
      </c>
      <c r="M92" t="e" cm="1">
        <f t="array" ref="M92">INDEX('GMW - Baseline'!$A$2:$MC$200,MATCH(1,('GMW - Baseline'!$MC$2:$MC$200=M$3)*('GMW - Baseline'!$MB$2:$MB$200=M$4),0),$E92-1973)</f>
        <v>#N/A</v>
      </c>
      <c r="N92" t="e" cm="1">
        <f t="array" ref="N92">INDEX('GMW - Baseline'!$A$2:$MC$200,MATCH(1,('GMW - Baseline'!$MC$2:$MC$200=N$3)*('GMW - Baseline'!$MB$2:$MB$200=N$4),0),$E92-1973)</f>
        <v>#N/A</v>
      </c>
      <c r="O92" t="e" cm="1">
        <f t="array" ref="O92">INDEX('GMW - Baseline'!$A$2:$MC$200,MATCH(1,('GMW - Baseline'!$MC$2:$MC$200=O$3)*('GMW - Baseline'!$MB$2:$MB$200=O$4),0),$E92-1973)</f>
        <v>#N/A</v>
      </c>
      <c r="P92" t="e" cm="1">
        <f t="array" ref="P92">INDEX('GMW - Baseline'!$A$2:$MC$200,MATCH(1,('GMW - Baseline'!$MC$2:$MC$200=P$3)*('GMW - Baseline'!$MB$2:$MB$200=P$4),0),$E92-1973)</f>
        <v>#N/A</v>
      </c>
      <c r="Q92" t="e" cm="1">
        <f t="array" ref="Q92">INDEX('GMW - Baseline'!$A$2:$MC$200,MATCH(1,('GMW - Baseline'!$MC$2:$MC$200=Q$3)*('GMW - Baseline'!$MB$2:$MB$200=Q$4),0),$E92-1973)</f>
        <v>#N/A</v>
      </c>
      <c r="R92" t="e" cm="1">
        <f t="array" ref="R92">INDEX('GMW - Baseline'!$A$2:$MC$200,MATCH(1,('GMW - Baseline'!$MC$2:$MC$200=R$3)*('GMW - Baseline'!$MB$2:$MB$200=R$4),0),$E92-1973)</f>
        <v>#N/A</v>
      </c>
      <c r="S92" t="e" cm="1">
        <f t="array" ref="S92">INDEX('GMW - Baseline'!$A$2:$MC$200,MATCH(1,('GMW - Baseline'!$MC$2:$MC$200=S$3)*('GMW - Baseline'!$MB$2:$MB$200=S$4),0),$E92-1973)</f>
        <v>#N/A</v>
      </c>
      <c r="T92" t="e" cm="1">
        <f t="array" ref="T92">INDEX('GMW - Baseline'!$A$2:$MC$200,MATCH(1,('GMW - Baseline'!$MC$2:$MC$200=T$3)*('GMW - Baseline'!$MB$2:$MB$200=T$4),0),$E92-1973)</f>
        <v>#N/A</v>
      </c>
    </row>
    <row r="93" spans="1:20" x14ac:dyDescent="0.25">
      <c r="B93">
        <f t="shared" si="8"/>
        <v>2001</v>
      </c>
      <c r="C93">
        <f t="shared" si="8"/>
        <v>2001</v>
      </c>
      <c r="E93">
        <f t="shared" si="6"/>
        <v>2066</v>
      </c>
      <c r="F93" cm="1">
        <f t="array" ref="F93">INDEX('GMW - Baseline'!$A$2:$MC$200,MATCH(1,('GMW - Baseline'!$MC$2:$MC$200=F$3)*('GMW - Baseline'!$MB$2:$MB$200=F$4),0),$E93-1973)</f>
        <v>497938</v>
      </c>
      <c r="G93" cm="1">
        <f t="array" ref="G93">INDEX('GMW - Baseline'!$A$2:$MC$200,MATCH(1,('GMW - Baseline'!$MC$2:$MC$200=G$3)*('GMW - Baseline'!$MB$2:$MB$200=G$4),0),$E93-1973)</f>
        <v>300827</v>
      </c>
      <c r="H93" cm="1">
        <f t="array" ref="H93">INDEX('GMW - Baseline'!$A$2:$MC$200,MATCH(1,('GMW - Baseline'!$MC$2:$MC$200=H$3)*('GMW - Baseline'!$MB$2:$MB$200=H$4),0),$E93-1973)</f>
        <v>73.866669999999999</v>
      </c>
      <c r="I93" cm="1">
        <f t="array" ref="I93">INDEX('GMW - Baseline'!$A$2:$MC$200,MATCH(1,('GMW - Baseline'!$MC$2:$MC$200=I$3)*('GMW - Baseline'!$MB$2:$MB$200=I$4),0),$E93-1973)</f>
        <v>5.0538460000000001</v>
      </c>
      <c r="J93" t="e" cm="1">
        <f t="array" ref="J93">INDEX('GMW - Baseline'!$A$2:$MC$200,MATCH(1,('GMW - Baseline'!$MC$2:$MC$200=J$3)*('GMW - Baseline'!$MB$2:$MB$200=J$4),0),$E93-1973)</f>
        <v>#N/A</v>
      </c>
      <c r="K93" t="e" cm="1">
        <f t="array" ref="K93">INDEX('GMW - Baseline'!$A$2:$MC$200,MATCH(1,('GMW - Baseline'!$MC$2:$MC$200=K$3)*('GMW - Baseline'!$MB$2:$MB$200=K$4),0),$E93-1973)</f>
        <v>#N/A</v>
      </c>
      <c r="L93" t="e" cm="1">
        <f t="array" ref="L93">INDEX('GMW - Baseline'!$A$2:$MC$200,MATCH(1,('GMW - Baseline'!$MC$2:$MC$200=L$3)*('GMW - Baseline'!$MB$2:$MB$200=L$4),0),$E93-1973)</f>
        <v>#N/A</v>
      </c>
      <c r="M93" t="e" cm="1">
        <f t="array" ref="M93">INDEX('GMW - Baseline'!$A$2:$MC$200,MATCH(1,('GMW - Baseline'!$MC$2:$MC$200=M$3)*('GMW - Baseline'!$MB$2:$MB$200=M$4),0),$E93-1973)</f>
        <v>#N/A</v>
      </c>
      <c r="N93" t="e" cm="1">
        <f t="array" ref="N93">INDEX('GMW - Baseline'!$A$2:$MC$200,MATCH(1,('GMW - Baseline'!$MC$2:$MC$200=N$3)*('GMW - Baseline'!$MB$2:$MB$200=N$4),0),$E93-1973)</f>
        <v>#N/A</v>
      </c>
      <c r="O93" t="e" cm="1">
        <f t="array" ref="O93">INDEX('GMW - Baseline'!$A$2:$MC$200,MATCH(1,('GMW - Baseline'!$MC$2:$MC$200=O$3)*('GMW - Baseline'!$MB$2:$MB$200=O$4),0),$E93-1973)</f>
        <v>#N/A</v>
      </c>
      <c r="P93" t="e" cm="1">
        <f t="array" ref="P93">INDEX('GMW - Baseline'!$A$2:$MC$200,MATCH(1,('GMW - Baseline'!$MC$2:$MC$200=P$3)*('GMW - Baseline'!$MB$2:$MB$200=P$4),0),$E93-1973)</f>
        <v>#N/A</v>
      </c>
      <c r="Q93" t="e" cm="1">
        <f t="array" ref="Q93">INDEX('GMW - Baseline'!$A$2:$MC$200,MATCH(1,('GMW - Baseline'!$MC$2:$MC$200=Q$3)*('GMW - Baseline'!$MB$2:$MB$200=Q$4),0),$E93-1973)</f>
        <v>#N/A</v>
      </c>
      <c r="R93" t="e" cm="1">
        <f t="array" ref="R93">INDEX('GMW - Baseline'!$A$2:$MC$200,MATCH(1,('GMW - Baseline'!$MC$2:$MC$200=R$3)*('GMW - Baseline'!$MB$2:$MB$200=R$4),0),$E93-1973)</f>
        <v>#N/A</v>
      </c>
      <c r="S93" t="e" cm="1">
        <f t="array" ref="S93">INDEX('GMW - Baseline'!$A$2:$MC$200,MATCH(1,('GMW - Baseline'!$MC$2:$MC$200=S$3)*('GMW - Baseline'!$MB$2:$MB$200=S$4),0),$E93-1973)</f>
        <v>#N/A</v>
      </c>
      <c r="T93" t="e" cm="1">
        <f t="array" ref="T93">INDEX('GMW - Baseline'!$A$2:$MC$200,MATCH(1,('GMW - Baseline'!$MC$2:$MC$200=T$3)*('GMW - Baseline'!$MB$2:$MB$200=T$4),0),$E93-1973)</f>
        <v>#N/A</v>
      </c>
    </row>
    <row r="94" spans="1:20" x14ac:dyDescent="0.25">
      <c r="B94">
        <f t="shared" si="8"/>
        <v>2001</v>
      </c>
      <c r="C94">
        <f t="shared" si="8"/>
        <v>2001</v>
      </c>
      <c r="E94">
        <f t="shared" si="6"/>
        <v>2067</v>
      </c>
      <c r="F94" cm="1">
        <f t="array" ref="F94">INDEX('GMW - Baseline'!$A$2:$MC$200,MATCH(1,('GMW - Baseline'!$MC$2:$MC$200=F$3)*('GMW - Baseline'!$MB$2:$MB$200=F$4),0),$E94-1973)</f>
        <v>499278</v>
      </c>
      <c r="G94" cm="1">
        <f t="array" ref="G94">INDEX('GMW - Baseline'!$A$2:$MC$200,MATCH(1,('GMW - Baseline'!$MC$2:$MC$200=G$3)*('GMW - Baseline'!$MB$2:$MB$200=G$4),0),$E94-1973)</f>
        <v>303055</v>
      </c>
      <c r="H94" cm="1">
        <f t="array" ref="H94">INDEX('GMW - Baseline'!$A$2:$MC$200,MATCH(1,('GMW - Baseline'!$MC$2:$MC$200=H$3)*('GMW - Baseline'!$MB$2:$MB$200=H$4),0),$E94-1973)</f>
        <v>73.900000000000006</v>
      </c>
      <c r="I94" cm="1">
        <f t="array" ref="I94">INDEX('GMW - Baseline'!$A$2:$MC$200,MATCH(1,('GMW - Baseline'!$MC$2:$MC$200=I$3)*('GMW - Baseline'!$MB$2:$MB$200=I$4),0),$E94-1973)</f>
        <v>4.2234850000000002</v>
      </c>
      <c r="J94" t="e" cm="1">
        <f t="array" ref="J94">INDEX('GMW - Baseline'!$A$2:$MC$200,MATCH(1,('GMW - Baseline'!$MC$2:$MC$200=J$3)*('GMW - Baseline'!$MB$2:$MB$200=J$4),0),$E94-1973)</f>
        <v>#N/A</v>
      </c>
      <c r="K94" t="e" cm="1">
        <f t="array" ref="K94">INDEX('GMW - Baseline'!$A$2:$MC$200,MATCH(1,('GMW - Baseline'!$MC$2:$MC$200=K$3)*('GMW - Baseline'!$MB$2:$MB$200=K$4),0),$E94-1973)</f>
        <v>#N/A</v>
      </c>
      <c r="L94" t="e" cm="1">
        <f t="array" ref="L94">INDEX('GMW - Baseline'!$A$2:$MC$200,MATCH(1,('GMW - Baseline'!$MC$2:$MC$200=L$3)*('GMW - Baseline'!$MB$2:$MB$200=L$4),0),$E94-1973)</f>
        <v>#N/A</v>
      </c>
      <c r="M94" t="e" cm="1">
        <f t="array" ref="M94">INDEX('GMW - Baseline'!$A$2:$MC$200,MATCH(1,('GMW - Baseline'!$MC$2:$MC$200=M$3)*('GMW - Baseline'!$MB$2:$MB$200=M$4),0),$E94-1973)</f>
        <v>#N/A</v>
      </c>
      <c r="N94" t="e" cm="1">
        <f t="array" ref="N94">INDEX('GMW - Baseline'!$A$2:$MC$200,MATCH(1,('GMW - Baseline'!$MC$2:$MC$200=N$3)*('GMW - Baseline'!$MB$2:$MB$200=N$4),0),$E94-1973)</f>
        <v>#N/A</v>
      </c>
      <c r="O94" t="e" cm="1">
        <f t="array" ref="O94">INDEX('GMW - Baseline'!$A$2:$MC$200,MATCH(1,('GMW - Baseline'!$MC$2:$MC$200=O$3)*('GMW - Baseline'!$MB$2:$MB$200=O$4),0),$E94-1973)</f>
        <v>#N/A</v>
      </c>
      <c r="P94" t="e" cm="1">
        <f t="array" ref="P94">INDEX('GMW - Baseline'!$A$2:$MC$200,MATCH(1,('GMW - Baseline'!$MC$2:$MC$200=P$3)*('GMW - Baseline'!$MB$2:$MB$200=P$4),0),$E94-1973)</f>
        <v>#N/A</v>
      </c>
      <c r="Q94" t="e" cm="1">
        <f t="array" ref="Q94">INDEX('GMW - Baseline'!$A$2:$MC$200,MATCH(1,('GMW - Baseline'!$MC$2:$MC$200=Q$3)*('GMW - Baseline'!$MB$2:$MB$200=Q$4),0),$E94-1973)</f>
        <v>#N/A</v>
      </c>
      <c r="R94" t="e" cm="1">
        <f t="array" ref="R94">INDEX('GMW - Baseline'!$A$2:$MC$200,MATCH(1,('GMW - Baseline'!$MC$2:$MC$200=R$3)*('GMW - Baseline'!$MB$2:$MB$200=R$4),0),$E94-1973)</f>
        <v>#N/A</v>
      </c>
      <c r="S94" t="e" cm="1">
        <f t="array" ref="S94">INDEX('GMW - Baseline'!$A$2:$MC$200,MATCH(1,('GMW - Baseline'!$MC$2:$MC$200=S$3)*('GMW - Baseline'!$MB$2:$MB$200=S$4),0),$E94-1973)</f>
        <v>#N/A</v>
      </c>
      <c r="T94" t="e" cm="1">
        <f t="array" ref="T94">INDEX('GMW - Baseline'!$A$2:$MC$200,MATCH(1,('GMW - Baseline'!$MC$2:$MC$200=T$3)*('GMW - Baseline'!$MB$2:$MB$200=T$4),0),$E94-1973)</f>
        <v>#N/A</v>
      </c>
    </row>
    <row r="95" spans="1:20" x14ac:dyDescent="0.25">
      <c r="A95">
        <v>2002</v>
      </c>
      <c r="B95">
        <f t="shared" si="8"/>
        <v>2002</v>
      </c>
      <c r="C95">
        <f t="shared" si="8"/>
        <v>2001</v>
      </c>
      <c r="D95">
        <f t="shared" si="8"/>
        <v>2001</v>
      </c>
      <c r="E95">
        <f t="shared" si="6"/>
        <v>2068</v>
      </c>
      <c r="F95" cm="1">
        <f t="array" ref="F95">INDEX('GMW - Baseline'!$A$2:$MC$200,MATCH(1,('GMW - Baseline'!$MC$2:$MC$200=F$3)*('GMW - Baseline'!$MB$2:$MB$200=F$4),0),$E95-1973)</f>
        <v>500794</v>
      </c>
      <c r="G95" cm="1">
        <f t="array" ref="G95">INDEX('GMW - Baseline'!$A$2:$MC$200,MATCH(1,('GMW - Baseline'!$MC$2:$MC$200=G$3)*('GMW - Baseline'!$MB$2:$MB$200=G$4),0),$E95-1973)</f>
        <v>303450</v>
      </c>
      <c r="H95" cm="1">
        <f t="array" ref="H95">INDEX('GMW - Baseline'!$A$2:$MC$200,MATCH(1,('GMW - Baseline'!$MC$2:$MC$200=H$3)*('GMW - Baseline'!$MB$2:$MB$200=H$4),0),$E95-1973)</f>
        <v>73.866669999999999</v>
      </c>
      <c r="I95" cm="1">
        <f t="array" ref="I95">INDEX('GMW - Baseline'!$A$2:$MC$200,MATCH(1,('GMW - Baseline'!$MC$2:$MC$200=I$3)*('GMW - Baseline'!$MB$2:$MB$200=I$4),0),$E95-1973)</f>
        <v>4</v>
      </c>
      <c r="J95" t="e" cm="1">
        <f t="array" ref="J95">INDEX('GMW - Baseline'!$A$2:$MC$200,MATCH(1,('GMW - Baseline'!$MC$2:$MC$200=J$3)*('GMW - Baseline'!$MB$2:$MB$200=J$4),0),$E95-1973)</f>
        <v>#N/A</v>
      </c>
      <c r="K95" t="e" cm="1">
        <f t="array" ref="K95">INDEX('GMW - Baseline'!$A$2:$MC$200,MATCH(1,('GMW - Baseline'!$MC$2:$MC$200=K$3)*('GMW - Baseline'!$MB$2:$MB$200=K$4),0),$E95-1973)</f>
        <v>#N/A</v>
      </c>
      <c r="L95" t="e" cm="1">
        <f t="array" ref="L95">INDEX('GMW - Baseline'!$A$2:$MC$200,MATCH(1,('GMW - Baseline'!$MC$2:$MC$200=L$3)*('GMW - Baseline'!$MB$2:$MB$200=L$4),0),$E95-1973)</f>
        <v>#N/A</v>
      </c>
      <c r="M95" t="e" cm="1">
        <f t="array" ref="M95">INDEX('GMW - Baseline'!$A$2:$MC$200,MATCH(1,('GMW - Baseline'!$MC$2:$MC$200=M$3)*('GMW - Baseline'!$MB$2:$MB$200=M$4),0),$E95-1973)</f>
        <v>#N/A</v>
      </c>
      <c r="N95" t="e" cm="1">
        <f t="array" ref="N95">INDEX('GMW - Baseline'!$A$2:$MC$200,MATCH(1,('GMW - Baseline'!$MC$2:$MC$200=N$3)*('GMW - Baseline'!$MB$2:$MB$200=N$4),0),$E95-1973)</f>
        <v>#N/A</v>
      </c>
      <c r="O95" t="e" cm="1">
        <f t="array" ref="O95">INDEX('GMW - Baseline'!$A$2:$MC$200,MATCH(1,('GMW - Baseline'!$MC$2:$MC$200=O$3)*('GMW - Baseline'!$MB$2:$MB$200=O$4),0),$E95-1973)</f>
        <v>#N/A</v>
      </c>
      <c r="P95" t="e" cm="1">
        <f t="array" ref="P95">INDEX('GMW - Baseline'!$A$2:$MC$200,MATCH(1,('GMW - Baseline'!$MC$2:$MC$200=P$3)*('GMW - Baseline'!$MB$2:$MB$200=P$4),0),$E95-1973)</f>
        <v>#N/A</v>
      </c>
      <c r="Q95" t="e" cm="1">
        <f t="array" ref="Q95">INDEX('GMW - Baseline'!$A$2:$MC$200,MATCH(1,('GMW - Baseline'!$MC$2:$MC$200=Q$3)*('GMW - Baseline'!$MB$2:$MB$200=Q$4),0),$E95-1973)</f>
        <v>#N/A</v>
      </c>
      <c r="R95" t="e" cm="1">
        <f t="array" ref="R95">INDEX('GMW - Baseline'!$A$2:$MC$200,MATCH(1,('GMW - Baseline'!$MC$2:$MC$200=R$3)*('GMW - Baseline'!$MB$2:$MB$200=R$4),0),$E95-1973)</f>
        <v>#N/A</v>
      </c>
      <c r="S95" t="e" cm="1">
        <f t="array" ref="S95">INDEX('GMW - Baseline'!$A$2:$MC$200,MATCH(1,('GMW - Baseline'!$MC$2:$MC$200=S$3)*('GMW - Baseline'!$MB$2:$MB$200=S$4),0),$E95-1973)</f>
        <v>#N/A</v>
      </c>
      <c r="T95" t="e" cm="1">
        <f t="array" ref="T95">INDEX('GMW - Baseline'!$A$2:$MC$200,MATCH(1,('GMW - Baseline'!$MC$2:$MC$200=T$3)*('GMW - Baseline'!$MB$2:$MB$200=T$4),0),$E95-1973)</f>
        <v>#N/A</v>
      </c>
    </row>
    <row r="96" spans="1:20" x14ac:dyDescent="0.25">
      <c r="B96">
        <f t="shared" si="8"/>
        <v>2002</v>
      </c>
      <c r="C96">
        <f t="shared" si="8"/>
        <v>2002</v>
      </c>
      <c r="E96">
        <f t="shared" si="6"/>
        <v>2069</v>
      </c>
      <c r="F96" cm="1">
        <f t="array" ref="F96">INDEX('GMW - Baseline'!$A$2:$MC$200,MATCH(1,('GMW - Baseline'!$MC$2:$MC$200=F$3)*('GMW - Baseline'!$MB$2:$MB$200=F$4),0),$E96-1973)</f>
        <v>503433</v>
      </c>
      <c r="G96" cm="1">
        <f t="array" ref="G96">INDEX('GMW - Baseline'!$A$2:$MC$200,MATCH(1,('GMW - Baseline'!$MC$2:$MC$200=G$3)*('GMW - Baseline'!$MB$2:$MB$200=G$4),0),$E96-1973)</f>
        <v>304764</v>
      </c>
      <c r="H96" cm="1">
        <f t="array" ref="H96">INDEX('GMW - Baseline'!$A$2:$MC$200,MATCH(1,('GMW - Baseline'!$MC$2:$MC$200=H$3)*('GMW - Baseline'!$MB$2:$MB$200=H$4),0),$E96-1973)</f>
        <v>74.533330000000007</v>
      </c>
      <c r="I96" cm="1">
        <f t="array" ref="I96">INDEX('GMW - Baseline'!$A$2:$MC$200,MATCH(1,('GMW - Baseline'!$MC$2:$MC$200=I$3)*('GMW - Baseline'!$MB$2:$MB$200=I$4),0),$E96-1973)</f>
        <v>4</v>
      </c>
      <c r="J96" t="e" cm="1">
        <f t="array" ref="J96">INDEX('GMW - Baseline'!$A$2:$MC$200,MATCH(1,('GMW - Baseline'!$MC$2:$MC$200=J$3)*('GMW - Baseline'!$MB$2:$MB$200=J$4),0),$E96-1973)</f>
        <v>#N/A</v>
      </c>
      <c r="K96" t="e" cm="1">
        <f t="array" ref="K96">INDEX('GMW - Baseline'!$A$2:$MC$200,MATCH(1,('GMW - Baseline'!$MC$2:$MC$200=K$3)*('GMW - Baseline'!$MB$2:$MB$200=K$4),0),$E96-1973)</f>
        <v>#N/A</v>
      </c>
      <c r="L96" t="e" cm="1">
        <f t="array" ref="L96">INDEX('GMW - Baseline'!$A$2:$MC$200,MATCH(1,('GMW - Baseline'!$MC$2:$MC$200=L$3)*('GMW - Baseline'!$MB$2:$MB$200=L$4),0),$E96-1973)</f>
        <v>#N/A</v>
      </c>
      <c r="M96" t="e" cm="1">
        <f t="array" ref="M96">INDEX('GMW - Baseline'!$A$2:$MC$200,MATCH(1,('GMW - Baseline'!$MC$2:$MC$200=M$3)*('GMW - Baseline'!$MB$2:$MB$200=M$4),0),$E96-1973)</f>
        <v>#N/A</v>
      </c>
      <c r="N96" t="e" cm="1">
        <f t="array" ref="N96">INDEX('GMW - Baseline'!$A$2:$MC$200,MATCH(1,('GMW - Baseline'!$MC$2:$MC$200=N$3)*('GMW - Baseline'!$MB$2:$MB$200=N$4),0),$E96-1973)</f>
        <v>#N/A</v>
      </c>
      <c r="O96" t="e" cm="1">
        <f t="array" ref="O96">INDEX('GMW - Baseline'!$A$2:$MC$200,MATCH(1,('GMW - Baseline'!$MC$2:$MC$200=O$3)*('GMW - Baseline'!$MB$2:$MB$200=O$4),0),$E96-1973)</f>
        <v>#N/A</v>
      </c>
      <c r="P96" t="e" cm="1">
        <f t="array" ref="P96">INDEX('GMW - Baseline'!$A$2:$MC$200,MATCH(1,('GMW - Baseline'!$MC$2:$MC$200=P$3)*('GMW - Baseline'!$MB$2:$MB$200=P$4),0),$E96-1973)</f>
        <v>#N/A</v>
      </c>
      <c r="Q96" t="e" cm="1">
        <f t="array" ref="Q96">INDEX('GMW - Baseline'!$A$2:$MC$200,MATCH(1,('GMW - Baseline'!$MC$2:$MC$200=Q$3)*('GMW - Baseline'!$MB$2:$MB$200=Q$4),0),$E96-1973)</f>
        <v>#N/A</v>
      </c>
      <c r="R96" t="e" cm="1">
        <f t="array" ref="R96">INDEX('GMW - Baseline'!$A$2:$MC$200,MATCH(1,('GMW - Baseline'!$MC$2:$MC$200=R$3)*('GMW - Baseline'!$MB$2:$MB$200=R$4),0),$E96-1973)</f>
        <v>#N/A</v>
      </c>
      <c r="S96" t="e" cm="1">
        <f t="array" ref="S96">INDEX('GMW - Baseline'!$A$2:$MC$200,MATCH(1,('GMW - Baseline'!$MC$2:$MC$200=S$3)*('GMW - Baseline'!$MB$2:$MB$200=S$4),0),$E96-1973)</f>
        <v>#N/A</v>
      </c>
      <c r="T96" t="e" cm="1">
        <f t="array" ref="T96">INDEX('GMW - Baseline'!$A$2:$MC$200,MATCH(1,('GMW - Baseline'!$MC$2:$MC$200=T$3)*('GMW - Baseline'!$MB$2:$MB$200=T$4),0),$E96-1973)</f>
        <v>#N/A</v>
      </c>
    </row>
    <row r="97" spans="1:20" x14ac:dyDescent="0.25">
      <c r="B97">
        <f t="shared" si="8"/>
        <v>2002</v>
      </c>
      <c r="C97">
        <f t="shared" si="8"/>
        <v>2002</v>
      </c>
      <c r="E97">
        <f t="shared" si="6"/>
        <v>2070</v>
      </c>
      <c r="F97" cm="1">
        <f t="array" ref="F97">INDEX('GMW - Baseline'!$A$2:$MC$200,MATCH(1,('GMW - Baseline'!$MC$2:$MC$200=F$3)*('GMW - Baseline'!$MB$2:$MB$200=F$4),0),$E97-1973)</f>
        <v>506386</v>
      </c>
      <c r="G97" cm="1">
        <f t="array" ref="G97">INDEX('GMW - Baseline'!$A$2:$MC$200,MATCH(1,('GMW - Baseline'!$MC$2:$MC$200=G$3)*('GMW - Baseline'!$MB$2:$MB$200=G$4),0),$E97-1973)</f>
        <v>307772</v>
      </c>
      <c r="H97" cm="1">
        <f t="array" ref="H97">INDEX('GMW - Baseline'!$A$2:$MC$200,MATCH(1,('GMW - Baseline'!$MC$2:$MC$200=H$3)*('GMW - Baseline'!$MB$2:$MB$200=H$4),0),$E97-1973)</f>
        <v>74.599999999999994</v>
      </c>
      <c r="I97" cm="1">
        <f t="array" ref="I97">INDEX('GMW - Baseline'!$A$2:$MC$200,MATCH(1,('GMW - Baseline'!$MC$2:$MC$200=I$3)*('GMW - Baseline'!$MB$2:$MB$200=I$4),0),$E97-1973)</f>
        <v>4</v>
      </c>
      <c r="J97" t="e" cm="1">
        <f t="array" ref="J97">INDEX('GMW - Baseline'!$A$2:$MC$200,MATCH(1,('GMW - Baseline'!$MC$2:$MC$200=J$3)*('GMW - Baseline'!$MB$2:$MB$200=J$4),0),$E97-1973)</f>
        <v>#N/A</v>
      </c>
      <c r="K97" t="e" cm="1">
        <f t="array" ref="K97">INDEX('GMW - Baseline'!$A$2:$MC$200,MATCH(1,('GMW - Baseline'!$MC$2:$MC$200=K$3)*('GMW - Baseline'!$MB$2:$MB$200=K$4),0),$E97-1973)</f>
        <v>#N/A</v>
      </c>
      <c r="L97" t="e" cm="1">
        <f t="array" ref="L97">INDEX('GMW - Baseline'!$A$2:$MC$200,MATCH(1,('GMW - Baseline'!$MC$2:$MC$200=L$3)*('GMW - Baseline'!$MB$2:$MB$200=L$4),0),$E97-1973)</f>
        <v>#N/A</v>
      </c>
      <c r="M97" t="e" cm="1">
        <f t="array" ref="M97">INDEX('GMW - Baseline'!$A$2:$MC$200,MATCH(1,('GMW - Baseline'!$MC$2:$MC$200=M$3)*('GMW - Baseline'!$MB$2:$MB$200=M$4),0),$E97-1973)</f>
        <v>#N/A</v>
      </c>
      <c r="N97" t="e" cm="1">
        <f t="array" ref="N97">INDEX('GMW - Baseline'!$A$2:$MC$200,MATCH(1,('GMW - Baseline'!$MC$2:$MC$200=N$3)*('GMW - Baseline'!$MB$2:$MB$200=N$4),0),$E97-1973)</f>
        <v>#N/A</v>
      </c>
      <c r="O97" t="e" cm="1">
        <f t="array" ref="O97">INDEX('GMW - Baseline'!$A$2:$MC$200,MATCH(1,('GMW - Baseline'!$MC$2:$MC$200=O$3)*('GMW - Baseline'!$MB$2:$MB$200=O$4),0),$E97-1973)</f>
        <v>#N/A</v>
      </c>
      <c r="P97" t="e" cm="1">
        <f t="array" ref="P97">INDEX('GMW - Baseline'!$A$2:$MC$200,MATCH(1,('GMW - Baseline'!$MC$2:$MC$200=P$3)*('GMW - Baseline'!$MB$2:$MB$200=P$4),0),$E97-1973)</f>
        <v>#N/A</v>
      </c>
      <c r="Q97" t="e" cm="1">
        <f t="array" ref="Q97">INDEX('GMW - Baseline'!$A$2:$MC$200,MATCH(1,('GMW - Baseline'!$MC$2:$MC$200=Q$3)*('GMW - Baseline'!$MB$2:$MB$200=Q$4),0),$E97-1973)</f>
        <v>#N/A</v>
      </c>
      <c r="R97" t="e" cm="1">
        <f t="array" ref="R97">INDEX('GMW - Baseline'!$A$2:$MC$200,MATCH(1,('GMW - Baseline'!$MC$2:$MC$200=R$3)*('GMW - Baseline'!$MB$2:$MB$200=R$4),0),$E97-1973)</f>
        <v>#N/A</v>
      </c>
      <c r="S97" t="e" cm="1">
        <f t="array" ref="S97">INDEX('GMW - Baseline'!$A$2:$MC$200,MATCH(1,('GMW - Baseline'!$MC$2:$MC$200=S$3)*('GMW - Baseline'!$MB$2:$MB$200=S$4),0),$E97-1973)</f>
        <v>#N/A</v>
      </c>
      <c r="T97" t="e" cm="1">
        <f t="array" ref="T97">INDEX('GMW - Baseline'!$A$2:$MC$200,MATCH(1,('GMW - Baseline'!$MC$2:$MC$200=T$3)*('GMW - Baseline'!$MB$2:$MB$200=T$4),0),$E97-1973)</f>
        <v>#N/A</v>
      </c>
    </row>
    <row r="98" spans="1:20" x14ac:dyDescent="0.25">
      <c r="B98">
        <f t="shared" si="8"/>
        <v>2002</v>
      </c>
      <c r="C98">
        <f t="shared" si="8"/>
        <v>2002</v>
      </c>
      <c r="E98">
        <f t="shared" si="6"/>
        <v>2071</v>
      </c>
      <c r="F98" cm="1">
        <f t="array" ref="F98">INDEX('GMW - Baseline'!$A$2:$MC$200,MATCH(1,('GMW - Baseline'!$MC$2:$MC$200=F$3)*('GMW - Baseline'!$MB$2:$MB$200=F$4),0),$E98-1973)</f>
        <v>509728</v>
      </c>
      <c r="G98" cm="1">
        <f t="array" ref="G98">INDEX('GMW - Baseline'!$A$2:$MC$200,MATCH(1,('GMW - Baseline'!$MC$2:$MC$200=G$3)*('GMW - Baseline'!$MB$2:$MB$200=G$4),0),$E98-1973)</f>
        <v>310517</v>
      </c>
      <c r="H98" cm="1">
        <f t="array" ref="H98">INDEX('GMW - Baseline'!$A$2:$MC$200,MATCH(1,('GMW - Baseline'!$MC$2:$MC$200=H$3)*('GMW - Baseline'!$MB$2:$MB$200=H$4),0),$E98-1973)</f>
        <v>75</v>
      </c>
      <c r="I98" cm="1">
        <f t="array" ref="I98">INDEX('GMW - Baseline'!$A$2:$MC$200,MATCH(1,('GMW - Baseline'!$MC$2:$MC$200=I$3)*('GMW - Baseline'!$MB$2:$MB$200=I$4),0),$E98-1973)</f>
        <v>4</v>
      </c>
      <c r="J98" t="e" cm="1">
        <f t="array" ref="J98">INDEX('GMW - Baseline'!$A$2:$MC$200,MATCH(1,('GMW - Baseline'!$MC$2:$MC$200=J$3)*('GMW - Baseline'!$MB$2:$MB$200=J$4),0),$E98-1973)</f>
        <v>#N/A</v>
      </c>
      <c r="K98" t="e" cm="1">
        <f t="array" ref="K98">INDEX('GMW - Baseline'!$A$2:$MC$200,MATCH(1,('GMW - Baseline'!$MC$2:$MC$200=K$3)*('GMW - Baseline'!$MB$2:$MB$200=K$4),0),$E98-1973)</f>
        <v>#N/A</v>
      </c>
      <c r="L98" t="e" cm="1">
        <f t="array" ref="L98">INDEX('GMW - Baseline'!$A$2:$MC$200,MATCH(1,('GMW - Baseline'!$MC$2:$MC$200=L$3)*('GMW - Baseline'!$MB$2:$MB$200=L$4),0),$E98-1973)</f>
        <v>#N/A</v>
      </c>
      <c r="M98" t="e" cm="1">
        <f t="array" ref="M98">INDEX('GMW - Baseline'!$A$2:$MC$200,MATCH(1,('GMW - Baseline'!$MC$2:$MC$200=M$3)*('GMW - Baseline'!$MB$2:$MB$200=M$4),0),$E98-1973)</f>
        <v>#N/A</v>
      </c>
      <c r="N98" t="e" cm="1">
        <f t="array" ref="N98">INDEX('GMW - Baseline'!$A$2:$MC$200,MATCH(1,('GMW - Baseline'!$MC$2:$MC$200=N$3)*('GMW - Baseline'!$MB$2:$MB$200=N$4),0),$E98-1973)</f>
        <v>#N/A</v>
      </c>
      <c r="O98" t="e" cm="1">
        <f t="array" ref="O98">INDEX('GMW - Baseline'!$A$2:$MC$200,MATCH(1,('GMW - Baseline'!$MC$2:$MC$200=O$3)*('GMW - Baseline'!$MB$2:$MB$200=O$4),0),$E98-1973)</f>
        <v>#N/A</v>
      </c>
      <c r="P98" t="e" cm="1">
        <f t="array" ref="P98">INDEX('GMW - Baseline'!$A$2:$MC$200,MATCH(1,('GMW - Baseline'!$MC$2:$MC$200=P$3)*('GMW - Baseline'!$MB$2:$MB$200=P$4),0),$E98-1973)</f>
        <v>#N/A</v>
      </c>
      <c r="Q98" t="e" cm="1">
        <f t="array" ref="Q98">INDEX('GMW - Baseline'!$A$2:$MC$200,MATCH(1,('GMW - Baseline'!$MC$2:$MC$200=Q$3)*('GMW - Baseline'!$MB$2:$MB$200=Q$4),0),$E98-1973)</f>
        <v>#N/A</v>
      </c>
      <c r="R98" t="e" cm="1">
        <f t="array" ref="R98">INDEX('GMW - Baseline'!$A$2:$MC$200,MATCH(1,('GMW - Baseline'!$MC$2:$MC$200=R$3)*('GMW - Baseline'!$MB$2:$MB$200=R$4),0),$E98-1973)</f>
        <v>#N/A</v>
      </c>
      <c r="S98" t="e" cm="1">
        <f t="array" ref="S98">INDEX('GMW - Baseline'!$A$2:$MC$200,MATCH(1,('GMW - Baseline'!$MC$2:$MC$200=S$3)*('GMW - Baseline'!$MB$2:$MB$200=S$4),0),$E98-1973)</f>
        <v>#N/A</v>
      </c>
      <c r="T98" t="e" cm="1">
        <f t="array" ref="T98">INDEX('GMW - Baseline'!$A$2:$MC$200,MATCH(1,('GMW - Baseline'!$MC$2:$MC$200=T$3)*('GMW - Baseline'!$MB$2:$MB$200=T$4),0),$E98-1973)</f>
        <v>#N/A</v>
      </c>
    </row>
    <row r="99" spans="1:20" x14ac:dyDescent="0.25">
      <c r="A99">
        <v>2003</v>
      </c>
      <c r="B99">
        <f t="shared" si="8"/>
        <v>2003</v>
      </c>
      <c r="C99">
        <f t="shared" si="8"/>
        <v>2002</v>
      </c>
      <c r="D99">
        <f t="shared" si="8"/>
        <v>2002</v>
      </c>
      <c r="E99">
        <f t="shared" si="6"/>
        <v>2072</v>
      </c>
      <c r="F99" cm="1">
        <f t="array" ref="F99">INDEX('GMW - Baseline'!$A$2:$MC$200,MATCH(1,('GMW - Baseline'!$MC$2:$MC$200=F$3)*('GMW - Baseline'!$MB$2:$MB$200=F$4),0),$E99-1973)</f>
        <v>514031</v>
      </c>
      <c r="G99" cm="1">
        <f t="array" ref="G99">INDEX('GMW - Baseline'!$A$2:$MC$200,MATCH(1,('GMW - Baseline'!$MC$2:$MC$200=G$3)*('GMW - Baseline'!$MB$2:$MB$200=G$4),0),$E99-1973)</f>
        <v>312554</v>
      </c>
      <c r="H99" cm="1">
        <f t="array" ref="H99">INDEX('GMW - Baseline'!$A$2:$MC$200,MATCH(1,('GMW - Baseline'!$MC$2:$MC$200=H$3)*('GMW - Baseline'!$MB$2:$MB$200=H$4),0),$E99-1973)</f>
        <v>75</v>
      </c>
      <c r="I99" cm="1">
        <f t="array" ref="I99">INDEX('GMW - Baseline'!$A$2:$MC$200,MATCH(1,('GMW - Baseline'!$MC$2:$MC$200=I$3)*('GMW - Baseline'!$MB$2:$MB$200=I$4),0),$E99-1973)</f>
        <v>3.8515630000000001</v>
      </c>
      <c r="J99" t="e" cm="1">
        <f t="array" ref="J99">INDEX('GMW - Baseline'!$A$2:$MC$200,MATCH(1,('GMW - Baseline'!$MC$2:$MC$200=J$3)*('GMW - Baseline'!$MB$2:$MB$200=J$4),0),$E99-1973)</f>
        <v>#N/A</v>
      </c>
      <c r="K99" t="e" cm="1">
        <f t="array" ref="K99">INDEX('GMW - Baseline'!$A$2:$MC$200,MATCH(1,('GMW - Baseline'!$MC$2:$MC$200=K$3)*('GMW - Baseline'!$MB$2:$MB$200=K$4),0),$E99-1973)</f>
        <v>#N/A</v>
      </c>
      <c r="L99" t="e" cm="1">
        <f t="array" ref="L99">INDEX('GMW - Baseline'!$A$2:$MC$200,MATCH(1,('GMW - Baseline'!$MC$2:$MC$200=L$3)*('GMW - Baseline'!$MB$2:$MB$200=L$4),0),$E99-1973)</f>
        <v>#N/A</v>
      </c>
      <c r="M99" t="e" cm="1">
        <f t="array" ref="M99">INDEX('GMW - Baseline'!$A$2:$MC$200,MATCH(1,('GMW - Baseline'!$MC$2:$MC$200=M$3)*('GMW - Baseline'!$MB$2:$MB$200=M$4),0),$E99-1973)</f>
        <v>#N/A</v>
      </c>
      <c r="N99" t="e" cm="1">
        <f t="array" ref="N99">INDEX('GMW - Baseline'!$A$2:$MC$200,MATCH(1,('GMW - Baseline'!$MC$2:$MC$200=N$3)*('GMW - Baseline'!$MB$2:$MB$200=N$4),0),$E99-1973)</f>
        <v>#N/A</v>
      </c>
      <c r="O99" t="e" cm="1">
        <f t="array" ref="O99">INDEX('GMW - Baseline'!$A$2:$MC$200,MATCH(1,('GMW - Baseline'!$MC$2:$MC$200=O$3)*('GMW - Baseline'!$MB$2:$MB$200=O$4),0),$E99-1973)</f>
        <v>#N/A</v>
      </c>
      <c r="P99" t="e" cm="1">
        <f t="array" ref="P99">INDEX('GMW - Baseline'!$A$2:$MC$200,MATCH(1,('GMW - Baseline'!$MC$2:$MC$200=P$3)*('GMW - Baseline'!$MB$2:$MB$200=P$4),0),$E99-1973)</f>
        <v>#N/A</v>
      </c>
      <c r="Q99" t="e" cm="1">
        <f t="array" ref="Q99">INDEX('GMW - Baseline'!$A$2:$MC$200,MATCH(1,('GMW - Baseline'!$MC$2:$MC$200=Q$3)*('GMW - Baseline'!$MB$2:$MB$200=Q$4),0),$E99-1973)</f>
        <v>#N/A</v>
      </c>
      <c r="R99" t="e" cm="1">
        <f t="array" ref="R99">INDEX('GMW - Baseline'!$A$2:$MC$200,MATCH(1,('GMW - Baseline'!$MC$2:$MC$200=R$3)*('GMW - Baseline'!$MB$2:$MB$200=R$4),0),$E99-1973)</f>
        <v>#N/A</v>
      </c>
      <c r="S99" t="e" cm="1">
        <f t="array" ref="S99">INDEX('GMW - Baseline'!$A$2:$MC$200,MATCH(1,('GMW - Baseline'!$MC$2:$MC$200=S$3)*('GMW - Baseline'!$MB$2:$MB$200=S$4),0),$E99-1973)</f>
        <v>#N/A</v>
      </c>
      <c r="T99" t="e" cm="1">
        <f t="array" ref="T99">INDEX('GMW - Baseline'!$A$2:$MC$200,MATCH(1,('GMW - Baseline'!$MC$2:$MC$200=T$3)*('GMW - Baseline'!$MB$2:$MB$200=T$4),0),$E99-1973)</f>
        <v>#N/A</v>
      </c>
    </row>
    <row r="100" spans="1:20" x14ac:dyDescent="0.25">
      <c r="B100">
        <f t="shared" si="8"/>
        <v>2003</v>
      </c>
      <c r="C100">
        <f t="shared" si="8"/>
        <v>2003</v>
      </c>
      <c r="E100">
        <f t="shared" si="6"/>
        <v>2073</v>
      </c>
      <c r="F100" cm="1">
        <f t="array" ref="F100">INDEX('GMW - Baseline'!$A$2:$MC$200,MATCH(1,('GMW - Baseline'!$MC$2:$MC$200=F$3)*('GMW - Baseline'!$MB$2:$MB$200=F$4),0),$E100-1973)</f>
        <v>518802</v>
      </c>
      <c r="G100" cm="1">
        <f t="array" ref="G100">INDEX('GMW - Baseline'!$A$2:$MC$200,MATCH(1,('GMW - Baseline'!$MC$2:$MC$200=G$3)*('GMW - Baseline'!$MB$2:$MB$200=G$4),0),$E100-1973)</f>
        <v>316413</v>
      </c>
      <c r="H100" cm="1">
        <f t="array" ref="H100">INDEX('GMW - Baseline'!$A$2:$MC$200,MATCH(1,('GMW - Baseline'!$MC$2:$MC$200=H$3)*('GMW - Baseline'!$MB$2:$MB$200=H$4),0),$E100-1973)</f>
        <v>75.466669999999993</v>
      </c>
      <c r="I100" cm="1">
        <f t="array" ref="I100">INDEX('GMW - Baseline'!$A$2:$MC$200,MATCH(1,('GMW - Baseline'!$MC$2:$MC$200=I$3)*('GMW - Baseline'!$MB$2:$MB$200=I$4),0),$E100-1973)</f>
        <v>3.75</v>
      </c>
      <c r="J100" t="e" cm="1">
        <f t="array" ref="J100">INDEX('GMW - Baseline'!$A$2:$MC$200,MATCH(1,('GMW - Baseline'!$MC$2:$MC$200=J$3)*('GMW - Baseline'!$MB$2:$MB$200=J$4),0),$E100-1973)</f>
        <v>#N/A</v>
      </c>
      <c r="K100" t="e" cm="1">
        <f t="array" ref="K100">INDEX('GMW - Baseline'!$A$2:$MC$200,MATCH(1,('GMW - Baseline'!$MC$2:$MC$200=K$3)*('GMW - Baseline'!$MB$2:$MB$200=K$4),0),$E100-1973)</f>
        <v>#N/A</v>
      </c>
      <c r="L100" t="e" cm="1">
        <f t="array" ref="L100">INDEX('GMW - Baseline'!$A$2:$MC$200,MATCH(1,('GMW - Baseline'!$MC$2:$MC$200=L$3)*('GMW - Baseline'!$MB$2:$MB$200=L$4),0),$E100-1973)</f>
        <v>#N/A</v>
      </c>
      <c r="M100" t="e" cm="1">
        <f t="array" ref="M100">INDEX('GMW - Baseline'!$A$2:$MC$200,MATCH(1,('GMW - Baseline'!$MC$2:$MC$200=M$3)*('GMW - Baseline'!$MB$2:$MB$200=M$4),0),$E100-1973)</f>
        <v>#N/A</v>
      </c>
      <c r="N100" t="e" cm="1">
        <f t="array" ref="N100">INDEX('GMW - Baseline'!$A$2:$MC$200,MATCH(1,('GMW - Baseline'!$MC$2:$MC$200=N$3)*('GMW - Baseline'!$MB$2:$MB$200=N$4),0),$E100-1973)</f>
        <v>#N/A</v>
      </c>
      <c r="O100" t="e" cm="1">
        <f t="array" ref="O100">INDEX('GMW - Baseline'!$A$2:$MC$200,MATCH(1,('GMW - Baseline'!$MC$2:$MC$200=O$3)*('GMW - Baseline'!$MB$2:$MB$200=O$4),0),$E100-1973)</f>
        <v>#N/A</v>
      </c>
      <c r="P100" t="e" cm="1">
        <f t="array" ref="P100">INDEX('GMW - Baseline'!$A$2:$MC$200,MATCH(1,('GMW - Baseline'!$MC$2:$MC$200=P$3)*('GMW - Baseline'!$MB$2:$MB$200=P$4),0),$E100-1973)</f>
        <v>#N/A</v>
      </c>
      <c r="Q100" t="e" cm="1">
        <f t="array" ref="Q100">INDEX('GMW - Baseline'!$A$2:$MC$200,MATCH(1,('GMW - Baseline'!$MC$2:$MC$200=Q$3)*('GMW - Baseline'!$MB$2:$MB$200=Q$4),0),$E100-1973)</f>
        <v>#N/A</v>
      </c>
      <c r="R100" t="e" cm="1">
        <f t="array" ref="R100">INDEX('GMW - Baseline'!$A$2:$MC$200,MATCH(1,('GMW - Baseline'!$MC$2:$MC$200=R$3)*('GMW - Baseline'!$MB$2:$MB$200=R$4),0),$E100-1973)</f>
        <v>#N/A</v>
      </c>
      <c r="S100" t="e" cm="1">
        <f t="array" ref="S100">INDEX('GMW - Baseline'!$A$2:$MC$200,MATCH(1,('GMW - Baseline'!$MC$2:$MC$200=S$3)*('GMW - Baseline'!$MB$2:$MB$200=S$4),0),$E100-1973)</f>
        <v>#N/A</v>
      </c>
      <c r="T100" t="e" cm="1">
        <f t="array" ref="T100">INDEX('GMW - Baseline'!$A$2:$MC$200,MATCH(1,('GMW - Baseline'!$MC$2:$MC$200=T$3)*('GMW - Baseline'!$MB$2:$MB$200=T$4),0),$E100-1973)</f>
        <v>#N/A</v>
      </c>
    </row>
    <row r="101" spans="1:20" x14ac:dyDescent="0.25">
      <c r="B101">
        <f t="shared" si="8"/>
        <v>2003</v>
      </c>
      <c r="C101">
        <f t="shared" si="8"/>
        <v>2003</v>
      </c>
      <c r="E101">
        <f t="shared" si="6"/>
        <v>2074</v>
      </c>
      <c r="F101" cm="1">
        <f t="array" ref="F101">INDEX('GMW - Baseline'!$A$2:$MC$200,MATCH(1,('GMW - Baseline'!$MC$2:$MC$200=F$3)*('GMW - Baseline'!$MB$2:$MB$200=F$4),0),$E101-1973)</f>
        <v>524213</v>
      </c>
      <c r="G101" cm="1">
        <f t="array" ref="G101">INDEX('GMW - Baseline'!$A$2:$MC$200,MATCH(1,('GMW - Baseline'!$MC$2:$MC$200=G$3)*('GMW - Baseline'!$MB$2:$MB$200=G$4),0),$E101-1973)</f>
        <v>318762</v>
      </c>
      <c r="H101" cm="1">
        <f t="array" ref="H101">INDEX('GMW - Baseline'!$A$2:$MC$200,MATCH(1,('GMW - Baseline'!$MC$2:$MC$200=H$3)*('GMW - Baseline'!$MB$2:$MB$200=H$4),0),$E101-1973)</f>
        <v>75.599999999999994</v>
      </c>
      <c r="I101" cm="1">
        <f t="array" ref="I101">INDEX('GMW - Baseline'!$A$2:$MC$200,MATCH(1,('GMW - Baseline'!$MC$2:$MC$200=I$3)*('GMW - Baseline'!$MB$2:$MB$200=I$4),0),$E101-1973)</f>
        <v>3.5265149999999998</v>
      </c>
      <c r="J101" t="e" cm="1">
        <f t="array" ref="J101">INDEX('GMW - Baseline'!$A$2:$MC$200,MATCH(1,('GMW - Baseline'!$MC$2:$MC$200=J$3)*('GMW - Baseline'!$MB$2:$MB$200=J$4),0),$E101-1973)</f>
        <v>#N/A</v>
      </c>
      <c r="K101" t="e" cm="1">
        <f t="array" ref="K101">INDEX('GMW - Baseline'!$A$2:$MC$200,MATCH(1,('GMW - Baseline'!$MC$2:$MC$200=K$3)*('GMW - Baseline'!$MB$2:$MB$200=K$4),0),$E101-1973)</f>
        <v>#N/A</v>
      </c>
      <c r="L101" t="e" cm="1">
        <f t="array" ref="L101">INDEX('GMW - Baseline'!$A$2:$MC$200,MATCH(1,('GMW - Baseline'!$MC$2:$MC$200=L$3)*('GMW - Baseline'!$MB$2:$MB$200=L$4),0),$E101-1973)</f>
        <v>#N/A</v>
      </c>
      <c r="M101" t="e" cm="1">
        <f t="array" ref="M101">INDEX('GMW - Baseline'!$A$2:$MC$200,MATCH(1,('GMW - Baseline'!$MC$2:$MC$200=M$3)*('GMW - Baseline'!$MB$2:$MB$200=M$4),0),$E101-1973)</f>
        <v>#N/A</v>
      </c>
      <c r="N101" t="e" cm="1">
        <f t="array" ref="N101">INDEX('GMW - Baseline'!$A$2:$MC$200,MATCH(1,('GMW - Baseline'!$MC$2:$MC$200=N$3)*('GMW - Baseline'!$MB$2:$MB$200=N$4),0),$E101-1973)</f>
        <v>#N/A</v>
      </c>
      <c r="O101" t="e" cm="1">
        <f t="array" ref="O101">INDEX('GMW - Baseline'!$A$2:$MC$200,MATCH(1,('GMW - Baseline'!$MC$2:$MC$200=O$3)*('GMW - Baseline'!$MB$2:$MB$200=O$4),0),$E101-1973)</f>
        <v>#N/A</v>
      </c>
      <c r="P101" t="e" cm="1">
        <f t="array" ref="P101">INDEX('GMW - Baseline'!$A$2:$MC$200,MATCH(1,('GMW - Baseline'!$MC$2:$MC$200=P$3)*('GMW - Baseline'!$MB$2:$MB$200=P$4),0),$E101-1973)</f>
        <v>#N/A</v>
      </c>
      <c r="Q101" t="e" cm="1">
        <f t="array" ref="Q101">INDEX('GMW - Baseline'!$A$2:$MC$200,MATCH(1,('GMW - Baseline'!$MC$2:$MC$200=Q$3)*('GMW - Baseline'!$MB$2:$MB$200=Q$4),0),$E101-1973)</f>
        <v>#N/A</v>
      </c>
      <c r="R101" t="e" cm="1">
        <f t="array" ref="R101">INDEX('GMW - Baseline'!$A$2:$MC$200,MATCH(1,('GMW - Baseline'!$MC$2:$MC$200=R$3)*('GMW - Baseline'!$MB$2:$MB$200=R$4),0),$E101-1973)</f>
        <v>#N/A</v>
      </c>
      <c r="S101" t="e" cm="1">
        <f t="array" ref="S101">INDEX('GMW - Baseline'!$A$2:$MC$200,MATCH(1,('GMW - Baseline'!$MC$2:$MC$200=S$3)*('GMW - Baseline'!$MB$2:$MB$200=S$4),0),$E101-1973)</f>
        <v>#N/A</v>
      </c>
      <c r="T101" t="e" cm="1">
        <f t="array" ref="T101">INDEX('GMW - Baseline'!$A$2:$MC$200,MATCH(1,('GMW - Baseline'!$MC$2:$MC$200=T$3)*('GMW - Baseline'!$MB$2:$MB$200=T$4),0),$E101-1973)</f>
        <v>#N/A</v>
      </c>
    </row>
    <row r="102" spans="1:20" x14ac:dyDescent="0.25">
      <c r="B102">
        <f t="shared" si="8"/>
        <v>2003</v>
      </c>
      <c r="C102">
        <f t="shared" si="8"/>
        <v>2003</v>
      </c>
      <c r="E102">
        <f t="shared" si="6"/>
        <v>2075</v>
      </c>
      <c r="F102" cm="1">
        <f t="array" ref="F102">INDEX('GMW - Baseline'!$A$2:$MC$200,MATCH(1,('GMW - Baseline'!$MC$2:$MC$200=F$3)*('GMW - Baseline'!$MB$2:$MB$200=F$4),0),$E102-1973)</f>
        <v>528320</v>
      </c>
      <c r="G102" cm="1">
        <f t="array" ref="G102">INDEX('GMW - Baseline'!$A$2:$MC$200,MATCH(1,('GMW - Baseline'!$MC$2:$MC$200=G$3)*('GMW - Baseline'!$MB$2:$MB$200=G$4),0),$E102-1973)</f>
        <v>320529</v>
      </c>
      <c r="H102" cm="1">
        <f t="array" ref="H102">INDEX('GMW - Baseline'!$A$2:$MC$200,MATCH(1,('GMW - Baseline'!$MC$2:$MC$200=H$3)*('GMW - Baseline'!$MB$2:$MB$200=H$4),0),$E102-1973)</f>
        <v>76.033330000000007</v>
      </c>
      <c r="I102" cm="1">
        <f t="array" ref="I102">INDEX('GMW - Baseline'!$A$2:$MC$200,MATCH(1,('GMW - Baseline'!$MC$2:$MC$200=I$3)*('GMW - Baseline'!$MB$2:$MB$200=I$4),0),$E102-1973)</f>
        <v>3.6515149999999998</v>
      </c>
      <c r="J102" t="e" cm="1">
        <f t="array" ref="J102">INDEX('GMW - Baseline'!$A$2:$MC$200,MATCH(1,('GMW - Baseline'!$MC$2:$MC$200=J$3)*('GMW - Baseline'!$MB$2:$MB$200=J$4),0),$E102-1973)</f>
        <v>#N/A</v>
      </c>
      <c r="K102" t="e" cm="1">
        <f t="array" ref="K102">INDEX('GMW - Baseline'!$A$2:$MC$200,MATCH(1,('GMW - Baseline'!$MC$2:$MC$200=K$3)*('GMW - Baseline'!$MB$2:$MB$200=K$4),0),$E102-1973)</f>
        <v>#N/A</v>
      </c>
      <c r="L102" t="e" cm="1">
        <f t="array" ref="L102">INDEX('GMW - Baseline'!$A$2:$MC$200,MATCH(1,('GMW - Baseline'!$MC$2:$MC$200=L$3)*('GMW - Baseline'!$MB$2:$MB$200=L$4),0),$E102-1973)</f>
        <v>#N/A</v>
      </c>
      <c r="M102" t="e" cm="1">
        <f t="array" ref="M102">INDEX('GMW - Baseline'!$A$2:$MC$200,MATCH(1,('GMW - Baseline'!$MC$2:$MC$200=M$3)*('GMW - Baseline'!$MB$2:$MB$200=M$4),0),$E102-1973)</f>
        <v>#N/A</v>
      </c>
      <c r="N102" t="e" cm="1">
        <f t="array" ref="N102">INDEX('GMW - Baseline'!$A$2:$MC$200,MATCH(1,('GMW - Baseline'!$MC$2:$MC$200=N$3)*('GMW - Baseline'!$MB$2:$MB$200=N$4),0),$E102-1973)</f>
        <v>#N/A</v>
      </c>
      <c r="O102" t="e" cm="1">
        <f t="array" ref="O102">INDEX('GMW - Baseline'!$A$2:$MC$200,MATCH(1,('GMW - Baseline'!$MC$2:$MC$200=O$3)*('GMW - Baseline'!$MB$2:$MB$200=O$4),0),$E102-1973)</f>
        <v>#N/A</v>
      </c>
      <c r="P102" t="e" cm="1">
        <f t="array" ref="P102">INDEX('GMW - Baseline'!$A$2:$MC$200,MATCH(1,('GMW - Baseline'!$MC$2:$MC$200=P$3)*('GMW - Baseline'!$MB$2:$MB$200=P$4),0),$E102-1973)</f>
        <v>#N/A</v>
      </c>
      <c r="Q102" t="e" cm="1">
        <f t="array" ref="Q102">INDEX('GMW - Baseline'!$A$2:$MC$200,MATCH(1,('GMW - Baseline'!$MC$2:$MC$200=Q$3)*('GMW - Baseline'!$MB$2:$MB$200=Q$4),0),$E102-1973)</f>
        <v>#N/A</v>
      </c>
      <c r="R102" t="e" cm="1">
        <f t="array" ref="R102">INDEX('GMW - Baseline'!$A$2:$MC$200,MATCH(1,('GMW - Baseline'!$MC$2:$MC$200=R$3)*('GMW - Baseline'!$MB$2:$MB$200=R$4),0),$E102-1973)</f>
        <v>#N/A</v>
      </c>
      <c r="S102" t="e" cm="1">
        <f t="array" ref="S102">INDEX('GMW - Baseline'!$A$2:$MC$200,MATCH(1,('GMW - Baseline'!$MC$2:$MC$200=S$3)*('GMW - Baseline'!$MB$2:$MB$200=S$4),0),$E102-1973)</f>
        <v>#N/A</v>
      </c>
      <c r="T102" t="e" cm="1">
        <f t="array" ref="T102">INDEX('GMW - Baseline'!$A$2:$MC$200,MATCH(1,('GMW - Baseline'!$MC$2:$MC$200=T$3)*('GMW - Baseline'!$MB$2:$MB$200=T$4),0),$E102-1973)</f>
        <v>#N/A</v>
      </c>
    </row>
    <row r="103" spans="1:20" x14ac:dyDescent="0.25">
      <c r="A103">
        <v>2004</v>
      </c>
      <c r="B103">
        <f t="shared" si="8"/>
        <v>2004</v>
      </c>
      <c r="C103">
        <f t="shared" si="8"/>
        <v>2003</v>
      </c>
      <c r="D103">
        <f t="shared" si="8"/>
        <v>2003</v>
      </c>
      <c r="E103">
        <f t="shared" si="6"/>
        <v>2076</v>
      </c>
      <c r="F103" cm="1">
        <f t="array" ref="F103">INDEX('GMW - Baseline'!$A$2:$MC$200,MATCH(1,('GMW - Baseline'!$MC$2:$MC$200=F$3)*('GMW - Baseline'!$MB$2:$MB$200=F$4),0),$E103-1973)</f>
        <v>529996</v>
      </c>
      <c r="G103" cm="1">
        <f t="array" ref="G103">INDEX('GMW - Baseline'!$A$2:$MC$200,MATCH(1,('GMW - Baseline'!$MC$2:$MC$200=G$3)*('GMW - Baseline'!$MB$2:$MB$200=G$4),0),$E103-1973)</f>
        <v>322150</v>
      </c>
      <c r="H103" cm="1">
        <f t="array" ref="H103">INDEX('GMW - Baseline'!$A$2:$MC$200,MATCH(1,('GMW - Baseline'!$MC$2:$MC$200=H$3)*('GMW - Baseline'!$MB$2:$MB$200=H$4),0),$E103-1973)</f>
        <v>75.966669999999993</v>
      </c>
      <c r="I103" cm="1">
        <f t="array" ref="I103">INDEX('GMW - Baseline'!$A$2:$MC$200,MATCH(1,('GMW - Baseline'!$MC$2:$MC$200=I$3)*('GMW - Baseline'!$MB$2:$MB$200=I$4),0),$E103-1973)</f>
        <v>3.9038460000000001</v>
      </c>
      <c r="J103" t="e" cm="1">
        <f t="array" ref="J103">INDEX('GMW - Baseline'!$A$2:$MC$200,MATCH(1,('GMW - Baseline'!$MC$2:$MC$200=J$3)*('GMW - Baseline'!$MB$2:$MB$200=J$4),0),$E103-1973)</f>
        <v>#N/A</v>
      </c>
      <c r="K103" t="e" cm="1">
        <f t="array" ref="K103">INDEX('GMW - Baseline'!$A$2:$MC$200,MATCH(1,('GMW - Baseline'!$MC$2:$MC$200=K$3)*('GMW - Baseline'!$MB$2:$MB$200=K$4),0),$E103-1973)</f>
        <v>#N/A</v>
      </c>
      <c r="L103" t="e" cm="1">
        <f t="array" ref="L103">INDEX('GMW - Baseline'!$A$2:$MC$200,MATCH(1,('GMW - Baseline'!$MC$2:$MC$200=L$3)*('GMW - Baseline'!$MB$2:$MB$200=L$4),0),$E103-1973)</f>
        <v>#N/A</v>
      </c>
      <c r="M103" t="e" cm="1">
        <f t="array" ref="M103">INDEX('GMW - Baseline'!$A$2:$MC$200,MATCH(1,('GMW - Baseline'!$MC$2:$MC$200=M$3)*('GMW - Baseline'!$MB$2:$MB$200=M$4),0),$E103-1973)</f>
        <v>#N/A</v>
      </c>
      <c r="N103" t="e" cm="1">
        <f t="array" ref="N103">INDEX('GMW - Baseline'!$A$2:$MC$200,MATCH(1,('GMW - Baseline'!$MC$2:$MC$200=N$3)*('GMW - Baseline'!$MB$2:$MB$200=N$4),0),$E103-1973)</f>
        <v>#N/A</v>
      </c>
      <c r="O103" t="e" cm="1">
        <f t="array" ref="O103">INDEX('GMW - Baseline'!$A$2:$MC$200,MATCH(1,('GMW - Baseline'!$MC$2:$MC$200=O$3)*('GMW - Baseline'!$MB$2:$MB$200=O$4),0),$E103-1973)</f>
        <v>#N/A</v>
      </c>
      <c r="P103" t="e" cm="1">
        <f t="array" ref="P103">INDEX('GMW - Baseline'!$A$2:$MC$200,MATCH(1,('GMW - Baseline'!$MC$2:$MC$200=P$3)*('GMW - Baseline'!$MB$2:$MB$200=P$4),0),$E103-1973)</f>
        <v>#N/A</v>
      </c>
      <c r="Q103" t="e" cm="1">
        <f t="array" ref="Q103">INDEX('GMW - Baseline'!$A$2:$MC$200,MATCH(1,('GMW - Baseline'!$MC$2:$MC$200=Q$3)*('GMW - Baseline'!$MB$2:$MB$200=Q$4),0),$E103-1973)</f>
        <v>#N/A</v>
      </c>
      <c r="R103" t="e" cm="1">
        <f t="array" ref="R103">INDEX('GMW - Baseline'!$A$2:$MC$200,MATCH(1,('GMW - Baseline'!$MC$2:$MC$200=R$3)*('GMW - Baseline'!$MB$2:$MB$200=R$4),0),$E103-1973)</f>
        <v>#N/A</v>
      </c>
      <c r="S103" t="e" cm="1">
        <f t="array" ref="S103">INDEX('GMW - Baseline'!$A$2:$MC$200,MATCH(1,('GMW - Baseline'!$MC$2:$MC$200=S$3)*('GMW - Baseline'!$MB$2:$MB$200=S$4),0),$E103-1973)</f>
        <v>#N/A</v>
      </c>
      <c r="T103" t="e" cm="1">
        <f t="array" ref="T103">INDEX('GMW - Baseline'!$A$2:$MC$200,MATCH(1,('GMW - Baseline'!$MC$2:$MC$200=T$3)*('GMW - Baseline'!$MB$2:$MB$200=T$4),0),$E103-1973)</f>
        <v>#N/A</v>
      </c>
    </row>
    <row r="104" spans="1:20" x14ac:dyDescent="0.25">
      <c r="B104">
        <f t="shared" si="8"/>
        <v>2004</v>
      </c>
      <c r="C104">
        <f t="shared" si="8"/>
        <v>2004</v>
      </c>
      <c r="E104">
        <f t="shared" si="6"/>
        <v>2077</v>
      </c>
      <c r="F104" cm="1">
        <f t="array" ref="F104">INDEX('GMW - Baseline'!$A$2:$MC$200,MATCH(1,('GMW - Baseline'!$MC$2:$MC$200=F$3)*('GMW - Baseline'!$MB$2:$MB$200=F$4),0),$E104-1973)</f>
        <v>532543</v>
      </c>
      <c r="G104" cm="1">
        <f t="array" ref="G104">INDEX('GMW - Baseline'!$A$2:$MC$200,MATCH(1,('GMW - Baseline'!$MC$2:$MC$200=G$3)*('GMW - Baseline'!$MB$2:$MB$200=G$4),0),$E104-1973)</f>
        <v>325157</v>
      </c>
      <c r="H104" cm="1">
        <f t="array" ref="H104">INDEX('GMW - Baseline'!$A$2:$MC$200,MATCH(1,('GMW - Baseline'!$MC$2:$MC$200=H$3)*('GMW - Baseline'!$MB$2:$MB$200=H$4),0),$E104-1973)</f>
        <v>76.533330000000007</v>
      </c>
      <c r="I104" cm="1">
        <f t="array" ref="I104">INDEX('GMW - Baseline'!$A$2:$MC$200,MATCH(1,('GMW - Baseline'!$MC$2:$MC$200=I$3)*('GMW - Baseline'!$MB$2:$MB$200=I$4),0),$E104-1973)</f>
        <v>4.211538</v>
      </c>
      <c r="J104" t="e" cm="1">
        <f t="array" ref="J104">INDEX('GMW - Baseline'!$A$2:$MC$200,MATCH(1,('GMW - Baseline'!$MC$2:$MC$200=J$3)*('GMW - Baseline'!$MB$2:$MB$200=J$4),0),$E104-1973)</f>
        <v>#N/A</v>
      </c>
      <c r="K104" t="e" cm="1">
        <f t="array" ref="K104">INDEX('GMW - Baseline'!$A$2:$MC$200,MATCH(1,('GMW - Baseline'!$MC$2:$MC$200=K$3)*('GMW - Baseline'!$MB$2:$MB$200=K$4),0),$E104-1973)</f>
        <v>#N/A</v>
      </c>
      <c r="L104" t="e" cm="1">
        <f t="array" ref="L104">INDEX('GMW - Baseline'!$A$2:$MC$200,MATCH(1,('GMW - Baseline'!$MC$2:$MC$200=L$3)*('GMW - Baseline'!$MB$2:$MB$200=L$4),0),$E104-1973)</f>
        <v>#N/A</v>
      </c>
      <c r="M104" t="e" cm="1">
        <f t="array" ref="M104">INDEX('GMW - Baseline'!$A$2:$MC$200,MATCH(1,('GMW - Baseline'!$MC$2:$MC$200=M$3)*('GMW - Baseline'!$MB$2:$MB$200=M$4),0),$E104-1973)</f>
        <v>#N/A</v>
      </c>
      <c r="N104" t="e" cm="1">
        <f t="array" ref="N104">INDEX('GMW - Baseline'!$A$2:$MC$200,MATCH(1,('GMW - Baseline'!$MC$2:$MC$200=N$3)*('GMW - Baseline'!$MB$2:$MB$200=N$4),0),$E104-1973)</f>
        <v>#N/A</v>
      </c>
      <c r="O104" t="e" cm="1">
        <f t="array" ref="O104">INDEX('GMW - Baseline'!$A$2:$MC$200,MATCH(1,('GMW - Baseline'!$MC$2:$MC$200=O$3)*('GMW - Baseline'!$MB$2:$MB$200=O$4),0),$E104-1973)</f>
        <v>#N/A</v>
      </c>
      <c r="P104" t="e" cm="1">
        <f t="array" ref="P104">INDEX('GMW - Baseline'!$A$2:$MC$200,MATCH(1,('GMW - Baseline'!$MC$2:$MC$200=P$3)*('GMW - Baseline'!$MB$2:$MB$200=P$4),0),$E104-1973)</f>
        <v>#N/A</v>
      </c>
      <c r="Q104" t="e" cm="1">
        <f t="array" ref="Q104">INDEX('GMW - Baseline'!$A$2:$MC$200,MATCH(1,('GMW - Baseline'!$MC$2:$MC$200=Q$3)*('GMW - Baseline'!$MB$2:$MB$200=Q$4),0),$E104-1973)</f>
        <v>#N/A</v>
      </c>
      <c r="R104" t="e" cm="1">
        <f t="array" ref="R104">INDEX('GMW - Baseline'!$A$2:$MC$200,MATCH(1,('GMW - Baseline'!$MC$2:$MC$200=R$3)*('GMW - Baseline'!$MB$2:$MB$200=R$4),0),$E104-1973)</f>
        <v>#N/A</v>
      </c>
      <c r="S104" t="e" cm="1">
        <f t="array" ref="S104">INDEX('GMW - Baseline'!$A$2:$MC$200,MATCH(1,('GMW - Baseline'!$MC$2:$MC$200=S$3)*('GMW - Baseline'!$MB$2:$MB$200=S$4),0),$E104-1973)</f>
        <v>#N/A</v>
      </c>
      <c r="T104" t="e" cm="1">
        <f t="array" ref="T104">INDEX('GMW - Baseline'!$A$2:$MC$200,MATCH(1,('GMW - Baseline'!$MC$2:$MC$200=T$3)*('GMW - Baseline'!$MB$2:$MB$200=T$4),0),$E104-1973)</f>
        <v>#N/A</v>
      </c>
    </row>
    <row r="105" spans="1:20" x14ac:dyDescent="0.25">
      <c r="B105">
        <f t="shared" si="8"/>
        <v>2004</v>
      </c>
      <c r="C105">
        <f t="shared" si="8"/>
        <v>2004</v>
      </c>
      <c r="E105">
        <f t="shared" si="6"/>
        <v>2078</v>
      </c>
      <c r="F105" cm="1">
        <f t="array" ref="F105">INDEX('GMW - Baseline'!$A$2:$MC$200,MATCH(1,('GMW - Baseline'!$MC$2:$MC$200=F$3)*('GMW - Baseline'!$MB$2:$MB$200=F$4),0),$E105-1973)</f>
        <v>534447</v>
      </c>
      <c r="G105" cm="1">
        <f t="array" ref="G105">INDEX('GMW - Baseline'!$A$2:$MC$200,MATCH(1,('GMW - Baseline'!$MC$2:$MC$200=G$3)*('GMW - Baseline'!$MB$2:$MB$200=G$4),0),$E105-1973)</f>
        <v>326983</v>
      </c>
      <c r="H105" cm="1">
        <f t="array" ref="H105">INDEX('GMW - Baseline'!$A$2:$MC$200,MATCH(1,('GMW - Baseline'!$MC$2:$MC$200=H$3)*('GMW - Baseline'!$MB$2:$MB$200=H$4),0),$E105-1973)</f>
        <v>76.566670000000002</v>
      </c>
      <c r="I105" cm="1">
        <f t="array" ref="I105">INDEX('GMW - Baseline'!$A$2:$MC$200,MATCH(1,('GMW - Baseline'!$MC$2:$MC$200=I$3)*('GMW - Baseline'!$MB$2:$MB$200=I$4),0),$E105-1973)</f>
        <v>4.655303</v>
      </c>
      <c r="J105" t="e" cm="1">
        <f t="array" ref="J105">INDEX('GMW - Baseline'!$A$2:$MC$200,MATCH(1,('GMW - Baseline'!$MC$2:$MC$200=J$3)*('GMW - Baseline'!$MB$2:$MB$200=J$4),0),$E105-1973)</f>
        <v>#N/A</v>
      </c>
      <c r="K105" t="e" cm="1">
        <f t="array" ref="K105">INDEX('GMW - Baseline'!$A$2:$MC$200,MATCH(1,('GMW - Baseline'!$MC$2:$MC$200=K$3)*('GMW - Baseline'!$MB$2:$MB$200=K$4),0),$E105-1973)</f>
        <v>#N/A</v>
      </c>
      <c r="L105" t="e" cm="1">
        <f t="array" ref="L105">INDEX('GMW - Baseline'!$A$2:$MC$200,MATCH(1,('GMW - Baseline'!$MC$2:$MC$200=L$3)*('GMW - Baseline'!$MB$2:$MB$200=L$4),0),$E105-1973)</f>
        <v>#N/A</v>
      </c>
      <c r="M105" t="e" cm="1">
        <f t="array" ref="M105">INDEX('GMW - Baseline'!$A$2:$MC$200,MATCH(1,('GMW - Baseline'!$MC$2:$MC$200=M$3)*('GMW - Baseline'!$MB$2:$MB$200=M$4),0),$E105-1973)</f>
        <v>#N/A</v>
      </c>
      <c r="N105" t="e" cm="1">
        <f t="array" ref="N105">INDEX('GMW - Baseline'!$A$2:$MC$200,MATCH(1,('GMW - Baseline'!$MC$2:$MC$200=N$3)*('GMW - Baseline'!$MB$2:$MB$200=N$4),0),$E105-1973)</f>
        <v>#N/A</v>
      </c>
      <c r="O105" t="e" cm="1">
        <f t="array" ref="O105">INDEX('GMW - Baseline'!$A$2:$MC$200,MATCH(1,('GMW - Baseline'!$MC$2:$MC$200=O$3)*('GMW - Baseline'!$MB$2:$MB$200=O$4),0),$E105-1973)</f>
        <v>#N/A</v>
      </c>
      <c r="P105" t="e" cm="1">
        <f t="array" ref="P105">INDEX('GMW - Baseline'!$A$2:$MC$200,MATCH(1,('GMW - Baseline'!$MC$2:$MC$200=P$3)*('GMW - Baseline'!$MB$2:$MB$200=P$4),0),$E105-1973)</f>
        <v>#N/A</v>
      </c>
      <c r="Q105" t="e" cm="1">
        <f t="array" ref="Q105">INDEX('GMW - Baseline'!$A$2:$MC$200,MATCH(1,('GMW - Baseline'!$MC$2:$MC$200=Q$3)*('GMW - Baseline'!$MB$2:$MB$200=Q$4),0),$E105-1973)</f>
        <v>#N/A</v>
      </c>
      <c r="R105" t="e" cm="1">
        <f t="array" ref="R105">INDEX('GMW - Baseline'!$A$2:$MC$200,MATCH(1,('GMW - Baseline'!$MC$2:$MC$200=R$3)*('GMW - Baseline'!$MB$2:$MB$200=R$4),0),$E105-1973)</f>
        <v>#N/A</v>
      </c>
      <c r="S105" t="e" cm="1">
        <f t="array" ref="S105">INDEX('GMW - Baseline'!$A$2:$MC$200,MATCH(1,('GMW - Baseline'!$MC$2:$MC$200=S$3)*('GMW - Baseline'!$MB$2:$MB$200=S$4),0),$E105-1973)</f>
        <v>#N/A</v>
      </c>
      <c r="T105" t="e" cm="1">
        <f t="array" ref="T105">INDEX('GMW - Baseline'!$A$2:$MC$200,MATCH(1,('GMW - Baseline'!$MC$2:$MC$200=T$3)*('GMW - Baseline'!$MB$2:$MB$200=T$4),0),$E105-1973)</f>
        <v>#N/A</v>
      </c>
    </row>
    <row r="106" spans="1:20" x14ac:dyDescent="0.25">
      <c r="B106">
        <f t="shared" si="8"/>
        <v>2004</v>
      </c>
      <c r="C106">
        <f t="shared" si="8"/>
        <v>2004</v>
      </c>
      <c r="E106">
        <f t="shared" si="6"/>
        <v>2079</v>
      </c>
      <c r="F106" cm="1">
        <f t="array" ref="F106">INDEX('GMW - Baseline'!$A$2:$MC$200,MATCH(1,('GMW - Baseline'!$MC$2:$MC$200=F$3)*('GMW - Baseline'!$MB$2:$MB$200=F$4),0),$E106-1973)</f>
        <v>536886</v>
      </c>
      <c r="G106" cm="1">
        <f t="array" ref="G106">INDEX('GMW - Baseline'!$A$2:$MC$200,MATCH(1,('GMW - Baseline'!$MC$2:$MC$200=G$3)*('GMW - Baseline'!$MB$2:$MB$200=G$4),0),$E106-1973)</f>
        <v>329186</v>
      </c>
      <c r="H106" cm="1">
        <f t="array" ref="H106">INDEX('GMW - Baseline'!$A$2:$MC$200,MATCH(1,('GMW - Baseline'!$MC$2:$MC$200=H$3)*('GMW - Baseline'!$MB$2:$MB$200=H$4),0),$E106-1973)</f>
        <v>77.099999999999994</v>
      </c>
      <c r="I106" cm="1">
        <f t="array" ref="I106">INDEX('GMW - Baseline'!$A$2:$MC$200,MATCH(1,('GMW - Baseline'!$MC$2:$MC$200=I$3)*('GMW - Baseline'!$MB$2:$MB$200=I$4),0),$E106-1973)</f>
        <v>4.75</v>
      </c>
      <c r="J106" t="e" cm="1">
        <f t="array" ref="J106">INDEX('GMW - Baseline'!$A$2:$MC$200,MATCH(1,('GMW - Baseline'!$MC$2:$MC$200=J$3)*('GMW - Baseline'!$MB$2:$MB$200=J$4),0),$E106-1973)</f>
        <v>#N/A</v>
      </c>
      <c r="K106" t="e" cm="1">
        <f t="array" ref="K106">INDEX('GMW - Baseline'!$A$2:$MC$200,MATCH(1,('GMW - Baseline'!$MC$2:$MC$200=K$3)*('GMW - Baseline'!$MB$2:$MB$200=K$4),0),$E106-1973)</f>
        <v>#N/A</v>
      </c>
      <c r="L106" t="e" cm="1">
        <f t="array" ref="L106">INDEX('GMW - Baseline'!$A$2:$MC$200,MATCH(1,('GMW - Baseline'!$MC$2:$MC$200=L$3)*('GMW - Baseline'!$MB$2:$MB$200=L$4),0),$E106-1973)</f>
        <v>#N/A</v>
      </c>
      <c r="M106" t="e" cm="1">
        <f t="array" ref="M106">INDEX('GMW - Baseline'!$A$2:$MC$200,MATCH(1,('GMW - Baseline'!$MC$2:$MC$200=M$3)*('GMW - Baseline'!$MB$2:$MB$200=M$4),0),$E106-1973)</f>
        <v>#N/A</v>
      </c>
      <c r="N106" t="e" cm="1">
        <f t="array" ref="N106">INDEX('GMW - Baseline'!$A$2:$MC$200,MATCH(1,('GMW - Baseline'!$MC$2:$MC$200=N$3)*('GMW - Baseline'!$MB$2:$MB$200=N$4),0),$E106-1973)</f>
        <v>#N/A</v>
      </c>
      <c r="O106" t="e" cm="1">
        <f t="array" ref="O106">INDEX('GMW - Baseline'!$A$2:$MC$200,MATCH(1,('GMW - Baseline'!$MC$2:$MC$200=O$3)*('GMW - Baseline'!$MB$2:$MB$200=O$4),0),$E106-1973)</f>
        <v>#N/A</v>
      </c>
      <c r="P106" t="e" cm="1">
        <f t="array" ref="P106">INDEX('GMW - Baseline'!$A$2:$MC$200,MATCH(1,('GMW - Baseline'!$MC$2:$MC$200=P$3)*('GMW - Baseline'!$MB$2:$MB$200=P$4),0),$E106-1973)</f>
        <v>#N/A</v>
      </c>
      <c r="Q106" t="e" cm="1">
        <f t="array" ref="Q106">INDEX('GMW - Baseline'!$A$2:$MC$200,MATCH(1,('GMW - Baseline'!$MC$2:$MC$200=Q$3)*('GMW - Baseline'!$MB$2:$MB$200=Q$4),0),$E106-1973)</f>
        <v>#N/A</v>
      </c>
      <c r="R106" t="e" cm="1">
        <f t="array" ref="R106">INDEX('GMW - Baseline'!$A$2:$MC$200,MATCH(1,('GMW - Baseline'!$MC$2:$MC$200=R$3)*('GMW - Baseline'!$MB$2:$MB$200=R$4),0),$E106-1973)</f>
        <v>#N/A</v>
      </c>
      <c r="S106" t="e" cm="1">
        <f t="array" ref="S106">INDEX('GMW - Baseline'!$A$2:$MC$200,MATCH(1,('GMW - Baseline'!$MC$2:$MC$200=S$3)*('GMW - Baseline'!$MB$2:$MB$200=S$4),0),$E106-1973)</f>
        <v>#N/A</v>
      </c>
      <c r="T106" t="e" cm="1">
        <f t="array" ref="T106">INDEX('GMW - Baseline'!$A$2:$MC$200,MATCH(1,('GMW - Baseline'!$MC$2:$MC$200=T$3)*('GMW - Baseline'!$MB$2:$MB$200=T$4),0),$E106-1973)</f>
        <v>#N/A</v>
      </c>
    </row>
    <row r="107" spans="1:20" x14ac:dyDescent="0.25">
      <c r="A107">
        <v>2005</v>
      </c>
      <c r="B107">
        <f t="shared" si="8"/>
        <v>2005</v>
      </c>
      <c r="C107">
        <f t="shared" si="8"/>
        <v>2004</v>
      </c>
      <c r="D107">
        <f t="shared" si="8"/>
        <v>2004</v>
      </c>
      <c r="E107">
        <f t="shared" si="6"/>
        <v>2080</v>
      </c>
      <c r="F107" cm="1">
        <f t="array" ref="F107">INDEX('GMW - Baseline'!$A$2:$MC$200,MATCH(1,('GMW - Baseline'!$MC$2:$MC$200=F$3)*('GMW - Baseline'!$MB$2:$MB$200=F$4),0),$E107-1973)</f>
        <v>541028</v>
      </c>
      <c r="G107" cm="1">
        <f t="array" ref="G107">INDEX('GMW - Baseline'!$A$2:$MC$200,MATCH(1,('GMW - Baseline'!$MC$2:$MC$200=G$3)*('GMW - Baseline'!$MB$2:$MB$200=G$4),0),$E107-1973)</f>
        <v>332385</v>
      </c>
      <c r="H107" cm="1">
        <f t="array" ref="H107">INDEX('GMW - Baseline'!$A$2:$MC$200,MATCH(1,('GMW - Baseline'!$MC$2:$MC$200=H$3)*('GMW - Baseline'!$MB$2:$MB$200=H$4),0),$E107-1973)</f>
        <v>77.233329999999995</v>
      </c>
      <c r="I107" cm="1">
        <f t="array" ref="I107">INDEX('GMW - Baseline'!$A$2:$MC$200,MATCH(1,('GMW - Baseline'!$MC$2:$MC$200=I$3)*('GMW - Baseline'!$MB$2:$MB$200=I$4),0),$E107-1973)</f>
        <v>4.75</v>
      </c>
      <c r="J107" t="e" cm="1">
        <f t="array" ref="J107">INDEX('GMW - Baseline'!$A$2:$MC$200,MATCH(1,('GMW - Baseline'!$MC$2:$MC$200=J$3)*('GMW - Baseline'!$MB$2:$MB$200=J$4),0),$E107-1973)</f>
        <v>#N/A</v>
      </c>
      <c r="K107" t="e" cm="1">
        <f t="array" ref="K107">INDEX('GMW - Baseline'!$A$2:$MC$200,MATCH(1,('GMW - Baseline'!$MC$2:$MC$200=K$3)*('GMW - Baseline'!$MB$2:$MB$200=K$4),0),$E107-1973)</f>
        <v>#N/A</v>
      </c>
      <c r="L107" t="e" cm="1">
        <f t="array" ref="L107">INDEX('GMW - Baseline'!$A$2:$MC$200,MATCH(1,('GMW - Baseline'!$MC$2:$MC$200=L$3)*('GMW - Baseline'!$MB$2:$MB$200=L$4),0),$E107-1973)</f>
        <v>#N/A</v>
      </c>
      <c r="M107" t="e" cm="1">
        <f t="array" ref="M107">INDEX('GMW - Baseline'!$A$2:$MC$200,MATCH(1,('GMW - Baseline'!$MC$2:$MC$200=M$3)*('GMW - Baseline'!$MB$2:$MB$200=M$4),0),$E107-1973)</f>
        <v>#N/A</v>
      </c>
      <c r="N107" t="e" cm="1">
        <f t="array" ref="N107">INDEX('GMW - Baseline'!$A$2:$MC$200,MATCH(1,('GMW - Baseline'!$MC$2:$MC$200=N$3)*('GMW - Baseline'!$MB$2:$MB$200=N$4),0),$E107-1973)</f>
        <v>#N/A</v>
      </c>
      <c r="O107" t="e" cm="1">
        <f t="array" ref="O107">INDEX('GMW - Baseline'!$A$2:$MC$200,MATCH(1,('GMW - Baseline'!$MC$2:$MC$200=O$3)*('GMW - Baseline'!$MB$2:$MB$200=O$4),0),$E107-1973)</f>
        <v>#N/A</v>
      </c>
      <c r="P107" t="e" cm="1">
        <f t="array" ref="P107">INDEX('GMW - Baseline'!$A$2:$MC$200,MATCH(1,('GMW - Baseline'!$MC$2:$MC$200=P$3)*('GMW - Baseline'!$MB$2:$MB$200=P$4),0),$E107-1973)</f>
        <v>#N/A</v>
      </c>
      <c r="Q107" t="e" cm="1">
        <f t="array" ref="Q107">INDEX('GMW - Baseline'!$A$2:$MC$200,MATCH(1,('GMW - Baseline'!$MC$2:$MC$200=Q$3)*('GMW - Baseline'!$MB$2:$MB$200=Q$4),0),$E107-1973)</f>
        <v>#N/A</v>
      </c>
      <c r="R107" t="e" cm="1">
        <f t="array" ref="R107">INDEX('GMW - Baseline'!$A$2:$MC$200,MATCH(1,('GMW - Baseline'!$MC$2:$MC$200=R$3)*('GMW - Baseline'!$MB$2:$MB$200=R$4),0),$E107-1973)</f>
        <v>#N/A</v>
      </c>
      <c r="S107" t="e" cm="1">
        <f t="array" ref="S107">INDEX('GMW - Baseline'!$A$2:$MC$200,MATCH(1,('GMW - Baseline'!$MC$2:$MC$200=S$3)*('GMW - Baseline'!$MB$2:$MB$200=S$4),0),$E107-1973)</f>
        <v>#N/A</v>
      </c>
      <c r="T107" t="e" cm="1">
        <f t="array" ref="T107">INDEX('GMW - Baseline'!$A$2:$MC$200,MATCH(1,('GMW - Baseline'!$MC$2:$MC$200=T$3)*('GMW - Baseline'!$MB$2:$MB$200=T$4),0),$E107-1973)</f>
        <v>#N/A</v>
      </c>
    </row>
    <row r="108" spans="1:20" x14ac:dyDescent="0.25">
      <c r="B108">
        <f t="shared" ref="B108:D123" si="9">+B104+1</f>
        <v>2005</v>
      </c>
      <c r="C108">
        <f t="shared" si="9"/>
        <v>2005</v>
      </c>
      <c r="E108">
        <f t="shared" si="6"/>
        <v>2081</v>
      </c>
      <c r="F108" cm="1">
        <f t="array" ref="F108">INDEX('GMW - Baseline'!$A$2:$MC$200,MATCH(1,('GMW - Baseline'!$MC$2:$MC$200=F$3)*('GMW - Baseline'!$MB$2:$MB$200=F$4),0),$E108-1973)</f>
        <v>545530</v>
      </c>
      <c r="G108" cm="1">
        <f t="array" ref="G108">INDEX('GMW - Baseline'!$A$2:$MC$200,MATCH(1,('GMW - Baseline'!$MC$2:$MC$200=G$3)*('GMW - Baseline'!$MB$2:$MB$200=G$4),0),$E108-1973)</f>
        <v>333357</v>
      </c>
      <c r="H108" cm="1">
        <f t="array" ref="H108">INDEX('GMW - Baseline'!$A$2:$MC$200,MATCH(1,('GMW - Baseline'!$MC$2:$MC$200=H$3)*('GMW - Baseline'!$MB$2:$MB$200=H$4),0),$E108-1973)</f>
        <v>78</v>
      </c>
      <c r="I108" cm="1">
        <f t="array" ref="I108">INDEX('GMW - Baseline'!$A$2:$MC$200,MATCH(1,('GMW - Baseline'!$MC$2:$MC$200=I$3)*('GMW - Baseline'!$MB$2:$MB$200=I$4),0),$E108-1973)</f>
        <v>4.75</v>
      </c>
      <c r="J108" t="e" cm="1">
        <f t="array" ref="J108">INDEX('GMW - Baseline'!$A$2:$MC$200,MATCH(1,('GMW - Baseline'!$MC$2:$MC$200=J$3)*('GMW - Baseline'!$MB$2:$MB$200=J$4),0),$E108-1973)</f>
        <v>#N/A</v>
      </c>
      <c r="K108" t="e" cm="1">
        <f t="array" ref="K108">INDEX('GMW - Baseline'!$A$2:$MC$200,MATCH(1,('GMW - Baseline'!$MC$2:$MC$200=K$3)*('GMW - Baseline'!$MB$2:$MB$200=K$4),0),$E108-1973)</f>
        <v>#N/A</v>
      </c>
      <c r="L108" t="e" cm="1">
        <f t="array" ref="L108">INDEX('GMW - Baseline'!$A$2:$MC$200,MATCH(1,('GMW - Baseline'!$MC$2:$MC$200=L$3)*('GMW - Baseline'!$MB$2:$MB$200=L$4),0),$E108-1973)</f>
        <v>#N/A</v>
      </c>
      <c r="M108" t="e" cm="1">
        <f t="array" ref="M108">INDEX('GMW - Baseline'!$A$2:$MC$200,MATCH(1,('GMW - Baseline'!$MC$2:$MC$200=M$3)*('GMW - Baseline'!$MB$2:$MB$200=M$4),0),$E108-1973)</f>
        <v>#N/A</v>
      </c>
      <c r="N108" t="e" cm="1">
        <f t="array" ref="N108">INDEX('GMW - Baseline'!$A$2:$MC$200,MATCH(1,('GMW - Baseline'!$MC$2:$MC$200=N$3)*('GMW - Baseline'!$MB$2:$MB$200=N$4),0),$E108-1973)</f>
        <v>#N/A</v>
      </c>
      <c r="O108" t="e" cm="1">
        <f t="array" ref="O108">INDEX('GMW - Baseline'!$A$2:$MC$200,MATCH(1,('GMW - Baseline'!$MC$2:$MC$200=O$3)*('GMW - Baseline'!$MB$2:$MB$200=O$4),0),$E108-1973)</f>
        <v>#N/A</v>
      </c>
      <c r="P108" t="e" cm="1">
        <f t="array" ref="P108">INDEX('GMW - Baseline'!$A$2:$MC$200,MATCH(1,('GMW - Baseline'!$MC$2:$MC$200=P$3)*('GMW - Baseline'!$MB$2:$MB$200=P$4),0),$E108-1973)</f>
        <v>#N/A</v>
      </c>
      <c r="Q108" t="e" cm="1">
        <f t="array" ref="Q108">INDEX('GMW - Baseline'!$A$2:$MC$200,MATCH(1,('GMW - Baseline'!$MC$2:$MC$200=Q$3)*('GMW - Baseline'!$MB$2:$MB$200=Q$4),0),$E108-1973)</f>
        <v>#N/A</v>
      </c>
      <c r="R108" t="e" cm="1">
        <f t="array" ref="R108">INDEX('GMW - Baseline'!$A$2:$MC$200,MATCH(1,('GMW - Baseline'!$MC$2:$MC$200=R$3)*('GMW - Baseline'!$MB$2:$MB$200=R$4),0),$E108-1973)</f>
        <v>#N/A</v>
      </c>
      <c r="S108" t="e" cm="1">
        <f t="array" ref="S108">INDEX('GMW - Baseline'!$A$2:$MC$200,MATCH(1,('GMW - Baseline'!$MC$2:$MC$200=S$3)*('GMW - Baseline'!$MB$2:$MB$200=S$4),0),$E108-1973)</f>
        <v>#N/A</v>
      </c>
      <c r="T108" t="e" cm="1">
        <f t="array" ref="T108">INDEX('GMW - Baseline'!$A$2:$MC$200,MATCH(1,('GMW - Baseline'!$MC$2:$MC$200=T$3)*('GMW - Baseline'!$MB$2:$MB$200=T$4),0),$E108-1973)</f>
        <v>#N/A</v>
      </c>
    </row>
    <row r="109" spans="1:20" x14ac:dyDescent="0.25">
      <c r="B109">
        <f t="shared" si="9"/>
        <v>2005</v>
      </c>
      <c r="C109">
        <f t="shared" si="9"/>
        <v>2005</v>
      </c>
      <c r="E109">
        <f t="shared" si="6"/>
        <v>2082</v>
      </c>
      <c r="F109" cm="1">
        <f t="array" ref="F109">INDEX('GMW - Baseline'!$A$2:$MC$200,MATCH(1,('GMW - Baseline'!$MC$2:$MC$200=F$3)*('GMW - Baseline'!$MB$2:$MB$200=F$4),0),$E109-1973)</f>
        <v>550552</v>
      </c>
      <c r="G109" cm="1">
        <f t="array" ref="G109">INDEX('GMW - Baseline'!$A$2:$MC$200,MATCH(1,('GMW - Baseline'!$MC$2:$MC$200=G$3)*('GMW - Baseline'!$MB$2:$MB$200=G$4),0),$E109-1973)</f>
        <v>335900</v>
      </c>
      <c r="H109" cm="1">
        <f t="array" ref="H109">INDEX('GMW - Baseline'!$A$2:$MC$200,MATCH(1,('GMW - Baseline'!$MC$2:$MC$200=H$3)*('GMW - Baseline'!$MB$2:$MB$200=H$4),0),$E109-1973)</f>
        <v>78.400000000000006</v>
      </c>
      <c r="I109" cm="1">
        <f t="array" ref="I109">INDEX('GMW - Baseline'!$A$2:$MC$200,MATCH(1,('GMW - Baseline'!$MC$2:$MC$200=I$3)*('GMW - Baseline'!$MB$2:$MB$200=I$4),0),$E109-1973)</f>
        <v>4.5909089999999999</v>
      </c>
      <c r="J109" t="e" cm="1">
        <f t="array" ref="J109">INDEX('GMW - Baseline'!$A$2:$MC$200,MATCH(1,('GMW - Baseline'!$MC$2:$MC$200=J$3)*('GMW - Baseline'!$MB$2:$MB$200=J$4),0),$E109-1973)</f>
        <v>#N/A</v>
      </c>
      <c r="K109" t="e" cm="1">
        <f t="array" ref="K109">INDEX('GMW - Baseline'!$A$2:$MC$200,MATCH(1,('GMW - Baseline'!$MC$2:$MC$200=K$3)*('GMW - Baseline'!$MB$2:$MB$200=K$4),0),$E109-1973)</f>
        <v>#N/A</v>
      </c>
      <c r="L109" t="e" cm="1">
        <f t="array" ref="L109">INDEX('GMW - Baseline'!$A$2:$MC$200,MATCH(1,('GMW - Baseline'!$MC$2:$MC$200=L$3)*('GMW - Baseline'!$MB$2:$MB$200=L$4),0),$E109-1973)</f>
        <v>#N/A</v>
      </c>
      <c r="M109" t="e" cm="1">
        <f t="array" ref="M109">INDEX('GMW - Baseline'!$A$2:$MC$200,MATCH(1,('GMW - Baseline'!$MC$2:$MC$200=M$3)*('GMW - Baseline'!$MB$2:$MB$200=M$4),0),$E109-1973)</f>
        <v>#N/A</v>
      </c>
      <c r="N109" t="e" cm="1">
        <f t="array" ref="N109">INDEX('GMW - Baseline'!$A$2:$MC$200,MATCH(1,('GMW - Baseline'!$MC$2:$MC$200=N$3)*('GMW - Baseline'!$MB$2:$MB$200=N$4),0),$E109-1973)</f>
        <v>#N/A</v>
      </c>
      <c r="O109" t="e" cm="1">
        <f t="array" ref="O109">INDEX('GMW - Baseline'!$A$2:$MC$200,MATCH(1,('GMW - Baseline'!$MC$2:$MC$200=O$3)*('GMW - Baseline'!$MB$2:$MB$200=O$4),0),$E109-1973)</f>
        <v>#N/A</v>
      </c>
      <c r="P109" t="e" cm="1">
        <f t="array" ref="P109">INDEX('GMW - Baseline'!$A$2:$MC$200,MATCH(1,('GMW - Baseline'!$MC$2:$MC$200=P$3)*('GMW - Baseline'!$MB$2:$MB$200=P$4),0),$E109-1973)</f>
        <v>#N/A</v>
      </c>
      <c r="Q109" t="e" cm="1">
        <f t="array" ref="Q109">INDEX('GMW - Baseline'!$A$2:$MC$200,MATCH(1,('GMW - Baseline'!$MC$2:$MC$200=Q$3)*('GMW - Baseline'!$MB$2:$MB$200=Q$4),0),$E109-1973)</f>
        <v>#N/A</v>
      </c>
      <c r="R109" t="e" cm="1">
        <f t="array" ref="R109">INDEX('GMW - Baseline'!$A$2:$MC$200,MATCH(1,('GMW - Baseline'!$MC$2:$MC$200=R$3)*('GMW - Baseline'!$MB$2:$MB$200=R$4),0),$E109-1973)</f>
        <v>#N/A</v>
      </c>
      <c r="S109" t="e" cm="1">
        <f t="array" ref="S109">INDEX('GMW - Baseline'!$A$2:$MC$200,MATCH(1,('GMW - Baseline'!$MC$2:$MC$200=S$3)*('GMW - Baseline'!$MB$2:$MB$200=S$4),0),$E109-1973)</f>
        <v>#N/A</v>
      </c>
      <c r="T109" t="e" cm="1">
        <f t="array" ref="T109">INDEX('GMW - Baseline'!$A$2:$MC$200,MATCH(1,('GMW - Baseline'!$MC$2:$MC$200=T$3)*('GMW - Baseline'!$MB$2:$MB$200=T$4),0),$E109-1973)</f>
        <v>#N/A</v>
      </c>
    </row>
    <row r="110" spans="1:20" x14ac:dyDescent="0.25">
      <c r="B110">
        <f t="shared" si="9"/>
        <v>2005</v>
      </c>
      <c r="C110">
        <f t="shared" si="9"/>
        <v>2005</v>
      </c>
      <c r="E110">
        <f t="shared" si="6"/>
        <v>2083</v>
      </c>
      <c r="F110" cm="1">
        <f t="array" ref="F110">INDEX('GMW - Baseline'!$A$2:$MC$200,MATCH(1,('GMW - Baseline'!$MC$2:$MC$200=F$3)*('GMW - Baseline'!$MB$2:$MB$200=F$4),0),$E110-1973)</f>
        <v>556311</v>
      </c>
      <c r="G110" cm="1">
        <f t="array" ref="G110">INDEX('GMW - Baseline'!$A$2:$MC$200,MATCH(1,('GMW - Baseline'!$MC$2:$MC$200=G$3)*('GMW - Baseline'!$MB$2:$MB$200=G$4),0),$E110-1973)</f>
        <v>336830</v>
      </c>
      <c r="H110" cm="1">
        <f t="array" ref="H110">INDEX('GMW - Baseline'!$A$2:$MC$200,MATCH(1,('GMW - Baseline'!$MC$2:$MC$200=H$3)*('GMW - Baseline'!$MB$2:$MB$200=H$4),0),$E110-1973)</f>
        <v>78.766670000000005</v>
      </c>
      <c r="I110" cm="1">
        <f t="array" ref="I110">INDEX('GMW - Baseline'!$A$2:$MC$200,MATCH(1,('GMW - Baseline'!$MC$2:$MC$200=I$3)*('GMW - Baseline'!$MB$2:$MB$200=I$4),0),$E110-1973)</f>
        <v>4.5</v>
      </c>
      <c r="J110" t="e" cm="1">
        <f t="array" ref="J110">INDEX('GMW - Baseline'!$A$2:$MC$200,MATCH(1,('GMW - Baseline'!$MC$2:$MC$200=J$3)*('GMW - Baseline'!$MB$2:$MB$200=J$4),0),$E110-1973)</f>
        <v>#N/A</v>
      </c>
      <c r="K110" t="e" cm="1">
        <f t="array" ref="K110">INDEX('GMW - Baseline'!$A$2:$MC$200,MATCH(1,('GMW - Baseline'!$MC$2:$MC$200=K$3)*('GMW - Baseline'!$MB$2:$MB$200=K$4),0),$E110-1973)</f>
        <v>#N/A</v>
      </c>
      <c r="L110" t="e" cm="1">
        <f t="array" ref="L110">INDEX('GMW - Baseline'!$A$2:$MC$200,MATCH(1,('GMW - Baseline'!$MC$2:$MC$200=L$3)*('GMW - Baseline'!$MB$2:$MB$200=L$4),0),$E110-1973)</f>
        <v>#N/A</v>
      </c>
      <c r="M110" t="e" cm="1">
        <f t="array" ref="M110">INDEX('GMW - Baseline'!$A$2:$MC$200,MATCH(1,('GMW - Baseline'!$MC$2:$MC$200=M$3)*('GMW - Baseline'!$MB$2:$MB$200=M$4),0),$E110-1973)</f>
        <v>#N/A</v>
      </c>
      <c r="N110" t="e" cm="1">
        <f t="array" ref="N110">INDEX('GMW - Baseline'!$A$2:$MC$200,MATCH(1,('GMW - Baseline'!$MC$2:$MC$200=N$3)*('GMW - Baseline'!$MB$2:$MB$200=N$4),0),$E110-1973)</f>
        <v>#N/A</v>
      </c>
      <c r="O110" t="e" cm="1">
        <f t="array" ref="O110">INDEX('GMW - Baseline'!$A$2:$MC$200,MATCH(1,('GMW - Baseline'!$MC$2:$MC$200=O$3)*('GMW - Baseline'!$MB$2:$MB$200=O$4),0),$E110-1973)</f>
        <v>#N/A</v>
      </c>
      <c r="P110" t="e" cm="1">
        <f t="array" ref="P110">INDEX('GMW - Baseline'!$A$2:$MC$200,MATCH(1,('GMW - Baseline'!$MC$2:$MC$200=P$3)*('GMW - Baseline'!$MB$2:$MB$200=P$4),0),$E110-1973)</f>
        <v>#N/A</v>
      </c>
      <c r="Q110" t="e" cm="1">
        <f t="array" ref="Q110">INDEX('GMW - Baseline'!$A$2:$MC$200,MATCH(1,('GMW - Baseline'!$MC$2:$MC$200=Q$3)*('GMW - Baseline'!$MB$2:$MB$200=Q$4),0),$E110-1973)</f>
        <v>#N/A</v>
      </c>
      <c r="R110" t="e" cm="1">
        <f t="array" ref="R110">INDEX('GMW - Baseline'!$A$2:$MC$200,MATCH(1,('GMW - Baseline'!$MC$2:$MC$200=R$3)*('GMW - Baseline'!$MB$2:$MB$200=R$4),0),$E110-1973)</f>
        <v>#N/A</v>
      </c>
      <c r="S110" t="e" cm="1">
        <f t="array" ref="S110">INDEX('GMW - Baseline'!$A$2:$MC$200,MATCH(1,('GMW - Baseline'!$MC$2:$MC$200=S$3)*('GMW - Baseline'!$MB$2:$MB$200=S$4),0),$E110-1973)</f>
        <v>#N/A</v>
      </c>
      <c r="T110" t="e" cm="1">
        <f t="array" ref="T110">INDEX('GMW - Baseline'!$A$2:$MC$200,MATCH(1,('GMW - Baseline'!$MC$2:$MC$200=T$3)*('GMW - Baseline'!$MB$2:$MB$200=T$4),0),$E110-1973)</f>
        <v>#N/A</v>
      </c>
    </row>
    <row r="111" spans="1:20" x14ac:dyDescent="0.25">
      <c r="A111">
        <v>2006</v>
      </c>
      <c r="B111">
        <f t="shared" si="9"/>
        <v>2006</v>
      </c>
      <c r="C111">
        <f t="shared" si="9"/>
        <v>2005</v>
      </c>
      <c r="D111">
        <f t="shared" si="9"/>
        <v>2005</v>
      </c>
      <c r="E111">
        <f t="shared" si="6"/>
        <v>2084</v>
      </c>
      <c r="F111" cm="1">
        <f t="array" ref="F111">INDEX('GMW - Baseline'!$A$2:$MC$200,MATCH(1,('GMW - Baseline'!$MC$2:$MC$200=F$3)*('GMW - Baseline'!$MB$2:$MB$200=F$4),0),$E111-1973)</f>
        <v>558314</v>
      </c>
      <c r="G111" cm="1">
        <f t="array" ref="G111">INDEX('GMW - Baseline'!$A$2:$MC$200,MATCH(1,('GMW - Baseline'!$MC$2:$MC$200=G$3)*('GMW - Baseline'!$MB$2:$MB$200=G$4),0),$E111-1973)</f>
        <v>335359</v>
      </c>
      <c r="H111" cm="1">
        <f t="array" ref="H111">INDEX('GMW - Baseline'!$A$2:$MC$200,MATCH(1,('GMW - Baseline'!$MC$2:$MC$200=H$3)*('GMW - Baseline'!$MB$2:$MB$200=H$4),0),$E111-1973)</f>
        <v>78.733329999999995</v>
      </c>
      <c r="I111" cm="1">
        <f t="array" ref="I111">INDEX('GMW - Baseline'!$A$2:$MC$200,MATCH(1,('GMW - Baseline'!$MC$2:$MC$200=I$3)*('GMW - Baseline'!$MB$2:$MB$200=I$4),0),$E111-1973)</f>
        <v>4.5</v>
      </c>
      <c r="J111" t="e" cm="1">
        <f t="array" ref="J111">INDEX('GMW - Baseline'!$A$2:$MC$200,MATCH(1,('GMW - Baseline'!$MC$2:$MC$200=J$3)*('GMW - Baseline'!$MB$2:$MB$200=J$4),0),$E111-1973)</f>
        <v>#N/A</v>
      </c>
      <c r="K111" t="e" cm="1">
        <f t="array" ref="K111">INDEX('GMW - Baseline'!$A$2:$MC$200,MATCH(1,('GMW - Baseline'!$MC$2:$MC$200=K$3)*('GMW - Baseline'!$MB$2:$MB$200=K$4),0),$E111-1973)</f>
        <v>#N/A</v>
      </c>
      <c r="L111" t="e" cm="1">
        <f t="array" ref="L111">INDEX('GMW - Baseline'!$A$2:$MC$200,MATCH(1,('GMW - Baseline'!$MC$2:$MC$200=L$3)*('GMW - Baseline'!$MB$2:$MB$200=L$4),0),$E111-1973)</f>
        <v>#N/A</v>
      </c>
      <c r="M111" t="e" cm="1">
        <f t="array" ref="M111">INDEX('GMW - Baseline'!$A$2:$MC$200,MATCH(1,('GMW - Baseline'!$MC$2:$MC$200=M$3)*('GMW - Baseline'!$MB$2:$MB$200=M$4),0),$E111-1973)</f>
        <v>#N/A</v>
      </c>
      <c r="N111" t="e" cm="1">
        <f t="array" ref="N111">INDEX('GMW - Baseline'!$A$2:$MC$200,MATCH(1,('GMW - Baseline'!$MC$2:$MC$200=N$3)*('GMW - Baseline'!$MB$2:$MB$200=N$4),0),$E111-1973)</f>
        <v>#N/A</v>
      </c>
      <c r="O111" t="e" cm="1">
        <f t="array" ref="O111">INDEX('GMW - Baseline'!$A$2:$MC$200,MATCH(1,('GMW - Baseline'!$MC$2:$MC$200=O$3)*('GMW - Baseline'!$MB$2:$MB$200=O$4),0),$E111-1973)</f>
        <v>#N/A</v>
      </c>
      <c r="P111" t="e" cm="1">
        <f t="array" ref="P111">INDEX('GMW - Baseline'!$A$2:$MC$200,MATCH(1,('GMW - Baseline'!$MC$2:$MC$200=P$3)*('GMW - Baseline'!$MB$2:$MB$200=P$4),0),$E111-1973)</f>
        <v>#N/A</v>
      </c>
      <c r="Q111" t="e" cm="1">
        <f t="array" ref="Q111">INDEX('GMW - Baseline'!$A$2:$MC$200,MATCH(1,('GMW - Baseline'!$MC$2:$MC$200=Q$3)*('GMW - Baseline'!$MB$2:$MB$200=Q$4),0),$E111-1973)</f>
        <v>#N/A</v>
      </c>
      <c r="R111" t="e" cm="1">
        <f t="array" ref="R111">INDEX('GMW - Baseline'!$A$2:$MC$200,MATCH(1,('GMW - Baseline'!$MC$2:$MC$200=R$3)*('GMW - Baseline'!$MB$2:$MB$200=R$4),0),$E111-1973)</f>
        <v>#N/A</v>
      </c>
      <c r="S111" t="e" cm="1">
        <f t="array" ref="S111">INDEX('GMW - Baseline'!$A$2:$MC$200,MATCH(1,('GMW - Baseline'!$MC$2:$MC$200=S$3)*('GMW - Baseline'!$MB$2:$MB$200=S$4),0),$E111-1973)</f>
        <v>#N/A</v>
      </c>
      <c r="T111" t="e" cm="1">
        <f t="array" ref="T111">INDEX('GMW - Baseline'!$A$2:$MC$200,MATCH(1,('GMW - Baseline'!$MC$2:$MC$200=T$3)*('GMW - Baseline'!$MB$2:$MB$200=T$4),0),$E111-1973)</f>
        <v>#N/A</v>
      </c>
    </row>
    <row r="112" spans="1:20" x14ac:dyDescent="0.25">
      <c r="B112">
        <f t="shared" si="9"/>
        <v>2006</v>
      </c>
      <c r="C112">
        <f t="shared" si="9"/>
        <v>2006</v>
      </c>
      <c r="E112">
        <f t="shared" si="6"/>
        <v>2085</v>
      </c>
      <c r="F112" cm="1">
        <f t="array" ref="F112">INDEX('GMW - Baseline'!$A$2:$MC$200,MATCH(1,('GMW - Baseline'!$MC$2:$MC$200=F$3)*('GMW - Baseline'!$MB$2:$MB$200=F$4),0),$E112-1973)</f>
        <v>559795</v>
      </c>
      <c r="G112" cm="1">
        <f t="array" ref="G112">INDEX('GMW - Baseline'!$A$2:$MC$200,MATCH(1,('GMW - Baseline'!$MC$2:$MC$200=G$3)*('GMW - Baseline'!$MB$2:$MB$200=G$4),0),$E112-1973)</f>
        <v>335833</v>
      </c>
      <c r="H112" cm="1">
        <f t="array" ref="H112">INDEX('GMW - Baseline'!$A$2:$MC$200,MATCH(1,('GMW - Baseline'!$MC$2:$MC$200=H$3)*('GMW - Baseline'!$MB$2:$MB$200=H$4),0),$E112-1973)</f>
        <v>79.8</v>
      </c>
      <c r="I112" cm="1">
        <f t="array" ref="I112">INDEX('GMW - Baseline'!$A$2:$MC$200,MATCH(1,('GMW - Baseline'!$MC$2:$MC$200=I$3)*('GMW - Baseline'!$MB$2:$MB$200=I$4),0),$E112-1973)</f>
        <v>4.5</v>
      </c>
      <c r="J112" t="e" cm="1">
        <f t="array" ref="J112">INDEX('GMW - Baseline'!$A$2:$MC$200,MATCH(1,('GMW - Baseline'!$MC$2:$MC$200=J$3)*('GMW - Baseline'!$MB$2:$MB$200=J$4),0),$E112-1973)</f>
        <v>#N/A</v>
      </c>
      <c r="K112" t="e" cm="1">
        <f t="array" ref="K112">INDEX('GMW - Baseline'!$A$2:$MC$200,MATCH(1,('GMW - Baseline'!$MC$2:$MC$200=K$3)*('GMW - Baseline'!$MB$2:$MB$200=K$4),0),$E112-1973)</f>
        <v>#N/A</v>
      </c>
      <c r="L112" t="e" cm="1">
        <f t="array" ref="L112">INDEX('GMW - Baseline'!$A$2:$MC$200,MATCH(1,('GMW - Baseline'!$MC$2:$MC$200=L$3)*('GMW - Baseline'!$MB$2:$MB$200=L$4),0),$E112-1973)</f>
        <v>#N/A</v>
      </c>
      <c r="M112" t="e" cm="1">
        <f t="array" ref="M112">INDEX('GMW - Baseline'!$A$2:$MC$200,MATCH(1,('GMW - Baseline'!$MC$2:$MC$200=M$3)*('GMW - Baseline'!$MB$2:$MB$200=M$4),0),$E112-1973)</f>
        <v>#N/A</v>
      </c>
      <c r="N112" t="e" cm="1">
        <f t="array" ref="N112">INDEX('GMW - Baseline'!$A$2:$MC$200,MATCH(1,('GMW - Baseline'!$MC$2:$MC$200=N$3)*('GMW - Baseline'!$MB$2:$MB$200=N$4),0),$E112-1973)</f>
        <v>#N/A</v>
      </c>
      <c r="O112" t="e" cm="1">
        <f t="array" ref="O112">INDEX('GMW - Baseline'!$A$2:$MC$200,MATCH(1,('GMW - Baseline'!$MC$2:$MC$200=O$3)*('GMW - Baseline'!$MB$2:$MB$200=O$4),0),$E112-1973)</f>
        <v>#N/A</v>
      </c>
      <c r="P112" t="e" cm="1">
        <f t="array" ref="P112">INDEX('GMW - Baseline'!$A$2:$MC$200,MATCH(1,('GMW - Baseline'!$MC$2:$MC$200=P$3)*('GMW - Baseline'!$MB$2:$MB$200=P$4),0),$E112-1973)</f>
        <v>#N/A</v>
      </c>
      <c r="Q112" t="e" cm="1">
        <f t="array" ref="Q112">INDEX('GMW - Baseline'!$A$2:$MC$200,MATCH(1,('GMW - Baseline'!$MC$2:$MC$200=Q$3)*('GMW - Baseline'!$MB$2:$MB$200=Q$4),0),$E112-1973)</f>
        <v>#N/A</v>
      </c>
      <c r="R112" t="e" cm="1">
        <f t="array" ref="R112">INDEX('GMW - Baseline'!$A$2:$MC$200,MATCH(1,('GMW - Baseline'!$MC$2:$MC$200=R$3)*('GMW - Baseline'!$MB$2:$MB$200=R$4),0),$E112-1973)</f>
        <v>#N/A</v>
      </c>
      <c r="S112" t="e" cm="1">
        <f t="array" ref="S112">INDEX('GMW - Baseline'!$A$2:$MC$200,MATCH(1,('GMW - Baseline'!$MC$2:$MC$200=S$3)*('GMW - Baseline'!$MB$2:$MB$200=S$4),0),$E112-1973)</f>
        <v>#N/A</v>
      </c>
      <c r="T112" t="e" cm="1">
        <f t="array" ref="T112">INDEX('GMW - Baseline'!$A$2:$MC$200,MATCH(1,('GMW - Baseline'!$MC$2:$MC$200=T$3)*('GMW - Baseline'!$MB$2:$MB$200=T$4),0),$E112-1973)</f>
        <v>#N/A</v>
      </c>
    </row>
    <row r="113" spans="1:20" x14ac:dyDescent="0.25">
      <c r="B113">
        <f t="shared" si="9"/>
        <v>2006</v>
      </c>
      <c r="C113">
        <f t="shared" si="9"/>
        <v>2006</v>
      </c>
      <c r="E113">
        <f t="shared" si="6"/>
        <v>2086</v>
      </c>
      <c r="F113" cm="1">
        <f t="array" ref="F113">INDEX('GMW - Baseline'!$A$2:$MC$200,MATCH(1,('GMW - Baseline'!$MC$2:$MC$200=F$3)*('GMW - Baseline'!$MB$2:$MB$200=F$4),0),$E113-1973)</f>
        <v>560675</v>
      </c>
      <c r="G113" cm="1">
        <f t="array" ref="G113">INDEX('GMW - Baseline'!$A$2:$MC$200,MATCH(1,('GMW - Baseline'!$MC$2:$MC$200=G$3)*('GMW - Baseline'!$MB$2:$MB$200=G$4),0),$E113-1973)</f>
        <v>338624</v>
      </c>
      <c r="H113" cm="1">
        <f t="array" ref="H113">INDEX('GMW - Baseline'!$A$2:$MC$200,MATCH(1,('GMW - Baseline'!$MC$2:$MC$200=H$3)*('GMW - Baseline'!$MB$2:$MB$200=H$4),0),$E113-1973)</f>
        <v>80.3</v>
      </c>
      <c r="I113" cm="1">
        <f t="array" ref="I113">INDEX('GMW - Baseline'!$A$2:$MC$200,MATCH(1,('GMW - Baseline'!$MC$2:$MC$200=I$3)*('GMW - Baseline'!$MB$2:$MB$200=I$4),0),$E113-1973)</f>
        <v>4.6615390000000003</v>
      </c>
      <c r="J113" t="e" cm="1">
        <f t="array" ref="J113">INDEX('GMW - Baseline'!$A$2:$MC$200,MATCH(1,('GMW - Baseline'!$MC$2:$MC$200=J$3)*('GMW - Baseline'!$MB$2:$MB$200=J$4),0),$E113-1973)</f>
        <v>#N/A</v>
      </c>
      <c r="K113" t="e" cm="1">
        <f t="array" ref="K113">INDEX('GMW - Baseline'!$A$2:$MC$200,MATCH(1,('GMW - Baseline'!$MC$2:$MC$200=K$3)*('GMW - Baseline'!$MB$2:$MB$200=K$4),0),$E113-1973)</f>
        <v>#N/A</v>
      </c>
      <c r="L113" t="e" cm="1">
        <f t="array" ref="L113">INDEX('GMW - Baseline'!$A$2:$MC$200,MATCH(1,('GMW - Baseline'!$MC$2:$MC$200=L$3)*('GMW - Baseline'!$MB$2:$MB$200=L$4),0),$E113-1973)</f>
        <v>#N/A</v>
      </c>
      <c r="M113" t="e" cm="1">
        <f t="array" ref="M113">INDEX('GMW - Baseline'!$A$2:$MC$200,MATCH(1,('GMW - Baseline'!$MC$2:$MC$200=M$3)*('GMW - Baseline'!$MB$2:$MB$200=M$4),0),$E113-1973)</f>
        <v>#N/A</v>
      </c>
      <c r="N113" t="e" cm="1">
        <f t="array" ref="N113">INDEX('GMW - Baseline'!$A$2:$MC$200,MATCH(1,('GMW - Baseline'!$MC$2:$MC$200=N$3)*('GMW - Baseline'!$MB$2:$MB$200=N$4),0),$E113-1973)</f>
        <v>#N/A</v>
      </c>
      <c r="O113" t="e" cm="1">
        <f t="array" ref="O113">INDEX('GMW - Baseline'!$A$2:$MC$200,MATCH(1,('GMW - Baseline'!$MC$2:$MC$200=O$3)*('GMW - Baseline'!$MB$2:$MB$200=O$4),0),$E113-1973)</f>
        <v>#N/A</v>
      </c>
      <c r="P113" t="e" cm="1">
        <f t="array" ref="P113">INDEX('GMW - Baseline'!$A$2:$MC$200,MATCH(1,('GMW - Baseline'!$MC$2:$MC$200=P$3)*('GMW - Baseline'!$MB$2:$MB$200=P$4),0),$E113-1973)</f>
        <v>#N/A</v>
      </c>
      <c r="Q113" t="e" cm="1">
        <f t="array" ref="Q113">INDEX('GMW - Baseline'!$A$2:$MC$200,MATCH(1,('GMW - Baseline'!$MC$2:$MC$200=Q$3)*('GMW - Baseline'!$MB$2:$MB$200=Q$4),0),$E113-1973)</f>
        <v>#N/A</v>
      </c>
      <c r="R113" t="e" cm="1">
        <f t="array" ref="R113">INDEX('GMW - Baseline'!$A$2:$MC$200,MATCH(1,('GMW - Baseline'!$MC$2:$MC$200=R$3)*('GMW - Baseline'!$MB$2:$MB$200=R$4),0),$E113-1973)</f>
        <v>#N/A</v>
      </c>
      <c r="S113" t="e" cm="1">
        <f t="array" ref="S113">INDEX('GMW - Baseline'!$A$2:$MC$200,MATCH(1,('GMW - Baseline'!$MC$2:$MC$200=S$3)*('GMW - Baseline'!$MB$2:$MB$200=S$4),0),$E113-1973)</f>
        <v>#N/A</v>
      </c>
      <c r="T113" t="e" cm="1">
        <f t="array" ref="T113">INDEX('GMW - Baseline'!$A$2:$MC$200,MATCH(1,('GMW - Baseline'!$MC$2:$MC$200=T$3)*('GMW - Baseline'!$MB$2:$MB$200=T$4),0),$E113-1973)</f>
        <v>#N/A</v>
      </c>
    </row>
    <row r="114" spans="1:20" x14ac:dyDescent="0.25">
      <c r="B114">
        <f t="shared" si="9"/>
        <v>2006</v>
      </c>
      <c r="C114">
        <f t="shared" si="9"/>
        <v>2006</v>
      </c>
      <c r="E114">
        <f t="shared" si="6"/>
        <v>2087</v>
      </c>
      <c r="F114" cm="1">
        <f t="array" ref="F114">INDEX('GMW - Baseline'!$A$2:$MC$200,MATCH(1,('GMW - Baseline'!$MC$2:$MC$200=F$3)*('GMW - Baseline'!$MB$2:$MB$200=F$4),0),$E114-1973)</f>
        <v>562669</v>
      </c>
      <c r="G114" cm="1">
        <f t="array" ref="G114">INDEX('GMW - Baseline'!$A$2:$MC$200,MATCH(1,('GMW - Baseline'!$MC$2:$MC$200=G$3)*('GMW - Baseline'!$MB$2:$MB$200=G$4),0),$E114-1973)</f>
        <v>339339</v>
      </c>
      <c r="H114" cm="1">
        <f t="array" ref="H114">INDEX('GMW - Baseline'!$A$2:$MC$200,MATCH(1,('GMW - Baseline'!$MC$2:$MC$200=H$3)*('GMW - Baseline'!$MB$2:$MB$200=H$4),0),$E114-1973)</f>
        <v>80.900000000000006</v>
      </c>
      <c r="I114" cm="1">
        <f t="array" ref="I114">INDEX('GMW - Baseline'!$A$2:$MC$200,MATCH(1,('GMW - Baseline'!$MC$2:$MC$200=I$3)*('GMW - Baseline'!$MB$2:$MB$200=I$4),0),$E114-1973)</f>
        <v>4.8923079999999999</v>
      </c>
      <c r="J114" t="e" cm="1">
        <f t="array" ref="J114">INDEX('GMW - Baseline'!$A$2:$MC$200,MATCH(1,('GMW - Baseline'!$MC$2:$MC$200=J$3)*('GMW - Baseline'!$MB$2:$MB$200=J$4),0),$E114-1973)</f>
        <v>#N/A</v>
      </c>
      <c r="K114" t="e" cm="1">
        <f t="array" ref="K114">INDEX('GMW - Baseline'!$A$2:$MC$200,MATCH(1,('GMW - Baseline'!$MC$2:$MC$200=K$3)*('GMW - Baseline'!$MB$2:$MB$200=K$4),0),$E114-1973)</f>
        <v>#N/A</v>
      </c>
      <c r="L114" t="e" cm="1">
        <f t="array" ref="L114">INDEX('GMW - Baseline'!$A$2:$MC$200,MATCH(1,('GMW - Baseline'!$MC$2:$MC$200=L$3)*('GMW - Baseline'!$MB$2:$MB$200=L$4),0),$E114-1973)</f>
        <v>#N/A</v>
      </c>
      <c r="M114" t="e" cm="1">
        <f t="array" ref="M114">INDEX('GMW - Baseline'!$A$2:$MC$200,MATCH(1,('GMW - Baseline'!$MC$2:$MC$200=M$3)*('GMW - Baseline'!$MB$2:$MB$200=M$4),0),$E114-1973)</f>
        <v>#N/A</v>
      </c>
      <c r="N114" t="e" cm="1">
        <f t="array" ref="N114">INDEX('GMW - Baseline'!$A$2:$MC$200,MATCH(1,('GMW - Baseline'!$MC$2:$MC$200=N$3)*('GMW - Baseline'!$MB$2:$MB$200=N$4),0),$E114-1973)</f>
        <v>#N/A</v>
      </c>
      <c r="O114" t="e" cm="1">
        <f t="array" ref="O114">INDEX('GMW - Baseline'!$A$2:$MC$200,MATCH(1,('GMW - Baseline'!$MC$2:$MC$200=O$3)*('GMW - Baseline'!$MB$2:$MB$200=O$4),0),$E114-1973)</f>
        <v>#N/A</v>
      </c>
      <c r="P114" t="e" cm="1">
        <f t="array" ref="P114">INDEX('GMW - Baseline'!$A$2:$MC$200,MATCH(1,('GMW - Baseline'!$MC$2:$MC$200=P$3)*('GMW - Baseline'!$MB$2:$MB$200=P$4),0),$E114-1973)</f>
        <v>#N/A</v>
      </c>
      <c r="Q114" t="e" cm="1">
        <f t="array" ref="Q114">INDEX('GMW - Baseline'!$A$2:$MC$200,MATCH(1,('GMW - Baseline'!$MC$2:$MC$200=Q$3)*('GMW - Baseline'!$MB$2:$MB$200=Q$4),0),$E114-1973)</f>
        <v>#N/A</v>
      </c>
      <c r="R114" t="e" cm="1">
        <f t="array" ref="R114">INDEX('GMW - Baseline'!$A$2:$MC$200,MATCH(1,('GMW - Baseline'!$MC$2:$MC$200=R$3)*('GMW - Baseline'!$MB$2:$MB$200=R$4),0),$E114-1973)</f>
        <v>#N/A</v>
      </c>
      <c r="S114" t="e" cm="1">
        <f t="array" ref="S114">INDEX('GMW - Baseline'!$A$2:$MC$200,MATCH(1,('GMW - Baseline'!$MC$2:$MC$200=S$3)*('GMW - Baseline'!$MB$2:$MB$200=S$4),0),$E114-1973)</f>
        <v>#N/A</v>
      </c>
      <c r="T114" t="e" cm="1">
        <f t="array" ref="T114">INDEX('GMW - Baseline'!$A$2:$MC$200,MATCH(1,('GMW - Baseline'!$MC$2:$MC$200=T$3)*('GMW - Baseline'!$MB$2:$MB$200=T$4),0),$E114-1973)</f>
        <v>#N/A</v>
      </c>
    </row>
    <row r="115" spans="1:20" x14ac:dyDescent="0.25">
      <c r="A115">
        <v>2007</v>
      </c>
      <c r="B115">
        <f t="shared" si="9"/>
        <v>2007</v>
      </c>
      <c r="C115">
        <f t="shared" si="9"/>
        <v>2006</v>
      </c>
      <c r="D115">
        <f t="shared" si="9"/>
        <v>2006</v>
      </c>
      <c r="E115">
        <f t="shared" si="6"/>
        <v>2088</v>
      </c>
      <c r="F115" cm="1">
        <f t="array" ref="F115">INDEX('GMW - Baseline'!$A$2:$MC$200,MATCH(1,('GMW - Baseline'!$MC$2:$MC$200=F$3)*('GMW - Baseline'!$MB$2:$MB$200=F$4),0),$E115-1973)</f>
        <v>568845</v>
      </c>
      <c r="G115" cm="1">
        <f t="array" ref="G115">INDEX('GMW - Baseline'!$A$2:$MC$200,MATCH(1,('GMW - Baseline'!$MC$2:$MC$200=G$3)*('GMW - Baseline'!$MB$2:$MB$200=G$4),0),$E115-1973)</f>
        <v>343169</v>
      </c>
      <c r="H115" cm="1">
        <f t="array" ref="H115">INDEX('GMW - Baseline'!$A$2:$MC$200,MATCH(1,('GMW - Baseline'!$MC$2:$MC$200=H$3)*('GMW - Baseline'!$MB$2:$MB$200=H$4),0),$E115-1973)</f>
        <v>81</v>
      </c>
      <c r="I115" cm="1">
        <f t="array" ref="I115">INDEX('GMW - Baseline'!$A$2:$MC$200,MATCH(1,('GMW - Baseline'!$MC$2:$MC$200=I$3)*('GMW - Baseline'!$MB$2:$MB$200=I$4),0),$E115-1973)</f>
        <v>5.2192309999999997</v>
      </c>
      <c r="J115" t="e" cm="1">
        <f t="array" ref="J115">INDEX('GMW - Baseline'!$A$2:$MC$200,MATCH(1,('GMW - Baseline'!$MC$2:$MC$200=J$3)*('GMW - Baseline'!$MB$2:$MB$200=J$4),0),$E115-1973)</f>
        <v>#N/A</v>
      </c>
      <c r="K115" t="e" cm="1">
        <f t="array" ref="K115">INDEX('GMW - Baseline'!$A$2:$MC$200,MATCH(1,('GMW - Baseline'!$MC$2:$MC$200=K$3)*('GMW - Baseline'!$MB$2:$MB$200=K$4),0),$E115-1973)</f>
        <v>#N/A</v>
      </c>
      <c r="L115" t="e" cm="1">
        <f t="array" ref="L115">INDEX('GMW - Baseline'!$A$2:$MC$200,MATCH(1,('GMW - Baseline'!$MC$2:$MC$200=L$3)*('GMW - Baseline'!$MB$2:$MB$200=L$4),0),$E115-1973)</f>
        <v>#N/A</v>
      </c>
      <c r="M115" t="e" cm="1">
        <f t="array" ref="M115">INDEX('GMW - Baseline'!$A$2:$MC$200,MATCH(1,('GMW - Baseline'!$MC$2:$MC$200=M$3)*('GMW - Baseline'!$MB$2:$MB$200=M$4),0),$E115-1973)</f>
        <v>#N/A</v>
      </c>
      <c r="N115" t="e" cm="1">
        <f t="array" ref="N115">INDEX('GMW - Baseline'!$A$2:$MC$200,MATCH(1,('GMW - Baseline'!$MC$2:$MC$200=N$3)*('GMW - Baseline'!$MB$2:$MB$200=N$4),0),$E115-1973)</f>
        <v>#N/A</v>
      </c>
      <c r="O115" t="e" cm="1">
        <f t="array" ref="O115">INDEX('GMW - Baseline'!$A$2:$MC$200,MATCH(1,('GMW - Baseline'!$MC$2:$MC$200=O$3)*('GMW - Baseline'!$MB$2:$MB$200=O$4),0),$E115-1973)</f>
        <v>#N/A</v>
      </c>
      <c r="P115" t="e" cm="1">
        <f t="array" ref="P115">INDEX('GMW - Baseline'!$A$2:$MC$200,MATCH(1,('GMW - Baseline'!$MC$2:$MC$200=P$3)*('GMW - Baseline'!$MB$2:$MB$200=P$4),0),$E115-1973)</f>
        <v>#N/A</v>
      </c>
      <c r="Q115" t="e" cm="1">
        <f t="array" ref="Q115">INDEX('GMW - Baseline'!$A$2:$MC$200,MATCH(1,('GMW - Baseline'!$MC$2:$MC$200=Q$3)*('GMW - Baseline'!$MB$2:$MB$200=Q$4),0),$E115-1973)</f>
        <v>#N/A</v>
      </c>
      <c r="R115" t="e" cm="1">
        <f t="array" ref="R115">INDEX('GMW - Baseline'!$A$2:$MC$200,MATCH(1,('GMW - Baseline'!$MC$2:$MC$200=R$3)*('GMW - Baseline'!$MB$2:$MB$200=R$4),0),$E115-1973)</f>
        <v>#N/A</v>
      </c>
      <c r="S115" t="e" cm="1">
        <f t="array" ref="S115">INDEX('GMW - Baseline'!$A$2:$MC$200,MATCH(1,('GMW - Baseline'!$MC$2:$MC$200=S$3)*('GMW - Baseline'!$MB$2:$MB$200=S$4),0),$E115-1973)</f>
        <v>#N/A</v>
      </c>
      <c r="T115" t="e" cm="1">
        <f t="array" ref="T115">INDEX('GMW - Baseline'!$A$2:$MC$200,MATCH(1,('GMW - Baseline'!$MC$2:$MC$200=T$3)*('GMW - Baseline'!$MB$2:$MB$200=T$4),0),$E115-1973)</f>
        <v>#N/A</v>
      </c>
    </row>
    <row r="116" spans="1:20" x14ac:dyDescent="0.25">
      <c r="B116">
        <f t="shared" si="9"/>
        <v>2007</v>
      </c>
      <c r="C116">
        <f t="shared" si="9"/>
        <v>2007</v>
      </c>
      <c r="E116">
        <f t="shared" si="6"/>
        <v>2089</v>
      </c>
      <c r="F116" cm="1">
        <f t="array" ref="F116">INDEX('GMW - Baseline'!$A$2:$MC$200,MATCH(1,('GMW - Baseline'!$MC$2:$MC$200=F$3)*('GMW - Baseline'!$MB$2:$MB$200=F$4),0),$E116-1973)</f>
        <v>574194</v>
      </c>
      <c r="G116" cm="1">
        <f t="array" ref="G116">INDEX('GMW - Baseline'!$A$2:$MC$200,MATCH(1,('GMW - Baseline'!$MC$2:$MC$200=G$3)*('GMW - Baseline'!$MB$2:$MB$200=G$4),0),$E116-1973)</f>
        <v>347001</v>
      </c>
      <c r="H116" cm="1">
        <f t="array" ref="H116">INDEX('GMW - Baseline'!$A$2:$MC$200,MATCH(1,('GMW - Baseline'!$MC$2:$MC$200=H$3)*('GMW - Baseline'!$MB$2:$MB$200=H$4),0),$E116-1973)</f>
        <v>81.8</v>
      </c>
      <c r="I116" cm="1">
        <f t="array" ref="I116">INDEX('GMW - Baseline'!$A$2:$MC$200,MATCH(1,('GMW - Baseline'!$MC$2:$MC$200=I$3)*('GMW - Baseline'!$MB$2:$MB$200=I$4),0),$E116-1973)</f>
        <v>5.3923079999999999</v>
      </c>
      <c r="J116" t="e" cm="1">
        <f t="array" ref="J116">INDEX('GMW - Baseline'!$A$2:$MC$200,MATCH(1,('GMW - Baseline'!$MC$2:$MC$200=J$3)*('GMW - Baseline'!$MB$2:$MB$200=J$4),0),$E116-1973)</f>
        <v>#N/A</v>
      </c>
      <c r="K116" t="e" cm="1">
        <f t="array" ref="K116">INDEX('GMW - Baseline'!$A$2:$MC$200,MATCH(1,('GMW - Baseline'!$MC$2:$MC$200=K$3)*('GMW - Baseline'!$MB$2:$MB$200=K$4),0),$E116-1973)</f>
        <v>#N/A</v>
      </c>
      <c r="L116" t="e" cm="1">
        <f t="array" ref="L116">INDEX('GMW - Baseline'!$A$2:$MC$200,MATCH(1,('GMW - Baseline'!$MC$2:$MC$200=L$3)*('GMW - Baseline'!$MB$2:$MB$200=L$4),0),$E116-1973)</f>
        <v>#N/A</v>
      </c>
      <c r="M116" t="e" cm="1">
        <f t="array" ref="M116">INDEX('GMW - Baseline'!$A$2:$MC$200,MATCH(1,('GMW - Baseline'!$MC$2:$MC$200=M$3)*('GMW - Baseline'!$MB$2:$MB$200=M$4),0),$E116-1973)</f>
        <v>#N/A</v>
      </c>
      <c r="N116" t="e" cm="1">
        <f t="array" ref="N116">INDEX('GMW - Baseline'!$A$2:$MC$200,MATCH(1,('GMW - Baseline'!$MC$2:$MC$200=N$3)*('GMW - Baseline'!$MB$2:$MB$200=N$4),0),$E116-1973)</f>
        <v>#N/A</v>
      </c>
      <c r="O116" t="e" cm="1">
        <f t="array" ref="O116">INDEX('GMW - Baseline'!$A$2:$MC$200,MATCH(1,('GMW - Baseline'!$MC$2:$MC$200=O$3)*('GMW - Baseline'!$MB$2:$MB$200=O$4),0),$E116-1973)</f>
        <v>#N/A</v>
      </c>
      <c r="P116" t="e" cm="1">
        <f t="array" ref="P116">INDEX('GMW - Baseline'!$A$2:$MC$200,MATCH(1,('GMW - Baseline'!$MC$2:$MC$200=P$3)*('GMW - Baseline'!$MB$2:$MB$200=P$4),0),$E116-1973)</f>
        <v>#N/A</v>
      </c>
      <c r="Q116" t="e" cm="1">
        <f t="array" ref="Q116">INDEX('GMW - Baseline'!$A$2:$MC$200,MATCH(1,('GMW - Baseline'!$MC$2:$MC$200=Q$3)*('GMW - Baseline'!$MB$2:$MB$200=Q$4),0),$E116-1973)</f>
        <v>#N/A</v>
      </c>
      <c r="R116" t="e" cm="1">
        <f t="array" ref="R116">INDEX('GMW - Baseline'!$A$2:$MC$200,MATCH(1,('GMW - Baseline'!$MC$2:$MC$200=R$3)*('GMW - Baseline'!$MB$2:$MB$200=R$4),0),$E116-1973)</f>
        <v>#N/A</v>
      </c>
      <c r="S116" t="e" cm="1">
        <f t="array" ref="S116">INDEX('GMW - Baseline'!$A$2:$MC$200,MATCH(1,('GMW - Baseline'!$MC$2:$MC$200=S$3)*('GMW - Baseline'!$MB$2:$MB$200=S$4),0),$E116-1973)</f>
        <v>#N/A</v>
      </c>
      <c r="T116" t="e" cm="1">
        <f t="array" ref="T116">INDEX('GMW - Baseline'!$A$2:$MC$200,MATCH(1,('GMW - Baseline'!$MC$2:$MC$200=T$3)*('GMW - Baseline'!$MB$2:$MB$200=T$4),0),$E116-1973)</f>
        <v>#N/A</v>
      </c>
    </row>
    <row r="117" spans="1:20" x14ac:dyDescent="0.25">
      <c r="B117">
        <f t="shared" si="9"/>
        <v>2007</v>
      </c>
      <c r="C117">
        <f t="shared" si="9"/>
        <v>2007</v>
      </c>
      <c r="E117">
        <f t="shared" si="6"/>
        <v>2090</v>
      </c>
      <c r="F117" cm="1">
        <f t="array" ref="F117">INDEX('GMW - Baseline'!$A$2:$MC$200,MATCH(1,('GMW - Baseline'!$MC$2:$MC$200=F$3)*('GMW - Baseline'!$MB$2:$MB$200=F$4),0),$E117-1973)</f>
        <v>579605</v>
      </c>
      <c r="G117" cm="1">
        <f t="array" ref="G117">INDEX('GMW - Baseline'!$A$2:$MC$200,MATCH(1,('GMW - Baseline'!$MC$2:$MC$200=G$3)*('GMW - Baseline'!$MB$2:$MB$200=G$4),0),$E117-1973)</f>
        <v>353872</v>
      </c>
      <c r="H117" cm="1">
        <f t="array" ref="H117">INDEX('GMW - Baseline'!$A$2:$MC$200,MATCH(1,('GMW - Baseline'!$MC$2:$MC$200=H$3)*('GMW - Baseline'!$MB$2:$MB$200=H$4),0),$E117-1973)</f>
        <v>81.733329999999995</v>
      </c>
      <c r="I117" cm="1">
        <f t="array" ref="I117">INDEX('GMW - Baseline'!$A$2:$MC$200,MATCH(1,('GMW - Baseline'!$MC$2:$MC$200=I$3)*('GMW - Baseline'!$MB$2:$MB$200=I$4),0),$E117-1973)</f>
        <v>5.738461</v>
      </c>
      <c r="J117" t="e" cm="1">
        <f t="array" ref="J117">INDEX('GMW - Baseline'!$A$2:$MC$200,MATCH(1,('GMW - Baseline'!$MC$2:$MC$200=J$3)*('GMW - Baseline'!$MB$2:$MB$200=J$4),0),$E117-1973)</f>
        <v>#N/A</v>
      </c>
      <c r="K117" t="e" cm="1">
        <f t="array" ref="K117">INDEX('GMW - Baseline'!$A$2:$MC$200,MATCH(1,('GMW - Baseline'!$MC$2:$MC$200=K$3)*('GMW - Baseline'!$MB$2:$MB$200=K$4),0),$E117-1973)</f>
        <v>#N/A</v>
      </c>
      <c r="L117" t="e" cm="1">
        <f t="array" ref="L117">INDEX('GMW - Baseline'!$A$2:$MC$200,MATCH(1,('GMW - Baseline'!$MC$2:$MC$200=L$3)*('GMW - Baseline'!$MB$2:$MB$200=L$4),0),$E117-1973)</f>
        <v>#N/A</v>
      </c>
      <c r="M117" t="e" cm="1">
        <f t="array" ref="M117">INDEX('GMW - Baseline'!$A$2:$MC$200,MATCH(1,('GMW - Baseline'!$MC$2:$MC$200=M$3)*('GMW - Baseline'!$MB$2:$MB$200=M$4),0),$E117-1973)</f>
        <v>#N/A</v>
      </c>
      <c r="N117" t="e" cm="1">
        <f t="array" ref="N117">INDEX('GMW - Baseline'!$A$2:$MC$200,MATCH(1,('GMW - Baseline'!$MC$2:$MC$200=N$3)*('GMW - Baseline'!$MB$2:$MB$200=N$4),0),$E117-1973)</f>
        <v>#N/A</v>
      </c>
      <c r="O117" t="e" cm="1">
        <f t="array" ref="O117">INDEX('GMW - Baseline'!$A$2:$MC$200,MATCH(1,('GMW - Baseline'!$MC$2:$MC$200=O$3)*('GMW - Baseline'!$MB$2:$MB$200=O$4),0),$E117-1973)</f>
        <v>#N/A</v>
      </c>
      <c r="P117" t="e" cm="1">
        <f t="array" ref="P117">INDEX('GMW - Baseline'!$A$2:$MC$200,MATCH(1,('GMW - Baseline'!$MC$2:$MC$200=P$3)*('GMW - Baseline'!$MB$2:$MB$200=P$4),0),$E117-1973)</f>
        <v>#N/A</v>
      </c>
      <c r="Q117" t="e" cm="1">
        <f t="array" ref="Q117">INDEX('GMW - Baseline'!$A$2:$MC$200,MATCH(1,('GMW - Baseline'!$MC$2:$MC$200=Q$3)*('GMW - Baseline'!$MB$2:$MB$200=Q$4),0),$E117-1973)</f>
        <v>#N/A</v>
      </c>
      <c r="R117" t="e" cm="1">
        <f t="array" ref="R117">INDEX('GMW - Baseline'!$A$2:$MC$200,MATCH(1,('GMW - Baseline'!$MC$2:$MC$200=R$3)*('GMW - Baseline'!$MB$2:$MB$200=R$4),0),$E117-1973)</f>
        <v>#N/A</v>
      </c>
      <c r="S117" t="e" cm="1">
        <f t="array" ref="S117">INDEX('GMW - Baseline'!$A$2:$MC$200,MATCH(1,('GMW - Baseline'!$MC$2:$MC$200=S$3)*('GMW - Baseline'!$MB$2:$MB$200=S$4),0),$E117-1973)</f>
        <v>#N/A</v>
      </c>
      <c r="T117" t="e" cm="1">
        <f t="array" ref="T117">INDEX('GMW - Baseline'!$A$2:$MC$200,MATCH(1,('GMW - Baseline'!$MC$2:$MC$200=T$3)*('GMW - Baseline'!$MB$2:$MB$200=T$4),0),$E117-1973)</f>
        <v>#N/A</v>
      </c>
    </row>
    <row r="118" spans="1:20" x14ac:dyDescent="0.25">
      <c r="B118">
        <f t="shared" si="9"/>
        <v>2007</v>
      </c>
      <c r="C118">
        <f t="shared" si="9"/>
        <v>2007</v>
      </c>
      <c r="E118">
        <f t="shared" si="6"/>
        <v>2091</v>
      </c>
      <c r="F118" cm="1">
        <f t="array" ref="F118">INDEX('GMW - Baseline'!$A$2:$MC$200,MATCH(1,('GMW - Baseline'!$MC$2:$MC$200=F$3)*('GMW - Baseline'!$MB$2:$MB$200=F$4),0),$E118-1973)</f>
        <v>584504</v>
      </c>
      <c r="G118" cm="1">
        <f t="array" ref="G118">INDEX('GMW - Baseline'!$A$2:$MC$200,MATCH(1,('GMW - Baseline'!$MC$2:$MC$200=G$3)*('GMW - Baseline'!$MB$2:$MB$200=G$4),0),$E118-1973)</f>
        <v>353402</v>
      </c>
      <c r="H118" cm="1">
        <f t="array" ref="H118">INDEX('GMW - Baseline'!$A$2:$MC$200,MATCH(1,('GMW - Baseline'!$MC$2:$MC$200=H$3)*('GMW - Baseline'!$MB$2:$MB$200=H$4),0),$E118-1973)</f>
        <v>82.6</v>
      </c>
      <c r="I118" cm="1">
        <f t="array" ref="I118">INDEX('GMW - Baseline'!$A$2:$MC$200,MATCH(1,('GMW - Baseline'!$MC$2:$MC$200=I$3)*('GMW - Baseline'!$MB$2:$MB$200=I$4),0),$E118-1973)</f>
        <v>5.6818179999999998</v>
      </c>
      <c r="J118" t="e" cm="1">
        <f t="array" ref="J118">INDEX('GMW - Baseline'!$A$2:$MC$200,MATCH(1,('GMW - Baseline'!$MC$2:$MC$200=J$3)*('GMW - Baseline'!$MB$2:$MB$200=J$4),0),$E118-1973)</f>
        <v>#N/A</v>
      </c>
      <c r="K118" t="e" cm="1">
        <f t="array" ref="K118">INDEX('GMW - Baseline'!$A$2:$MC$200,MATCH(1,('GMW - Baseline'!$MC$2:$MC$200=K$3)*('GMW - Baseline'!$MB$2:$MB$200=K$4),0),$E118-1973)</f>
        <v>#N/A</v>
      </c>
      <c r="L118" t="e" cm="1">
        <f t="array" ref="L118">INDEX('GMW - Baseline'!$A$2:$MC$200,MATCH(1,('GMW - Baseline'!$MC$2:$MC$200=L$3)*('GMW - Baseline'!$MB$2:$MB$200=L$4),0),$E118-1973)</f>
        <v>#N/A</v>
      </c>
      <c r="M118" t="e" cm="1">
        <f t="array" ref="M118">INDEX('GMW - Baseline'!$A$2:$MC$200,MATCH(1,('GMW - Baseline'!$MC$2:$MC$200=M$3)*('GMW - Baseline'!$MB$2:$MB$200=M$4),0),$E118-1973)</f>
        <v>#N/A</v>
      </c>
      <c r="N118" t="e" cm="1">
        <f t="array" ref="N118">INDEX('GMW - Baseline'!$A$2:$MC$200,MATCH(1,('GMW - Baseline'!$MC$2:$MC$200=N$3)*('GMW - Baseline'!$MB$2:$MB$200=N$4),0),$E118-1973)</f>
        <v>#N/A</v>
      </c>
      <c r="O118" t="e" cm="1">
        <f t="array" ref="O118">INDEX('GMW - Baseline'!$A$2:$MC$200,MATCH(1,('GMW - Baseline'!$MC$2:$MC$200=O$3)*('GMW - Baseline'!$MB$2:$MB$200=O$4),0),$E118-1973)</f>
        <v>#N/A</v>
      </c>
      <c r="P118" t="e" cm="1">
        <f t="array" ref="P118">INDEX('GMW - Baseline'!$A$2:$MC$200,MATCH(1,('GMW - Baseline'!$MC$2:$MC$200=P$3)*('GMW - Baseline'!$MB$2:$MB$200=P$4),0),$E118-1973)</f>
        <v>#N/A</v>
      </c>
      <c r="Q118" t="e" cm="1">
        <f t="array" ref="Q118">INDEX('GMW - Baseline'!$A$2:$MC$200,MATCH(1,('GMW - Baseline'!$MC$2:$MC$200=Q$3)*('GMW - Baseline'!$MB$2:$MB$200=Q$4),0),$E118-1973)</f>
        <v>#N/A</v>
      </c>
      <c r="R118" t="e" cm="1">
        <f t="array" ref="R118">INDEX('GMW - Baseline'!$A$2:$MC$200,MATCH(1,('GMW - Baseline'!$MC$2:$MC$200=R$3)*('GMW - Baseline'!$MB$2:$MB$200=R$4),0),$E118-1973)</f>
        <v>#N/A</v>
      </c>
      <c r="S118" t="e" cm="1">
        <f t="array" ref="S118">INDEX('GMW - Baseline'!$A$2:$MC$200,MATCH(1,('GMW - Baseline'!$MC$2:$MC$200=S$3)*('GMW - Baseline'!$MB$2:$MB$200=S$4),0),$E118-1973)</f>
        <v>#N/A</v>
      </c>
      <c r="T118" t="e" cm="1">
        <f t="array" ref="T118">INDEX('GMW - Baseline'!$A$2:$MC$200,MATCH(1,('GMW - Baseline'!$MC$2:$MC$200=T$3)*('GMW - Baseline'!$MB$2:$MB$200=T$4),0),$E118-1973)</f>
        <v>#N/A</v>
      </c>
    </row>
    <row r="119" spans="1:20" x14ac:dyDescent="0.25">
      <c r="A119">
        <v>2008</v>
      </c>
      <c r="B119">
        <f t="shared" si="9"/>
        <v>2008</v>
      </c>
      <c r="C119">
        <f t="shared" si="9"/>
        <v>2007</v>
      </c>
      <c r="D119">
        <f t="shared" si="9"/>
        <v>2007</v>
      </c>
      <c r="E119">
        <f t="shared" si="6"/>
        <v>2092</v>
      </c>
      <c r="F119" cm="1">
        <f t="array" ref="F119">INDEX('GMW - Baseline'!$A$2:$MC$200,MATCH(1,('GMW - Baseline'!$MC$2:$MC$200=F$3)*('GMW - Baseline'!$MB$2:$MB$200=F$4),0),$E119-1973)</f>
        <v>586690</v>
      </c>
      <c r="G119" cm="1">
        <f t="array" ref="G119">INDEX('GMW - Baseline'!$A$2:$MC$200,MATCH(1,('GMW - Baseline'!$MC$2:$MC$200=G$3)*('GMW - Baseline'!$MB$2:$MB$200=G$4),0),$E119-1973)</f>
        <v>355059</v>
      </c>
      <c r="H119" cm="1">
        <f t="array" ref="H119">INDEX('GMW - Baseline'!$A$2:$MC$200,MATCH(1,('GMW - Baseline'!$MC$2:$MC$200=H$3)*('GMW - Baseline'!$MB$2:$MB$200=H$4),0),$E119-1973)</f>
        <v>82.933329999999998</v>
      </c>
      <c r="I119" cm="1">
        <f t="array" ref="I119">INDEX('GMW - Baseline'!$A$2:$MC$200,MATCH(1,('GMW - Baseline'!$MC$2:$MC$200=I$3)*('GMW - Baseline'!$MB$2:$MB$200=I$4),0),$E119-1973)</f>
        <v>5.3538459999999999</v>
      </c>
      <c r="J119" t="e" cm="1">
        <f t="array" ref="J119">INDEX('GMW - Baseline'!$A$2:$MC$200,MATCH(1,('GMW - Baseline'!$MC$2:$MC$200=J$3)*('GMW - Baseline'!$MB$2:$MB$200=J$4),0),$E119-1973)</f>
        <v>#N/A</v>
      </c>
      <c r="K119" t="e" cm="1">
        <f t="array" ref="K119">INDEX('GMW - Baseline'!$A$2:$MC$200,MATCH(1,('GMW - Baseline'!$MC$2:$MC$200=K$3)*('GMW - Baseline'!$MB$2:$MB$200=K$4),0),$E119-1973)</f>
        <v>#N/A</v>
      </c>
      <c r="L119" t="e" cm="1">
        <f t="array" ref="L119">INDEX('GMW - Baseline'!$A$2:$MC$200,MATCH(1,('GMW - Baseline'!$MC$2:$MC$200=L$3)*('GMW - Baseline'!$MB$2:$MB$200=L$4),0),$E119-1973)</f>
        <v>#N/A</v>
      </c>
      <c r="M119" t="e" cm="1">
        <f t="array" ref="M119">INDEX('GMW - Baseline'!$A$2:$MC$200,MATCH(1,('GMW - Baseline'!$MC$2:$MC$200=M$3)*('GMW - Baseline'!$MB$2:$MB$200=M$4),0),$E119-1973)</f>
        <v>#N/A</v>
      </c>
      <c r="N119" t="e" cm="1">
        <f t="array" ref="N119">INDEX('GMW - Baseline'!$A$2:$MC$200,MATCH(1,('GMW - Baseline'!$MC$2:$MC$200=N$3)*('GMW - Baseline'!$MB$2:$MB$200=N$4),0),$E119-1973)</f>
        <v>#N/A</v>
      </c>
      <c r="O119" t="e" cm="1">
        <f t="array" ref="O119">INDEX('GMW - Baseline'!$A$2:$MC$200,MATCH(1,('GMW - Baseline'!$MC$2:$MC$200=O$3)*('GMW - Baseline'!$MB$2:$MB$200=O$4),0),$E119-1973)</f>
        <v>#N/A</v>
      </c>
      <c r="P119" t="e" cm="1">
        <f t="array" ref="P119">INDEX('GMW - Baseline'!$A$2:$MC$200,MATCH(1,('GMW - Baseline'!$MC$2:$MC$200=P$3)*('GMW - Baseline'!$MB$2:$MB$200=P$4),0),$E119-1973)</f>
        <v>#N/A</v>
      </c>
      <c r="Q119" t="e" cm="1">
        <f t="array" ref="Q119">INDEX('GMW - Baseline'!$A$2:$MC$200,MATCH(1,('GMW - Baseline'!$MC$2:$MC$200=Q$3)*('GMW - Baseline'!$MB$2:$MB$200=Q$4),0),$E119-1973)</f>
        <v>#N/A</v>
      </c>
      <c r="R119" t="e" cm="1">
        <f t="array" ref="R119">INDEX('GMW - Baseline'!$A$2:$MC$200,MATCH(1,('GMW - Baseline'!$MC$2:$MC$200=R$3)*('GMW - Baseline'!$MB$2:$MB$200=R$4),0),$E119-1973)</f>
        <v>#N/A</v>
      </c>
      <c r="S119" t="e" cm="1">
        <f t="array" ref="S119">INDEX('GMW - Baseline'!$A$2:$MC$200,MATCH(1,('GMW - Baseline'!$MC$2:$MC$200=S$3)*('GMW - Baseline'!$MB$2:$MB$200=S$4),0),$E119-1973)</f>
        <v>#N/A</v>
      </c>
      <c r="T119" t="e" cm="1">
        <f t="array" ref="T119">INDEX('GMW - Baseline'!$A$2:$MC$200,MATCH(1,('GMW - Baseline'!$MC$2:$MC$200=T$3)*('GMW - Baseline'!$MB$2:$MB$200=T$4),0),$E119-1973)</f>
        <v>#N/A</v>
      </c>
    </row>
    <row r="120" spans="1:20" x14ac:dyDescent="0.25">
      <c r="B120">
        <f t="shared" si="9"/>
        <v>2008</v>
      </c>
      <c r="C120">
        <f t="shared" si="9"/>
        <v>2008</v>
      </c>
      <c r="E120">
        <f t="shared" si="6"/>
        <v>2093</v>
      </c>
      <c r="F120" cm="1">
        <f t="array" ref="F120">INDEX('GMW - Baseline'!$A$2:$MC$200,MATCH(1,('GMW - Baseline'!$MC$2:$MC$200=F$3)*('GMW - Baseline'!$MB$2:$MB$200=F$4),0),$E120-1973)</f>
        <v>583541</v>
      </c>
      <c r="G120" cm="1">
        <f t="array" ref="G120">INDEX('GMW - Baseline'!$A$2:$MC$200,MATCH(1,('GMW - Baseline'!$MC$2:$MC$200=G$3)*('GMW - Baseline'!$MB$2:$MB$200=G$4),0),$E120-1973)</f>
        <v>350021</v>
      </c>
      <c r="H120" cm="1">
        <f t="array" ref="H120">INDEX('GMW - Baseline'!$A$2:$MC$200,MATCH(1,('GMW - Baseline'!$MC$2:$MC$200=H$3)*('GMW - Baseline'!$MB$2:$MB$200=H$4),0),$E120-1973)</f>
        <v>84.6</v>
      </c>
      <c r="I120" cm="1">
        <f t="array" ref="I120">INDEX('GMW - Baseline'!$A$2:$MC$200,MATCH(1,('GMW - Baseline'!$MC$2:$MC$200=I$3)*('GMW - Baseline'!$MB$2:$MB$200=I$4),0),$E120-1973)</f>
        <v>5.026923</v>
      </c>
      <c r="J120" t="e" cm="1">
        <f t="array" ref="J120">INDEX('GMW - Baseline'!$A$2:$MC$200,MATCH(1,('GMW - Baseline'!$MC$2:$MC$200=J$3)*('GMW - Baseline'!$MB$2:$MB$200=J$4),0),$E120-1973)</f>
        <v>#N/A</v>
      </c>
      <c r="K120" t="e" cm="1">
        <f t="array" ref="K120">INDEX('GMW - Baseline'!$A$2:$MC$200,MATCH(1,('GMW - Baseline'!$MC$2:$MC$200=K$3)*('GMW - Baseline'!$MB$2:$MB$200=K$4),0),$E120-1973)</f>
        <v>#N/A</v>
      </c>
      <c r="L120" t="e" cm="1">
        <f t="array" ref="L120">INDEX('GMW - Baseline'!$A$2:$MC$200,MATCH(1,('GMW - Baseline'!$MC$2:$MC$200=L$3)*('GMW - Baseline'!$MB$2:$MB$200=L$4),0),$E120-1973)</f>
        <v>#N/A</v>
      </c>
      <c r="M120" t="e" cm="1">
        <f t="array" ref="M120">INDEX('GMW - Baseline'!$A$2:$MC$200,MATCH(1,('GMW - Baseline'!$MC$2:$MC$200=M$3)*('GMW - Baseline'!$MB$2:$MB$200=M$4),0),$E120-1973)</f>
        <v>#N/A</v>
      </c>
      <c r="N120" t="e" cm="1">
        <f t="array" ref="N120">INDEX('GMW - Baseline'!$A$2:$MC$200,MATCH(1,('GMW - Baseline'!$MC$2:$MC$200=N$3)*('GMW - Baseline'!$MB$2:$MB$200=N$4),0),$E120-1973)</f>
        <v>#N/A</v>
      </c>
      <c r="O120" t="e" cm="1">
        <f t="array" ref="O120">INDEX('GMW - Baseline'!$A$2:$MC$200,MATCH(1,('GMW - Baseline'!$MC$2:$MC$200=O$3)*('GMW - Baseline'!$MB$2:$MB$200=O$4),0),$E120-1973)</f>
        <v>#N/A</v>
      </c>
      <c r="P120" t="e" cm="1">
        <f t="array" ref="P120">INDEX('GMW - Baseline'!$A$2:$MC$200,MATCH(1,('GMW - Baseline'!$MC$2:$MC$200=P$3)*('GMW - Baseline'!$MB$2:$MB$200=P$4),0),$E120-1973)</f>
        <v>#N/A</v>
      </c>
      <c r="Q120" t="e" cm="1">
        <f t="array" ref="Q120">INDEX('GMW - Baseline'!$A$2:$MC$200,MATCH(1,('GMW - Baseline'!$MC$2:$MC$200=Q$3)*('GMW - Baseline'!$MB$2:$MB$200=Q$4),0),$E120-1973)</f>
        <v>#N/A</v>
      </c>
      <c r="R120" t="e" cm="1">
        <f t="array" ref="R120">INDEX('GMW - Baseline'!$A$2:$MC$200,MATCH(1,('GMW - Baseline'!$MC$2:$MC$200=R$3)*('GMW - Baseline'!$MB$2:$MB$200=R$4),0),$E120-1973)</f>
        <v>#N/A</v>
      </c>
      <c r="S120" t="e" cm="1">
        <f t="array" ref="S120">INDEX('GMW - Baseline'!$A$2:$MC$200,MATCH(1,('GMW - Baseline'!$MC$2:$MC$200=S$3)*('GMW - Baseline'!$MB$2:$MB$200=S$4),0),$E120-1973)</f>
        <v>#N/A</v>
      </c>
      <c r="T120" t="e" cm="1">
        <f t="array" ref="T120">INDEX('GMW - Baseline'!$A$2:$MC$200,MATCH(1,('GMW - Baseline'!$MC$2:$MC$200=T$3)*('GMW - Baseline'!$MB$2:$MB$200=T$4),0),$E120-1973)</f>
        <v>#N/A</v>
      </c>
    </row>
    <row r="121" spans="1:20" x14ac:dyDescent="0.25">
      <c r="B121">
        <f t="shared" si="9"/>
        <v>2008</v>
      </c>
      <c r="C121">
        <f t="shared" si="9"/>
        <v>2008</v>
      </c>
      <c r="E121">
        <f t="shared" si="6"/>
        <v>2094</v>
      </c>
      <c r="F121" cm="1">
        <f t="array" ref="F121">INDEX('GMW - Baseline'!$A$2:$MC$200,MATCH(1,('GMW - Baseline'!$MC$2:$MC$200=F$3)*('GMW - Baseline'!$MB$2:$MB$200=F$4),0),$E121-1973)</f>
        <v>573961</v>
      </c>
      <c r="G121" cm="1">
        <f t="array" ref="G121">INDEX('GMW - Baseline'!$A$2:$MC$200,MATCH(1,('GMW - Baseline'!$MC$2:$MC$200=G$3)*('GMW - Baseline'!$MB$2:$MB$200=G$4),0),$E121-1973)</f>
        <v>344231</v>
      </c>
      <c r="H121" cm="1">
        <f t="array" ref="H121">INDEX('GMW - Baseline'!$A$2:$MC$200,MATCH(1,('GMW - Baseline'!$MC$2:$MC$200=H$3)*('GMW - Baseline'!$MB$2:$MB$200=H$4),0),$E121-1973)</f>
        <v>85.633330000000001</v>
      </c>
      <c r="I121" cm="1">
        <f t="array" ref="I121">INDEX('GMW - Baseline'!$A$2:$MC$200,MATCH(1,('GMW - Baseline'!$MC$2:$MC$200=I$3)*('GMW - Baseline'!$MB$2:$MB$200=I$4),0),$E121-1973)</f>
        <v>5</v>
      </c>
      <c r="J121" t="e" cm="1">
        <f t="array" ref="J121">INDEX('GMW - Baseline'!$A$2:$MC$200,MATCH(1,('GMW - Baseline'!$MC$2:$MC$200=J$3)*('GMW - Baseline'!$MB$2:$MB$200=J$4),0),$E121-1973)</f>
        <v>#N/A</v>
      </c>
      <c r="K121" t="e" cm="1">
        <f t="array" ref="K121">INDEX('GMW - Baseline'!$A$2:$MC$200,MATCH(1,('GMW - Baseline'!$MC$2:$MC$200=K$3)*('GMW - Baseline'!$MB$2:$MB$200=K$4),0),$E121-1973)</f>
        <v>#N/A</v>
      </c>
      <c r="L121" t="e" cm="1">
        <f t="array" ref="L121">INDEX('GMW - Baseline'!$A$2:$MC$200,MATCH(1,('GMW - Baseline'!$MC$2:$MC$200=L$3)*('GMW - Baseline'!$MB$2:$MB$200=L$4),0),$E121-1973)</f>
        <v>#N/A</v>
      </c>
      <c r="M121" t="e" cm="1">
        <f t="array" ref="M121">INDEX('GMW - Baseline'!$A$2:$MC$200,MATCH(1,('GMW - Baseline'!$MC$2:$MC$200=M$3)*('GMW - Baseline'!$MB$2:$MB$200=M$4),0),$E121-1973)</f>
        <v>#N/A</v>
      </c>
      <c r="N121" t="e" cm="1">
        <f t="array" ref="N121">INDEX('GMW - Baseline'!$A$2:$MC$200,MATCH(1,('GMW - Baseline'!$MC$2:$MC$200=N$3)*('GMW - Baseline'!$MB$2:$MB$200=N$4),0),$E121-1973)</f>
        <v>#N/A</v>
      </c>
      <c r="O121" t="e" cm="1">
        <f t="array" ref="O121">INDEX('GMW - Baseline'!$A$2:$MC$200,MATCH(1,('GMW - Baseline'!$MC$2:$MC$200=O$3)*('GMW - Baseline'!$MB$2:$MB$200=O$4),0),$E121-1973)</f>
        <v>#N/A</v>
      </c>
      <c r="P121" t="e" cm="1">
        <f t="array" ref="P121">INDEX('GMW - Baseline'!$A$2:$MC$200,MATCH(1,('GMW - Baseline'!$MC$2:$MC$200=P$3)*('GMW - Baseline'!$MB$2:$MB$200=P$4),0),$E121-1973)</f>
        <v>#N/A</v>
      </c>
      <c r="Q121" t="e" cm="1">
        <f t="array" ref="Q121">INDEX('GMW - Baseline'!$A$2:$MC$200,MATCH(1,('GMW - Baseline'!$MC$2:$MC$200=Q$3)*('GMW - Baseline'!$MB$2:$MB$200=Q$4),0),$E121-1973)</f>
        <v>#N/A</v>
      </c>
      <c r="R121" t="e" cm="1">
        <f t="array" ref="R121">INDEX('GMW - Baseline'!$A$2:$MC$200,MATCH(1,('GMW - Baseline'!$MC$2:$MC$200=R$3)*('GMW - Baseline'!$MB$2:$MB$200=R$4),0),$E121-1973)</f>
        <v>#N/A</v>
      </c>
      <c r="S121" t="e" cm="1">
        <f t="array" ref="S121">INDEX('GMW - Baseline'!$A$2:$MC$200,MATCH(1,('GMW - Baseline'!$MC$2:$MC$200=S$3)*('GMW - Baseline'!$MB$2:$MB$200=S$4),0),$E121-1973)</f>
        <v>#N/A</v>
      </c>
      <c r="T121" t="e" cm="1">
        <f t="array" ref="T121">INDEX('GMW - Baseline'!$A$2:$MC$200,MATCH(1,('GMW - Baseline'!$MC$2:$MC$200=T$3)*('GMW - Baseline'!$MB$2:$MB$200=T$4),0),$E121-1973)</f>
        <v>#N/A</v>
      </c>
    </row>
    <row r="122" spans="1:20" x14ac:dyDescent="0.25">
      <c r="B122">
        <f t="shared" si="9"/>
        <v>2008</v>
      </c>
      <c r="C122">
        <f t="shared" si="9"/>
        <v>2008</v>
      </c>
      <c r="E122">
        <f t="shared" si="6"/>
        <v>2095</v>
      </c>
      <c r="F122" cm="1">
        <f t="array" ref="F122">INDEX('GMW - Baseline'!$A$2:$MC$200,MATCH(1,('GMW - Baseline'!$MC$2:$MC$200=F$3)*('GMW - Baseline'!$MB$2:$MB$200=F$4),0),$E122-1973)</f>
        <v>561816</v>
      </c>
      <c r="G122" cm="1">
        <f t="array" ref="G122">INDEX('GMW - Baseline'!$A$2:$MC$200,MATCH(1,('GMW - Baseline'!$MC$2:$MC$200=G$3)*('GMW - Baseline'!$MB$2:$MB$200=G$4),0),$E122-1973)</f>
        <v>335303</v>
      </c>
      <c r="H122" cm="1">
        <f t="array" ref="H122">INDEX('GMW - Baseline'!$A$2:$MC$200,MATCH(1,('GMW - Baseline'!$MC$2:$MC$200=H$3)*('GMW - Baseline'!$MB$2:$MB$200=H$4),0),$E122-1973)</f>
        <v>85.733329999999995</v>
      </c>
      <c r="I122" cm="1">
        <f t="array" ref="I122">INDEX('GMW - Baseline'!$A$2:$MC$200,MATCH(1,('GMW - Baseline'!$MC$2:$MC$200=I$3)*('GMW - Baseline'!$MB$2:$MB$200=I$4),0),$E122-1973)</f>
        <v>3.325758</v>
      </c>
      <c r="J122" t="e" cm="1">
        <f t="array" ref="J122">INDEX('GMW - Baseline'!$A$2:$MC$200,MATCH(1,('GMW - Baseline'!$MC$2:$MC$200=J$3)*('GMW - Baseline'!$MB$2:$MB$200=J$4),0),$E122-1973)</f>
        <v>#N/A</v>
      </c>
      <c r="K122" t="e" cm="1">
        <f t="array" ref="K122">INDEX('GMW - Baseline'!$A$2:$MC$200,MATCH(1,('GMW - Baseline'!$MC$2:$MC$200=K$3)*('GMW - Baseline'!$MB$2:$MB$200=K$4),0),$E122-1973)</f>
        <v>#N/A</v>
      </c>
      <c r="L122" t="e" cm="1">
        <f t="array" ref="L122">INDEX('GMW - Baseline'!$A$2:$MC$200,MATCH(1,('GMW - Baseline'!$MC$2:$MC$200=L$3)*('GMW - Baseline'!$MB$2:$MB$200=L$4),0),$E122-1973)</f>
        <v>#N/A</v>
      </c>
      <c r="M122" t="e" cm="1">
        <f t="array" ref="M122">INDEX('GMW - Baseline'!$A$2:$MC$200,MATCH(1,('GMW - Baseline'!$MC$2:$MC$200=M$3)*('GMW - Baseline'!$MB$2:$MB$200=M$4),0),$E122-1973)</f>
        <v>#N/A</v>
      </c>
      <c r="N122" t="e" cm="1">
        <f t="array" ref="N122">INDEX('GMW - Baseline'!$A$2:$MC$200,MATCH(1,('GMW - Baseline'!$MC$2:$MC$200=N$3)*('GMW - Baseline'!$MB$2:$MB$200=N$4),0),$E122-1973)</f>
        <v>#N/A</v>
      </c>
      <c r="O122" t="e" cm="1">
        <f t="array" ref="O122">INDEX('GMW - Baseline'!$A$2:$MC$200,MATCH(1,('GMW - Baseline'!$MC$2:$MC$200=O$3)*('GMW - Baseline'!$MB$2:$MB$200=O$4),0),$E122-1973)</f>
        <v>#N/A</v>
      </c>
      <c r="P122" t="e" cm="1">
        <f t="array" ref="P122">INDEX('GMW - Baseline'!$A$2:$MC$200,MATCH(1,('GMW - Baseline'!$MC$2:$MC$200=P$3)*('GMW - Baseline'!$MB$2:$MB$200=P$4),0),$E122-1973)</f>
        <v>#N/A</v>
      </c>
      <c r="Q122" t="e" cm="1">
        <f t="array" ref="Q122">INDEX('GMW - Baseline'!$A$2:$MC$200,MATCH(1,('GMW - Baseline'!$MC$2:$MC$200=Q$3)*('GMW - Baseline'!$MB$2:$MB$200=Q$4),0),$E122-1973)</f>
        <v>#N/A</v>
      </c>
      <c r="R122" t="e" cm="1">
        <f t="array" ref="R122">INDEX('GMW - Baseline'!$A$2:$MC$200,MATCH(1,('GMW - Baseline'!$MC$2:$MC$200=R$3)*('GMW - Baseline'!$MB$2:$MB$200=R$4),0),$E122-1973)</f>
        <v>#N/A</v>
      </c>
      <c r="S122" t="e" cm="1">
        <f t="array" ref="S122">INDEX('GMW - Baseline'!$A$2:$MC$200,MATCH(1,('GMW - Baseline'!$MC$2:$MC$200=S$3)*('GMW - Baseline'!$MB$2:$MB$200=S$4),0),$E122-1973)</f>
        <v>#N/A</v>
      </c>
      <c r="T122" t="e" cm="1">
        <f t="array" ref="T122">INDEX('GMW - Baseline'!$A$2:$MC$200,MATCH(1,('GMW - Baseline'!$MC$2:$MC$200=T$3)*('GMW - Baseline'!$MB$2:$MB$200=T$4),0),$E122-1973)</f>
        <v>#N/A</v>
      </c>
    </row>
    <row r="123" spans="1:20" x14ac:dyDescent="0.25">
      <c r="A123">
        <v>2009</v>
      </c>
      <c r="B123">
        <f t="shared" si="9"/>
        <v>2009</v>
      </c>
      <c r="C123">
        <f t="shared" si="9"/>
        <v>2008</v>
      </c>
      <c r="D123">
        <f t="shared" si="9"/>
        <v>2008</v>
      </c>
      <c r="E123">
        <f t="shared" si="6"/>
        <v>2096</v>
      </c>
      <c r="F123" cm="1">
        <f t="array" ref="F123">INDEX('GMW - Baseline'!$A$2:$MC$200,MATCH(1,('GMW - Baseline'!$MC$2:$MC$200=F$3)*('GMW - Baseline'!$MB$2:$MB$200=F$4),0),$E123-1973)</f>
        <v>550451</v>
      </c>
      <c r="G123" cm="1">
        <f t="array" ref="G123">INDEX('GMW - Baseline'!$A$2:$MC$200,MATCH(1,('GMW - Baseline'!$MC$2:$MC$200=G$3)*('GMW - Baseline'!$MB$2:$MB$200=G$4),0),$E123-1973)</f>
        <v>333667</v>
      </c>
      <c r="H123" cm="1">
        <f t="array" ref="H123">INDEX('GMW - Baseline'!$A$2:$MC$200,MATCH(1,('GMW - Baseline'!$MC$2:$MC$200=H$3)*('GMW - Baseline'!$MB$2:$MB$200=H$4),0),$E123-1973)</f>
        <v>85.433329999999998</v>
      </c>
      <c r="I123" cm="1">
        <f t="array" ref="I123">INDEX('GMW - Baseline'!$A$2:$MC$200,MATCH(1,('GMW - Baseline'!$MC$2:$MC$200=I$3)*('GMW - Baseline'!$MB$2:$MB$200=I$4),0),$E123-1973)</f>
        <v>1.0859380000000001</v>
      </c>
      <c r="J123" t="e" cm="1">
        <f t="array" ref="J123">INDEX('GMW - Baseline'!$A$2:$MC$200,MATCH(1,('GMW - Baseline'!$MC$2:$MC$200=J$3)*('GMW - Baseline'!$MB$2:$MB$200=J$4),0),$E123-1973)</f>
        <v>#N/A</v>
      </c>
      <c r="K123" t="e" cm="1">
        <f t="array" ref="K123">INDEX('GMW - Baseline'!$A$2:$MC$200,MATCH(1,('GMW - Baseline'!$MC$2:$MC$200=K$3)*('GMW - Baseline'!$MB$2:$MB$200=K$4),0),$E123-1973)</f>
        <v>#N/A</v>
      </c>
      <c r="L123" t="e" cm="1">
        <f t="array" ref="L123">INDEX('GMW - Baseline'!$A$2:$MC$200,MATCH(1,('GMW - Baseline'!$MC$2:$MC$200=L$3)*('GMW - Baseline'!$MB$2:$MB$200=L$4),0),$E123-1973)</f>
        <v>#N/A</v>
      </c>
      <c r="M123" t="e" cm="1">
        <f t="array" ref="M123">INDEX('GMW - Baseline'!$A$2:$MC$200,MATCH(1,('GMW - Baseline'!$MC$2:$MC$200=M$3)*('GMW - Baseline'!$MB$2:$MB$200=M$4),0),$E123-1973)</f>
        <v>#N/A</v>
      </c>
      <c r="N123" t="e" cm="1">
        <f t="array" ref="N123">INDEX('GMW - Baseline'!$A$2:$MC$200,MATCH(1,('GMW - Baseline'!$MC$2:$MC$200=N$3)*('GMW - Baseline'!$MB$2:$MB$200=N$4),0),$E123-1973)</f>
        <v>#N/A</v>
      </c>
      <c r="O123" t="e" cm="1">
        <f t="array" ref="O123">INDEX('GMW - Baseline'!$A$2:$MC$200,MATCH(1,('GMW - Baseline'!$MC$2:$MC$200=O$3)*('GMW - Baseline'!$MB$2:$MB$200=O$4),0),$E123-1973)</f>
        <v>#N/A</v>
      </c>
      <c r="P123" t="e" cm="1">
        <f t="array" ref="P123">INDEX('GMW - Baseline'!$A$2:$MC$200,MATCH(1,('GMW - Baseline'!$MC$2:$MC$200=P$3)*('GMW - Baseline'!$MB$2:$MB$200=P$4),0),$E123-1973)</f>
        <v>#N/A</v>
      </c>
      <c r="Q123" t="e" cm="1">
        <f t="array" ref="Q123">INDEX('GMW - Baseline'!$A$2:$MC$200,MATCH(1,('GMW - Baseline'!$MC$2:$MC$200=Q$3)*('GMW - Baseline'!$MB$2:$MB$200=Q$4),0),$E123-1973)</f>
        <v>#N/A</v>
      </c>
      <c r="R123" t="e" cm="1">
        <f t="array" ref="R123">INDEX('GMW - Baseline'!$A$2:$MC$200,MATCH(1,('GMW - Baseline'!$MC$2:$MC$200=R$3)*('GMW - Baseline'!$MB$2:$MB$200=R$4),0),$E123-1973)</f>
        <v>#N/A</v>
      </c>
      <c r="S123" t="e" cm="1">
        <f t="array" ref="S123">INDEX('GMW - Baseline'!$A$2:$MC$200,MATCH(1,('GMW - Baseline'!$MC$2:$MC$200=S$3)*('GMW - Baseline'!$MB$2:$MB$200=S$4),0),$E123-1973)</f>
        <v>#N/A</v>
      </c>
      <c r="T123" t="e" cm="1">
        <f t="array" ref="T123">INDEX('GMW - Baseline'!$A$2:$MC$200,MATCH(1,('GMW - Baseline'!$MC$2:$MC$200=T$3)*('GMW - Baseline'!$MB$2:$MB$200=T$4),0),$E123-1973)</f>
        <v>#N/A</v>
      </c>
    </row>
    <row r="124" spans="1:20" x14ac:dyDescent="0.25">
      <c r="B124">
        <f t="shared" ref="B124:D139" si="10">+B120+1</f>
        <v>2009</v>
      </c>
      <c r="C124">
        <f t="shared" si="10"/>
        <v>2009</v>
      </c>
      <c r="E124">
        <f t="shared" si="6"/>
        <v>2097</v>
      </c>
      <c r="F124" cm="1">
        <f t="array" ref="F124">INDEX('GMW - Baseline'!$A$2:$MC$200,MATCH(1,('GMW - Baseline'!$MC$2:$MC$200=F$3)*('GMW - Baseline'!$MB$2:$MB$200=F$4),0),$E124-1973)</f>
        <v>548859</v>
      </c>
      <c r="G124" cm="1">
        <f t="array" ref="G124">INDEX('GMW - Baseline'!$A$2:$MC$200,MATCH(1,('GMW - Baseline'!$MC$2:$MC$200=G$3)*('GMW - Baseline'!$MB$2:$MB$200=G$4),0),$E124-1973)</f>
        <v>332958</v>
      </c>
      <c r="H124" cm="1">
        <f t="array" ref="H124">INDEX('GMW - Baseline'!$A$2:$MC$200,MATCH(1,('GMW - Baseline'!$MC$2:$MC$200=H$3)*('GMW - Baseline'!$MB$2:$MB$200=H$4),0),$E124-1973)</f>
        <v>86.366669999999999</v>
      </c>
      <c r="I124" cm="1">
        <f t="array" ref="I124">INDEX('GMW - Baseline'!$A$2:$MC$200,MATCH(1,('GMW - Baseline'!$MC$2:$MC$200=I$3)*('GMW - Baseline'!$MB$2:$MB$200=I$4),0),$E124-1973)</f>
        <v>0.5</v>
      </c>
      <c r="J124" t="e" cm="1">
        <f t="array" ref="J124">INDEX('GMW - Baseline'!$A$2:$MC$200,MATCH(1,('GMW - Baseline'!$MC$2:$MC$200=J$3)*('GMW - Baseline'!$MB$2:$MB$200=J$4),0),$E124-1973)</f>
        <v>#N/A</v>
      </c>
      <c r="K124" t="e" cm="1">
        <f t="array" ref="K124">INDEX('GMW - Baseline'!$A$2:$MC$200,MATCH(1,('GMW - Baseline'!$MC$2:$MC$200=K$3)*('GMW - Baseline'!$MB$2:$MB$200=K$4),0),$E124-1973)</f>
        <v>#N/A</v>
      </c>
      <c r="L124" t="e" cm="1">
        <f t="array" ref="L124">INDEX('GMW - Baseline'!$A$2:$MC$200,MATCH(1,('GMW - Baseline'!$MC$2:$MC$200=L$3)*('GMW - Baseline'!$MB$2:$MB$200=L$4),0),$E124-1973)</f>
        <v>#N/A</v>
      </c>
      <c r="M124" t="e" cm="1">
        <f t="array" ref="M124">INDEX('GMW - Baseline'!$A$2:$MC$200,MATCH(1,('GMW - Baseline'!$MC$2:$MC$200=M$3)*('GMW - Baseline'!$MB$2:$MB$200=M$4),0),$E124-1973)</f>
        <v>#N/A</v>
      </c>
      <c r="N124" t="e" cm="1">
        <f t="array" ref="N124">INDEX('GMW - Baseline'!$A$2:$MC$200,MATCH(1,('GMW - Baseline'!$MC$2:$MC$200=N$3)*('GMW - Baseline'!$MB$2:$MB$200=N$4),0),$E124-1973)</f>
        <v>#N/A</v>
      </c>
      <c r="O124" t="e" cm="1">
        <f t="array" ref="O124">INDEX('GMW - Baseline'!$A$2:$MC$200,MATCH(1,('GMW - Baseline'!$MC$2:$MC$200=O$3)*('GMW - Baseline'!$MB$2:$MB$200=O$4),0),$E124-1973)</f>
        <v>#N/A</v>
      </c>
      <c r="P124" t="e" cm="1">
        <f t="array" ref="P124">INDEX('GMW - Baseline'!$A$2:$MC$200,MATCH(1,('GMW - Baseline'!$MC$2:$MC$200=P$3)*('GMW - Baseline'!$MB$2:$MB$200=P$4),0),$E124-1973)</f>
        <v>#N/A</v>
      </c>
      <c r="Q124" t="e" cm="1">
        <f t="array" ref="Q124">INDEX('GMW - Baseline'!$A$2:$MC$200,MATCH(1,('GMW - Baseline'!$MC$2:$MC$200=Q$3)*('GMW - Baseline'!$MB$2:$MB$200=Q$4),0),$E124-1973)</f>
        <v>#N/A</v>
      </c>
      <c r="R124" t="e" cm="1">
        <f t="array" ref="R124">INDEX('GMW - Baseline'!$A$2:$MC$200,MATCH(1,('GMW - Baseline'!$MC$2:$MC$200=R$3)*('GMW - Baseline'!$MB$2:$MB$200=R$4),0),$E124-1973)</f>
        <v>#N/A</v>
      </c>
      <c r="S124" t="e" cm="1">
        <f t="array" ref="S124">INDEX('GMW - Baseline'!$A$2:$MC$200,MATCH(1,('GMW - Baseline'!$MC$2:$MC$200=S$3)*('GMW - Baseline'!$MB$2:$MB$200=S$4),0),$E124-1973)</f>
        <v>#N/A</v>
      </c>
      <c r="T124" t="e" cm="1">
        <f t="array" ref="T124">INDEX('GMW - Baseline'!$A$2:$MC$200,MATCH(1,('GMW - Baseline'!$MC$2:$MC$200=T$3)*('GMW - Baseline'!$MB$2:$MB$200=T$4),0),$E124-1973)</f>
        <v>#N/A</v>
      </c>
    </row>
    <row r="125" spans="1:20" x14ac:dyDescent="0.25">
      <c r="B125">
        <f t="shared" si="10"/>
        <v>2009</v>
      </c>
      <c r="C125">
        <f t="shared" si="10"/>
        <v>2009</v>
      </c>
      <c r="E125">
        <f t="shared" si="6"/>
        <v>2098</v>
      </c>
      <c r="F125" cm="1">
        <f t="array" ref="F125">INDEX('GMW - Baseline'!$A$2:$MC$200,MATCH(1,('GMW - Baseline'!$MC$2:$MC$200=F$3)*('GMW - Baseline'!$MB$2:$MB$200=F$4),0),$E125-1973)</f>
        <v>549540</v>
      </c>
      <c r="G125" cm="1">
        <f t="array" ref="G125">INDEX('GMW - Baseline'!$A$2:$MC$200,MATCH(1,('GMW - Baseline'!$MC$2:$MC$200=G$3)*('GMW - Baseline'!$MB$2:$MB$200=G$4),0),$E125-1973)</f>
        <v>333656</v>
      </c>
      <c r="H125" cm="1">
        <f t="array" ref="H125">INDEX('GMW - Baseline'!$A$2:$MC$200,MATCH(1,('GMW - Baseline'!$MC$2:$MC$200=H$3)*('GMW - Baseline'!$MB$2:$MB$200=H$4),0),$E125-1973)</f>
        <v>86.933329999999998</v>
      </c>
      <c r="I125" cm="1">
        <f t="array" ref="I125">INDEX('GMW - Baseline'!$A$2:$MC$200,MATCH(1,('GMW - Baseline'!$MC$2:$MC$200=I$3)*('GMW - Baseline'!$MB$2:$MB$200=I$4),0),$E125-1973)</f>
        <v>0.5</v>
      </c>
      <c r="J125" t="e" cm="1">
        <f t="array" ref="J125">INDEX('GMW - Baseline'!$A$2:$MC$200,MATCH(1,('GMW - Baseline'!$MC$2:$MC$200=J$3)*('GMW - Baseline'!$MB$2:$MB$200=J$4),0),$E125-1973)</f>
        <v>#N/A</v>
      </c>
      <c r="K125" t="e" cm="1">
        <f t="array" ref="K125">INDEX('GMW - Baseline'!$A$2:$MC$200,MATCH(1,('GMW - Baseline'!$MC$2:$MC$200=K$3)*('GMW - Baseline'!$MB$2:$MB$200=K$4),0),$E125-1973)</f>
        <v>#N/A</v>
      </c>
      <c r="L125" t="e" cm="1">
        <f t="array" ref="L125">INDEX('GMW - Baseline'!$A$2:$MC$200,MATCH(1,('GMW - Baseline'!$MC$2:$MC$200=L$3)*('GMW - Baseline'!$MB$2:$MB$200=L$4),0),$E125-1973)</f>
        <v>#N/A</v>
      </c>
      <c r="M125" t="e" cm="1">
        <f t="array" ref="M125">INDEX('GMW - Baseline'!$A$2:$MC$200,MATCH(1,('GMW - Baseline'!$MC$2:$MC$200=M$3)*('GMW - Baseline'!$MB$2:$MB$200=M$4),0),$E125-1973)</f>
        <v>#N/A</v>
      </c>
      <c r="N125" t="e" cm="1">
        <f t="array" ref="N125">INDEX('GMW - Baseline'!$A$2:$MC$200,MATCH(1,('GMW - Baseline'!$MC$2:$MC$200=N$3)*('GMW - Baseline'!$MB$2:$MB$200=N$4),0),$E125-1973)</f>
        <v>#N/A</v>
      </c>
      <c r="O125" t="e" cm="1">
        <f t="array" ref="O125">INDEX('GMW - Baseline'!$A$2:$MC$200,MATCH(1,('GMW - Baseline'!$MC$2:$MC$200=O$3)*('GMW - Baseline'!$MB$2:$MB$200=O$4),0),$E125-1973)</f>
        <v>#N/A</v>
      </c>
      <c r="P125" t="e" cm="1">
        <f t="array" ref="P125">INDEX('GMW - Baseline'!$A$2:$MC$200,MATCH(1,('GMW - Baseline'!$MC$2:$MC$200=P$3)*('GMW - Baseline'!$MB$2:$MB$200=P$4),0),$E125-1973)</f>
        <v>#N/A</v>
      </c>
      <c r="Q125" t="e" cm="1">
        <f t="array" ref="Q125">INDEX('GMW - Baseline'!$A$2:$MC$200,MATCH(1,('GMW - Baseline'!$MC$2:$MC$200=Q$3)*('GMW - Baseline'!$MB$2:$MB$200=Q$4),0),$E125-1973)</f>
        <v>#N/A</v>
      </c>
      <c r="R125" t="e" cm="1">
        <f t="array" ref="R125">INDEX('GMW - Baseline'!$A$2:$MC$200,MATCH(1,('GMW - Baseline'!$MC$2:$MC$200=R$3)*('GMW - Baseline'!$MB$2:$MB$200=R$4),0),$E125-1973)</f>
        <v>#N/A</v>
      </c>
      <c r="S125" t="e" cm="1">
        <f t="array" ref="S125">INDEX('GMW - Baseline'!$A$2:$MC$200,MATCH(1,('GMW - Baseline'!$MC$2:$MC$200=S$3)*('GMW - Baseline'!$MB$2:$MB$200=S$4),0),$E125-1973)</f>
        <v>#N/A</v>
      </c>
      <c r="T125" t="e" cm="1">
        <f t="array" ref="T125">INDEX('GMW - Baseline'!$A$2:$MC$200,MATCH(1,('GMW - Baseline'!$MC$2:$MC$200=T$3)*('GMW - Baseline'!$MB$2:$MB$200=T$4),0),$E125-1973)</f>
        <v>#N/A</v>
      </c>
    </row>
    <row r="126" spans="1:20" x14ac:dyDescent="0.25">
      <c r="B126">
        <f t="shared" si="10"/>
        <v>2009</v>
      </c>
      <c r="C126">
        <f t="shared" si="10"/>
        <v>2009</v>
      </c>
      <c r="E126">
        <f t="shared" si="6"/>
        <v>2099</v>
      </c>
      <c r="F126" cm="1">
        <f t="array" ref="F126">INDEX('GMW - Baseline'!$A$2:$MC$200,MATCH(1,('GMW - Baseline'!$MC$2:$MC$200=F$3)*('GMW - Baseline'!$MB$2:$MB$200=F$4),0),$E126-1973)</f>
        <v>551372</v>
      </c>
      <c r="G126" cm="1">
        <f t="array" ref="G126">INDEX('GMW - Baseline'!$A$2:$MC$200,MATCH(1,('GMW - Baseline'!$MC$2:$MC$200=G$3)*('GMW - Baseline'!$MB$2:$MB$200=G$4),0),$E126-1973)</f>
        <v>336375</v>
      </c>
      <c r="H126" cm="1">
        <f t="array" ref="H126">INDEX('GMW - Baseline'!$A$2:$MC$200,MATCH(1,('GMW - Baseline'!$MC$2:$MC$200=H$3)*('GMW - Baseline'!$MB$2:$MB$200=H$4),0),$E126-1973)</f>
        <v>87.566670000000002</v>
      </c>
      <c r="I126" cm="1">
        <f t="array" ref="I126">INDEX('GMW - Baseline'!$A$2:$MC$200,MATCH(1,('GMW - Baseline'!$MC$2:$MC$200=I$3)*('GMW - Baseline'!$MB$2:$MB$200=I$4),0),$E126-1973)</f>
        <v>0.5</v>
      </c>
      <c r="J126" t="e" cm="1">
        <f t="array" ref="J126">INDEX('GMW - Baseline'!$A$2:$MC$200,MATCH(1,('GMW - Baseline'!$MC$2:$MC$200=J$3)*('GMW - Baseline'!$MB$2:$MB$200=J$4),0),$E126-1973)</f>
        <v>#N/A</v>
      </c>
      <c r="K126" t="e" cm="1">
        <f t="array" ref="K126">INDEX('GMW - Baseline'!$A$2:$MC$200,MATCH(1,('GMW - Baseline'!$MC$2:$MC$200=K$3)*('GMW - Baseline'!$MB$2:$MB$200=K$4),0),$E126-1973)</f>
        <v>#N/A</v>
      </c>
      <c r="L126" t="e" cm="1">
        <f t="array" ref="L126">INDEX('GMW - Baseline'!$A$2:$MC$200,MATCH(1,('GMW - Baseline'!$MC$2:$MC$200=L$3)*('GMW - Baseline'!$MB$2:$MB$200=L$4),0),$E126-1973)</f>
        <v>#N/A</v>
      </c>
      <c r="M126" t="e" cm="1">
        <f t="array" ref="M126">INDEX('GMW - Baseline'!$A$2:$MC$200,MATCH(1,('GMW - Baseline'!$MC$2:$MC$200=M$3)*('GMW - Baseline'!$MB$2:$MB$200=M$4),0),$E126-1973)</f>
        <v>#N/A</v>
      </c>
      <c r="N126" t="e" cm="1">
        <f t="array" ref="N126">INDEX('GMW - Baseline'!$A$2:$MC$200,MATCH(1,('GMW - Baseline'!$MC$2:$MC$200=N$3)*('GMW - Baseline'!$MB$2:$MB$200=N$4),0),$E126-1973)</f>
        <v>#N/A</v>
      </c>
      <c r="O126" t="e" cm="1">
        <f t="array" ref="O126">INDEX('GMW - Baseline'!$A$2:$MC$200,MATCH(1,('GMW - Baseline'!$MC$2:$MC$200=O$3)*('GMW - Baseline'!$MB$2:$MB$200=O$4),0),$E126-1973)</f>
        <v>#N/A</v>
      </c>
      <c r="P126" t="e" cm="1">
        <f t="array" ref="P126">INDEX('GMW - Baseline'!$A$2:$MC$200,MATCH(1,('GMW - Baseline'!$MC$2:$MC$200=P$3)*('GMW - Baseline'!$MB$2:$MB$200=P$4),0),$E126-1973)</f>
        <v>#N/A</v>
      </c>
      <c r="Q126" t="e" cm="1">
        <f t="array" ref="Q126">INDEX('GMW - Baseline'!$A$2:$MC$200,MATCH(1,('GMW - Baseline'!$MC$2:$MC$200=Q$3)*('GMW - Baseline'!$MB$2:$MB$200=Q$4),0),$E126-1973)</f>
        <v>#N/A</v>
      </c>
      <c r="R126" t="e" cm="1">
        <f t="array" ref="R126">INDEX('GMW - Baseline'!$A$2:$MC$200,MATCH(1,('GMW - Baseline'!$MC$2:$MC$200=R$3)*('GMW - Baseline'!$MB$2:$MB$200=R$4),0),$E126-1973)</f>
        <v>#N/A</v>
      </c>
      <c r="S126" t="e" cm="1">
        <f t="array" ref="S126">INDEX('GMW - Baseline'!$A$2:$MC$200,MATCH(1,('GMW - Baseline'!$MC$2:$MC$200=S$3)*('GMW - Baseline'!$MB$2:$MB$200=S$4),0),$E126-1973)</f>
        <v>#N/A</v>
      </c>
      <c r="T126" t="e" cm="1">
        <f t="array" ref="T126">INDEX('GMW - Baseline'!$A$2:$MC$200,MATCH(1,('GMW - Baseline'!$MC$2:$MC$200=T$3)*('GMW - Baseline'!$MB$2:$MB$200=T$4),0),$E126-1973)</f>
        <v>#N/A</v>
      </c>
    </row>
    <row r="127" spans="1:20" x14ac:dyDescent="0.25">
      <c r="A127">
        <v>2010</v>
      </c>
      <c r="B127">
        <f t="shared" si="10"/>
        <v>2010</v>
      </c>
      <c r="C127">
        <f t="shared" si="10"/>
        <v>2009</v>
      </c>
      <c r="D127">
        <f t="shared" si="10"/>
        <v>2009</v>
      </c>
      <c r="E127">
        <f t="shared" si="6"/>
        <v>2100</v>
      </c>
      <c r="F127" cm="1">
        <f t="array" ref="F127">INDEX('GMW - Baseline'!$A$2:$MC$200,MATCH(1,('GMW - Baseline'!$MC$2:$MC$200=F$3)*('GMW - Baseline'!$MB$2:$MB$200=F$4),0),$E127-1973)</f>
        <v>556002</v>
      </c>
      <c r="G127" cm="1">
        <f t="array" ref="G127">INDEX('GMW - Baseline'!$A$2:$MC$200,MATCH(1,('GMW - Baseline'!$MC$2:$MC$200=G$3)*('GMW - Baseline'!$MB$2:$MB$200=G$4),0),$E127-1973)</f>
        <v>335932</v>
      </c>
      <c r="H127" cm="1">
        <f t="array" ref="H127">INDEX('GMW - Baseline'!$A$2:$MC$200,MATCH(1,('GMW - Baseline'!$MC$2:$MC$200=H$3)*('GMW - Baseline'!$MB$2:$MB$200=H$4),0),$E127-1973)</f>
        <v>88.233329999999995</v>
      </c>
      <c r="I127" cm="1">
        <f t="array" ref="I127">INDEX('GMW - Baseline'!$A$2:$MC$200,MATCH(1,('GMW - Baseline'!$MC$2:$MC$200=I$3)*('GMW - Baseline'!$MB$2:$MB$200=I$4),0),$E127-1973)</f>
        <v>0.5</v>
      </c>
      <c r="J127" t="e" cm="1">
        <f t="array" ref="J127">INDEX('GMW - Baseline'!$A$2:$MC$200,MATCH(1,('GMW - Baseline'!$MC$2:$MC$200=J$3)*('GMW - Baseline'!$MB$2:$MB$200=J$4),0),$E127-1973)</f>
        <v>#N/A</v>
      </c>
      <c r="K127" t="e" cm="1">
        <f t="array" ref="K127">INDEX('GMW - Baseline'!$A$2:$MC$200,MATCH(1,('GMW - Baseline'!$MC$2:$MC$200=K$3)*('GMW - Baseline'!$MB$2:$MB$200=K$4),0),$E127-1973)</f>
        <v>#N/A</v>
      </c>
      <c r="L127" t="e" cm="1">
        <f t="array" ref="L127">INDEX('GMW - Baseline'!$A$2:$MC$200,MATCH(1,('GMW - Baseline'!$MC$2:$MC$200=L$3)*('GMW - Baseline'!$MB$2:$MB$200=L$4),0),$E127-1973)</f>
        <v>#N/A</v>
      </c>
      <c r="M127" t="e" cm="1">
        <f t="array" ref="M127">INDEX('GMW - Baseline'!$A$2:$MC$200,MATCH(1,('GMW - Baseline'!$MC$2:$MC$200=M$3)*('GMW - Baseline'!$MB$2:$MB$200=M$4),0),$E127-1973)</f>
        <v>#N/A</v>
      </c>
      <c r="N127" t="e" cm="1">
        <f t="array" ref="N127">INDEX('GMW - Baseline'!$A$2:$MC$200,MATCH(1,('GMW - Baseline'!$MC$2:$MC$200=N$3)*('GMW - Baseline'!$MB$2:$MB$200=N$4),0),$E127-1973)</f>
        <v>#N/A</v>
      </c>
      <c r="O127" t="e" cm="1">
        <f t="array" ref="O127">INDEX('GMW - Baseline'!$A$2:$MC$200,MATCH(1,('GMW - Baseline'!$MC$2:$MC$200=O$3)*('GMW - Baseline'!$MB$2:$MB$200=O$4),0),$E127-1973)</f>
        <v>#N/A</v>
      </c>
      <c r="P127" t="e" cm="1">
        <f t="array" ref="P127">INDEX('GMW - Baseline'!$A$2:$MC$200,MATCH(1,('GMW - Baseline'!$MC$2:$MC$200=P$3)*('GMW - Baseline'!$MB$2:$MB$200=P$4),0),$E127-1973)</f>
        <v>#N/A</v>
      </c>
      <c r="Q127" t="e" cm="1">
        <f t="array" ref="Q127">INDEX('GMW - Baseline'!$A$2:$MC$200,MATCH(1,('GMW - Baseline'!$MC$2:$MC$200=Q$3)*('GMW - Baseline'!$MB$2:$MB$200=Q$4),0),$E127-1973)</f>
        <v>#N/A</v>
      </c>
      <c r="R127" t="e" cm="1">
        <f t="array" ref="R127">INDEX('GMW - Baseline'!$A$2:$MC$200,MATCH(1,('GMW - Baseline'!$MC$2:$MC$200=R$3)*('GMW - Baseline'!$MB$2:$MB$200=R$4),0),$E127-1973)</f>
        <v>#N/A</v>
      </c>
      <c r="S127" t="e" cm="1">
        <f t="array" ref="S127">INDEX('GMW - Baseline'!$A$2:$MC$200,MATCH(1,('GMW - Baseline'!$MC$2:$MC$200=S$3)*('GMW - Baseline'!$MB$2:$MB$200=S$4),0),$E127-1973)</f>
        <v>#N/A</v>
      </c>
      <c r="T127" t="e" cm="1">
        <f t="array" ref="T127">INDEX('GMW - Baseline'!$A$2:$MC$200,MATCH(1,('GMW - Baseline'!$MC$2:$MC$200=T$3)*('GMW - Baseline'!$MB$2:$MB$200=T$4),0),$E127-1973)</f>
        <v>#N/A</v>
      </c>
    </row>
    <row r="128" spans="1:20" x14ac:dyDescent="0.25">
      <c r="B128">
        <f t="shared" si="10"/>
        <v>2010</v>
      </c>
      <c r="C128">
        <f t="shared" si="10"/>
        <v>2010</v>
      </c>
      <c r="E128">
        <f t="shared" si="6"/>
        <v>2101</v>
      </c>
      <c r="F128" cm="1">
        <f t="array" ref="F128">INDEX('GMW - Baseline'!$A$2:$MC$200,MATCH(1,('GMW - Baseline'!$MC$2:$MC$200=F$3)*('GMW - Baseline'!$MB$2:$MB$200=F$4),0),$E128-1973)</f>
        <v>562353</v>
      </c>
      <c r="G128" cm="1">
        <f t="array" ref="G128">INDEX('GMW - Baseline'!$A$2:$MC$200,MATCH(1,('GMW - Baseline'!$MC$2:$MC$200=G$3)*('GMW - Baseline'!$MB$2:$MB$200=G$4),0),$E128-1973)</f>
        <v>345407</v>
      </c>
      <c r="H128" cm="1">
        <f t="array" ref="H128">INDEX('GMW - Baseline'!$A$2:$MC$200,MATCH(1,('GMW - Baseline'!$MC$2:$MC$200=H$3)*('GMW - Baseline'!$MB$2:$MB$200=H$4),0),$E128-1973)</f>
        <v>89.366669999999999</v>
      </c>
      <c r="I128" cm="1">
        <f t="array" ref="I128">INDEX('GMW - Baseline'!$A$2:$MC$200,MATCH(1,('GMW - Baseline'!$MC$2:$MC$200=I$3)*('GMW - Baseline'!$MB$2:$MB$200=I$4),0),$E128-1973)</f>
        <v>0.5</v>
      </c>
      <c r="J128" t="e" cm="1">
        <f t="array" ref="J128">INDEX('GMW - Baseline'!$A$2:$MC$200,MATCH(1,('GMW - Baseline'!$MC$2:$MC$200=J$3)*('GMW - Baseline'!$MB$2:$MB$200=J$4),0),$E128-1973)</f>
        <v>#N/A</v>
      </c>
      <c r="K128" t="e" cm="1">
        <f t="array" ref="K128">INDEX('GMW - Baseline'!$A$2:$MC$200,MATCH(1,('GMW - Baseline'!$MC$2:$MC$200=K$3)*('GMW - Baseline'!$MB$2:$MB$200=K$4),0),$E128-1973)</f>
        <v>#N/A</v>
      </c>
      <c r="L128" t="e" cm="1">
        <f t="array" ref="L128">INDEX('GMW - Baseline'!$A$2:$MC$200,MATCH(1,('GMW - Baseline'!$MC$2:$MC$200=L$3)*('GMW - Baseline'!$MB$2:$MB$200=L$4),0),$E128-1973)</f>
        <v>#N/A</v>
      </c>
      <c r="M128" t="e" cm="1">
        <f t="array" ref="M128">INDEX('GMW - Baseline'!$A$2:$MC$200,MATCH(1,('GMW - Baseline'!$MC$2:$MC$200=M$3)*('GMW - Baseline'!$MB$2:$MB$200=M$4),0),$E128-1973)</f>
        <v>#N/A</v>
      </c>
      <c r="N128" t="e" cm="1">
        <f t="array" ref="N128">INDEX('GMW - Baseline'!$A$2:$MC$200,MATCH(1,('GMW - Baseline'!$MC$2:$MC$200=N$3)*('GMW - Baseline'!$MB$2:$MB$200=N$4),0),$E128-1973)</f>
        <v>#N/A</v>
      </c>
      <c r="O128" t="e" cm="1">
        <f t="array" ref="O128">INDEX('GMW - Baseline'!$A$2:$MC$200,MATCH(1,('GMW - Baseline'!$MC$2:$MC$200=O$3)*('GMW - Baseline'!$MB$2:$MB$200=O$4),0),$E128-1973)</f>
        <v>#N/A</v>
      </c>
      <c r="P128" t="e" cm="1">
        <f t="array" ref="P128">INDEX('GMW - Baseline'!$A$2:$MC$200,MATCH(1,('GMW - Baseline'!$MC$2:$MC$200=P$3)*('GMW - Baseline'!$MB$2:$MB$200=P$4),0),$E128-1973)</f>
        <v>#N/A</v>
      </c>
      <c r="Q128" t="e" cm="1">
        <f t="array" ref="Q128">INDEX('GMW - Baseline'!$A$2:$MC$200,MATCH(1,('GMW - Baseline'!$MC$2:$MC$200=Q$3)*('GMW - Baseline'!$MB$2:$MB$200=Q$4),0),$E128-1973)</f>
        <v>#N/A</v>
      </c>
      <c r="R128" t="e" cm="1">
        <f t="array" ref="R128">INDEX('GMW - Baseline'!$A$2:$MC$200,MATCH(1,('GMW - Baseline'!$MC$2:$MC$200=R$3)*('GMW - Baseline'!$MB$2:$MB$200=R$4),0),$E128-1973)</f>
        <v>#N/A</v>
      </c>
      <c r="S128" t="e" cm="1">
        <f t="array" ref="S128">INDEX('GMW - Baseline'!$A$2:$MC$200,MATCH(1,('GMW - Baseline'!$MC$2:$MC$200=S$3)*('GMW - Baseline'!$MB$2:$MB$200=S$4),0),$E128-1973)</f>
        <v>#N/A</v>
      </c>
      <c r="T128" t="e" cm="1">
        <f t="array" ref="T128">INDEX('GMW - Baseline'!$A$2:$MC$200,MATCH(1,('GMW - Baseline'!$MC$2:$MC$200=T$3)*('GMW - Baseline'!$MB$2:$MB$200=T$4),0),$E128-1973)</f>
        <v>#N/A</v>
      </c>
    </row>
    <row r="129" spans="1:20" x14ac:dyDescent="0.25">
      <c r="B129">
        <f t="shared" si="10"/>
        <v>2010</v>
      </c>
      <c r="C129">
        <f t="shared" si="10"/>
        <v>2010</v>
      </c>
      <c r="E129">
        <f t="shared" si="6"/>
        <v>2102</v>
      </c>
      <c r="F129" cm="1">
        <f t="array" ref="F129">INDEX('GMW - Baseline'!$A$2:$MC$200,MATCH(1,('GMW - Baseline'!$MC$2:$MC$200=F$3)*('GMW - Baseline'!$MB$2:$MB$200=F$4),0),$E129-1973)</f>
        <v>565659</v>
      </c>
      <c r="G129" cm="1">
        <f t="array" ref="G129">INDEX('GMW - Baseline'!$A$2:$MC$200,MATCH(1,('GMW - Baseline'!$MC$2:$MC$200=G$3)*('GMW - Baseline'!$MB$2:$MB$200=G$4),0),$E129-1973)</f>
        <v>346142</v>
      </c>
      <c r="H129" cm="1">
        <f t="array" ref="H129">INDEX('GMW - Baseline'!$A$2:$MC$200,MATCH(1,('GMW - Baseline'!$MC$2:$MC$200=H$3)*('GMW - Baseline'!$MB$2:$MB$200=H$4),0),$E129-1973)</f>
        <v>89.633330000000001</v>
      </c>
      <c r="I129" cm="1">
        <f t="array" ref="I129">INDEX('GMW - Baseline'!$A$2:$MC$200,MATCH(1,('GMW - Baseline'!$MC$2:$MC$200=I$3)*('GMW - Baseline'!$MB$2:$MB$200=I$4),0),$E129-1973)</f>
        <v>0.5</v>
      </c>
      <c r="J129" t="e" cm="1">
        <f t="array" ref="J129">INDEX('GMW - Baseline'!$A$2:$MC$200,MATCH(1,('GMW - Baseline'!$MC$2:$MC$200=J$3)*('GMW - Baseline'!$MB$2:$MB$200=J$4),0),$E129-1973)</f>
        <v>#N/A</v>
      </c>
      <c r="K129" t="e" cm="1">
        <f t="array" ref="K129">INDEX('GMW - Baseline'!$A$2:$MC$200,MATCH(1,('GMW - Baseline'!$MC$2:$MC$200=K$3)*('GMW - Baseline'!$MB$2:$MB$200=K$4),0),$E129-1973)</f>
        <v>#N/A</v>
      </c>
      <c r="L129" t="e" cm="1">
        <f t="array" ref="L129">INDEX('GMW - Baseline'!$A$2:$MC$200,MATCH(1,('GMW - Baseline'!$MC$2:$MC$200=L$3)*('GMW - Baseline'!$MB$2:$MB$200=L$4),0),$E129-1973)</f>
        <v>#N/A</v>
      </c>
      <c r="M129" t="e" cm="1">
        <f t="array" ref="M129">INDEX('GMW - Baseline'!$A$2:$MC$200,MATCH(1,('GMW - Baseline'!$MC$2:$MC$200=M$3)*('GMW - Baseline'!$MB$2:$MB$200=M$4),0),$E129-1973)</f>
        <v>#N/A</v>
      </c>
      <c r="N129" t="e" cm="1">
        <f t="array" ref="N129">INDEX('GMW - Baseline'!$A$2:$MC$200,MATCH(1,('GMW - Baseline'!$MC$2:$MC$200=N$3)*('GMW - Baseline'!$MB$2:$MB$200=N$4),0),$E129-1973)</f>
        <v>#N/A</v>
      </c>
      <c r="O129" t="e" cm="1">
        <f t="array" ref="O129">INDEX('GMW - Baseline'!$A$2:$MC$200,MATCH(1,('GMW - Baseline'!$MC$2:$MC$200=O$3)*('GMW - Baseline'!$MB$2:$MB$200=O$4),0),$E129-1973)</f>
        <v>#N/A</v>
      </c>
      <c r="P129" t="e" cm="1">
        <f t="array" ref="P129">INDEX('GMW - Baseline'!$A$2:$MC$200,MATCH(1,('GMW - Baseline'!$MC$2:$MC$200=P$3)*('GMW - Baseline'!$MB$2:$MB$200=P$4),0),$E129-1973)</f>
        <v>#N/A</v>
      </c>
      <c r="Q129" t="e" cm="1">
        <f t="array" ref="Q129">INDEX('GMW - Baseline'!$A$2:$MC$200,MATCH(1,('GMW - Baseline'!$MC$2:$MC$200=Q$3)*('GMW - Baseline'!$MB$2:$MB$200=Q$4),0),$E129-1973)</f>
        <v>#N/A</v>
      </c>
      <c r="R129" t="e" cm="1">
        <f t="array" ref="R129">INDEX('GMW - Baseline'!$A$2:$MC$200,MATCH(1,('GMW - Baseline'!$MC$2:$MC$200=R$3)*('GMW - Baseline'!$MB$2:$MB$200=R$4),0),$E129-1973)</f>
        <v>#N/A</v>
      </c>
      <c r="S129" t="e" cm="1">
        <f t="array" ref="S129">INDEX('GMW - Baseline'!$A$2:$MC$200,MATCH(1,('GMW - Baseline'!$MC$2:$MC$200=S$3)*('GMW - Baseline'!$MB$2:$MB$200=S$4),0),$E129-1973)</f>
        <v>#N/A</v>
      </c>
      <c r="T129" t="e" cm="1">
        <f t="array" ref="T129">INDEX('GMW - Baseline'!$A$2:$MC$200,MATCH(1,('GMW - Baseline'!$MC$2:$MC$200=T$3)*('GMW - Baseline'!$MB$2:$MB$200=T$4),0),$E129-1973)</f>
        <v>#N/A</v>
      </c>
    </row>
    <row r="130" spans="1:20" x14ac:dyDescent="0.25">
      <c r="B130">
        <f t="shared" si="10"/>
        <v>2010</v>
      </c>
      <c r="C130">
        <f t="shared" si="10"/>
        <v>2010</v>
      </c>
      <c r="E130">
        <f t="shared" si="6"/>
        <v>2103</v>
      </c>
      <c r="F130" cm="1">
        <f t="array" ref="F130">INDEX('GMW - Baseline'!$A$2:$MC$200,MATCH(1,('GMW - Baseline'!$MC$2:$MC$200=F$3)*('GMW - Baseline'!$MB$2:$MB$200=F$4),0),$E130-1973)</f>
        <v>565945</v>
      </c>
      <c r="G130" cm="1">
        <f t="array" ref="G130">INDEX('GMW - Baseline'!$A$2:$MC$200,MATCH(1,('GMW - Baseline'!$MC$2:$MC$200=G$3)*('GMW - Baseline'!$MB$2:$MB$200=G$4),0),$E130-1973)</f>
        <v>345426</v>
      </c>
      <c r="H130" cm="1">
        <f t="array" ref="H130">INDEX('GMW - Baseline'!$A$2:$MC$200,MATCH(1,('GMW - Baseline'!$MC$2:$MC$200=H$3)*('GMW - Baseline'!$MB$2:$MB$200=H$4),0),$E130-1973)</f>
        <v>90.5</v>
      </c>
      <c r="I130" cm="1">
        <f t="array" ref="I130">INDEX('GMW - Baseline'!$A$2:$MC$200,MATCH(1,('GMW - Baseline'!$MC$2:$MC$200=I$3)*('GMW - Baseline'!$MB$2:$MB$200=I$4),0),$E130-1973)</f>
        <v>0.5</v>
      </c>
      <c r="J130" t="e" cm="1">
        <f t="array" ref="J130">INDEX('GMW - Baseline'!$A$2:$MC$200,MATCH(1,('GMW - Baseline'!$MC$2:$MC$200=J$3)*('GMW - Baseline'!$MB$2:$MB$200=J$4),0),$E130-1973)</f>
        <v>#N/A</v>
      </c>
      <c r="K130" t="e" cm="1">
        <f t="array" ref="K130">INDEX('GMW - Baseline'!$A$2:$MC$200,MATCH(1,('GMW - Baseline'!$MC$2:$MC$200=K$3)*('GMW - Baseline'!$MB$2:$MB$200=K$4),0),$E130-1973)</f>
        <v>#N/A</v>
      </c>
      <c r="L130" t="e" cm="1">
        <f t="array" ref="L130">INDEX('GMW - Baseline'!$A$2:$MC$200,MATCH(1,('GMW - Baseline'!$MC$2:$MC$200=L$3)*('GMW - Baseline'!$MB$2:$MB$200=L$4),0),$E130-1973)</f>
        <v>#N/A</v>
      </c>
      <c r="M130" t="e" cm="1">
        <f t="array" ref="M130">INDEX('GMW - Baseline'!$A$2:$MC$200,MATCH(1,('GMW - Baseline'!$MC$2:$MC$200=M$3)*('GMW - Baseline'!$MB$2:$MB$200=M$4),0),$E130-1973)</f>
        <v>#N/A</v>
      </c>
      <c r="N130" t="e" cm="1">
        <f t="array" ref="N130">INDEX('GMW - Baseline'!$A$2:$MC$200,MATCH(1,('GMW - Baseline'!$MC$2:$MC$200=N$3)*('GMW - Baseline'!$MB$2:$MB$200=N$4),0),$E130-1973)</f>
        <v>#N/A</v>
      </c>
      <c r="O130" t="e" cm="1">
        <f t="array" ref="O130">INDEX('GMW - Baseline'!$A$2:$MC$200,MATCH(1,('GMW - Baseline'!$MC$2:$MC$200=O$3)*('GMW - Baseline'!$MB$2:$MB$200=O$4),0),$E130-1973)</f>
        <v>#N/A</v>
      </c>
      <c r="P130" t="e" cm="1">
        <f t="array" ref="P130">INDEX('GMW - Baseline'!$A$2:$MC$200,MATCH(1,('GMW - Baseline'!$MC$2:$MC$200=P$3)*('GMW - Baseline'!$MB$2:$MB$200=P$4),0),$E130-1973)</f>
        <v>#N/A</v>
      </c>
      <c r="Q130" t="e" cm="1">
        <f t="array" ref="Q130">INDEX('GMW - Baseline'!$A$2:$MC$200,MATCH(1,('GMW - Baseline'!$MC$2:$MC$200=Q$3)*('GMW - Baseline'!$MB$2:$MB$200=Q$4),0),$E130-1973)</f>
        <v>#N/A</v>
      </c>
      <c r="R130" t="e" cm="1">
        <f t="array" ref="R130">INDEX('GMW - Baseline'!$A$2:$MC$200,MATCH(1,('GMW - Baseline'!$MC$2:$MC$200=R$3)*('GMW - Baseline'!$MB$2:$MB$200=R$4),0),$E130-1973)</f>
        <v>#N/A</v>
      </c>
      <c r="S130" t="e" cm="1">
        <f t="array" ref="S130">INDEX('GMW - Baseline'!$A$2:$MC$200,MATCH(1,('GMW - Baseline'!$MC$2:$MC$200=S$3)*('GMW - Baseline'!$MB$2:$MB$200=S$4),0),$E130-1973)</f>
        <v>#N/A</v>
      </c>
      <c r="T130" t="e" cm="1">
        <f t="array" ref="T130">INDEX('GMW - Baseline'!$A$2:$MC$200,MATCH(1,('GMW - Baseline'!$MC$2:$MC$200=T$3)*('GMW - Baseline'!$MB$2:$MB$200=T$4),0),$E130-1973)</f>
        <v>#N/A</v>
      </c>
    </row>
    <row r="131" spans="1:20" x14ac:dyDescent="0.25">
      <c r="A131">
        <v>2011</v>
      </c>
      <c r="B131">
        <f t="shared" si="10"/>
        <v>2011</v>
      </c>
      <c r="C131">
        <f t="shared" si="10"/>
        <v>2010</v>
      </c>
      <c r="D131">
        <f t="shared" si="10"/>
        <v>2010</v>
      </c>
      <c r="E131">
        <f t="shared" si="6"/>
        <v>2104</v>
      </c>
      <c r="F131" cm="1">
        <f t="array" ref="F131">INDEX('GMW - Baseline'!$A$2:$MC$200,MATCH(1,('GMW - Baseline'!$MC$2:$MC$200=F$3)*('GMW - Baseline'!$MB$2:$MB$200=F$4),0),$E131-1973)</f>
        <v>566873</v>
      </c>
      <c r="G131" cm="1">
        <f t="array" ref="G131">INDEX('GMW - Baseline'!$A$2:$MC$200,MATCH(1,('GMW - Baseline'!$MC$2:$MC$200=G$3)*('GMW - Baseline'!$MB$2:$MB$200=G$4),0),$E131-1973)</f>
        <v>342009</v>
      </c>
      <c r="H131" cm="1">
        <f t="array" ref="H131">INDEX('GMW - Baseline'!$A$2:$MC$200,MATCH(1,('GMW - Baseline'!$MC$2:$MC$200=H$3)*('GMW - Baseline'!$MB$2:$MB$200=H$4),0),$E131-1973)</f>
        <v>91.833340000000007</v>
      </c>
      <c r="I131" cm="1">
        <f t="array" ref="I131">INDEX('GMW - Baseline'!$A$2:$MC$200,MATCH(1,('GMW - Baseline'!$MC$2:$MC$200=I$3)*('GMW - Baseline'!$MB$2:$MB$200=I$4),0),$E131-1973)</f>
        <v>0.5</v>
      </c>
      <c r="J131" t="e" cm="1">
        <f t="array" ref="J131">INDEX('GMW - Baseline'!$A$2:$MC$200,MATCH(1,('GMW - Baseline'!$MC$2:$MC$200=J$3)*('GMW - Baseline'!$MB$2:$MB$200=J$4),0),$E131-1973)</f>
        <v>#N/A</v>
      </c>
      <c r="K131" t="e" cm="1">
        <f t="array" ref="K131">INDEX('GMW - Baseline'!$A$2:$MC$200,MATCH(1,('GMW - Baseline'!$MC$2:$MC$200=K$3)*('GMW - Baseline'!$MB$2:$MB$200=K$4),0),$E131-1973)</f>
        <v>#N/A</v>
      </c>
      <c r="L131" t="e" cm="1">
        <f t="array" ref="L131">INDEX('GMW - Baseline'!$A$2:$MC$200,MATCH(1,('GMW - Baseline'!$MC$2:$MC$200=L$3)*('GMW - Baseline'!$MB$2:$MB$200=L$4),0),$E131-1973)</f>
        <v>#N/A</v>
      </c>
      <c r="M131" t="e" cm="1">
        <f t="array" ref="M131">INDEX('GMW - Baseline'!$A$2:$MC$200,MATCH(1,('GMW - Baseline'!$MC$2:$MC$200=M$3)*('GMW - Baseline'!$MB$2:$MB$200=M$4),0),$E131-1973)</f>
        <v>#N/A</v>
      </c>
      <c r="N131" t="e" cm="1">
        <f t="array" ref="N131">INDEX('GMW - Baseline'!$A$2:$MC$200,MATCH(1,('GMW - Baseline'!$MC$2:$MC$200=N$3)*('GMW - Baseline'!$MB$2:$MB$200=N$4),0),$E131-1973)</f>
        <v>#N/A</v>
      </c>
      <c r="O131" t="e" cm="1">
        <f t="array" ref="O131">INDEX('GMW - Baseline'!$A$2:$MC$200,MATCH(1,('GMW - Baseline'!$MC$2:$MC$200=O$3)*('GMW - Baseline'!$MB$2:$MB$200=O$4),0),$E131-1973)</f>
        <v>#N/A</v>
      </c>
      <c r="P131" t="e" cm="1">
        <f t="array" ref="P131">INDEX('GMW - Baseline'!$A$2:$MC$200,MATCH(1,('GMW - Baseline'!$MC$2:$MC$200=P$3)*('GMW - Baseline'!$MB$2:$MB$200=P$4),0),$E131-1973)</f>
        <v>#N/A</v>
      </c>
      <c r="Q131" t="e" cm="1">
        <f t="array" ref="Q131">INDEX('GMW - Baseline'!$A$2:$MC$200,MATCH(1,('GMW - Baseline'!$MC$2:$MC$200=Q$3)*('GMW - Baseline'!$MB$2:$MB$200=Q$4),0),$E131-1973)</f>
        <v>#N/A</v>
      </c>
      <c r="R131" t="e" cm="1">
        <f t="array" ref="R131">INDEX('GMW - Baseline'!$A$2:$MC$200,MATCH(1,('GMW - Baseline'!$MC$2:$MC$200=R$3)*('GMW - Baseline'!$MB$2:$MB$200=R$4),0),$E131-1973)</f>
        <v>#N/A</v>
      </c>
      <c r="S131" t="e" cm="1">
        <f t="array" ref="S131">INDEX('GMW - Baseline'!$A$2:$MC$200,MATCH(1,('GMW - Baseline'!$MC$2:$MC$200=S$3)*('GMW - Baseline'!$MB$2:$MB$200=S$4),0),$E131-1973)</f>
        <v>#N/A</v>
      </c>
      <c r="T131" t="e" cm="1">
        <f t="array" ref="T131">INDEX('GMW - Baseline'!$A$2:$MC$200,MATCH(1,('GMW - Baseline'!$MC$2:$MC$200=T$3)*('GMW - Baseline'!$MB$2:$MB$200=T$4),0),$E131-1973)</f>
        <v>#N/A</v>
      </c>
    </row>
    <row r="132" spans="1:20" x14ac:dyDescent="0.25">
      <c r="B132">
        <f t="shared" si="10"/>
        <v>2011</v>
      </c>
      <c r="C132">
        <f t="shared" si="10"/>
        <v>2011</v>
      </c>
      <c r="E132">
        <f t="shared" si="6"/>
        <v>2105</v>
      </c>
      <c r="F132" cm="1">
        <f t="array" ref="F132">INDEX('GMW - Baseline'!$A$2:$MC$200,MATCH(1,('GMW - Baseline'!$MC$2:$MC$200=F$3)*('GMW - Baseline'!$MB$2:$MB$200=F$4),0),$E132-1973)</f>
        <v>566601</v>
      </c>
      <c r="G132" cm="1">
        <f t="array" ref="G132">INDEX('GMW - Baseline'!$A$2:$MC$200,MATCH(1,('GMW - Baseline'!$MC$2:$MC$200=G$3)*('GMW - Baseline'!$MB$2:$MB$200=G$4),0),$E132-1973)</f>
        <v>340153</v>
      </c>
      <c r="H132" cm="1">
        <f t="array" ref="H132">INDEX('GMW - Baseline'!$A$2:$MC$200,MATCH(1,('GMW - Baseline'!$MC$2:$MC$200=H$3)*('GMW - Baseline'!$MB$2:$MB$200=H$4),0),$E132-1973)</f>
        <v>93.3</v>
      </c>
      <c r="I132" cm="1">
        <f t="array" ref="I132">INDEX('GMW - Baseline'!$A$2:$MC$200,MATCH(1,('GMW - Baseline'!$MC$2:$MC$200=I$3)*('GMW - Baseline'!$MB$2:$MB$200=I$4),0),$E132-1973)</f>
        <v>0.5</v>
      </c>
      <c r="J132" t="e" cm="1">
        <f t="array" ref="J132">INDEX('GMW - Baseline'!$A$2:$MC$200,MATCH(1,('GMW - Baseline'!$MC$2:$MC$200=J$3)*('GMW - Baseline'!$MB$2:$MB$200=J$4),0),$E132-1973)</f>
        <v>#N/A</v>
      </c>
      <c r="K132" t="e" cm="1">
        <f t="array" ref="K132">INDEX('GMW - Baseline'!$A$2:$MC$200,MATCH(1,('GMW - Baseline'!$MC$2:$MC$200=K$3)*('GMW - Baseline'!$MB$2:$MB$200=K$4),0),$E132-1973)</f>
        <v>#N/A</v>
      </c>
      <c r="L132" t="e" cm="1">
        <f t="array" ref="L132">INDEX('GMW - Baseline'!$A$2:$MC$200,MATCH(1,('GMW - Baseline'!$MC$2:$MC$200=L$3)*('GMW - Baseline'!$MB$2:$MB$200=L$4),0),$E132-1973)</f>
        <v>#N/A</v>
      </c>
      <c r="M132" t="e" cm="1">
        <f t="array" ref="M132">INDEX('GMW - Baseline'!$A$2:$MC$200,MATCH(1,('GMW - Baseline'!$MC$2:$MC$200=M$3)*('GMW - Baseline'!$MB$2:$MB$200=M$4),0),$E132-1973)</f>
        <v>#N/A</v>
      </c>
      <c r="N132" t="e" cm="1">
        <f t="array" ref="N132">INDEX('GMW - Baseline'!$A$2:$MC$200,MATCH(1,('GMW - Baseline'!$MC$2:$MC$200=N$3)*('GMW - Baseline'!$MB$2:$MB$200=N$4),0),$E132-1973)</f>
        <v>#N/A</v>
      </c>
      <c r="O132" t="e" cm="1">
        <f t="array" ref="O132">INDEX('GMW - Baseline'!$A$2:$MC$200,MATCH(1,('GMW - Baseline'!$MC$2:$MC$200=O$3)*('GMW - Baseline'!$MB$2:$MB$200=O$4),0),$E132-1973)</f>
        <v>#N/A</v>
      </c>
      <c r="P132" t="e" cm="1">
        <f t="array" ref="P132">INDEX('GMW - Baseline'!$A$2:$MC$200,MATCH(1,('GMW - Baseline'!$MC$2:$MC$200=P$3)*('GMW - Baseline'!$MB$2:$MB$200=P$4),0),$E132-1973)</f>
        <v>#N/A</v>
      </c>
      <c r="Q132" t="e" cm="1">
        <f t="array" ref="Q132">INDEX('GMW - Baseline'!$A$2:$MC$200,MATCH(1,('GMW - Baseline'!$MC$2:$MC$200=Q$3)*('GMW - Baseline'!$MB$2:$MB$200=Q$4),0),$E132-1973)</f>
        <v>#N/A</v>
      </c>
      <c r="R132" t="e" cm="1">
        <f t="array" ref="R132">INDEX('GMW - Baseline'!$A$2:$MC$200,MATCH(1,('GMW - Baseline'!$MC$2:$MC$200=R$3)*('GMW - Baseline'!$MB$2:$MB$200=R$4),0),$E132-1973)</f>
        <v>#N/A</v>
      </c>
      <c r="S132" t="e" cm="1">
        <f t="array" ref="S132">INDEX('GMW - Baseline'!$A$2:$MC$200,MATCH(1,('GMW - Baseline'!$MC$2:$MC$200=S$3)*('GMW - Baseline'!$MB$2:$MB$200=S$4),0),$E132-1973)</f>
        <v>#N/A</v>
      </c>
      <c r="T132" t="e" cm="1">
        <f t="array" ref="T132">INDEX('GMW - Baseline'!$A$2:$MC$200,MATCH(1,('GMW - Baseline'!$MC$2:$MC$200=T$3)*('GMW - Baseline'!$MB$2:$MB$200=T$4),0),$E132-1973)</f>
        <v>#N/A</v>
      </c>
    </row>
    <row r="133" spans="1:20" x14ac:dyDescent="0.25">
      <c r="B133">
        <f t="shared" si="10"/>
        <v>2011</v>
      </c>
      <c r="C133">
        <f t="shared" si="10"/>
        <v>2011</v>
      </c>
      <c r="E133">
        <f t="shared" si="6"/>
        <v>2106</v>
      </c>
      <c r="F133" cm="1">
        <f t="array" ref="F133">INDEX('GMW - Baseline'!$A$2:$MC$200,MATCH(1,('GMW - Baseline'!$MC$2:$MC$200=F$3)*('GMW - Baseline'!$MB$2:$MB$200=F$4),0),$E133-1973)</f>
        <v>567586</v>
      </c>
      <c r="G133" cm="1">
        <f t="array" ref="G133">INDEX('GMW - Baseline'!$A$2:$MC$200,MATCH(1,('GMW - Baseline'!$MC$2:$MC$200=G$3)*('GMW - Baseline'!$MB$2:$MB$200=G$4),0),$E133-1973)</f>
        <v>340755</v>
      </c>
      <c r="H133" cm="1">
        <f t="array" ref="H133">INDEX('GMW - Baseline'!$A$2:$MC$200,MATCH(1,('GMW - Baseline'!$MC$2:$MC$200=H$3)*('GMW - Baseline'!$MB$2:$MB$200=H$4),0),$E133-1973)</f>
        <v>93.833340000000007</v>
      </c>
      <c r="I133" cm="1">
        <f t="array" ref="I133">INDEX('GMW - Baseline'!$A$2:$MC$200,MATCH(1,('GMW - Baseline'!$MC$2:$MC$200=I$3)*('GMW - Baseline'!$MB$2:$MB$200=I$4),0),$E133-1973)</f>
        <v>0.5</v>
      </c>
      <c r="J133" t="e" cm="1">
        <f t="array" ref="J133">INDEX('GMW - Baseline'!$A$2:$MC$200,MATCH(1,('GMW - Baseline'!$MC$2:$MC$200=J$3)*('GMW - Baseline'!$MB$2:$MB$200=J$4),0),$E133-1973)</f>
        <v>#N/A</v>
      </c>
      <c r="K133" t="e" cm="1">
        <f t="array" ref="K133">INDEX('GMW - Baseline'!$A$2:$MC$200,MATCH(1,('GMW - Baseline'!$MC$2:$MC$200=K$3)*('GMW - Baseline'!$MB$2:$MB$200=K$4),0),$E133-1973)</f>
        <v>#N/A</v>
      </c>
      <c r="L133" t="e" cm="1">
        <f t="array" ref="L133">INDEX('GMW - Baseline'!$A$2:$MC$200,MATCH(1,('GMW - Baseline'!$MC$2:$MC$200=L$3)*('GMW - Baseline'!$MB$2:$MB$200=L$4),0),$E133-1973)</f>
        <v>#N/A</v>
      </c>
      <c r="M133" t="e" cm="1">
        <f t="array" ref="M133">INDEX('GMW - Baseline'!$A$2:$MC$200,MATCH(1,('GMW - Baseline'!$MC$2:$MC$200=M$3)*('GMW - Baseline'!$MB$2:$MB$200=M$4),0),$E133-1973)</f>
        <v>#N/A</v>
      </c>
      <c r="N133" t="e" cm="1">
        <f t="array" ref="N133">INDEX('GMW - Baseline'!$A$2:$MC$200,MATCH(1,('GMW - Baseline'!$MC$2:$MC$200=N$3)*('GMW - Baseline'!$MB$2:$MB$200=N$4),0),$E133-1973)</f>
        <v>#N/A</v>
      </c>
      <c r="O133" t="e" cm="1">
        <f t="array" ref="O133">INDEX('GMW - Baseline'!$A$2:$MC$200,MATCH(1,('GMW - Baseline'!$MC$2:$MC$200=O$3)*('GMW - Baseline'!$MB$2:$MB$200=O$4),0),$E133-1973)</f>
        <v>#N/A</v>
      </c>
      <c r="P133" t="e" cm="1">
        <f t="array" ref="P133">INDEX('GMW - Baseline'!$A$2:$MC$200,MATCH(1,('GMW - Baseline'!$MC$2:$MC$200=P$3)*('GMW - Baseline'!$MB$2:$MB$200=P$4),0),$E133-1973)</f>
        <v>#N/A</v>
      </c>
      <c r="Q133" t="e" cm="1">
        <f t="array" ref="Q133">INDEX('GMW - Baseline'!$A$2:$MC$200,MATCH(1,('GMW - Baseline'!$MC$2:$MC$200=Q$3)*('GMW - Baseline'!$MB$2:$MB$200=Q$4),0),$E133-1973)</f>
        <v>#N/A</v>
      </c>
      <c r="R133" t="e" cm="1">
        <f t="array" ref="R133">INDEX('GMW - Baseline'!$A$2:$MC$200,MATCH(1,('GMW - Baseline'!$MC$2:$MC$200=R$3)*('GMW - Baseline'!$MB$2:$MB$200=R$4),0),$E133-1973)</f>
        <v>#N/A</v>
      </c>
      <c r="S133" t="e" cm="1">
        <f t="array" ref="S133">INDEX('GMW - Baseline'!$A$2:$MC$200,MATCH(1,('GMW - Baseline'!$MC$2:$MC$200=S$3)*('GMW - Baseline'!$MB$2:$MB$200=S$4),0),$E133-1973)</f>
        <v>#N/A</v>
      </c>
      <c r="T133" t="e" cm="1">
        <f t="array" ref="T133">INDEX('GMW - Baseline'!$A$2:$MC$200,MATCH(1,('GMW - Baseline'!$MC$2:$MC$200=T$3)*('GMW - Baseline'!$MB$2:$MB$200=T$4),0),$E133-1973)</f>
        <v>#N/A</v>
      </c>
    </row>
    <row r="134" spans="1:20" x14ac:dyDescent="0.25">
      <c r="B134">
        <f t="shared" si="10"/>
        <v>2011</v>
      </c>
      <c r="C134">
        <f t="shared" si="10"/>
        <v>2011</v>
      </c>
      <c r="E134">
        <f t="shared" si="6"/>
        <v>2107</v>
      </c>
      <c r="F134" cm="1">
        <f t="array" ref="F134">INDEX('GMW - Baseline'!$A$2:$MC$200,MATCH(1,('GMW - Baseline'!$MC$2:$MC$200=F$3)*('GMW - Baseline'!$MB$2:$MB$200=F$4),0),$E134-1973)</f>
        <v>568056</v>
      </c>
      <c r="G134" cm="1">
        <f t="array" ref="G134">INDEX('GMW - Baseline'!$A$2:$MC$200,MATCH(1,('GMW - Baseline'!$MC$2:$MC$200=G$3)*('GMW - Baseline'!$MB$2:$MB$200=G$4),0),$E134-1973)</f>
        <v>341255</v>
      </c>
      <c r="H134" cm="1">
        <f t="array" ref="H134">INDEX('GMW - Baseline'!$A$2:$MC$200,MATCH(1,('GMW - Baseline'!$MC$2:$MC$200=H$3)*('GMW - Baseline'!$MB$2:$MB$200=H$4),0),$E134-1973)</f>
        <v>94.733329999999995</v>
      </c>
      <c r="I134" cm="1">
        <f t="array" ref="I134">INDEX('GMW - Baseline'!$A$2:$MC$200,MATCH(1,('GMW - Baseline'!$MC$2:$MC$200=I$3)*('GMW - Baseline'!$MB$2:$MB$200=I$4),0),$E134-1973)</f>
        <v>0.5</v>
      </c>
      <c r="J134" t="e" cm="1">
        <f t="array" ref="J134">INDEX('GMW - Baseline'!$A$2:$MC$200,MATCH(1,('GMW - Baseline'!$MC$2:$MC$200=J$3)*('GMW - Baseline'!$MB$2:$MB$200=J$4),0),$E134-1973)</f>
        <v>#N/A</v>
      </c>
      <c r="K134" t="e" cm="1">
        <f t="array" ref="K134">INDEX('GMW - Baseline'!$A$2:$MC$200,MATCH(1,('GMW - Baseline'!$MC$2:$MC$200=K$3)*('GMW - Baseline'!$MB$2:$MB$200=K$4),0),$E134-1973)</f>
        <v>#N/A</v>
      </c>
      <c r="L134" t="e" cm="1">
        <f t="array" ref="L134">INDEX('GMW - Baseline'!$A$2:$MC$200,MATCH(1,('GMW - Baseline'!$MC$2:$MC$200=L$3)*('GMW - Baseline'!$MB$2:$MB$200=L$4),0),$E134-1973)</f>
        <v>#N/A</v>
      </c>
      <c r="M134" t="e" cm="1">
        <f t="array" ref="M134">INDEX('GMW - Baseline'!$A$2:$MC$200,MATCH(1,('GMW - Baseline'!$MC$2:$MC$200=M$3)*('GMW - Baseline'!$MB$2:$MB$200=M$4),0),$E134-1973)</f>
        <v>#N/A</v>
      </c>
      <c r="N134" t="e" cm="1">
        <f t="array" ref="N134">INDEX('GMW - Baseline'!$A$2:$MC$200,MATCH(1,('GMW - Baseline'!$MC$2:$MC$200=N$3)*('GMW - Baseline'!$MB$2:$MB$200=N$4),0),$E134-1973)</f>
        <v>#N/A</v>
      </c>
      <c r="O134" t="e" cm="1">
        <f t="array" ref="O134">INDEX('GMW - Baseline'!$A$2:$MC$200,MATCH(1,('GMW - Baseline'!$MC$2:$MC$200=O$3)*('GMW - Baseline'!$MB$2:$MB$200=O$4),0),$E134-1973)</f>
        <v>#N/A</v>
      </c>
      <c r="P134" t="e" cm="1">
        <f t="array" ref="P134">INDEX('GMW - Baseline'!$A$2:$MC$200,MATCH(1,('GMW - Baseline'!$MC$2:$MC$200=P$3)*('GMW - Baseline'!$MB$2:$MB$200=P$4),0),$E134-1973)</f>
        <v>#N/A</v>
      </c>
      <c r="Q134" t="e" cm="1">
        <f t="array" ref="Q134">INDEX('GMW - Baseline'!$A$2:$MC$200,MATCH(1,('GMW - Baseline'!$MC$2:$MC$200=Q$3)*('GMW - Baseline'!$MB$2:$MB$200=Q$4),0),$E134-1973)</f>
        <v>#N/A</v>
      </c>
      <c r="R134" t="e" cm="1">
        <f t="array" ref="R134">INDEX('GMW - Baseline'!$A$2:$MC$200,MATCH(1,('GMW - Baseline'!$MC$2:$MC$200=R$3)*('GMW - Baseline'!$MB$2:$MB$200=R$4),0),$E134-1973)</f>
        <v>#N/A</v>
      </c>
      <c r="S134" t="e" cm="1">
        <f t="array" ref="S134">INDEX('GMW - Baseline'!$A$2:$MC$200,MATCH(1,('GMW - Baseline'!$MC$2:$MC$200=S$3)*('GMW - Baseline'!$MB$2:$MB$200=S$4),0),$E134-1973)</f>
        <v>#N/A</v>
      </c>
      <c r="T134" t="e" cm="1">
        <f t="array" ref="T134">INDEX('GMW - Baseline'!$A$2:$MC$200,MATCH(1,('GMW - Baseline'!$MC$2:$MC$200=T$3)*('GMW - Baseline'!$MB$2:$MB$200=T$4),0),$E134-1973)</f>
        <v>#N/A</v>
      </c>
    </row>
    <row r="135" spans="1:20" x14ac:dyDescent="0.25">
      <c r="A135">
        <v>2012</v>
      </c>
      <c r="B135">
        <f t="shared" si="10"/>
        <v>2012</v>
      </c>
      <c r="C135">
        <f t="shared" si="10"/>
        <v>2011</v>
      </c>
      <c r="D135">
        <f t="shared" si="10"/>
        <v>2011</v>
      </c>
      <c r="E135">
        <f t="shared" si="6"/>
        <v>2108</v>
      </c>
      <c r="F135" cm="1">
        <f t="array" ref="F135">INDEX('GMW - Baseline'!$A$2:$MC$200,MATCH(1,('GMW - Baseline'!$MC$2:$MC$200=F$3)*('GMW - Baseline'!$MB$2:$MB$200=F$4),0),$E135-1973)</f>
        <v>573416</v>
      </c>
      <c r="G135" cm="1">
        <f t="array" ref="G135">INDEX('GMW - Baseline'!$A$2:$MC$200,MATCH(1,('GMW - Baseline'!$MC$2:$MC$200=G$3)*('GMW - Baseline'!$MB$2:$MB$200=G$4),0),$E135-1973)</f>
        <v>341708</v>
      </c>
      <c r="H135" cm="1">
        <f t="array" ref="H135">INDEX('GMW - Baseline'!$A$2:$MC$200,MATCH(1,('GMW - Baseline'!$MC$2:$MC$200=H$3)*('GMW - Baseline'!$MB$2:$MB$200=H$4),0),$E135-1973)</f>
        <v>95.033330000000007</v>
      </c>
      <c r="I135" cm="1">
        <f t="array" ref="I135">INDEX('GMW - Baseline'!$A$2:$MC$200,MATCH(1,('GMW - Baseline'!$MC$2:$MC$200=I$3)*('GMW - Baseline'!$MB$2:$MB$200=I$4),0),$E135-1973)</f>
        <v>0.5</v>
      </c>
      <c r="J135" t="e" cm="1">
        <f t="array" ref="J135">INDEX('GMW - Baseline'!$A$2:$MC$200,MATCH(1,('GMW - Baseline'!$MC$2:$MC$200=J$3)*('GMW - Baseline'!$MB$2:$MB$200=J$4),0),$E135-1973)</f>
        <v>#N/A</v>
      </c>
      <c r="K135" t="e" cm="1">
        <f t="array" ref="K135">INDEX('GMW - Baseline'!$A$2:$MC$200,MATCH(1,('GMW - Baseline'!$MC$2:$MC$200=K$3)*('GMW - Baseline'!$MB$2:$MB$200=K$4),0),$E135-1973)</f>
        <v>#N/A</v>
      </c>
      <c r="L135" t="e" cm="1">
        <f t="array" ref="L135">INDEX('GMW - Baseline'!$A$2:$MC$200,MATCH(1,('GMW - Baseline'!$MC$2:$MC$200=L$3)*('GMW - Baseline'!$MB$2:$MB$200=L$4),0),$E135-1973)</f>
        <v>#N/A</v>
      </c>
      <c r="M135" t="e" cm="1">
        <f t="array" ref="M135">INDEX('GMW - Baseline'!$A$2:$MC$200,MATCH(1,('GMW - Baseline'!$MC$2:$MC$200=M$3)*('GMW - Baseline'!$MB$2:$MB$200=M$4),0),$E135-1973)</f>
        <v>#N/A</v>
      </c>
      <c r="N135" t="e" cm="1">
        <f t="array" ref="N135">INDEX('GMW - Baseline'!$A$2:$MC$200,MATCH(1,('GMW - Baseline'!$MC$2:$MC$200=N$3)*('GMW - Baseline'!$MB$2:$MB$200=N$4),0),$E135-1973)</f>
        <v>#N/A</v>
      </c>
      <c r="O135" t="e" cm="1">
        <f t="array" ref="O135">INDEX('GMW - Baseline'!$A$2:$MC$200,MATCH(1,('GMW - Baseline'!$MC$2:$MC$200=O$3)*('GMW - Baseline'!$MB$2:$MB$200=O$4),0),$E135-1973)</f>
        <v>#N/A</v>
      </c>
      <c r="P135" t="e" cm="1">
        <f t="array" ref="P135">INDEX('GMW - Baseline'!$A$2:$MC$200,MATCH(1,('GMW - Baseline'!$MC$2:$MC$200=P$3)*('GMW - Baseline'!$MB$2:$MB$200=P$4),0),$E135-1973)</f>
        <v>#N/A</v>
      </c>
      <c r="Q135" t="e" cm="1">
        <f t="array" ref="Q135">INDEX('GMW - Baseline'!$A$2:$MC$200,MATCH(1,('GMW - Baseline'!$MC$2:$MC$200=Q$3)*('GMW - Baseline'!$MB$2:$MB$200=Q$4),0),$E135-1973)</f>
        <v>#N/A</v>
      </c>
      <c r="R135" t="e" cm="1">
        <f t="array" ref="R135">INDEX('GMW - Baseline'!$A$2:$MC$200,MATCH(1,('GMW - Baseline'!$MC$2:$MC$200=R$3)*('GMW - Baseline'!$MB$2:$MB$200=R$4),0),$E135-1973)</f>
        <v>#N/A</v>
      </c>
      <c r="S135" t="e" cm="1">
        <f t="array" ref="S135">INDEX('GMW - Baseline'!$A$2:$MC$200,MATCH(1,('GMW - Baseline'!$MC$2:$MC$200=S$3)*('GMW - Baseline'!$MB$2:$MB$200=S$4),0),$E135-1973)</f>
        <v>#N/A</v>
      </c>
      <c r="T135" t="e" cm="1">
        <f t="array" ref="T135">INDEX('GMW - Baseline'!$A$2:$MC$200,MATCH(1,('GMW - Baseline'!$MC$2:$MC$200=T$3)*('GMW - Baseline'!$MB$2:$MB$200=T$4),0),$E135-1973)</f>
        <v>#N/A</v>
      </c>
    </row>
    <row r="136" spans="1:20" x14ac:dyDescent="0.25">
      <c r="B136">
        <f t="shared" si="10"/>
        <v>2012</v>
      </c>
      <c r="C136">
        <f t="shared" si="10"/>
        <v>2012</v>
      </c>
      <c r="E136">
        <f t="shared" si="6"/>
        <v>2109</v>
      </c>
      <c r="F136" cm="1">
        <f t="array" ref="F136">INDEX('GMW - Baseline'!$A$2:$MC$200,MATCH(1,('GMW - Baseline'!$MC$2:$MC$200=F$3)*('GMW - Baseline'!$MB$2:$MB$200=F$4),0),$E136-1973)</f>
        <v>573112</v>
      </c>
      <c r="G136" cm="1">
        <f t="array" ref="G136">INDEX('GMW - Baseline'!$A$2:$MC$200,MATCH(1,('GMW - Baseline'!$MC$2:$MC$200=G$3)*('GMW - Baseline'!$MB$2:$MB$200=G$4),0),$E136-1973)</f>
        <v>345006</v>
      </c>
      <c r="H136" cm="1">
        <f t="array" ref="H136">INDEX('GMW - Baseline'!$A$2:$MC$200,MATCH(1,('GMW - Baseline'!$MC$2:$MC$200=H$3)*('GMW - Baseline'!$MB$2:$MB$200=H$4),0),$E136-1973)</f>
        <v>95.8</v>
      </c>
      <c r="I136" cm="1">
        <f t="array" ref="I136">INDEX('GMW - Baseline'!$A$2:$MC$200,MATCH(1,('GMW - Baseline'!$MC$2:$MC$200=I$3)*('GMW - Baseline'!$MB$2:$MB$200=I$4),0),$E136-1973)</f>
        <v>0.5</v>
      </c>
      <c r="J136" t="e" cm="1">
        <f t="array" ref="J136">INDEX('GMW - Baseline'!$A$2:$MC$200,MATCH(1,('GMW - Baseline'!$MC$2:$MC$200=J$3)*('GMW - Baseline'!$MB$2:$MB$200=J$4),0),$E136-1973)</f>
        <v>#N/A</v>
      </c>
      <c r="K136" t="e" cm="1">
        <f t="array" ref="K136">INDEX('GMW - Baseline'!$A$2:$MC$200,MATCH(1,('GMW - Baseline'!$MC$2:$MC$200=K$3)*('GMW - Baseline'!$MB$2:$MB$200=K$4),0),$E136-1973)</f>
        <v>#N/A</v>
      </c>
      <c r="L136" t="e" cm="1">
        <f t="array" ref="L136">INDEX('GMW - Baseline'!$A$2:$MC$200,MATCH(1,('GMW - Baseline'!$MC$2:$MC$200=L$3)*('GMW - Baseline'!$MB$2:$MB$200=L$4),0),$E136-1973)</f>
        <v>#N/A</v>
      </c>
      <c r="M136" t="e" cm="1">
        <f t="array" ref="M136">INDEX('GMW - Baseline'!$A$2:$MC$200,MATCH(1,('GMW - Baseline'!$MC$2:$MC$200=M$3)*('GMW - Baseline'!$MB$2:$MB$200=M$4),0),$E136-1973)</f>
        <v>#N/A</v>
      </c>
      <c r="N136" t="e" cm="1">
        <f t="array" ref="N136">INDEX('GMW - Baseline'!$A$2:$MC$200,MATCH(1,('GMW - Baseline'!$MC$2:$MC$200=N$3)*('GMW - Baseline'!$MB$2:$MB$200=N$4),0),$E136-1973)</f>
        <v>#N/A</v>
      </c>
      <c r="O136" t="e" cm="1">
        <f t="array" ref="O136">INDEX('GMW - Baseline'!$A$2:$MC$200,MATCH(1,('GMW - Baseline'!$MC$2:$MC$200=O$3)*('GMW - Baseline'!$MB$2:$MB$200=O$4),0),$E136-1973)</f>
        <v>#N/A</v>
      </c>
      <c r="P136" t="e" cm="1">
        <f t="array" ref="P136">INDEX('GMW - Baseline'!$A$2:$MC$200,MATCH(1,('GMW - Baseline'!$MC$2:$MC$200=P$3)*('GMW - Baseline'!$MB$2:$MB$200=P$4),0),$E136-1973)</f>
        <v>#N/A</v>
      </c>
      <c r="Q136" t="e" cm="1">
        <f t="array" ref="Q136">INDEX('GMW - Baseline'!$A$2:$MC$200,MATCH(1,('GMW - Baseline'!$MC$2:$MC$200=Q$3)*('GMW - Baseline'!$MB$2:$MB$200=Q$4),0),$E136-1973)</f>
        <v>#N/A</v>
      </c>
      <c r="R136" t="e" cm="1">
        <f t="array" ref="R136">INDEX('GMW - Baseline'!$A$2:$MC$200,MATCH(1,('GMW - Baseline'!$MC$2:$MC$200=R$3)*('GMW - Baseline'!$MB$2:$MB$200=R$4),0),$E136-1973)</f>
        <v>#N/A</v>
      </c>
      <c r="S136" t="e" cm="1">
        <f t="array" ref="S136">INDEX('GMW - Baseline'!$A$2:$MC$200,MATCH(1,('GMW - Baseline'!$MC$2:$MC$200=S$3)*('GMW - Baseline'!$MB$2:$MB$200=S$4),0),$E136-1973)</f>
        <v>#N/A</v>
      </c>
      <c r="T136" t="e" cm="1">
        <f t="array" ref="T136">INDEX('GMW - Baseline'!$A$2:$MC$200,MATCH(1,('GMW - Baseline'!$MC$2:$MC$200=T$3)*('GMW - Baseline'!$MB$2:$MB$200=T$4),0),$E136-1973)</f>
        <v>#N/A</v>
      </c>
    </row>
    <row r="137" spans="1:20" x14ac:dyDescent="0.25">
      <c r="B137">
        <f t="shared" si="10"/>
        <v>2012</v>
      </c>
      <c r="C137">
        <f t="shared" si="10"/>
        <v>2012</v>
      </c>
      <c r="E137">
        <f t="shared" ref="E137:E200" si="11">+E136+1</f>
        <v>2110</v>
      </c>
      <c r="F137" cm="1">
        <f t="array" ref="F137">INDEX('GMW - Baseline'!$A$2:$MC$200,MATCH(1,('GMW - Baseline'!$MC$2:$MC$200=F$3)*('GMW - Baseline'!$MB$2:$MB$200=F$4),0),$E137-1973)</f>
        <v>579051</v>
      </c>
      <c r="G137" cm="1">
        <f t="array" ref="G137">INDEX('GMW - Baseline'!$A$2:$MC$200,MATCH(1,('GMW - Baseline'!$MC$2:$MC$200=G$3)*('GMW - Baseline'!$MB$2:$MB$200=G$4),0),$E137-1973)</f>
        <v>349895</v>
      </c>
      <c r="H137" cm="1">
        <f t="array" ref="H137">INDEX('GMW - Baseline'!$A$2:$MC$200,MATCH(1,('GMW - Baseline'!$MC$2:$MC$200=H$3)*('GMW - Baseline'!$MB$2:$MB$200=H$4),0),$E137-1973)</f>
        <v>96.066670000000002</v>
      </c>
      <c r="I137" cm="1">
        <f t="array" ref="I137">INDEX('GMW - Baseline'!$A$2:$MC$200,MATCH(1,('GMW - Baseline'!$MC$2:$MC$200=I$3)*('GMW - Baseline'!$MB$2:$MB$200=I$4),0),$E137-1973)</f>
        <v>0.5</v>
      </c>
      <c r="J137" t="e" cm="1">
        <f t="array" ref="J137">INDEX('GMW - Baseline'!$A$2:$MC$200,MATCH(1,('GMW - Baseline'!$MC$2:$MC$200=J$3)*('GMW - Baseline'!$MB$2:$MB$200=J$4),0),$E137-1973)</f>
        <v>#N/A</v>
      </c>
      <c r="K137" t="e" cm="1">
        <f t="array" ref="K137">INDEX('GMW - Baseline'!$A$2:$MC$200,MATCH(1,('GMW - Baseline'!$MC$2:$MC$200=K$3)*('GMW - Baseline'!$MB$2:$MB$200=K$4),0),$E137-1973)</f>
        <v>#N/A</v>
      </c>
      <c r="L137" t="e" cm="1">
        <f t="array" ref="L137">INDEX('GMW - Baseline'!$A$2:$MC$200,MATCH(1,('GMW - Baseline'!$MC$2:$MC$200=L$3)*('GMW - Baseline'!$MB$2:$MB$200=L$4),0),$E137-1973)</f>
        <v>#N/A</v>
      </c>
      <c r="M137" t="e" cm="1">
        <f t="array" ref="M137">INDEX('GMW - Baseline'!$A$2:$MC$200,MATCH(1,('GMW - Baseline'!$MC$2:$MC$200=M$3)*('GMW - Baseline'!$MB$2:$MB$200=M$4),0),$E137-1973)</f>
        <v>#N/A</v>
      </c>
      <c r="N137" t="e" cm="1">
        <f t="array" ref="N137">INDEX('GMW - Baseline'!$A$2:$MC$200,MATCH(1,('GMW - Baseline'!$MC$2:$MC$200=N$3)*('GMW - Baseline'!$MB$2:$MB$200=N$4),0),$E137-1973)</f>
        <v>#N/A</v>
      </c>
      <c r="O137" t="e" cm="1">
        <f t="array" ref="O137">INDEX('GMW - Baseline'!$A$2:$MC$200,MATCH(1,('GMW - Baseline'!$MC$2:$MC$200=O$3)*('GMW - Baseline'!$MB$2:$MB$200=O$4),0),$E137-1973)</f>
        <v>#N/A</v>
      </c>
      <c r="P137" t="e" cm="1">
        <f t="array" ref="P137">INDEX('GMW - Baseline'!$A$2:$MC$200,MATCH(1,('GMW - Baseline'!$MC$2:$MC$200=P$3)*('GMW - Baseline'!$MB$2:$MB$200=P$4),0),$E137-1973)</f>
        <v>#N/A</v>
      </c>
      <c r="Q137" t="e" cm="1">
        <f t="array" ref="Q137">INDEX('GMW - Baseline'!$A$2:$MC$200,MATCH(1,('GMW - Baseline'!$MC$2:$MC$200=Q$3)*('GMW - Baseline'!$MB$2:$MB$200=Q$4),0),$E137-1973)</f>
        <v>#N/A</v>
      </c>
      <c r="R137" t="e" cm="1">
        <f t="array" ref="R137">INDEX('GMW - Baseline'!$A$2:$MC$200,MATCH(1,('GMW - Baseline'!$MC$2:$MC$200=R$3)*('GMW - Baseline'!$MB$2:$MB$200=R$4),0),$E137-1973)</f>
        <v>#N/A</v>
      </c>
      <c r="S137" t="e" cm="1">
        <f t="array" ref="S137">INDEX('GMW - Baseline'!$A$2:$MC$200,MATCH(1,('GMW - Baseline'!$MC$2:$MC$200=S$3)*('GMW - Baseline'!$MB$2:$MB$200=S$4),0),$E137-1973)</f>
        <v>#N/A</v>
      </c>
      <c r="T137" t="e" cm="1">
        <f t="array" ref="T137">INDEX('GMW - Baseline'!$A$2:$MC$200,MATCH(1,('GMW - Baseline'!$MC$2:$MC$200=T$3)*('GMW - Baseline'!$MB$2:$MB$200=T$4),0),$E137-1973)</f>
        <v>#N/A</v>
      </c>
    </row>
    <row r="138" spans="1:20" x14ac:dyDescent="0.25">
      <c r="B138">
        <f t="shared" si="10"/>
        <v>2012</v>
      </c>
      <c r="C138">
        <f t="shared" si="10"/>
        <v>2012</v>
      </c>
      <c r="E138">
        <f t="shared" si="11"/>
        <v>2111</v>
      </c>
      <c r="F138" cm="1">
        <f t="array" ref="F138">INDEX('GMW - Baseline'!$A$2:$MC$200,MATCH(1,('GMW - Baseline'!$MC$2:$MC$200=F$3)*('GMW - Baseline'!$MB$2:$MB$200=F$4),0),$E138-1973)</f>
        <v>578215</v>
      </c>
      <c r="G138" cm="1">
        <f t="array" ref="G138">INDEX('GMW - Baseline'!$A$2:$MC$200,MATCH(1,('GMW - Baseline'!$MC$2:$MC$200=G$3)*('GMW - Baseline'!$MB$2:$MB$200=G$4),0),$E138-1973)</f>
        <v>355752</v>
      </c>
      <c r="H138" cm="1">
        <f t="array" ref="H138">INDEX('GMW - Baseline'!$A$2:$MC$200,MATCH(1,('GMW - Baseline'!$MC$2:$MC$200=H$3)*('GMW - Baseline'!$MB$2:$MB$200=H$4),0),$E138-1973)</f>
        <v>97.266670000000005</v>
      </c>
      <c r="I138" cm="1">
        <f t="array" ref="I138">INDEX('GMW - Baseline'!$A$2:$MC$200,MATCH(1,('GMW - Baseline'!$MC$2:$MC$200=I$3)*('GMW - Baseline'!$MB$2:$MB$200=I$4),0),$E138-1973)</f>
        <v>0.5</v>
      </c>
      <c r="J138" t="e" cm="1">
        <f t="array" ref="J138">INDEX('GMW - Baseline'!$A$2:$MC$200,MATCH(1,('GMW - Baseline'!$MC$2:$MC$200=J$3)*('GMW - Baseline'!$MB$2:$MB$200=J$4),0),$E138-1973)</f>
        <v>#N/A</v>
      </c>
      <c r="K138" t="e" cm="1">
        <f t="array" ref="K138">INDEX('GMW - Baseline'!$A$2:$MC$200,MATCH(1,('GMW - Baseline'!$MC$2:$MC$200=K$3)*('GMW - Baseline'!$MB$2:$MB$200=K$4),0),$E138-1973)</f>
        <v>#N/A</v>
      </c>
      <c r="L138" t="e" cm="1">
        <f t="array" ref="L138">INDEX('GMW - Baseline'!$A$2:$MC$200,MATCH(1,('GMW - Baseline'!$MC$2:$MC$200=L$3)*('GMW - Baseline'!$MB$2:$MB$200=L$4),0),$E138-1973)</f>
        <v>#N/A</v>
      </c>
      <c r="M138" t="e" cm="1">
        <f t="array" ref="M138">INDEX('GMW - Baseline'!$A$2:$MC$200,MATCH(1,('GMW - Baseline'!$MC$2:$MC$200=M$3)*('GMW - Baseline'!$MB$2:$MB$200=M$4),0),$E138-1973)</f>
        <v>#N/A</v>
      </c>
      <c r="N138" t="e" cm="1">
        <f t="array" ref="N138">INDEX('GMW - Baseline'!$A$2:$MC$200,MATCH(1,('GMW - Baseline'!$MC$2:$MC$200=N$3)*('GMW - Baseline'!$MB$2:$MB$200=N$4),0),$E138-1973)</f>
        <v>#N/A</v>
      </c>
      <c r="O138" t="e" cm="1">
        <f t="array" ref="O138">INDEX('GMW - Baseline'!$A$2:$MC$200,MATCH(1,('GMW - Baseline'!$MC$2:$MC$200=O$3)*('GMW - Baseline'!$MB$2:$MB$200=O$4),0),$E138-1973)</f>
        <v>#N/A</v>
      </c>
      <c r="P138" t="e" cm="1">
        <f t="array" ref="P138">INDEX('GMW - Baseline'!$A$2:$MC$200,MATCH(1,('GMW - Baseline'!$MC$2:$MC$200=P$3)*('GMW - Baseline'!$MB$2:$MB$200=P$4),0),$E138-1973)</f>
        <v>#N/A</v>
      </c>
      <c r="Q138" t="e" cm="1">
        <f t="array" ref="Q138">INDEX('GMW - Baseline'!$A$2:$MC$200,MATCH(1,('GMW - Baseline'!$MC$2:$MC$200=Q$3)*('GMW - Baseline'!$MB$2:$MB$200=Q$4),0),$E138-1973)</f>
        <v>#N/A</v>
      </c>
      <c r="R138" t="e" cm="1">
        <f t="array" ref="R138">INDEX('GMW - Baseline'!$A$2:$MC$200,MATCH(1,('GMW - Baseline'!$MC$2:$MC$200=R$3)*('GMW - Baseline'!$MB$2:$MB$200=R$4),0),$E138-1973)</f>
        <v>#N/A</v>
      </c>
      <c r="S138" t="e" cm="1">
        <f t="array" ref="S138">INDEX('GMW - Baseline'!$A$2:$MC$200,MATCH(1,('GMW - Baseline'!$MC$2:$MC$200=S$3)*('GMW - Baseline'!$MB$2:$MB$200=S$4),0),$E138-1973)</f>
        <v>#N/A</v>
      </c>
      <c r="T138" t="e" cm="1">
        <f t="array" ref="T138">INDEX('GMW - Baseline'!$A$2:$MC$200,MATCH(1,('GMW - Baseline'!$MC$2:$MC$200=T$3)*('GMW - Baseline'!$MB$2:$MB$200=T$4),0),$E138-1973)</f>
        <v>#N/A</v>
      </c>
    </row>
    <row r="139" spans="1:20" x14ac:dyDescent="0.25">
      <c r="A139">
        <v>2013</v>
      </c>
      <c r="B139">
        <f t="shared" si="10"/>
        <v>2013</v>
      </c>
      <c r="C139">
        <f t="shared" si="10"/>
        <v>2012</v>
      </c>
      <c r="D139">
        <f t="shared" si="10"/>
        <v>2012</v>
      </c>
      <c r="E139">
        <f t="shared" si="11"/>
        <v>2112</v>
      </c>
      <c r="F139" cm="1">
        <f t="array" ref="F139">INDEX('GMW - Baseline'!$A$2:$MC$200,MATCH(1,('GMW - Baseline'!$MC$2:$MC$200=F$3)*('GMW - Baseline'!$MB$2:$MB$200=F$4),0),$E139-1973)</f>
        <v>579749</v>
      </c>
      <c r="G139" cm="1">
        <f t="array" ref="G139">INDEX('GMW - Baseline'!$A$2:$MC$200,MATCH(1,('GMW - Baseline'!$MC$2:$MC$200=G$3)*('GMW - Baseline'!$MB$2:$MB$200=G$4),0),$E139-1973)</f>
        <v>352851</v>
      </c>
      <c r="H139" cm="1">
        <f t="array" ref="H139">INDEX('GMW - Baseline'!$A$2:$MC$200,MATCH(1,('GMW - Baseline'!$MC$2:$MC$200=H$3)*('GMW - Baseline'!$MB$2:$MB$200=H$4),0),$E139-1973)</f>
        <v>97.666659999999993</v>
      </c>
      <c r="I139" cm="1">
        <f t="array" ref="I139">INDEX('GMW - Baseline'!$A$2:$MC$200,MATCH(1,('GMW - Baseline'!$MC$2:$MC$200=I$3)*('GMW - Baseline'!$MB$2:$MB$200=I$4),0),$E139-1973)</f>
        <v>0.5</v>
      </c>
      <c r="J139" t="e" cm="1">
        <f t="array" ref="J139">INDEX('GMW - Baseline'!$A$2:$MC$200,MATCH(1,('GMW - Baseline'!$MC$2:$MC$200=J$3)*('GMW - Baseline'!$MB$2:$MB$200=J$4),0),$E139-1973)</f>
        <v>#N/A</v>
      </c>
      <c r="K139" t="e" cm="1">
        <f t="array" ref="K139">INDEX('GMW - Baseline'!$A$2:$MC$200,MATCH(1,('GMW - Baseline'!$MC$2:$MC$200=K$3)*('GMW - Baseline'!$MB$2:$MB$200=K$4),0),$E139-1973)</f>
        <v>#N/A</v>
      </c>
      <c r="L139" t="e" cm="1">
        <f t="array" ref="L139">INDEX('GMW - Baseline'!$A$2:$MC$200,MATCH(1,('GMW - Baseline'!$MC$2:$MC$200=L$3)*('GMW - Baseline'!$MB$2:$MB$200=L$4),0),$E139-1973)</f>
        <v>#N/A</v>
      </c>
      <c r="M139" t="e" cm="1">
        <f t="array" ref="M139">INDEX('GMW - Baseline'!$A$2:$MC$200,MATCH(1,('GMW - Baseline'!$MC$2:$MC$200=M$3)*('GMW - Baseline'!$MB$2:$MB$200=M$4),0),$E139-1973)</f>
        <v>#N/A</v>
      </c>
      <c r="N139" t="e" cm="1">
        <f t="array" ref="N139">INDEX('GMW - Baseline'!$A$2:$MC$200,MATCH(1,('GMW - Baseline'!$MC$2:$MC$200=N$3)*('GMW - Baseline'!$MB$2:$MB$200=N$4),0),$E139-1973)</f>
        <v>#N/A</v>
      </c>
      <c r="O139" t="e" cm="1">
        <f t="array" ref="O139">INDEX('GMW - Baseline'!$A$2:$MC$200,MATCH(1,('GMW - Baseline'!$MC$2:$MC$200=O$3)*('GMW - Baseline'!$MB$2:$MB$200=O$4),0),$E139-1973)</f>
        <v>#N/A</v>
      </c>
      <c r="P139" t="e" cm="1">
        <f t="array" ref="P139">INDEX('GMW - Baseline'!$A$2:$MC$200,MATCH(1,('GMW - Baseline'!$MC$2:$MC$200=P$3)*('GMW - Baseline'!$MB$2:$MB$200=P$4),0),$E139-1973)</f>
        <v>#N/A</v>
      </c>
      <c r="Q139" t="e" cm="1">
        <f t="array" ref="Q139">INDEX('GMW - Baseline'!$A$2:$MC$200,MATCH(1,('GMW - Baseline'!$MC$2:$MC$200=Q$3)*('GMW - Baseline'!$MB$2:$MB$200=Q$4),0),$E139-1973)</f>
        <v>#N/A</v>
      </c>
      <c r="R139" t="e" cm="1">
        <f t="array" ref="R139">INDEX('GMW - Baseline'!$A$2:$MC$200,MATCH(1,('GMW - Baseline'!$MC$2:$MC$200=R$3)*('GMW - Baseline'!$MB$2:$MB$200=R$4),0),$E139-1973)</f>
        <v>#N/A</v>
      </c>
      <c r="S139" t="e" cm="1">
        <f t="array" ref="S139">INDEX('GMW - Baseline'!$A$2:$MC$200,MATCH(1,('GMW - Baseline'!$MC$2:$MC$200=S$3)*('GMW - Baseline'!$MB$2:$MB$200=S$4),0),$E139-1973)</f>
        <v>#N/A</v>
      </c>
      <c r="T139" t="e" cm="1">
        <f t="array" ref="T139">INDEX('GMW - Baseline'!$A$2:$MC$200,MATCH(1,('GMW - Baseline'!$MC$2:$MC$200=T$3)*('GMW - Baseline'!$MB$2:$MB$200=T$4),0),$E139-1973)</f>
        <v>#N/A</v>
      </c>
    </row>
    <row r="140" spans="1:20" x14ac:dyDescent="0.25">
      <c r="B140">
        <f t="shared" ref="B140:D155" si="12">+B136+1</f>
        <v>2013</v>
      </c>
      <c r="C140">
        <f t="shared" si="12"/>
        <v>2013</v>
      </c>
      <c r="E140">
        <f t="shared" si="11"/>
        <v>2113</v>
      </c>
      <c r="F140" cm="1">
        <f t="array" ref="F140">INDEX('GMW - Baseline'!$A$2:$MC$200,MATCH(1,('GMW - Baseline'!$MC$2:$MC$200=F$3)*('GMW - Baseline'!$MB$2:$MB$200=F$4),0),$E140-1973)</f>
        <v>583605</v>
      </c>
      <c r="G140" cm="1">
        <f t="array" ref="G140">INDEX('GMW - Baseline'!$A$2:$MC$200,MATCH(1,('GMW - Baseline'!$MC$2:$MC$200=G$3)*('GMW - Baseline'!$MB$2:$MB$200=G$4),0),$E140-1973)</f>
        <v>355308</v>
      </c>
      <c r="H140" cm="1">
        <f t="array" ref="H140">INDEX('GMW - Baseline'!$A$2:$MC$200,MATCH(1,('GMW - Baseline'!$MC$2:$MC$200=H$3)*('GMW - Baseline'!$MB$2:$MB$200=H$4),0),$E140-1973)</f>
        <v>98.366669999999999</v>
      </c>
      <c r="I140" cm="1">
        <f t="array" ref="I140">INDEX('GMW - Baseline'!$A$2:$MC$200,MATCH(1,('GMW - Baseline'!$MC$2:$MC$200=I$3)*('GMW - Baseline'!$MB$2:$MB$200=I$4),0),$E140-1973)</f>
        <v>0.5</v>
      </c>
      <c r="J140" t="e" cm="1">
        <f t="array" ref="J140">INDEX('GMW - Baseline'!$A$2:$MC$200,MATCH(1,('GMW - Baseline'!$MC$2:$MC$200=J$3)*('GMW - Baseline'!$MB$2:$MB$200=J$4),0),$E140-1973)</f>
        <v>#N/A</v>
      </c>
      <c r="K140" t="e" cm="1">
        <f t="array" ref="K140">INDEX('GMW - Baseline'!$A$2:$MC$200,MATCH(1,('GMW - Baseline'!$MC$2:$MC$200=K$3)*('GMW - Baseline'!$MB$2:$MB$200=K$4),0),$E140-1973)</f>
        <v>#N/A</v>
      </c>
      <c r="L140" t="e" cm="1">
        <f t="array" ref="L140">INDEX('GMW - Baseline'!$A$2:$MC$200,MATCH(1,('GMW - Baseline'!$MC$2:$MC$200=L$3)*('GMW - Baseline'!$MB$2:$MB$200=L$4),0),$E140-1973)</f>
        <v>#N/A</v>
      </c>
      <c r="M140" t="e" cm="1">
        <f t="array" ref="M140">INDEX('GMW - Baseline'!$A$2:$MC$200,MATCH(1,('GMW - Baseline'!$MC$2:$MC$200=M$3)*('GMW - Baseline'!$MB$2:$MB$200=M$4),0),$E140-1973)</f>
        <v>#N/A</v>
      </c>
      <c r="N140" t="e" cm="1">
        <f t="array" ref="N140">INDEX('GMW - Baseline'!$A$2:$MC$200,MATCH(1,('GMW - Baseline'!$MC$2:$MC$200=N$3)*('GMW - Baseline'!$MB$2:$MB$200=N$4),0),$E140-1973)</f>
        <v>#N/A</v>
      </c>
      <c r="O140" t="e" cm="1">
        <f t="array" ref="O140">INDEX('GMW - Baseline'!$A$2:$MC$200,MATCH(1,('GMW - Baseline'!$MC$2:$MC$200=O$3)*('GMW - Baseline'!$MB$2:$MB$200=O$4),0),$E140-1973)</f>
        <v>#N/A</v>
      </c>
      <c r="P140" t="e" cm="1">
        <f t="array" ref="P140">INDEX('GMW - Baseline'!$A$2:$MC$200,MATCH(1,('GMW - Baseline'!$MC$2:$MC$200=P$3)*('GMW - Baseline'!$MB$2:$MB$200=P$4),0),$E140-1973)</f>
        <v>#N/A</v>
      </c>
      <c r="Q140" t="e" cm="1">
        <f t="array" ref="Q140">INDEX('GMW - Baseline'!$A$2:$MC$200,MATCH(1,('GMW - Baseline'!$MC$2:$MC$200=Q$3)*('GMW - Baseline'!$MB$2:$MB$200=Q$4),0),$E140-1973)</f>
        <v>#N/A</v>
      </c>
      <c r="R140" t="e" cm="1">
        <f t="array" ref="R140">INDEX('GMW - Baseline'!$A$2:$MC$200,MATCH(1,('GMW - Baseline'!$MC$2:$MC$200=R$3)*('GMW - Baseline'!$MB$2:$MB$200=R$4),0),$E140-1973)</f>
        <v>#N/A</v>
      </c>
      <c r="S140" t="e" cm="1">
        <f t="array" ref="S140">INDEX('GMW - Baseline'!$A$2:$MC$200,MATCH(1,('GMW - Baseline'!$MC$2:$MC$200=S$3)*('GMW - Baseline'!$MB$2:$MB$200=S$4),0),$E140-1973)</f>
        <v>#N/A</v>
      </c>
      <c r="T140" t="e" cm="1">
        <f t="array" ref="T140">INDEX('GMW - Baseline'!$A$2:$MC$200,MATCH(1,('GMW - Baseline'!$MC$2:$MC$200=T$3)*('GMW - Baseline'!$MB$2:$MB$200=T$4),0),$E140-1973)</f>
        <v>#N/A</v>
      </c>
    </row>
    <row r="141" spans="1:20" x14ac:dyDescent="0.25">
      <c r="B141">
        <f t="shared" si="12"/>
        <v>2013</v>
      </c>
      <c r="C141">
        <f t="shared" si="12"/>
        <v>2013</v>
      </c>
      <c r="E141">
        <f t="shared" si="11"/>
        <v>2114</v>
      </c>
      <c r="F141" cm="1">
        <f t="array" ref="F141">INDEX('GMW - Baseline'!$A$2:$MC$200,MATCH(1,('GMW - Baseline'!$MC$2:$MC$200=F$3)*('GMW - Baseline'!$MB$2:$MB$200=F$4),0),$E141-1973)</f>
        <v>588076</v>
      </c>
      <c r="G141" cm="1">
        <f t="array" ref="G141">INDEX('GMW - Baseline'!$A$2:$MC$200,MATCH(1,('GMW - Baseline'!$MC$2:$MC$200=G$3)*('GMW - Baseline'!$MB$2:$MB$200=G$4),0),$E141-1973)</f>
        <v>359151</v>
      </c>
      <c r="H141" cm="1">
        <f t="array" ref="H141">INDEX('GMW - Baseline'!$A$2:$MC$200,MATCH(1,('GMW - Baseline'!$MC$2:$MC$200=H$3)*('GMW - Baseline'!$MB$2:$MB$200=H$4),0),$E141-1973)</f>
        <v>98.7</v>
      </c>
      <c r="I141" cm="1">
        <f t="array" ref="I141">INDEX('GMW - Baseline'!$A$2:$MC$200,MATCH(1,('GMW - Baseline'!$MC$2:$MC$200=I$3)*('GMW - Baseline'!$MB$2:$MB$200=I$4),0),$E141-1973)</f>
        <v>0.5</v>
      </c>
      <c r="J141" t="e" cm="1">
        <f t="array" ref="J141">INDEX('GMW - Baseline'!$A$2:$MC$200,MATCH(1,('GMW - Baseline'!$MC$2:$MC$200=J$3)*('GMW - Baseline'!$MB$2:$MB$200=J$4),0),$E141-1973)</f>
        <v>#N/A</v>
      </c>
      <c r="K141" t="e" cm="1">
        <f t="array" ref="K141">INDEX('GMW - Baseline'!$A$2:$MC$200,MATCH(1,('GMW - Baseline'!$MC$2:$MC$200=K$3)*('GMW - Baseline'!$MB$2:$MB$200=K$4),0),$E141-1973)</f>
        <v>#N/A</v>
      </c>
      <c r="L141" t="e" cm="1">
        <f t="array" ref="L141">INDEX('GMW - Baseline'!$A$2:$MC$200,MATCH(1,('GMW - Baseline'!$MC$2:$MC$200=L$3)*('GMW - Baseline'!$MB$2:$MB$200=L$4),0),$E141-1973)</f>
        <v>#N/A</v>
      </c>
      <c r="M141" t="e" cm="1">
        <f t="array" ref="M141">INDEX('GMW - Baseline'!$A$2:$MC$200,MATCH(1,('GMW - Baseline'!$MC$2:$MC$200=M$3)*('GMW - Baseline'!$MB$2:$MB$200=M$4),0),$E141-1973)</f>
        <v>#N/A</v>
      </c>
      <c r="N141" t="e" cm="1">
        <f t="array" ref="N141">INDEX('GMW - Baseline'!$A$2:$MC$200,MATCH(1,('GMW - Baseline'!$MC$2:$MC$200=N$3)*('GMW - Baseline'!$MB$2:$MB$200=N$4),0),$E141-1973)</f>
        <v>#N/A</v>
      </c>
      <c r="O141" t="e" cm="1">
        <f t="array" ref="O141">INDEX('GMW - Baseline'!$A$2:$MC$200,MATCH(1,('GMW - Baseline'!$MC$2:$MC$200=O$3)*('GMW - Baseline'!$MB$2:$MB$200=O$4),0),$E141-1973)</f>
        <v>#N/A</v>
      </c>
      <c r="P141" t="e" cm="1">
        <f t="array" ref="P141">INDEX('GMW - Baseline'!$A$2:$MC$200,MATCH(1,('GMW - Baseline'!$MC$2:$MC$200=P$3)*('GMW - Baseline'!$MB$2:$MB$200=P$4),0),$E141-1973)</f>
        <v>#N/A</v>
      </c>
      <c r="Q141" t="e" cm="1">
        <f t="array" ref="Q141">INDEX('GMW - Baseline'!$A$2:$MC$200,MATCH(1,('GMW - Baseline'!$MC$2:$MC$200=Q$3)*('GMW - Baseline'!$MB$2:$MB$200=Q$4),0),$E141-1973)</f>
        <v>#N/A</v>
      </c>
      <c r="R141" t="e" cm="1">
        <f t="array" ref="R141">INDEX('GMW - Baseline'!$A$2:$MC$200,MATCH(1,('GMW - Baseline'!$MC$2:$MC$200=R$3)*('GMW - Baseline'!$MB$2:$MB$200=R$4),0),$E141-1973)</f>
        <v>#N/A</v>
      </c>
      <c r="S141" t="e" cm="1">
        <f t="array" ref="S141">INDEX('GMW - Baseline'!$A$2:$MC$200,MATCH(1,('GMW - Baseline'!$MC$2:$MC$200=S$3)*('GMW - Baseline'!$MB$2:$MB$200=S$4),0),$E141-1973)</f>
        <v>#N/A</v>
      </c>
      <c r="T141" t="e" cm="1">
        <f t="array" ref="T141">INDEX('GMW - Baseline'!$A$2:$MC$200,MATCH(1,('GMW - Baseline'!$MC$2:$MC$200=T$3)*('GMW - Baseline'!$MB$2:$MB$200=T$4),0),$E141-1973)</f>
        <v>#N/A</v>
      </c>
    </row>
    <row r="142" spans="1:20" x14ac:dyDescent="0.25">
      <c r="B142">
        <f t="shared" si="12"/>
        <v>2013</v>
      </c>
      <c r="C142">
        <f t="shared" si="12"/>
        <v>2013</v>
      </c>
      <c r="E142">
        <f t="shared" si="11"/>
        <v>2115</v>
      </c>
      <c r="F142" cm="1">
        <f t="array" ref="F142">INDEX('GMW - Baseline'!$A$2:$MC$200,MATCH(1,('GMW - Baseline'!$MC$2:$MC$200=F$3)*('GMW - Baseline'!$MB$2:$MB$200=F$4),0),$E142-1973)</f>
        <v>591954</v>
      </c>
      <c r="G142" cm="1">
        <f t="array" ref="G142">INDEX('GMW - Baseline'!$A$2:$MC$200,MATCH(1,('GMW - Baseline'!$MC$2:$MC$200=G$3)*('GMW - Baseline'!$MB$2:$MB$200=G$4),0),$E142-1973)</f>
        <v>360080</v>
      </c>
      <c r="H142" cm="1">
        <f t="array" ref="H142">INDEX('GMW - Baseline'!$A$2:$MC$200,MATCH(1,('GMW - Baseline'!$MC$2:$MC$200=H$3)*('GMW - Baseline'!$MB$2:$MB$200=H$4),0),$E142-1973)</f>
        <v>99.3</v>
      </c>
      <c r="I142" cm="1">
        <f t="array" ref="I142">INDEX('GMW - Baseline'!$A$2:$MC$200,MATCH(1,('GMW - Baseline'!$MC$2:$MC$200=I$3)*('GMW - Baseline'!$MB$2:$MB$200=I$4),0),$E142-1973)</f>
        <v>0.5</v>
      </c>
      <c r="J142" t="e" cm="1">
        <f t="array" ref="J142">INDEX('GMW - Baseline'!$A$2:$MC$200,MATCH(1,('GMW - Baseline'!$MC$2:$MC$200=J$3)*('GMW - Baseline'!$MB$2:$MB$200=J$4),0),$E142-1973)</f>
        <v>#N/A</v>
      </c>
      <c r="K142" t="e" cm="1">
        <f t="array" ref="K142">INDEX('GMW - Baseline'!$A$2:$MC$200,MATCH(1,('GMW - Baseline'!$MC$2:$MC$200=K$3)*('GMW - Baseline'!$MB$2:$MB$200=K$4),0),$E142-1973)</f>
        <v>#N/A</v>
      </c>
      <c r="L142" t="e" cm="1">
        <f t="array" ref="L142">INDEX('GMW - Baseline'!$A$2:$MC$200,MATCH(1,('GMW - Baseline'!$MC$2:$MC$200=L$3)*('GMW - Baseline'!$MB$2:$MB$200=L$4),0),$E142-1973)</f>
        <v>#N/A</v>
      </c>
      <c r="M142" t="e" cm="1">
        <f t="array" ref="M142">INDEX('GMW - Baseline'!$A$2:$MC$200,MATCH(1,('GMW - Baseline'!$MC$2:$MC$200=M$3)*('GMW - Baseline'!$MB$2:$MB$200=M$4),0),$E142-1973)</f>
        <v>#N/A</v>
      </c>
      <c r="N142" t="e" cm="1">
        <f t="array" ref="N142">INDEX('GMW - Baseline'!$A$2:$MC$200,MATCH(1,('GMW - Baseline'!$MC$2:$MC$200=N$3)*('GMW - Baseline'!$MB$2:$MB$200=N$4),0),$E142-1973)</f>
        <v>#N/A</v>
      </c>
      <c r="O142" t="e" cm="1">
        <f t="array" ref="O142">INDEX('GMW - Baseline'!$A$2:$MC$200,MATCH(1,('GMW - Baseline'!$MC$2:$MC$200=O$3)*('GMW - Baseline'!$MB$2:$MB$200=O$4),0),$E142-1973)</f>
        <v>#N/A</v>
      </c>
      <c r="P142" t="e" cm="1">
        <f t="array" ref="P142">INDEX('GMW - Baseline'!$A$2:$MC$200,MATCH(1,('GMW - Baseline'!$MC$2:$MC$200=P$3)*('GMW - Baseline'!$MB$2:$MB$200=P$4),0),$E142-1973)</f>
        <v>#N/A</v>
      </c>
      <c r="Q142" t="e" cm="1">
        <f t="array" ref="Q142">INDEX('GMW - Baseline'!$A$2:$MC$200,MATCH(1,('GMW - Baseline'!$MC$2:$MC$200=Q$3)*('GMW - Baseline'!$MB$2:$MB$200=Q$4),0),$E142-1973)</f>
        <v>#N/A</v>
      </c>
      <c r="R142" t="e" cm="1">
        <f t="array" ref="R142">INDEX('GMW - Baseline'!$A$2:$MC$200,MATCH(1,('GMW - Baseline'!$MC$2:$MC$200=R$3)*('GMW - Baseline'!$MB$2:$MB$200=R$4),0),$E142-1973)</f>
        <v>#N/A</v>
      </c>
      <c r="S142" t="e" cm="1">
        <f t="array" ref="S142">INDEX('GMW - Baseline'!$A$2:$MC$200,MATCH(1,('GMW - Baseline'!$MC$2:$MC$200=S$3)*('GMW - Baseline'!$MB$2:$MB$200=S$4),0),$E142-1973)</f>
        <v>#N/A</v>
      </c>
      <c r="T142" t="e" cm="1">
        <f t="array" ref="T142">INDEX('GMW - Baseline'!$A$2:$MC$200,MATCH(1,('GMW - Baseline'!$MC$2:$MC$200=T$3)*('GMW - Baseline'!$MB$2:$MB$200=T$4),0),$E142-1973)</f>
        <v>#N/A</v>
      </c>
    </row>
    <row r="143" spans="1:20" x14ac:dyDescent="0.25">
      <c r="A143">
        <v>2014</v>
      </c>
      <c r="B143">
        <f t="shared" si="12"/>
        <v>2014</v>
      </c>
      <c r="C143">
        <f t="shared" si="12"/>
        <v>2013</v>
      </c>
      <c r="D143">
        <f t="shared" si="12"/>
        <v>2013</v>
      </c>
      <c r="E143">
        <f t="shared" si="11"/>
        <v>2116</v>
      </c>
      <c r="F143" cm="1">
        <f t="array" ref="F143">INDEX('GMW - Baseline'!$A$2:$MC$200,MATCH(1,('GMW - Baseline'!$MC$2:$MC$200=F$3)*('GMW - Baseline'!$MB$2:$MB$200=F$4),0),$E143-1973)</f>
        <v>596696</v>
      </c>
      <c r="G143" cm="1">
        <f t="array" ref="G143">INDEX('GMW - Baseline'!$A$2:$MC$200,MATCH(1,('GMW - Baseline'!$MC$2:$MC$200=G$3)*('GMW - Baseline'!$MB$2:$MB$200=G$4),0),$E143-1973)</f>
        <v>361463</v>
      </c>
      <c r="H143" cm="1">
        <f t="array" ref="H143">INDEX('GMW - Baseline'!$A$2:$MC$200,MATCH(1,('GMW - Baseline'!$MC$2:$MC$200=H$3)*('GMW - Baseline'!$MB$2:$MB$200=H$4),0),$E143-1973)</f>
        <v>99.4</v>
      </c>
      <c r="I143" cm="1">
        <f t="array" ref="I143">INDEX('GMW - Baseline'!$A$2:$MC$200,MATCH(1,('GMW - Baseline'!$MC$2:$MC$200=I$3)*('GMW - Baseline'!$MB$2:$MB$200=I$4),0),$E143-1973)</f>
        <v>0.5</v>
      </c>
      <c r="J143" t="e" cm="1">
        <f t="array" ref="J143">INDEX('GMW - Baseline'!$A$2:$MC$200,MATCH(1,('GMW - Baseline'!$MC$2:$MC$200=J$3)*('GMW - Baseline'!$MB$2:$MB$200=J$4),0),$E143-1973)</f>
        <v>#N/A</v>
      </c>
      <c r="K143" t="e" cm="1">
        <f t="array" ref="K143">INDEX('GMW - Baseline'!$A$2:$MC$200,MATCH(1,('GMW - Baseline'!$MC$2:$MC$200=K$3)*('GMW - Baseline'!$MB$2:$MB$200=K$4),0),$E143-1973)</f>
        <v>#N/A</v>
      </c>
      <c r="L143" t="e" cm="1">
        <f t="array" ref="L143">INDEX('GMW - Baseline'!$A$2:$MC$200,MATCH(1,('GMW - Baseline'!$MC$2:$MC$200=L$3)*('GMW - Baseline'!$MB$2:$MB$200=L$4),0),$E143-1973)</f>
        <v>#N/A</v>
      </c>
      <c r="M143" t="e" cm="1">
        <f t="array" ref="M143">INDEX('GMW - Baseline'!$A$2:$MC$200,MATCH(1,('GMW - Baseline'!$MC$2:$MC$200=M$3)*('GMW - Baseline'!$MB$2:$MB$200=M$4),0),$E143-1973)</f>
        <v>#N/A</v>
      </c>
      <c r="N143" t="e" cm="1">
        <f t="array" ref="N143">INDEX('GMW - Baseline'!$A$2:$MC$200,MATCH(1,('GMW - Baseline'!$MC$2:$MC$200=N$3)*('GMW - Baseline'!$MB$2:$MB$200=N$4),0),$E143-1973)</f>
        <v>#N/A</v>
      </c>
      <c r="O143" t="e" cm="1">
        <f t="array" ref="O143">INDEX('GMW - Baseline'!$A$2:$MC$200,MATCH(1,('GMW - Baseline'!$MC$2:$MC$200=O$3)*('GMW - Baseline'!$MB$2:$MB$200=O$4),0),$E143-1973)</f>
        <v>#N/A</v>
      </c>
      <c r="P143" t="e" cm="1">
        <f t="array" ref="P143">INDEX('GMW - Baseline'!$A$2:$MC$200,MATCH(1,('GMW - Baseline'!$MC$2:$MC$200=P$3)*('GMW - Baseline'!$MB$2:$MB$200=P$4),0),$E143-1973)</f>
        <v>#N/A</v>
      </c>
      <c r="Q143" t="e" cm="1">
        <f t="array" ref="Q143">INDEX('GMW - Baseline'!$A$2:$MC$200,MATCH(1,('GMW - Baseline'!$MC$2:$MC$200=Q$3)*('GMW - Baseline'!$MB$2:$MB$200=Q$4),0),$E143-1973)</f>
        <v>#N/A</v>
      </c>
      <c r="R143" t="e" cm="1">
        <f t="array" ref="R143">INDEX('GMW - Baseline'!$A$2:$MC$200,MATCH(1,('GMW - Baseline'!$MC$2:$MC$200=R$3)*('GMW - Baseline'!$MB$2:$MB$200=R$4),0),$E143-1973)</f>
        <v>#N/A</v>
      </c>
      <c r="S143" t="e" cm="1">
        <f t="array" ref="S143">INDEX('GMW - Baseline'!$A$2:$MC$200,MATCH(1,('GMW - Baseline'!$MC$2:$MC$200=S$3)*('GMW - Baseline'!$MB$2:$MB$200=S$4),0),$E143-1973)</f>
        <v>#N/A</v>
      </c>
      <c r="T143" t="e" cm="1">
        <f t="array" ref="T143">INDEX('GMW - Baseline'!$A$2:$MC$200,MATCH(1,('GMW - Baseline'!$MC$2:$MC$200=T$3)*('GMW - Baseline'!$MB$2:$MB$200=T$4),0),$E143-1973)</f>
        <v>#N/A</v>
      </c>
    </row>
    <row r="144" spans="1:20" x14ac:dyDescent="0.25">
      <c r="B144">
        <f t="shared" si="12"/>
        <v>2014</v>
      </c>
      <c r="C144">
        <f t="shared" si="12"/>
        <v>2014</v>
      </c>
      <c r="E144">
        <f t="shared" si="11"/>
        <v>2117</v>
      </c>
      <c r="F144" cm="1">
        <f t="array" ref="F144">INDEX('GMW - Baseline'!$A$2:$MC$200,MATCH(1,('GMW - Baseline'!$MC$2:$MC$200=F$3)*('GMW - Baseline'!$MB$2:$MB$200=F$4),0),$E144-1973)</f>
        <v>602310</v>
      </c>
      <c r="G144" cm="1">
        <f t="array" ref="G144">INDEX('GMW - Baseline'!$A$2:$MC$200,MATCH(1,('GMW - Baseline'!$MC$2:$MC$200=G$3)*('GMW - Baseline'!$MB$2:$MB$200=G$4),0),$E144-1973)</f>
        <v>364739</v>
      </c>
      <c r="H144" cm="1">
        <f t="array" ref="H144">INDEX('GMW - Baseline'!$A$2:$MC$200,MATCH(1,('GMW - Baseline'!$MC$2:$MC$200=H$3)*('GMW - Baseline'!$MB$2:$MB$200=H$4),0),$E144-1973)</f>
        <v>100.1</v>
      </c>
      <c r="I144" cm="1">
        <f t="array" ref="I144">INDEX('GMW - Baseline'!$A$2:$MC$200,MATCH(1,('GMW - Baseline'!$MC$2:$MC$200=I$3)*('GMW - Baseline'!$MB$2:$MB$200=I$4),0),$E144-1973)</f>
        <v>0.5</v>
      </c>
      <c r="J144" t="e" cm="1">
        <f t="array" ref="J144">INDEX('GMW - Baseline'!$A$2:$MC$200,MATCH(1,('GMW - Baseline'!$MC$2:$MC$200=J$3)*('GMW - Baseline'!$MB$2:$MB$200=J$4),0),$E144-1973)</f>
        <v>#N/A</v>
      </c>
      <c r="K144" t="e" cm="1">
        <f t="array" ref="K144">INDEX('GMW - Baseline'!$A$2:$MC$200,MATCH(1,('GMW - Baseline'!$MC$2:$MC$200=K$3)*('GMW - Baseline'!$MB$2:$MB$200=K$4),0),$E144-1973)</f>
        <v>#N/A</v>
      </c>
      <c r="L144" t="e" cm="1">
        <f t="array" ref="L144">INDEX('GMW - Baseline'!$A$2:$MC$200,MATCH(1,('GMW - Baseline'!$MC$2:$MC$200=L$3)*('GMW - Baseline'!$MB$2:$MB$200=L$4),0),$E144-1973)</f>
        <v>#N/A</v>
      </c>
      <c r="M144" t="e" cm="1">
        <f t="array" ref="M144">INDEX('GMW - Baseline'!$A$2:$MC$200,MATCH(1,('GMW - Baseline'!$MC$2:$MC$200=M$3)*('GMW - Baseline'!$MB$2:$MB$200=M$4),0),$E144-1973)</f>
        <v>#N/A</v>
      </c>
      <c r="N144" t="e" cm="1">
        <f t="array" ref="N144">INDEX('GMW - Baseline'!$A$2:$MC$200,MATCH(1,('GMW - Baseline'!$MC$2:$MC$200=N$3)*('GMW - Baseline'!$MB$2:$MB$200=N$4),0),$E144-1973)</f>
        <v>#N/A</v>
      </c>
      <c r="O144" t="e" cm="1">
        <f t="array" ref="O144">INDEX('GMW - Baseline'!$A$2:$MC$200,MATCH(1,('GMW - Baseline'!$MC$2:$MC$200=O$3)*('GMW - Baseline'!$MB$2:$MB$200=O$4),0),$E144-1973)</f>
        <v>#N/A</v>
      </c>
      <c r="P144" t="e" cm="1">
        <f t="array" ref="P144">INDEX('GMW - Baseline'!$A$2:$MC$200,MATCH(1,('GMW - Baseline'!$MC$2:$MC$200=P$3)*('GMW - Baseline'!$MB$2:$MB$200=P$4),0),$E144-1973)</f>
        <v>#N/A</v>
      </c>
      <c r="Q144" t="e" cm="1">
        <f t="array" ref="Q144">INDEX('GMW - Baseline'!$A$2:$MC$200,MATCH(1,('GMW - Baseline'!$MC$2:$MC$200=Q$3)*('GMW - Baseline'!$MB$2:$MB$200=Q$4),0),$E144-1973)</f>
        <v>#N/A</v>
      </c>
      <c r="R144" t="e" cm="1">
        <f t="array" ref="R144">INDEX('GMW - Baseline'!$A$2:$MC$200,MATCH(1,('GMW - Baseline'!$MC$2:$MC$200=R$3)*('GMW - Baseline'!$MB$2:$MB$200=R$4),0),$E144-1973)</f>
        <v>#N/A</v>
      </c>
      <c r="S144" t="e" cm="1">
        <f t="array" ref="S144">INDEX('GMW - Baseline'!$A$2:$MC$200,MATCH(1,('GMW - Baseline'!$MC$2:$MC$200=S$3)*('GMW - Baseline'!$MB$2:$MB$200=S$4),0),$E144-1973)</f>
        <v>#N/A</v>
      </c>
      <c r="T144" t="e" cm="1">
        <f t="array" ref="T144">INDEX('GMW - Baseline'!$A$2:$MC$200,MATCH(1,('GMW - Baseline'!$MC$2:$MC$200=T$3)*('GMW - Baseline'!$MB$2:$MB$200=T$4),0),$E144-1973)</f>
        <v>#N/A</v>
      </c>
    </row>
    <row r="145" spans="1:20" x14ac:dyDescent="0.25">
      <c r="B145">
        <f t="shared" si="12"/>
        <v>2014</v>
      </c>
      <c r="C145">
        <f t="shared" si="12"/>
        <v>2014</v>
      </c>
      <c r="E145">
        <f t="shared" si="11"/>
        <v>2118</v>
      </c>
      <c r="F145" cm="1">
        <f t="array" ref="F145">INDEX('GMW - Baseline'!$A$2:$MC$200,MATCH(1,('GMW - Baseline'!$MC$2:$MC$200=F$3)*('GMW - Baseline'!$MB$2:$MB$200=F$4),0),$E145-1973)</f>
        <v>607213</v>
      </c>
      <c r="G145" cm="1">
        <f t="array" ref="G145">INDEX('GMW - Baseline'!$A$2:$MC$200,MATCH(1,('GMW - Baseline'!$MC$2:$MC$200=G$3)*('GMW - Baseline'!$MB$2:$MB$200=G$4),0),$E145-1973)</f>
        <v>371275</v>
      </c>
      <c r="H145" cm="1">
        <f t="array" ref="H145">INDEX('GMW - Baseline'!$A$2:$MC$200,MATCH(1,('GMW - Baseline'!$MC$2:$MC$200=H$3)*('GMW - Baseline'!$MB$2:$MB$200=H$4),0),$E145-1973)</f>
        <v>100.13330000000001</v>
      </c>
      <c r="I145" cm="1">
        <f t="array" ref="I145">INDEX('GMW - Baseline'!$A$2:$MC$200,MATCH(1,('GMW - Baseline'!$MC$2:$MC$200=I$3)*('GMW - Baseline'!$MB$2:$MB$200=I$4),0),$E145-1973)</f>
        <v>0.5</v>
      </c>
      <c r="J145" t="e" cm="1">
        <f t="array" ref="J145">INDEX('GMW - Baseline'!$A$2:$MC$200,MATCH(1,('GMW - Baseline'!$MC$2:$MC$200=J$3)*('GMW - Baseline'!$MB$2:$MB$200=J$4),0),$E145-1973)</f>
        <v>#N/A</v>
      </c>
      <c r="K145" t="e" cm="1">
        <f t="array" ref="K145">INDEX('GMW - Baseline'!$A$2:$MC$200,MATCH(1,('GMW - Baseline'!$MC$2:$MC$200=K$3)*('GMW - Baseline'!$MB$2:$MB$200=K$4),0),$E145-1973)</f>
        <v>#N/A</v>
      </c>
      <c r="L145" t="e" cm="1">
        <f t="array" ref="L145">INDEX('GMW - Baseline'!$A$2:$MC$200,MATCH(1,('GMW - Baseline'!$MC$2:$MC$200=L$3)*('GMW - Baseline'!$MB$2:$MB$200=L$4),0),$E145-1973)</f>
        <v>#N/A</v>
      </c>
      <c r="M145" t="e" cm="1">
        <f t="array" ref="M145">INDEX('GMW - Baseline'!$A$2:$MC$200,MATCH(1,('GMW - Baseline'!$MC$2:$MC$200=M$3)*('GMW - Baseline'!$MB$2:$MB$200=M$4),0),$E145-1973)</f>
        <v>#N/A</v>
      </c>
      <c r="N145" t="e" cm="1">
        <f t="array" ref="N145">INDEX('GMW - Baseline'!$A$2:$MC$200,MATCH(1,('GMW - Baseline'!$MC$2:$MC$200=N$3)*('GMW - Baseline'!$MB$2:$MB$200=N$4),0),$E145-1973)</f>
        <v>#N/A</v>
      </c>
      <c r="O145" t="e" cm="1">
        <f t="array" ref="O145">INDEX('GMW - Baseline'!$A$2:$MC$200,MATCH(1,('GMW - Baseline'!$MC$2:$MC$200=O$3)*('GMW - Baseline'!$MB$2:$MB$200=O$4),0),$E145-1973)</f>
        <v>#N/A</v>
      </c>
      <c r="P145" t="e" cm="1">
        <f t="array" ref="P145">INDEX('GMW - Baseline'!$A$2:$MC$200,MATCH(1,('GMW - Baseline'!$MC$2:$MC$200=P$3)*('GMW - Baseline'!$MB$2:$MB$200=P$4),0),$E145-1973)</f>
        <v>#N/A</v>
      </c>
      <c r="Q145" t="e" cm="1">
        <f t="array" ref="Q145">INDEX('GMW - Baseline'!$A$2:$MC$200,MATCH(1,('GMW - Baseline'!$MC$2:$MC$200=Q$3)*('GMW - Baseline'!$MB$2:$MB$200=Q$4),0),$E145-1973)</f>
        <v>#N/A</v>
      </c>
      <c r="R145" t="e" cm="1">
        <f t="array" ref="R145">INDEX('GMW - Baseline'!$A$2:$MC$200,MATCH(1,('GMW - Baseline'!$MC$2:$MC$200=R$3)*('GMW - Baseline'!$MB$2:$MB$200=R$4),0),$E145-1973)</f>
        <v>#N/A</v>
      </c>
      <c r="S145" t="e" cm="1">
        <f t="array" ref="S145">INDEX('GMW - Baseline'!$A$2:$MC$200,MATCH(1,('GMW - Baseline'!$MC$2:$MC$200=S$3)*('GMW - Baseline'!$MB$2:$MB$200=S$4),0),$E145-1973)</f>
        <v>#N/A</v>
      </c>
      <c r="T145" t="e" cm="1">
        <f t="array" ref="T145">INDEX('GMW - Baseline'!$A$2:$MC$200,MATCH(1,('GMW - Baseline'!$MC$2:$MC$200=T$3)*('GMW - Baseline'!$MB$2:$MB$200=T$4),0),$E145-1973)</f>
        <v>#N/A</v>
      </c>
    </row>
    <row r="146" spans="1:20" x14ac:dyDescent="0.25">
      <c r="B146">
        <f t="shared" si="12"/>
        <v>2014</v>
      </c>
      <c r="C146">
        <f t="shared" si="12"/>
        <v>2014</v>
      </c>
      <c r="E146">
        <f t="shared" si="11"/>
        <v>2119</v>
      </c>
      <c r="F146" cm="1">
        <f t="array" ref="F146">INDEX('GMW - Baseline'!$A$2:$MC$200,MATCH(1,('GMW - Baseline'!$MC$2:$MC$200=F$3)*('GMW - Baseline'!$MB$2:$MB$200=F$4),0),$E146-1973)</f>
        <v>611220</v>
      </c>
      <c r="G146" cm="1">
        <f t="array" ref="G146">INDEX('GMW - Baseline'!$A$2:$MC$200,MATCH(1,('GMW - Baseline'!$MC$2:$MC$200=G$3)*('GMW - Baseline'!$MB$2:$MB$200=G$4),0),$E146-1973)</f>
        <v>374107</v>
      </c>
      <c r="H146" cm="1">
        <f t="array" ref="H146">INDEX('GMW - Baseline'!$A$2:$MC$200,MATCH(1,('GMW - Baseline'!$MC$2:$MC$200=H$3)*('GMW - Baseline'!$MB$2:$MB$200=H$4),0),$E146-1973)</f>
        <v>100.2</v>
      </c>
      <c r="I146" cm="1">
        <f t="array" ref="I146">INDEX('GMW - Baseline'!$A$2:$MC$200,MATCH(1,('GMW - Baseline'!$MC$2:$MC$200=I$3)*('GMW - Baseline'!$MB$2:$MB$200=I$4),0),$E146-1973)</f>
        <v>0.5</v>
      </c>
      <c r="J146" t="e" cm="1">
        <f t="array" ref="J146">INDEX('GMW - Baseline'!$A$2:$MC$200,MATCH(1,('GMW - Baseline'!$MC$2:$MC$200=J$3)*('GMW - Baseline'!$MB$2:$MB$200=J$4),0),$E146-1973)</f>
        <v>#N/A</v>
      </c>
      <c r="K146" t="e" cm="1">
        <f t="array" ref="K146">INDEX('GMW - Baseline'!$A$2:$MC$200,MATCH(1,('GMW - Baseline'!$MC$2:$MC$200=K$3)*('GMW - Baseline'!$MB$2:$MB$200=K$4),0),$E146-1973)</f>
        <v>#N/A</v>
      </c>
      <c r="L146" t="e" cm="1">
        <f t="array" ref="L146">INDEX('GMW - Baseline'!$A$2:$MC$200,MATCH(1,('GMW - Baseline'!$MC$2:$MC$200=L$3)*('GMW - Baseline'!$MB$2:$MB$200=L$4),0),$E146-1973)</f>
        <v>#N/A</v>
      </c>
      <c r="M146" t="e" cm="1">
        <f t="array" ref="M146">INDEX('GMW - Baseline'!$A$2:$MC$200,MATCH(1,('GMW - Baseline'!$MC$2:$MC$200=M$3)*('GMW - Baseline'!$MB$2:$MB$200=M$4),0),$E146-1973)</f>
        <v>#N/A</v>
      </c>
      <c r="N146" t="e" cm="1">
        <f t="array" ref="N146">INDEX('GMW - Baseline'!$A$2:$MC$200,MATCH(1,('GMW - Baseline'!$MC$2:$MC$200=N$3)*('GMW - Baseline'!$MB$2:$MB$200=N$4),0),$E146-1973)</f>
        <v>#N/A</v>
      </c>
      <c r="O146" t="e" cm="1">
        <f t="array" ref="O146">INDEX('GMW - Baseline'!$A$2:$MC$200,MATCH(1,('GMW - Baseline'!$MC$2:$MC$200=O$3)*('GMW - Baseline'!$MB$2:$MB$200=O$4),0),$E146-1973)</f>
        <v>#N/A</v>
      </c>
      <c r="P146" t="e" cm="1">
        <f t="array" ref="P146">INDEX('GMW - Baseline'!$A$2:$MC$200,MATCH(1,('GMW - Baseline'!$MC$2:$MC$200=P$3)*('GMW - Baseline'!$MB$2:$MB$200=P$4),0),$E146-1973)</f>
        <v>#N/A</v>
      </c>
      <c r="Q146" t="e" cm="1">
        <f t="array" ref="Q146">INDEX('GMW - Baseline'!$A$2:$MC$200,MATCH(1,('GMW - Baseline'!$MC$2:$MC$200=Q$3)*('GMW - Baseline'!$MB$2:$MB$200=Q$4),0),$E146-1973)</f>
        <v>#N/A</v>
      </c>
      <c r="R146" t="e" cm="1">
        <f t="array" ref="R146">INDEX('GMW - Baseline'!$A$2:$MC$200,MATCH(1,('GMW - Baseline'!$MC$2:$MC$200=R$3)*('GMW - Baseline'!$MB$2:$MB$200=R$4),0),$E146-1973)</f>
        <v>#N/A</v>
      </c>
      <c r="S146" t="e" cm="1">
        <f t="array" ref="S146">INDEX('GMW - Baseline'!$A$2:$MC$200,MATCH(1,('GMW - Baseline'!$MC$2:$MC$200=S$3)*('GMW - Baseline'!$MB$2:$MB$200=S$4),0),$E146-1973)</f>
        <v>#N/A</v>
      </c>
      <c r="T146" t="e" cm="1">
        <f t="array" ref="T146">INDEX('GMW - Baseline'!$A$2:$MC$200,MATCH(1,('GMW - Baseline'!$MC$2:$MC$200=T$3)*('GMW - Baseline'!$MB$2:$MB$200=T$4),0),$E146-1973)</f>
        <v>#N/A</v>
      </c>
    </row>
    <row r="147" spans="1:20" x14ac:dyDescent="0.25">
      <c r="A147">
        <v>2015</v>
      </c>
      <c r="B147">
        <f t="shared" si="12"/>
        <v>2015</v>
      </c>
      <c r="C147">
        <f t="shared" si="12"/>
        <v>2014</v>
      </c>
      <c r="D147">
        <f t="shared" si="12"/>
        <v>2014</v>
      </c>
      <c r="E147">
        <f t="shared" si="11"/>
        <v>2120</v>
      </c>
      <c r="F147" cm="1">
        <f t="array" ref="F147">INDEX('GMW - Baseline'!$A$2:$MC$200,MATCH(1,('GMW - Baseline'!$MC$2:$MC$200=F$3)*('GMW - Baseline'!$MB$2:$MB$200=F$4),0),$E147-1973)</f>
        <v>613076</v>
      </c>
      <c r="G147" cm="1">
        <f t="array" ref="G147">INDEX('GMW - Baseline'!$A$2:$MC$200,MATCH(1,('GMW - Baseline'!$MC$2:$MC$200=G$3)*('GMW - Baseline'!$MB$2:$MB$200=G$4),0),$E147-1973)</f>
        <v>375994</v>
      </c>
      <c r="H147" cm="1">
        <f t="array" ref="H147">INDEX('GMW - Baseline'!$A$2:$MC$200,MATCH(1,('GMW - Baseline'!$MC$2:$MC$200=H$3)*('GMW - Baseline'!$MB$2:$MB$200=H$4),0),$E147-1973)</f>
        <v>99.5</v>
      </c>
      <c r="I147" cm="1">
        <f t="array" ref="I147">INDEX('GMW - Baseline'!$A$2:$MC$200,MATCH(1,('GMW - Baseline'!$MC$2:$MC$200=I$3)*('GMW - Baseline'!$MB$2:$MB$200=I$4),0),$E147-1973)</f>
        <v>0.5</v>
      </c>
      <c r="J147" t="e" cm="1">
        <f t="array" ref="J147">INDEX('GMW - Baseline'!$A$2:$MC$200,MATCH(1,('GMW - Baseline'!$MC$2:$MC$200=J$3)*('GMW - Baseline'!$MB$2:$MB$200=J$4),0),$E147-1973)</f>
        <v>#N/A</v>
      </c>
      <c r="K147" t="e" cm="1">
        <f t="array" ref="K147">INDEX('GMW - Baseline'!$A$2:$MC$200,MATCH(1,('GMW - Baseline'!$MC$2:$MC$200=K$3)*('GMW - Baseline'!$MB$2:$MB$200=K$4),0),$E147-1973)</f>
        <v>#N/A</v>
      </c>
      <c r="L147" t="e" cm="1">
        <f t="array" ref="L147">INDEX('GMW - Baseline'!$A$2:$MC$200,MATCH(1,('GMW - Baseline'!$MC$2:$MC$200=L$3)*('GMW - Baseline'!$MB$2:$MB$200=L$4),0),$E147-1973)</f>
        <v>#N/A</v>
      </c>
      <c r="M147" t="e" cm="1">
        <f t="array" ref="M147">INDEX('GMW - Baseline'!$A$2:$MC$200,MATCH(1,('GMW - Baseline'!$MC$2:$MC$200=M$3)*('GMW - Baseline'!$MB$2:$MB$200=M$4),0),$E147-1973)</f>
        <v>#N/A</v>
      </c>
      <c r="N147" t="e" cm="1">
        <f t="array" ref="N147">INDEX('GMW - Baseline'!$A$2:$MC$200,MATCH(1,('GMW - Baseline'!$MC$2:$MC$200=N$3)*('GMW - Baseline'!$MB$2:$MB$200=N$4),0),$E147-1973)</f>
        <v>#N/A</v>
      </c>
      <c r="O147" t="e" cm="1">
        <f t="array" ref="O147">INDEX('GMW - Baseline'!$A$2:$MC$200,MATCH(1,('GMW - Baseline'!$MC$2:$MC$200=O$3)*('GMW - Baseline'!$MB$2:$MB$200=O$4),0),$E147-1973)</f>
        <v>#N/A</v>
      </c>
      <c r="P147" t="e" cm="1">
        <f t="array" ref="P147">INDEX('GMW - Baseline'!$A$2:$MC$200,MATCH(1,('GMW - Baseline'!$MC$2:$MC$200=P$3)*('GMW - Baseline'!$MB$2:$MB$200=P$4),0),$E147-1973)</f>
        <v>#N/A</v>
      </c>
      <c r="Q147" t="e" cm="1">
        <f t="array" ref="Q147">INDEX('GMW - Baseline'!$A$2:$MC$200,MATCH(1,('GMW - Baseline'!$MC$2:$MC$200=Q$3)*('GMW - Baseline'!$MB$2:$MB$200=Q$4),0),$E147-1973)</f>
        <v>#N/A</v>
      </c>
      <c r="R147" t="e" cm="1">
        <f t="array" ref="R147">INDEX('GMW - Baseline'!$A$2:$MC$200,MATCH(1,('GMW - Baseline'!$MC$2:$MC$200=R$3)*('GMW - Baseline'!$MB$2:$MB$200=R$4),0),$E147-1973)</f>
        <v>#N/A</v>
      </c>
      <c r="S147" t="e" cm="1">
        <f t="array" ref="S147">INDEX('GMW - Baseline'!$A$2:$MC$200,MATCH(1,('GMW - Baseline'!$MC$2:$MC$200=S$3)*('GMW - Baseline'!$MB$2:$MB$200=S$4),0),$E147-1973)</f>
        <v>#N/A</v>
      </c>
      <c r="T147" t="e" cm="1">
        <f t="array" ref="T147">INDEX('GMW - Baseline'!$A$2:$MC$200,MATCH(1,('GMW - Baseline'!$MC$2:$MC$200=T$3)*('GMW - Baseline'!$MB$2:$MB$200=T$4),0),$E147-1973)</f>
        <v>#N/A</v>
      </c>
    </row>
    <row r="148" spans="1:20" x14ac:dyDescent="0.25">
      <c r="B148">
        <f t="shared" si="12"/>
        <v>2015</v>
      </c>
      <c r="C148">
        <f t="shared" si="12"/>
        <v>2015</v>
      </c>
      <c r="E148">
        <f t="shared" si="11"/>
        <v>2121</v>
      </c>
      <c r="F148" cm="1">
        <f t="array" ref="F148">INDEX('GMW - Baseline'!$A$2:$MC$200,MATCH(1,('GMW - Baseline'!$MC$2:$MC$200=F$3)*('GMW - Baseline'!$MB$2:$MB$200=F$4),0),$E148-1973)</f>
        <v>615875</v>
      </c>
      <c r="G148" cm="1">
        <f t="array" ref="G148">INDEX('GMW - Baseline'!$A$2:$MC$200,MATCH(1,('GMW - Baseline'!$MC$2:$MC$200=G$3)*('GMW - Baseline'!$MB$2:$MB$200=G$4),0),$E148-1973)</f>
        <v>377177</v>
      </c>
      <c r="H148" cm="1">
        <f t="array" ref="H148">INDEX('GMW - Baseline'!$A$2:$MC$200,MATCH(1,('GMW - Baseline'!$MC$2:$MC$200=H$3)*('GMW - Baseline'!$MB$2:$MB$200=H$4),0),$E148-1973)</f>
        <v>100.0667</v>
      </c>
      <c r="I148" cm="1">
        <f t="array" ref="I148">INDEX('GMW - Baseline'!$A$2:$MC$200,MATCH(1,('GMW - Baseline'!$MC$2:$MC$200=I$3)*('GMW - Baseline'!$MB$2:$MB$200=I$4),0),$E148-1973)</f>
        <v>0.5</v>
      </c>
      <c r="J148" t="e" cm="1">
        <f t="array" ref="J148">INDEX('GMW - Baseline'!$A$2:$MC$200,MATCH(1,('GMW - Baseline'!$MC$2:$MC$200=J$3)*('GMW - Baseline'!$MB$2:$MB$200=J$4),0),$E148-1973)</f>
        <v>#N/A</v>
      </c>
      <c r="K148" t="e" cm="1">
        <f t="array" ref="K148">INDEX('GMW - Baseline'!$A$2:$MC$200,MATCH(1,('GMW - Baseline'!$MC$2:$MC$200=K$3)*('GMW - Baseline'!$MB$2:$MB$200=K$4),0),$E148-1973)</f>
        <v>#N/A</v>
      </c>
      <c r="L148" t="e" cm="1">
        <f t="array" ref="L148">INDEX('GMW - Baseline'!$A$2:$MC$200,MATCH(1,('GMW - Baseline'!$MC$2:$MC$200=L$3)*('GMW - Baseline'!$MB$2:$MB$200=L$4),0),$E148-1973)</f>
        <v>#N/A</v>
      </c>
      <c r="M148" t="e" cm="1">
        <f t="array" ref="M148">INDEX('GMW - Baseline'!$A$2:$MC$200,MATCH(1,('GMW - Baseline'!$MC$2:$MC$200=M$3)*('GMW - Baseline'!$MB$2:$MB$200=M$4),0),$E148-1973)</f>
        <v>#N/A</v>
      </c>
      <c r="N148" t="e" cm="1">
        <f t="array" ref="N148">INDEX('GMW - Baseline'!$A$2:$MC$200,MATCH(1,('GMW - Baseline'!$MC$2:$MC$200=N$3)*('GMW - Baseline'!$MB$2:$MB$200=N$4),0),$E148-1973)</f>
        <v>#N/A</v>
      </c>
      <c r="O148" t="e" cm="1">
        <f t="array" ref="O148">INDEX('GMW - Baseline'!$A$2:$MC$200,MATCH(1,('GMW - Baseline'!$MC$2:$MC$200=O$3)*('GMW - Baseline'!$MB$2:$MB$200=O$4),0),$E148-1973)</f>
        <v>#N/A</v>
      </c>
      <c r="P148" t="e" cm="1">
        <f t="array" ref="P148">INDEX('GMW - Baseline'!$A$2:$MC$200,MATCH(1,('GMW - Baseline'!$MC$2:$MC$200=P$3)*('GMW - Baseline'!$MB$2:$MB$200=P$4),0),$E148-1973)</f>
        <v>#N/A</v>
      </c>
      <c r="Q148" t="e" cm="1">
        <f t="array" ref="Q148">INDEX('GMW - Baseline'!$A$2:$MC$200,MATCH(1,('GMW - Baseline'!$MC$2:$MC$200=Q$3)*('GMW - Baseline'!$MB$2:$MB$200=Q$4),0),$E148-1973)</f>
        <v>#N/A</v>
      </c>
      <c r="R148" t="e" cm="1">
        <f t="array" ref="R148">INDEX('GMW - Baseline'!$A$2:$MC$200,MATCH(1,('GMW - Baseline'!$MC$2:$MC$200=R$3)*('GMW - Baseline'!$MB$2:$MB$200=R$4),0),$E148-1973)</f>
        <v>#N/A</v>
      </c>
      <c r="S148" t="e" cm="1">
        <f t="array" ref="S148">INDEX('GMW - Baseline'!$A$2:$MC$200,MATCH(1,('GMW - Baseline'!$MC$2:$MC$200=S$3)*('GMW - Baseline'!$MB$2:$MB$200=S$4),0),$E148-1973)</f>
        <v>#N/A</v>
      </c>
      <c r="T148" t="e" cm="1">
        <f t="array" ref="T148">INDEX('GMW - Baseline'!$A$2:$MC$200,MATCH(1,('GMW - Baseline'!$MC$2:$MC$200=T$3)*('GMW - Baseline'!$MB$2:$MB$200=T$4),0),$E148-1973)</f>
        <v>#N/A</v>
      </c>
    </row>
    <row r="149" spans="1:20" x14ac:dyDescent="0.25">
      <c r="B149">
        <f t="shared" si="12"/>
        <v>2015</v>
      </c>
      <c r="C149">
        <f t="shared" si="12"/>
        <v>2015</v>
      </c>
      <c r="E149">
        <f t="shared" si="11"/>
        <v>2122</v>
      </c>
      <c r="F149" cm="1">
        <f t="array" ref="F149">INDEX('GMW - Baseline'!$A$2:$MC$200,MATCH(1,('GMW - Baseline'!$MC$2:$MC$200=F$3)*('GMW - Baseline'!$MB$2:$MB$200=F$4),0),$E149-1973)</f>
        <v>618263</v>
      </c>
      <c r="G149" cm="1">
        <f t="array" ref="G149">INDEX('GMW - Baseline'!$A$2:$MC$200,MATCH(1,('GMW - Baseline'!$MC$2:$MC$200=G$3)*('GMW - Baseline'!$MB$2:$MB$200=G$4),0),$E149-1973)</f>
        <v>381986</v>
      </c>
      <c r="H149" cm="1">
        <f t="array" ref="H149">INDEX('GMW - Baseline'!$A$2:$MC$200,MATCH(1,('GMW - Baseline'!$MC$2:$MC$200=H$3)*('GMW - Baseline'!$MB$2:$MB$200=H$4),0),$E149-1973)</f>
        <v>100.16670000000001</v>
      </c>
      <c r="I149" cm="1">
        <f t="array" ref="I149">INDEX('GMW - Baseline'!$A$2:$MC$200,MATCH(1,('GMW - Baseline'!$MC$2:$MC$200=I$3)*('GMW - Baseline'!$MB$2:$MB$200=I$4),0),$E149-1973)</f>
        <v>0.5</v>
      </c>
      <c r="J149" t="e" cm="1">
        <f t="array" ref="J149">INDEX('GMW - Baseline'!$A$2:$MC$200,MATCH(1,('GMW - Baseline'!$MC$2:$MC$200=J$3)*('GMW - Baseline'!$MB$2:$MB$200=J$4),0),$E149-1973)</f>
        <v>#N/A</v>
      </c>
      <c r="K149" t="e" cm="1">
        <f t="array" ref="K149">INDEX('GMW - Baseline'!$A$2:$MC$200,MATCH(1,('GMW - Baseline'!$MC$2:$MC$200=K$3)*('GMW - Baseline'!$MB$2:$MB$200=K$4),0),$E149-1973)</f>
        <v>#N/A</v>
      </c>
      <c r="L149" t="e" cm="1">
        <f t="array" ref="L149">INDEX('GMW - Baseline'!$A$2:$MC$200,MATCH(1,('GMW - Baseline'!$MC$2:$MC$200=L$3)*('GMW - Baseline'!$MB$2:$MB$200=L$4),0),$E149-1973)</f>
        <v>#N/A</v>
      </c>
      <c r="M149" t="e" cm="1">
        <f t="array" ref="M149">INDEX('GMW - Baseline'!$A$2:$MC$200,MATCH(1,('GMW - Baseline'!$MC$2:$MC$200=M$3)*('GMW - Baseline'!$MB$2:$MB$200=M$4),0),$E149-1973)</f>
        <v>#N/A</v>
      </c>
      <c r="N149" t="e" cm="1">
        <f t="array" ref="N149">INDEX('GMW - Baseline'!$A$2:$MC$200,MATCH(1,('GMW - Baseline'!$MC$2:$MC$200=N$3)*('GMW - Baseline'!$MB$2:$MB$200=N$4),0),$E149-1973)</f>
        <v>#N/A</v>
      </c>
      <c r="O149" t="e" cm="1">
        <f t="array" ref="O149">INDEX('GMW - Baseline'!$A$2:$MC$200,MATCH(1,('GMW - Baseline'!$MC$2:$MC$200=O$3)*('GMW - Baseline'!$MB$2:$MB$200=O$4),0),$E149-1973)</f>
        <v>#N/A</v>
      </c>
      <c r="P149" t="e" cm="1">
        <f t="array" ref="P149">INDEX('GMW - Baseline'!$A$2:$MC$200,MATCH(1,('GMW - Baseline'!$MC$2:$MC$200=P$3)*('GMW - Baseline'!$MB$2:$MB$200=P$4),0),$E149-1973)</f>
        <v>#N/A</v>
      </c>
      <c r="Q149" t="e" cm="1">
        <f t="array" ref="Q149">INDEX('GMW - Baseline'!$A$2:$MC$200,MATCH(1,('GMW - Baseline'!$MC$2:$MC$200=Q$3)*('GMW - Baseline'!$MB$2:$MB$200=Q$4),0),$E149-1973)</f>
        <v>#N/A</v>
      </c>
      <c r="R149" t="e" cm="1">
        <f t="array" ref="R149">INDEX('GMW - Baseline'!$A$2:$MC$200,MATCH(1,('GMW - Baseline'!$MC$2:$MC$200=R$3)*('GMW - Baseline'!$MB$2:$MB$200=R$4),0),$E149-1973)</f>
        <v>#N/A</v>
      </c>
      <c r="S149" t="e" cm="1">
        <f t="array" ref="S149">INDEX('GMW - Baseline'!$A$2:$MC$200,MATCH(1,('GMW - Baseline'!$MC$2:$MC$200=S$3)*('GMW - Baseline'!$MB$2:$MB$200=S$4),0),$E149-1973)</f>
        <v>#N/A</v>
      </c>
      <c r="T149" t="e" cm="1">
        <f t="array" ref="T149">INDEX('GMW - Baseline'!$A$2:$MC$200,MATCH(1,('GMW - Baseline'!$MC$2:$MC$200=T$3)*('GMW - Baseline'!$MB$2:$MB$200=T$4),0),$E149-1973)</f>
        <v>#N/A</v>
      </c>
    </row>
    <row r="150" spans="1:20" x14ac:dyDescent="0.25">
      <c r="B150">
        <f t="shared" si="12"/>
        <v>2015</v>
      </c>
      <c r="C150">
        <f t="shared" si="12"/>
        <v>2015</v>
      </c>
      <c r="E150">
        <f t="shared" si="11"/>
        <v>2123</v>
      </c>
      <c r="F150" cm="1">
        <f t="array" ref="F150">INDEX('GMW - Baseline'!$A$2:$MC$200,MATCH(1,('GMW - Baseline'!$MC$2:$MC$200=F$3)*('GMW - Baseline'!$MB$2:$MB$200=F$4),0),$E150-1973)</f>
        <v>621968</v>
      </c>
      <c r="G150" cm="1">
        <f t="array" ref="G150">INDEX('GMW - Baseline'!$A$2:$MC$200,MATCH(1,('GMW - Baseline'!$MC$2:$MC$200=G$3)*('GMW - Baseline'!$MB$2:$MB$200=G$4),0),$E150-1973)</f>
        <v>381066</v>
      </c>
      <c r="H150" cm="1">
        <f t="array" ref="H150">INDEX('GMW - Baseline'!$A$2:$MC$200,MATCH(1,('GMW - Baseline'!$MC$2:$MC$200=H$3)*('GMW - Baseline'!$MB$2:$MB$200=H$4),0),$E150-1973)</f>
        <v>100.3</v>
      </c>
      <c r="I150" cm="1">
        <f t="array" ref="I150">INDEX('GMW - Baseline'!$A$2:$MC$200,MATCH(1,('GMW - Baseline'!$MC$2:$MC$200=I$3)*('GMW - Baseline'!$MB$2:$MB$200=I$4),0),$E150-1973)</f>
        <v>0.5</v>
      </c>
      <c r="J150" t="e" cm="1">
        <f t="array" ref="J150">INDEX('GMW - Baseline'!$A$2:$MC$200,MATCH(1,('GMW - Baseline'!$MC$2:$MC$200=J$3)*('GMW - Baseline'!$MB$2:$MB$200=J$4),0),$E150-1973)</f>
        <v>#N/A</v>
      </c>
      <c r="K150" t="e" cm="1">
        <f t="array" ref="K150">INDEX('GMW - Baseline'!$A$2:$MC$200,MATCH(1,('GMW - Baseline'!$MC$2:$MC$200=K$3)*('GMW - Baseline'!$MB$2:$MB$200=K$4),0),$E150-1973)</f>
        <v>#N/A</v>
      </c>
      <c r="L150" t="e" cm="1">
        <f t="array" ref="L150">INDEX('GMW - Baseline'!$A$2:$MC$200,MATCH(1,('GMW - Baseline'!$MC$2:$MC$200=L$3)*('GMW - Baseline'!$MB$2:$MB$200=L$4),0),$E150-1973)</f>
        <v>#N/A</v>
      </c>
      <c r="M150" t="e" cm="1">
        <f t="array" ref="M150">INDEX('GMW - Baseline'!$A$2:$MC$200,MATCH(1,('GMW - Baseline'!$MC$2:$MC$200=M$3)*('GMW - Baseline'!$MB$2:$MB$200=M$4),0),$E150-1973)</f>
        <v>#N/A</v>
      </c>
      <c r="N150" t="e" cm="1">
        <f t="array" ref="N150">INDEX('GMW - Baseline'!$A$2:$MC$200,MATCH(1,('GMW - Baseline'!$MC$2:$MC$200=N$3)*('GMW - Baseline'!$MB$2:$MB$200=N$4),0),$E150-1973)</f>
        <v>#N/A</v>
      </c>
      <c r="O150" t="e" cm="1">
        <f t="array" ref="O150">INDEX('GMW - Baseline'!$A$2:$MC$200,MATCH(1,('GMW - Baseline'!$MC$2:$MC$200=O$3)*('GMW - Baseline'!$MB$2:$MB$200=O$4),0),$E150-1973)</f>
        <v>#N/A</v>
      </c>
      <c r="P150" t="e" cm="1">
        <f t="array" ref="P150">INDEX('GMW - Baseline'!$A$2:$MC$200,MATCH(1,('GMW - Baseline'!$MC$2:$MC$200=P$3)*('GMW - Baseline'!$MB$2:$MB$200=P$4),0),$E150-1973)</f>
        <v>#N/A</v>
      </c>
      <c r="Q150" t="e" cm="1">
        <f t="array" ref="Q150">INDEX('GMW - Baseline'!$A$2:$MC$200,MATCH(1,('GMW - Baseline'!$MC$2:$MC$200=Q$3)*('GMW - Baseline'!$MB$2:$MB$200=Q$4),0),$E150-1973)</f>
        <v>#N/A</v>
      </c>
      <c r="R150" t="e" cm="1">
        <f t="array" ref="R150">INDEX('GMW - Baseline'!$A$2:$MC$200,MATCH(1,('GMW - Baseline'!$MC$2:$MC$200=R$3)*('GMW - Baseline'!$MB$2:$MB$200=R$4),0),$E150-1973)</f>
        <v>#N/A</v>
      </c>
      <c r="S150" t="e" cm="1">
        <f t="array" ref="S150">INDEX('GMW - Baseline'!$A$2:$MC$200,MATCH(1,('GMW - Baseline'!$MC$2:$MC$200=S$3)*('GMW - Baseline'!$MB$2:$MB$200=S$4),0),$E150-1973)</f>
        <v>#N/A</v>
      </c>
      <c r="T150" t="e" cm="1">
        <f t="array" ref="T150">INDEX('GMW - Baseline'!$A$2:$MC$200,MATCH(1,('GMW - Baseline'!$MC$2:$MC$200=T$3)*('GMW - Baseline'!$MB$2:$MB$200=T$4),0),$E150-1973)</f>
        <v>#N/A</v>
      </c>
    </row>
    <row r="151" spans="1:20" x14ac:dyDescent="0.25">
      <c r="A151">
        <v>2016</v>
      </c>
      <c r="B151">
        <f t="shared" si="12"/>
        <v>2016</v>
      </c>
      <c r="C151">
        <f t="shared" si="12"/>
        <v>2015</v>
      </c>
      <c r="D151">
        <f t="shared" si="12"/>
        <v>2015</v>
      </c>
      <c r="E151">
        <f t="shared" si="11"/>
        <v>2124</v>
      </c>
      <c r="F151" cm="1">
        <f t="array" ref="F151">INDEX('GMW - Baseline'!$A$2:$MC$200,MATCH(1,('GMW - Baseline'!$MC$2:$MC$200=F$3)*('GMW - Baseline'!$MB$2:$MB$200=F$4),0),$E151-1973)</f>
        <v>625099</v>
      </c>
      <c r="G151" cm="1">
        <f t="array" ref="G151">INDEX('GMW - Baseline'!$A$2:$MC$200,MATCH(1,('GMW - Baseline'!$MC$2:$MC$200=G$3)*('GMW - Baseline'!$MB$2:$MB$200=G$4),0),$E151-1973)</f>
        <v>388934</v>
      </c>
      <c r="H151" cm="1">
        <f t="array" ref="H151">INDEX('GMW - Baseline'!$A$2:$MC$200,MATCH(1,('GMW - Baseline'!$MC$2:$MC$200=H$3)*('GMW - Baseline'!$MB$2:$MB$200=H$4),0),$E151-1973)</f>
        <v>99.833340000000007</v>
      </c>
      <c r="I151" cm="1">
        <f t="array" ref="I151">INDEX('GMW - Baseline'!$A$2:$MC$200,MATCH(1,('GMW - Baseline'!$MC$2:$MC$200=I$3)*('GMW - Baseline'!$MB$2:$MB$200=I$4),0),$E151-1973)</f>
        <v>0.5</v>
      </c>
      <c r="J151" t="e" cm="1">
        <f t="array" ref="J151">INDEX('GMW - Baseline'!$A$2:$MC$200,MATCH(1,('GMW - Baseline'!$MC$2:$MC$200=J$3)*('GMW - Baseline'!$MB$2:$MB$200=J$4),0),$E151-1973)</f>
        <v>#N/A</v>
      </c>
      <c r="K151" t="e" cm="1">
        <f t="array" ref="K151">INDEX('GMW - Baseline'!$A$2:$MC$200,MATCH(1,('GMW - Baseline'!$MC$2:$MC$200=K$3)*('GMW - Baseline'!$MB$2:$MB$200=K$4),0),$E151-1973)</f>
        <v>#N/A</v>
      </c>
      <c r="L151" t="e" cm="1">
        <f t="array" ref="L151">INDEX('GMW - Baseline'!$A$2:$MC$200,MATCH(1,('GMW - Baseline'!$MC$2:$MC$200=L$3)*('GMW - Baseline'!$MB$2:$MB$200=L$4),0),$E151-1973)</f>
        <v>#N/A</v>
      </c>
      <c r="M151" t="e" cm="1">
        <f t="array" ref="M151">INDEX('GMW - Baseline'!$A$2:$MC$200,MATCH(1,('GMW - Baseline'!$MC$2:$MC$200=M$3)*('GMW - Baseline'!$MB$2:$MB$200=M$4),0),$E151-1973)</f>
        <v>#N/A</v>
      </c>
      <c r="N151" t="e" cm="1">
        <f t="array" ref="N151">INDEX('GMW - Baseline'!$A$2:$MC$200,MATCH(1,('GMW - Baseline'!$MC$2:$MC$200=N$3)*('GMW - Baseline'!$MB$2:$MB$200=N$4),0),$E151-1973)</f>
        <v>#N/A</v>
      </c>
      <c r="O151" t="e" cm="1">
        <f t="array" ref="O151">INDEX('GMW - Baseline'!$A$2:$MC$200,MATCH(1,('GMW - Baseline'!$MC$2:$MC$200=O$3)*('GMW - Baseline'!$MB$2:$MB$200=O$4),0),$E151-1973)</f>
        <v>#N/A</v>
      </c>
      <c r="P151" t="e" cm="1">
        <f t="array" ref="P151">INDEX('GMW - Baseline'!$A$2:$MC$200,MATCH(1,('GMW - Baseline'!$MC$2:$MC$200=P$3)*('GMW - Baseline'!$MB$2:$MB$200=P$4),0),$E151-1973)</f>
        <v>#N/A</v>
      </c>
      <c r="Q151" t="e" cm="1">
        <f t="array" ref="Q151">INDEX('GMW - Baseline'!$A$2:$MC$200,MATCH(1,('GMW - Baseline'!$MC$2:$MC$200=Q$3)*('GMW - Baseline'!$MB$2:$MB$200=Q$4),0),$E151-1973)</f>
        <v>#N/A</v>
      </c>
      <c r="R151" t="e" cm="1">
        <f t="array" ref="R151">INDEX('GMW - Baseline'!$A$2:$MC$200,MATCH(1,('GMW - Baseline'!$MC$2:$MC$200=R$3)*('GMW - Baseline'!$MB$2:$MB$200=R$4),0),$E151-1973)</f>
        <v>#N/A</v>
      </c>
      <c r="S151" t="e" cm="1">
        <f t="array" ref="S151">INDEX('GMW - Baseline'!$A$2:$MC$200,MATCH(1,('GMW - Baseline'!$MC$2:$MC$200=S$3)*('GMW - Baseline'!$MB$2:$MB$200=S$4),0),$E151-1973)</f>
        <v>#N/A</v>
      </c>
      <c r="T151" t="e" cm="1">
        <f t="array" ref="T151">INDEX('GMW - Baseline'!$A$2:$MC$200,MATCH(1,('GMW - Baseline'!$MC$2:$MC$200=T$3)*('GMW - Baseline'!$MB$2:$MB$200=T$4),0),$E151-1973)</f>
        <v>#N/A</v>
      </c>
    </row>
    <row r="152" spans="1:20" x14ac:dyDescent="0.25">
      <c r="B152">
        <f t="shared" si="12"/>
        <v>2016</v>
      </c>
      <c r="C152">
        <f t="shared" si="12"/>
        <v>2016</v>
      </c>
      <c r="E152">
        <f t="shared" si="11"/>
        <v>2125</v>
      </c>
      <c r="F152" cm="1">
        <f t="array" ref="F152">INDEX('GMW - Baseline'!$A$2:$MC$200,MATCH(1,('GMW - Baseline'!$MC$2:$MC$200=F$3)*('GMW - Baseline'!$MB$2:$MB$200=F$4),0),$E152-1973)</f>
        <v>629697</v>
      </c>
      <c r="G152" cm="1">
        <f t="array" ref="G152">INDEX('GMW - Baseline'!$A$2:$MC$200,MATCH(1,('GMW - Baseline'!$MC$2:$MC$200=G$3)*('GMW - Baseline'!$MB$2:$MB$200=G$4),0),$E152-1973)</f>
        <v>392507</v>
      </c>
      <c r="H152" cm="1">
        <f t="array" ref="H152">INDEX('GMW - Baseline'!$A$2:$MC$200,MATCH(1,('GMW - Baseline'!$MC$2:$MC$200=H$3)*('GMW - Baseline'!$MB$2:$MB$200=H$4),0),$E152-1973)</f>
        <v>100.4</v>
      </c>
      <c r="I152" cm="1">
        <f t="array" ref="I152">INDEX('GMW - Baseline'!$A$2:$MC$200,MATCH(1,('GMW - Baseline'!$MC$2:$MC$200=I$3)*('GMW - Baseline'!$MB$2:$MB$200=I$4),0),$E152-1973)</f>
        <v>0.5</v>
      </c>
      <c r="J152" t="e" cm="1">
        <f t="array" ref="J152">INDEX('GMW - Baseline'!$A$2:$MC$200,MATCH(1,('GMW - Baseline'!$MC$2:$MC$200=J$3)*('GMW - Baseline'!$MB$2:$MB$200=J$4),0),$E152-1973)</f>
        <v>#N/A</v>
      </c>
      <c r="K152" t="e" cm="1">
        <f t="array" ref="K152">INDEX('GMW - Baseline'!$A$2:$MC$200,MATCH(1,('GMW - Baseline'!$MC$2:$MC$200=K$3)*('GMW - Baseline'!$MB$2:$MB$200=K$4),0),$E152-1973)</f>
        <v>#N/A</v>
      </c>
      <c r="L152" t="e" cm="1">
        <f t="array" ref="L152">INDEX('GMW - Baseline'!$A$2:$MC$200,MATCH(1,('GMW - Baseline'!$MC$2:$MC$200=L$3)*('GMW - Baseline'!$MB$2:$MB$200=L$4),0),$E152-1973)</f>
        <v>#N/A</v>
      </c>
      <c r="M152" t="e" cm="1">
        <f t="array" ref="M152">INDEX('GMW - Baseline'!$A$2:$MC$200,MATCH(1,('GMW - Baseline'!$MC$2:$MC$200=M$3)*('GMW - Baseline'!$MB$2:$MB$200=M$4),0),$E152-1973)</f>
        <v>#N/A</v>
      </c>
      <c r="N152" t="e" cm="1">
        <f t="array" ref="N152">INDEX('GMW - Baseline'!$A$2:$MC$200,MATCH(1,('GMW - Baseline'!$MC$2:$MC$200=N$3)*('GMW - Baseline'!$MB$2:$MB$200=N$4),0),$E152-1973)</f>
        <v>#N/A</v>
      </c>
      <c r="O152" t="e" cm="1">
        <f t="array" ref="O152">INDEX('GMW - Baseline'!$A$2:$MC$200,MATCH(1,('GMW - Baseline'!$MC$2:$MC$200=O$3)*('GMW - Baseline'!$MB$2:$MB$200=O$4),0),$E152-1973)</f>
        <v>#N/A</v>
      </c>
      <c r="P152" t="e" cm="1">
        <f t="array" ref="P152">INDEX('GMW - Baseline'!$A$2:$MC$200,MATCH(1,('GMW - Baseline'!$MC$2:$MC$200=P$3)*('GMW - Baseline'!$MB$2:$MB$200=P$4),0),$E152-1973)</f>
        <v>#N/A</v>
      </c>
      <c r="Q152" t="e" cm="1">
        <f t="array" ref="Q152">INDEX('GMW - Baseline'!$A$2:$MC$200,MATCH(1,('GMW - Baseline'!$MC$2:$MC$200=Q$3)*('GMW - Baseline'!$MB$2:$MB$200=Q$4),0),$E152-1973)</f>
        <v>#N/A</v>
      </c>
      <c r="R152" t="e" cm="1">
        <f t="array" ref="R152">INDEX('GMW - Baseline'!$A$2:$MC$200,MATCH(1,('GMW - Baseline'!$MC$2:$MC$200=R$3)*('GMW - Baseline'!$MB$2:$MB$200=R$4),0),$E152-1973)</f>
        <v>#N/A</v>
      </c>
      <c r="S152" t="e" cm="1">
        <f t="array" ref="S152">INDEX('GMW - Baseline'!$A$2:$MC$200,MATCH(1,('GMW - Baseline'!$MC$2:$MC$200=S$3)*('GMW - Baseline'!$MB$2:$MB$200=S$4),0),$E152-1973)</f>
        <v>#N/A</v>
      </c>
      <c r="T152" t="e" cm="1">
        <f t="array" ref="T152">INDEX('GMW - Baseline'!$A$2:$MC$200,MATCH(1,('GMW - Baseline'!$MC$2:$MC$200=T$3)*('GMW - Baseline'!$MB$2:$MB$200=T$4),0),$E152-1973)</f>
        <v>#N/A</v>
      </c>
    </row>
    <row r="153" spans="1:20" x14ac:dyDescent="0.25">
      <c r="B153">
        <f t="shared" si="12"/>
        <v>2016</v>
      </c>
      <c r="C153">
        <f t="shared" si="12"/>
        <v>2016</v>
      </c>
      <c r="E153">
        <f t="shared" si="11"/>
        <v>2126</v>
      </c>
      <c r="F153" cm="1">
        <f t="array" ref="F153">INDEX('GMW - Baseline'!$A$2:$MC$200,MATCH(1,('GMW - Baseline'!$MC$2:$MC$200=F$3)*('GMW - Baseline'!$MB$2:$MB$200=F$4),0),$E153-1973)</f>
        <v>632477</v>
      </c>
      <c r="G153" cm="1">
        <f t="array" ref="G153">INDEX('GMW - Baseline'!$A$2:$MC$200,MATCH(1,('GMW - Baseline'!$MC$2:$MC$200=G$3)*('GMW - Baseline'!$MB$2:$MB$200=G$4),0),$E153-1973)</f>
        <v>395501</v>
      </c>
      <c r="H153" cm="1">
        <f t="array" ref="H153">INDEX('GMW - Baseline'!$A$2:$MC$200,MATCH(1,('GMW - Baseline'!$MC$2:$MC$200=H$3)*('GMW - Baseline'!$MB$2:$MB$200=H$4),0),$E153-1973)</f>
        <v>100.86669999999999</v>
      </c>
      <c r="I153" cm="1">
        <f t="array" ref="I153">INDEX('GMW - Baseline'!$A$2:$MC$200,MATCH(1,('GMW - Baseline'!$MC$2:$MC$200=I$3)*('GMW - Baseline'!$MB$2:$MB$200=I$4),0),$E153-1973)</f>
        <v>0.34090910000000002</v>
      </c>
      <c r="J153" t="e" cm="1">
        <f t="array" ref="J153">INDEX('GMW - Baseline'!$A$2:$MC$200,MATCH(1,('GMW - Baseline'!$MC$2:$MC$200=J$3)*('GMW - Baseline'!$MB$2:$MB$200=J$4),0),$E153-1973)</f>
        <v>#N/A</v>
      </c>
      <c r="K153" t="e" cm="1">
        <f t="array" ref="K153">INDEX('GMW - Baseline'!$A$2:$MC$200,MATCH(1,('GMW - Baseline'!$MC$2:$MC$200=K$3)*('GMW - Baseline'!$MB$2:$MB$200=K$4),0),$E153-1973)</f>
        <v>#N/A</v>
      </c>
      <c r="L153" t="e" cm="1">
        <f t="array" ref="L153">INDEX('GMW - Baseline'!$A$2:$MC$200,MATCH(1,('GMW - Baseline'!$MC$2:$MC$200=L$3)*('GMW - Baseline'!$MB$2:$MB$200=L$4),0),$E153-1973)</f>
        <v>#N/A</v>
      </c>
      <c r="M153" t="e" cm="1">
        <f t="array" ref="M153">INDEX('GMW - Baseline'!$A$2:$MC$200,MATCH(1,('GMW - Baseline'!$MC$2:$MC$200=M$3)*('GMW - Baseline'!$MB$2:$MB$200=M$4),0),$E153-1973)</f>
        <v>#N/A</v>
      </c>
      <c r="N153" t="e" cm="1">
        <f t="array" ref="N153">INDEX('GMW - Baseline'!$A$2:$MC$200,MATCH(1,('GMW - Baseline'!$MC$2:$MC$200=N$3)*('GMW - Baseline'!$MB$2:$MB$200=N$4),0),$E153-1973)</f>
        <v>#N/A</v>
      </c>
      <c r="O153" t="e" cm="1">
        <f t="array" ref="O153">INDEX('GMW - Baseline'!$A$2:$MC$200,MATCH(1,('GMW - Baseline'!$MC$2:$MC$200=O$3)*('GMW - Baseline'!$MB$2:$MB$200=O$4),0),$E153-1973)</f>
        <v>#N/A</v>
      </c>
      <c r="P153" t="e" cm="1">
        <f t="array" ref="P153">INDEX('GMW - Baseline'!$A$2:$MC$200,MATCH(1,('GMW - Baseline'!$MC$2:$MC$200=P$3)*('GMW - Baseline'!$MB$2:$MB$200=P$4),0),$E153-1973)</f>
        <v>#N/A</v>
      </c>
      <c r="Q153" t="e" cm="1">
        <f t="array" ref="Q153">INDEX('GMW - Baseline'!$A$2:$MC$200,MATCH(1,('GMW - Baseline'!$MC$2:$MC$200=Q$3)*('GMW - Baseline'!$MB$2:$MB$200=Q$4),0),$E153-1973)</f>
        <v>#N/A</v>
      </c>
      <c r="R153" t="e" cm="1">
        <f t="array" ref="R153">INDEX('GMW - Baseline'!$A$2:$MC$200,MATCH(1,('GMW - Baseline'!$MC$2:$MC$200=R$3)*('GMW - Baseline'!$MB$2:$MB$200=R$4),0),$E153-1973)</f>
        <v>#N/A</v>
      </c>
      <c r="S153" t="e" cm="1">
        <f t="array" ref="S153">INDEX('GMW - Baseline'!$A$2:$MC$200,MATCH(1,('GMW - Baseline'!$MC$2:$MC$200=S$3)*('GMW - Baseline'!$MB$2:$MB$200=S$4),0),$E153-1973)</f>
        <v>#N/A</v>
      </c>
      <c r="T153" t="e" cm="1">
        <f t="array" ref="T153">INDEX('GMW - Baseline'!$A$2:$MC$200,MATCH(1,('GMW - Baseline'!$MC$2:$MC$200=T$3)*('GMW - Baseline'!$MB$2:$MB$200=T$4),0),$E153-1973)</f>
        <v>#N/A</v>
      </c>
    </row>
    <row r="154" spans="1:20" x14ac:dyDescent="0.25">
      <c r="B154">
        <f t="shared" si="12"/>
        <v>2016</v>
      </c>
      <c r="C154">
        <f t="shared" si="12"/>
        <v>2016</v>
      </c>
      <c r="E154">
        <f t="shared" si="11"/>
        <v>2127</v>
      </c>
      <c r="F154" cm="1">
        <f t="array" ref="F154">INDEX('GMW - Baseline'!$A$2:$MC$200,MATCH(1,('GMW - Baseline'!$MC$2:$MC$200=F$3)*('GMW - Baseline'!$MB$2:$MB$200=F$4),0),$E154-1973)</f>
        <v>636392</v>
      </c>
      <c r="G154" cm="1">
        <f t="array" ref="G154">INDEX('GMW - Baseline'!$A$2:$MC$200,MATCH(1,('GMW - Baseline'!$MC$2:$MC$200=G$3)*('GMW - Baseline'!$MB$2:$MB$200=G$4),0),$E154-1973)</f>
        <v>395973</v>
      </c>
      <c r="H154" cm="1">
        <f t="array" ref="H154">INDEX('GMW - Baseline'!$A$2:$MC$200,MATCH(1,('GMW - Baseline'!$MC$2:$MC$200=H$3)*('GMW - Baseline'!$MB$2:$MB$200=H$4),0),$E154-1973)</f>
        <v>101.5</v>
      </c>
      <c r="I154" cm="1">
        <f t="array" ref="I154">INDEX('GMW - Baseline'!$A$2:$MC$200,MATCH(1,('GMW - Baseline'!$MC$2:$MC$200=I$3)*('GMW - Baseline'!$MB$2:$MB$200=I$4),0),$E154-1973)</f>
        <v>0.25</v>
      </c>
      <c r="J154" t="e" cm="1">
        <f t="array" ref="J154">INDEX('GMW - Baseline'!$A$2:$MC$200,MATCH(1,('GMW - Baseline'!$MC$2:$MC$200=J$3)*('GMW - Baseline'!$MB$2:$MB$200=J$4),0),$E154-1973)</f>
        <v>#N/A</v>
      </c>
      <c r="K154" t="e" cm="1">
        <f t="array" ref="K154">INDEX('GMW - Baseline'!$A$2:$MC$200,MATCH(1,('GMW - Baseline'!$MC$2:$MC$200=K$3)*('GMW - Baseline'!$MB$2:$MB$200=K$4),0),$E154-1973)</f>
        <v>#N/A</v>
      </c>
      <c r="L154" t="e" cm="1">
        <f t="array" ref="L154">INDEX('GMW - Baseline'!$A$2:$MC$200,MATCH(1,('GMW - Baseline'!$MC$2:$MC$200=L$3)*('GMW - Baseline'!$MB$2:$MB$200=L$4),0),$E154-1973)</f>
        <v>#N/A</v>
      </c>
      <c r="M154" t="e" cm="1">
        <f t="array" ref="M154">INDEX('GMW - Baseline'!$A$2:$MC$200,MATCH(1,('GMW - Baseline'!$MC$2:$MC$200=M$3)*('GMW - Baseline'!$MB$2:$MB$200=M$4),0),$E154-1973)</f>
        <v>#N/A</v>
      </c>
      <c r="N154" t="e" cm="1">
        <f t="array" ref="N154">INDEX('GMW - Baseline'!$A$2:$MC$200,MATCH(1,('GMW - Baseline'!$MC$2:$MC$200=N$3)*('GMW - Baseline'!$MB$2:$MB$200=N$4),0),$E154-1973)</f>
        <v>#N/A</v>
      </c>
      <c r="O154" t="e" cm="1">
        <f t="array" ref="O154">INDEX('GMW - Baseline'!$A$2:$MC$200,MATCH(1,('GMW - Baseline'!$MC$2:$MC$200=O$3)*('GMW - Baseline'!$MB$2:$MB$200=O$4),0),$E154-1973)</f>
        <v>#N/A</v>
      </c>
      <c r="P154" t="e" cm="1">
        <f t="array" ref="P154">INDEX('GMW - Baseline'!$A$2:$MC$200,MATCH(1,('GMW - Baseline'!$MC$2:$MC$200=P$3)*('GMW - Baseline'!$MB$2:$MB$200=P$4),0),$E154-1973)</f>
        <v>#N/A</v>
      </c>
      <c r="Q154" t="e" cm="1">
        <f t="array" ref="Q154">INDEX('GMW - Baseline'!$A$2:$MC$200,MATCH(1,('GMW - Baseline'!$MC$2:$MC$200=Q$3)*('GMW - Baseline'!$MB$2:$MB$200=Q$4),0),$E154-1973)</f>
        <v>#N/A</v>
      </c>
      <c r="R154" t="e" cm="1">
        <f t="array" ref="R154">INDEX('GMW - Baseline'!$A$2:$MC$200,MATCH(1,('GMW - Baseline'!$MC$2:$MC$200=R$3)*('GMW - Baseline'!$MB$2:$MB$200=R$4),0),$E154-1973)</f>
        <v>#N/A</v>
      </c>
      <c r="S154" t="e" cm="1">
        <f t="array" ref="S154">INDEX('GMW - Baseline'!$A$2:$MC$200,MATCH(1,('GMW - Baseline'!$MC$2:$MC$200=S$3)*('GMW - Baseline'!$MB$2:$MB$200=S$4),0),$E154-1973)</f>
        <v>#N/A</v>
      </c>
      <c r="T154" t="e" cm="1">
        <f t="array" ref="T154">INDEX('GMW - Baseline'!$A$2:$MC$200,MATCH(1,('GMW - Baseline'!$MC$2:$MC$200=T$3)*('GMW - Baseline'!$MB$2:$MB$200=T$4),0),$E154-1973)</f>
        <v>#N/A</v>
      </c>
    </row>
    <row r="155" spans="1:20" x14ac:dyDescent="0.25">
      <c r="A155">
        <v>2017</v>
      </c>
      <c r="B155">
        <f t="shared" si="12"/>
        <v>2017</v>
      </c>
      <c r="C155">
        <f t="shared" si="12"/>
        <v>2016</v>
      </c>
      <c r="D155">
        <f t="shared" si="12"/>
        <v>2016</v>
      </c>
      <c r="E155">
        <f t="shared" si="11"/>
        <v>2128</v>
      </c>
      <c r="F155" cm="1">
        <f t="array" ref="F155">INDEX('GMW - Baseline'!$A$2:$MC$200,MATCH(1,('GMW - Baseline'!$MC$2:$MC$200=F$3)*('GMW - Baseline'!$MB$2:$MB$200=F$4),0),$E155-1973)</f>
        <v>642463</v>
      </c>
      <c r="G155" cm="1">
        <f t="array" ref="G155">INDEX('GMW - Baseline'!$A$2:$MC$200,MATCH(1,('GMW - Baseline'!$MC$2:$MC$200=G$3)*('GMW - Baseline'!$MB$2:$MB$200=G$4),0),$E155-1973)</f>
        <v>399124</v>
      </c>
      <c r="H155" cm="1">
        <f t="array" ref="H155">INDEX('GMW - Baseline'!$A$2:$MC$200,MATCH(1,('GMW - Baseline'!$MC$2:$MC$200=H$3)*('GMW - Baseline'!$MB$2:$MB$200=H$4),0),$E155-1973)</f>
        <v>102</v>
      </c>
      <c r="I155" cm="1">
        <f t="array" ref="I155">INDEX('GMW - Baseline'!$A$2:$MC$200,MATCH(1,('GMW - Baseline'!$MC$2:$MC$200=I$3)*('GMW - Baseline'!$MB$2:$MB$200=I$4),0),$E155-1973)</f>
        <v>0.25</v>
      </c>
      <c r="J155" t="e" cm="1">
        <f t="array" ref="J155">INDEX('GMW - Baseline'!$A$2:$MC$200,MATCH(1,('GMW - Baseline'!$MC$2:$MC$200=J$3)*('GMW - Baseline'!$MB$2:$MB$200=J$4),0),$E155-1973)</f>
        <v>#N/A</v>
      </c>
      <c r="K155" t="e" cm="1">
        <f t="array" ref="K155">INDEX('GMW - Baseline'!$A$2:$MC$200,MATCH(1,('GMW - Baseline'!$MC$2:$MC$200=K$3)*('GMW - Baseline'!$MB$2:$MB$200=K$4),0),$E155-1973)</f>
        <v>#N/A</v>
      </c>
      <c r="L155" t="e" cm="1">
        <f t="array" ref="L155">INDEX('GMW - Baseline'!$A$2:$MC$200,MATCH(1,('GMW - Baseline'!$MC$2:$MC$200=L$3)*('GMW - Baseline'!$MB$2:$MB$200=L$4),0),$E155-1973)</f>
        <v>#N/A</v>
      </c>
      <c r="M155" t="e" cm="1">
        <f t="array" ref="M155">INDEX('GMW - Baseline'!$A$2:$MC$200,MATCH(1,('GMW - Baseline'!$MC$2:$MC$200=M$3)*('GMW - Baseline'!$MB$2:$MB$200=M$4),0),$E155-1973)</f>
        <v>#N/A</v>
      </c>
      <c r="N155" t="e" cm="1">
        <f t="array" ref="N155">INDEX('GMW - Baseline'!$A$2:$MC$200,MATCH(1,('GMW - Baseline'!$MC$2:$MC$200=N$3)*('GMW - Baseline'!$MB$2:$MB$200=N$4),0),$E155-1973)</f>
        <v>#N/A</v>
      </c>
      <c r="O155" t="e" cm="1">
        <f t="array" ref="O155">INDEX('GMW - Baseline'!$A$2:$MC$200,MATCH(1,('GMW - Baseline'!$MC$2:$MC$200=O$3)*('GMW - Baseline'!$MB$2:$MB$200=O$4),0),$E155-1973)</f>
        <v>#N/A</v>
      </c>
      <c r="P155" t="e" cm="1">
        <f t="array" ref="P155">INDEX('GMW - Baseline'!$A$2:$MC$200,MATCH(1,('GMW - Baseline'!$MC$2:$MC$200=P$3)*('GMW - Baseline'!$MB$2:$MB$200=P$4),0),$E155-1973)</f>
        <v>#N/A</v>
      </c>
      <c r="Q155" t="e" cm="1">
        <f t="array" ref="Q155">INDEX('GMW - Baseline'!$A$2:$MC$200,MATCH(1,('GMW - Baseline'!$MC$2:$MC$200=Q$3)*('GMW - Baseline'!$MB$2:$MB$200=Q$4),0),$E155-1973)</f>
        <v>#N/A</v>
      </c>
      <c r="R155" t="e" cm="1">
        <f t="array" ref="R155">INDEX('GMW - Baseline'!$A$2:$MC$200,MATCH(1,('GMW - Baseline'!$MC$2:$MC$200=R$3)*('GMW - Baseline'!$MB$2:$MB$200=R$4),0),$E155-1973)</f>
        <v>#N/A</v>
      </c>
      <c r="S155" t="e" cm="1">
        <f t="array" ref="S155">INDEX('GMW - Baseline'!$A$2:$MC$200,MATCH(1,('GMW - Baseline'!$MC$2:$MC$200=S$3)*('GMW - Baseline'!$MB$2:$MB$200=S$4),0),$E155-1973)</f>
        <v>#N/A</v>
      </c>
      <c r="T155" t="e" cm="1">
        <f t="array" ref="T155">INDEX('GMW - Baseline'!$A$2:$MC$200,MATCH(1,('GMW - Baseline'!$MC$2:$MC$200=T$3)*('GMW - Baseline'!$MB$2:$MB$200=T$4),0),$E155-1973)</f>
        <v>#N/A</v>
      </c>
    </row>
    <row r="156" spans="1:20" x14ac:dyDescent="0.25">
      <c r="B156">
        <f t="shared" ref="B156:D171" si="13">+B152+1</f>
        <v>2017</v>
      </c>
      <c r="C156">
        <f t="shared" si="13"/>
        <v>2017</v>
      </c>
      <c r="E156">
        <f t="shared" si="11"/>
        <v>2129</v>
      </c>
      <c r="F156" cm="1">
        <f t="array" ref="F156">INDEX('GMW - Baseline'!$A$2:$MC$200,MATCH(1,('GMW - Baseline'!$MC$2:$MC$200=F$3)*('GMW - Baseline'!$MB$2:$MB$200=F$4),0),$E156-1973)</f>
        <v>647944</v>
      </c>
      <c r="G156" cm="1">
        <f t="array" ref="G156">INDEX('GMW - Baseline'!$A$2:$MC$200,MATCH(1,('GMW - Baseline'!$MC$2:$MC$200=G$3)*('GMW - Baseline'!$MB$2:$MB$200=G$4),0),$E156-1973)</f>
        <v>399139</v>
      </c>
      <c r="H156" cm="1">
        <f t="array" ref="H156">INDEX('GMW - Baseline'!$A$2:$MC$200,MATCH(1,('GMW - Baseline'!$MC$2:$MC$200=H$3)*('GMW - Baseline'!$MB$2:$MB$200=H$4),0),$E156-1973)</f>
        <v>103.16670000000001</v>
      </c>
      <c r="I156" cm="1">
        <f t="array" ref="I156">INDEX('GMW - Baseline'!$A$2:$MC$200,MATCH(1,('GMW - Baseline'!$MC$2:$MC$200=I$3)*('GMW - Baseline'!$MB$2:$MB$200=I$4),0),$E156-1973)</f>
        <v>0.25</v>
      </c>
      <c r="J156" t="e" cm="1">
        <f t="array" ref="J156">INDEX('GMW - Baseline'!$A$2:$MC$200,MATCH(1,('GMW - Baseline'!$MC$2:$MC$200=J$3)*('GMW - Baseline'!$MB$2:$MB$200=J$4),0),$E156-1973)</f>
        <v>#N/A</v>
      </c>
      <c r="K156" t="e" cm="1">
        <f t="array" ref="K156">INDEX('GMW - Baseline'!$A$2:$MC$200,MATCH(1,('GMW - Baseline'!$MC$2:$MC$200=K$3)*('GMW - Baseline'!$MB$2:$MB$200=K$4),0),$E156-1973)</f>
        <v>#N/A</v>
      </c>
      <c r="L156" t="e" cm="1">
        <f t="array" ref="L156">INDEX('GMW - Baseline'!$A$2:$MC$200,MATCH(1,('GMW - Baseline'!$MC$2:$MC$200=L$3)*('GMW - Baseline'!$MB$2:$MB$200=L$4),0),$E156-1973)</f>
        <v>#N/A</v>
      </c>
      <c r="M156" t="e" cm="1">
        <f t="array" ref="M156">INDEX('GMW - Baseline'!$A$2:$MC$200,MATCH(1,('GMW - Baseline'!$MC$2:$MC$200=M$3)*('GMW - Baseline'!$MB$2:$MB$200=M$4),0),$E156-1973)</f>
        <v>#N/A</v>
      </c>
      <c r="N156" t="e" cm="1">
        <f t="array" ref="N156">INDEX('GMW - Baseline'!$A$2:$MC$200,MATCH(1,('GMW - Baseline'!$MC$2:$MC$200=N$3)*('GMW - Baseline'!$MB$2:$MB$200=N$4),0),$E156-1973)</f>
        <v>#N/A</v>
      </c>
      <c r="O156" t="e" cm="1">
        <f t="array" ref="O156">INDEX('GMW - Baseline'!$A$2:$MC$200,MATCH(1,('GMW - Baseline'!$MC$2:$MC$200=O$3)*('GMW - Baseline'!$MB$2:$MB$200=O$4),0),$E156-1973)</f>
        <v>#N/A</v>
      </c>
      <c r="P156" t="e" cm="1">
        <f t="array" ref="P156">INDEX('GMW - Baseline'!$A$2:$MC$200,MATCH(1,('GMW - Baseline'!$MC$2:$MC$200=P$3)*('GMW - Baseline'!$MB$2:$MB$200=P$4),0),$E156-1973)</f>
        <v>#N/A</v>
      </c>
      <c r="Q156" t="e" cm="1">
        <f t="array" ref="Q156">INDEX('GMW - Baseline'!$A$2:$MC$200,MATCH(1,('GMW - Baseline'!$MC$2:$MC$200=Q$3)*('GMW - Baseline'!$MB$2:$MB$200=Q$4),0),$E156-1973)</f>
        <v>#N/A</v>
      </c>
      <c r="R156" t="e" cm="1">
        <f t="array" ref="R156">INDEX('GMW - Baseline'!$A$2:$MC$200,MATCH(1,('GMW - Baseline'!$MC$2:$MC$200=R$3)*('GMW - Baseline'!$MB$2:$MB$200=R$4),0),$E156-1973)</f>
        <v>#N/A</v>
      </c>
      <c r="S156" t="e" cm="1">
        <f t="array" ref="S156">INDEX('GMW - Baseline'!$A$2:$MC$200,MATCH(1,('GMW - Baseline'!$MC$2:$MC$200=S$3)*('GMW - Baseline'!$MB$2:$MB$200=S$4),0),$E156-1973)</f>
        <v>#N/A</v>
      </c>
      <c r="T156" t="e" cm="1">
        <f t="array" ref="T156">INDEX('GMW - Baseline'!$A$2:$MC$200,MATCH(1,('GMW - Baseline'!$MC$2:$MC$200=T$3)*('GMW - Baseline'!$MB$2:$MB$200=T$4),0),$E156-1973)</f>
        <v>#N/A</v>
      </c>
    </row>
    <row r="157" spans="1:20" x14ac:dyDescent="0.25">
      <c r="B157">
        <f t="shared" si="13"/>
        <v>2017</v>
      </c>
      <c r="C157">
        <f t="shared" si="13"/>
        <v>2017</v>
      </c>
      <c r="E157">
        <f t="shared" si="11"/>
        <v>2130</v>
      </c>
      <c r="F157" cm="1">
        <f t="array" ref="F157">INDEX('GMW - Baseline'!$A$2:$MC$200,MATCH(1,('GMW - Baseline'!$MC$2:$MC$200=F$3)*('GMW - Baseline'!$MB$2:$MB$200=F$4),0),$E157-1973)</f>
        <v>652329</v>
      </c>
      <c r="G157" cm="1">
        <f t="array" ref="G157">INDEX('GMW - Baseline'!$A$2:$MC$200,MATCH(1,('GMW - Baseline'!$MC$2:$MC$200=G$3)*('GMW - Baseline'!$MB$2:$MB$200=G$4),0),$E157-1973)</f>
        <v>401714</v>
      </c>
      <c r="H157" cm="1">
        <f t="array" ref="H157">INDEX('GMW - Baseline'!$A$2:$MC$200,MATCH(1,('GMW - Baseline'!$MC$2:$MC$200=H$3)*('GMW - Baseline'!$MB$2:$MB$200=H$4),0),$E157-1973)</f>
        <v>103.7</v>
      </c>
      <c r="I157" cm="1">
        <f t="array" ref="I157">INDEX('GMW - Baseline'!$A$2:$MC$200,MATCH(1,('GMW - Baseline'!$MC$2:$MC$200=I$3)*('GMW - Baseline'!$MB$2:$MB$200=I$4),0),$E157-1973)</f>
        <v>0.25</v>
      </c>
      <c r="J157" t="e" cm="1">
        <f t="array" ref="J157">INDEX('GMW - Baseline'!$A$2:$MC$200,MATCH(1,('GMW - Baseline'!$MC$2:$MC$200=J$3)*('GMW - Baseline'!$MB$2:$MB$200=J$4),0),$E157-1973)</f>
        <v>#N/A</v>
      </c>
      <c r="K157" t="e" cm="1">
        <f t="array" ref="K157">INDEX('GMW - Baseline'!$A$2:$MC$200,MATCH(1,('GMW - Baseline'!$MC$2:$MC$200=K$3)*('GMW - Baseline'!$MB$2:$MB$200=K$4),0),$E157-1973)</f>
        <v>#N/A</v>
      </c>
      <c r="L157" t="e" cm="1">
        <f t="array" ref="L157">INDEX('GMW - Baseline'!$A$2:$MC$200,MATCH(1,('GMW - Baseline'!$MC$2:$MC$200=L$3)*('GMW - Baseline'!$MB$2:$MB$200=L$4),0),$E157-1973)</f>
        <v>#N/A</v>
      </c>
      <c r="M157" t="e" cm="1">
        <f t="array" ref="M157">INDEX('GMW - Baseline'!$A$2:$MC$200,MATCH(1,('GMW - Baseline'!$MC$2:$MC$200=M$3)*('GMW - Baseline'!$MB$2:$MB$200=M$4),0),$E157-1973)</f>
        <v>#N/A</v>
      </c>
      <c r="N157" t="e" cm="1">
        <f t="array" ref="N157">INDEX('GMW - Baseline'!$A$2:$MC$200,MATCH(1,('GMW - Baseline'!$MC$2:$MC$200=N$3)*('GMW - Baseline'!$MB$2:$MB$200=N$4),0),$E157-1973)</f>
        <v>#N/A</v>
      </c>
      <c r="O157" t="e" cm="1">
        <f t="array" ref="O157">INDEX('GMW - Baseline'!$A$2:$MC$200,MATCH(1,('GMW - Baseline'!$MC$2:$MC$200=O$3)*('GMW - Baseline'!$MB$2:$MB$200=O$4),0),$E157-1973)</f>
        <v>#N/A</v>
      </c>
      <c r="P157" t="e" cm="1">
        <f t="array" ref="P157">INDEX('GMW - Baseline'!$A$2:$MC$200,MATCH(1,('GMW - Baseline'!$MC$2:$MC$200=P$3)*('GMW - Baseline'!$MB$2:$MB$200=P$4),0),$E157-1973)</f>
        <v>#N/A</v>
      </c>
      <c r="Q157" t="e" cm="1">
        <f t="array" ref="Q157">INDEX('GMW - Baseline'!$A$2:$MC$200,MATCH(1,('GMW - Baseline'!$MC$2:$MC$200=Q$3)*('GMW - Baseline'!$MB$2:$MB$200=Q$4),0),$E157-1973)</f>
        <v>#N/A</v>
      </c>
      <c r="R157" t="e" cm="1">
        <f t="array" ref="R157">INDEX('GMW - Baseline'!$A$2:$MC$200,MATCH(1,('GMW - Baseline'!$MC$2:$MC$200=R$3)*('GMW - Baseline'!$MB$2:$MB$200=R$4),0),$E157-1973)</f>
        <v>#N/A</v>
      </c>
      <c r="S157" t="e" cm="1">
        <f t="array" ref="S157">INDEX('GMW - Baseline'!$A$2:$MC$200,MATCH(1,('GMW - Baseline'!$MC$2:$MC$200=S$3)*('GMW - Baseline'!$MB$2:$MB$200=S$4),0),$E157-1973)</f>
        <v>#N/A</v>
      </c>
      <c r="T157" t="e" cm="1">
        <f t="array" ref="T157">INDEX('GMW - Baseline'!$A$2:$MC$200,MATCH(1,('GMW - Baseline'!$MC$2:$MC$200=T$3)*('GMW - Baseline'!$MB$2:$MB$200=T$4),0),$E157-1973)</f>
        <v>#N/A</v>
      </c>
    </row>
    <row r="158" spans="1:20" x14ac:dyDescent="0.25">
      <c r="B158">
        <f t="shared" si="13"/>
        <v>2017</v>
      </c>
      <c r="C158">
        <f t="shared" si="13"/>
        <v>2017</v>
      </c>
      <c r="E158">
        <f t="shared" si="11"/>
        <v>2131</v>
      </c>
      <c r="F158" cm="1">
        <f t="array" ref="F158">INDEX('GMW - Baseline'!$A$2:$MC$200,MATCH(1,('GMW - Baseline'!$MC$2:$MC$200=F$3)*('GMW - Baseline'!$MB$2:$MB$200=F$4),0),$E158-1973)</f>
        <v>657225</v>
      </c>
      <c r="G158" cm="1">
        <f t="array" ref="G158">INDEX('GMW - Baseline'!$A$2:$MC$200,MATCH(1,('GMW - Baseline'!$MC$2:$MC$200=G$3)*('GMW - Baseline'!$MB$2:$MB$200=G$4),0),$E158-1973)</f>
        <v>403747</v>
      </c>
      <c r="H158" cm="1">
        <f t="array" ref="H158">INDEX('GMW - Baseline'!$A$2:$MC$200,MATCH(1,('GMW - Baseline'!$MC$2:$MC$200=H$3)*('GMW - Baseline'!$MB$2:$MB$200=H$4),0),$E158-1973)</f>
        <v>104.5667</v>
      </c>
      <c r="I158" cm="1">
        <f t="array" ref="I158">INDEX('GMW - Baseline'!$A$2:$MC$200,MATCH(1,('GMW - Baseline'!$MC$2:$MC$200=I$3)*('GMW - Baseline'!$MB$2:$MB$200=I$4),0),$E158-1973)</f>
        <v>0.41153849999999997</v>
      </c>
      <c r="J158" t="e" cm="1">
        <f t="array" ref="J158">INDEX('GMW - Baseline'!$A$2:$MC$200,MATCH(1,('GMW - Baseline'!$MC$2:$MC$200=J$3)*('GMW - Baseline'!$MB$2:$MB$200=J$4),0),$E158-1973)</f>
        <v>#N/A</v>
      </c>
      <c r="K158" t="e" cm="1">
        <f t="array" ref="K158">INDEX('GMW - Baseline'!$A$2:$MC$200,MATCH(1,('GMW - Baseline'!$MC$2:$MC$200=K$3)*('GMW - Baseline'!$MB$2:$MB$200=K$4),0),$E158-1973)</f>
        <v>#N/A</v>
      </c>
      <c r="L158" t="e" cm="1">
        <f t="array" ref="L158">INDEX('GMW - Baseline'!$A$2:$MC$200,MATCH(1,('GMW - Baseline'!$MC$2:$MC$200=L$3)*('GMW - Baseline'!$MB$2:$MB$200=L$4),0),$E158-1973)</f>
        <v>#N/A</v>
      </c>
      <c r="M158" t="e" cm="1">
        <f t="array" ref="M158">INDEX('GMW - Baseline'!$A$2:$MC$200,MATCH(1,('GMW - Baseline'!$MC$2:$MC$200=M$3)*('GMW - Baseline'!$MB$2:$MB$200=M$4),0),$E158-1973)</f>
        <v>#N/A</v>
      </c>
      <c r="N158" t="e" cm="1">
        <f t="array" ref="N158">INDEX('GMW - Baseline'!$A$2:$MC$200,MATCH(1,('GMW - Baseline'!$MC$2:$MC$200=N$3)*('GMW - Baseline'!$MB$2:$MB$200=N$4),0),$E158-1973)</f>
        <v>#N/A</v>
      </c>
      <c r="O158" t="e" cm="1">
        <f t="array" ref="O158">INDEX('GMW - Baseline'!$A$2:$MC$200,MATCH(1,('GMW - Baseline'!$MC$2:$MC$200=O$3)*('GMW - Baseline'!$MB$2:$MB$200=O$4),0),$E158-1973)</f>
        <v>#N/A</v>
      </c>
      <c r="P158" t="e" cm="1">
        <f t="array" ref="P158">INDEX('GMW - Baseline'!$A$2:$MC$200,MATCH(1,('GMW - Baseline'!$MC$2:$MC$200=P$3)*('GMW - Baseline'!$MB$2:$MB$200=P$4),0),$E158-1973)</f>
        <v>#N/A</v>
      </c>
      <c r="Q158" t="e" cm="1">
        <f t="array" ref="Q158">INDEX('GMW - Baseline'!$A$2:$MC$200,MATCH(1,('GMW - Baseline'!$MC$2:$MC$200=Q$3)*('GMW - Baseline'!$MB$2:$MB$200=Q$4),0),$E158-1973)</f>
        <v>#N/A</v>
      </c>
      <c r="R158" t="e" cm="1">
        <f t="array" ref="R158">INDEX('GMW - Baseline'!$A$2:$MC$200,MATCH(1,('GMW - Baseline'!$MC$2:$MC$200=R$3)*('GMW - Baseline'!$MB$2:$MB$200=R$4),0),$E158-1973)</f>
        <v>#N/A</v>
      </c>
      <c r="S158" t="e" cm="1">
        <f t="array" ref="S158">INDEX('GMW - Baseline'!$A$2:$MC$200,MATCH(1,('GMW - Baseline'!$MC$2:$MC$200=S$3)*('GMW - Baseline'!$MB$2:$MB$200=S$4),0),$E158-1973)</f>
        <v>#N/A</v>
      </c>
      <c r="T158" t="e" cm="1">
        <f t="array" ref="T158">INDEX('GMW - Baseline'!$A$2:$MC$200,MATCH(1,('GMW - Baseline'!$MC$2:$MC$200=T$3)*('GMW - Baseline'!$MB$2:$MB$200=T$4),0),$E158-1973)</f>
        <v>#N/A</v>
      </c>
    </row>
    <row r="159" spans="1:20" x14ac:dyDescent="0.25">
      <c r="A159">
        <v>2018</v>
      </c>
      <c r="B159">
        <f t="shared" si="13"/>
        <v>2018</v>
      </c>
      <c r="C159">
        <f t="shared" si="13"/>
        <v>2017</v>
      </c>
      <c r="D159">
        <f t="shared" si="13"/>
        <v>2017</v>
      </c>
      <c r="E159">
        <f t="shared" si="11"/>
        <v>2132</v>
      </c>
      <c r="F159" cm="1">
        <f t="array" ref="F159">INDEX('GMW - Baseline'!$A$2:$MC$200,MATCH(1,('GMW - Baseline'!$MC$2:$MC$200=F$3)*('GMW - Baseline'!$MB$2:$MB$200=F$4),0),$E159-1973)</f>
        <v>657741</v>
      </c>
      <c r="G159" cm="1">
        <f t="array" ref="G159">INDEX('GMW - Baseline'!$A$2:$MC$200,MATCH(1,('GMW - Baseline'!$MC$2:$MC$200=G$3)*('GMW - Baseline'!$MB$2:$MB$200=G$4),0),$E159-1973)</f>
        <v>406073</v>
      </c>
      <c r="H159" cm="1">
        <f t="array" ref="H159">INDEX('GMW - Baseline'!$A$2:$MC$200,MATCH(1,('GMW - Baseline'!$MC$2:$MC$200=H$3)*('GMW - Baseline'!$MB$2:$MB$200=H$4),0),$E159-1973)</f>
        <v>104.7667</v>
      </c>
      <c r="I159" cm="1">
        <f t="array" ref="I159">INDEX('GMW - Baseline'!$A$2:$MC$200,MATCH(1,('GMW - Baseline'!$MC$2:$MC$200=I$3)*('GMW - Baseline'!$MB$2:$MB$200=I$4),0),$E159-1973)</f>
        <v>0.5</v>
      </c>
      <c r="J159" t="e" cm="1">
        <f t="array" ref="J159">INDEX('GMW - Baseline'!$A$2:$MC$200,MATCH(1,('GMW - Baseline'!$MC$2:$MC$200=J$3)*('GMW - Baseline'!$MB$2:$MB$200=J$4),0),$E159-1973)</f>
        <v>#N/A</v>
      </c>
      <c r="K159" t="e" cm="1">
        <f t="array" ref="K159">INDEX('GMW - Baseline'!$A$2:$MC$200,MATCH(1,('GMW - Baseline'!$MC$2:$MC$200=K$3)*('GMW - Baseline'!$MB$2:$MB$200=K$4),0),$E159-1973)</f>
        <v>#N/A</v>
      </c>
      <c r="L159" t="e" cm="1">
        <f t="array" ref="L159">INDEX('GMW - Baseline'!$A$2:$MC$200,MATCH(1,('GMW - Baseline'!$MC$2:$MC$200=L$3)*('GMW - Baseline'!$MB$2:$MB$200=L$4),0),$E159-1973)</f>
        <v>#N/A</v>
      </c>
      <c r="M159" t="e" cm="1">
        <f t="array" ref="M159">INDEX('GMW - Baseline'!$A$2:$MC$200,MATCH(1,('GMW - Baseline'!$MC$2:$MC$200=M$3)*('GMW - Baseline'!$MB$2:$MB$200=M$4),0),$E159-1973)</f>
        <v>#N/A</v>
      </c>
      <c r="N159" t="e" cm="1">
        <f t="array" ref="N159">INDEX('GMW - Baseline'!$A$2:$MC$200,MATCH(1,('GMW - Baseline'!$MC$2:$MC$200=N$3)*('GMW - Baseline'!$MB$2:$MB$200=N$4),0),$E159-1973)</f>
        <v>#N/A</v>
      </c>
      <c r="O159" t="e" cm="1">
        <f t="array" ref="O159">INDEX('GMW - Baseline'!$A$2:$MC$200,MATCH(1,('GMW - Baseline'!$MC$2:$MC$200=O$3)*('GMW - Baseline'!$MB$2:$MB$200=O$4),0),$E159-1973)</f>
        <v>#N/A</v>
      </c>
      <c r="P159" t="e" cm="1">
        <f t="array" ref="P159">INDEX('GMW - Baseline'!$A$2:$MC$200,MATCH(1,('GMW - Baseline'!$MC$2:$MC$200=P$3)*('GMW - Baseline'!$MB$2:$MB$200=P$4),0),$E159-1973)</f>
        <v>#N/A</v>
      </c>
      <c r="Q159" t="e" cm="1">
        <f t="array" ref="Q159">INDEX('GMW - Baseline'!$A$2:$MC$200,MATCH(1,('GMW - Baseline'!$MC$2:$MC$200=Q$3)*('GMW - Baseline'!$MB$2:$MB$200=Q$4),0),$E159-1973)</f>
        <v>#N/A</v>
      </c>
      <c r="R159" t="e" cm="1">
        <f t="array" ref="R159">INDEX('GMW - Baseline'!$A$2:$MC$200,MATCH(1,('GMW - Baseline'!$MC$2:$MC$200=R$3)*('GMW - Baseline'!$MB$2:$MB$200=R$4),0),$E159-1973)</f>
        <v>#N/A</v>
      </c>
      <c r="S159" t="e" cm="1">
        <f t="array" ref="S159">INDEX('GMW - Baseline'!$A$2:$MC$200,MATCH(1,('GMW - Baseline'!$MC$2:$MC$200=S$3)*('GMW - Baseline'!$MB$2:$MB$200=S$4),0),$E159-1973)</f>
        <v>#N/A</v>
      </c>
      <c r="T159" t="e" cm="1">
        <f t="array" ref="T159">INDEX('GMW - Baseline'!$A$2:$MC$200,MATCH(1,('GMW - Baseline'!$MC$2:$MC$200=T$3)*('GMW - Baseline'!$MB$2:$MB$200=T$4),0),$E159-1973)</f>
        <v>#N/A</v>
      </c>
    </row>
    <row r="160" spans="1:20" x14ac:dyDescent="0.25">
      <c r="B160">
        <f t="shared" si="13"/>
        <v>2018</v>
      </c>
      <c r="C160">
        <f t="shared" si="13"/>
        <v>2018</v>
      </c>
      <c r="E160">
        <f t="shared" si="11"/>
        <v>2133</v>
      </c>
      <c r="F160" cm="1">
        <f t="array" ref="F160">INDEX('GMW - Baseline'!$A$2:$MC$200,MATCH(1,('GMW - Baseline'!$MC$2:$MC$200=F$3)*('GMW - Baseline'!$MB$2:$MB$200=F$4),0),$E160-1973)</f>
        <v>659172</v>
      </c>
      <c r="G160" cm="1">
        <f t="array" ref="G160">INDEX('GMW - Baseline'!$A$2:$MC$200,MATCH(1,('GMW - Baseline'!$MC$2:$MC$200=G$3)*('GMW - Baseline'!$MB$2:$MB$200=G$4),0),$E160-1973)</f>
        <v>404497</v>
      </c>
      <c r="H160" cm="1">
        <f t="array" ref="H160">INDEX('GMW - Baseline'!$A$2:$MC$200,MATCH(1,('GMW - Baseline'!$MC$2:$MC$200=H$3)*('GMW - Baseline'!$MB$2:$MB$200=H$4),0),$E160-1973)</f>
        <v>105.66670000000001</v>
      </c>
      <c r="I160" cm="1">
        <f t="array" ref="I160">INDEX('GMW - Baseline'!$A$2:$MC$200,MATCH(1,('GMW - Baseline'!$MC$2:$MC$200=I$3)*('GMW - Baseline'!$MB$2:$MB$200=I$4),0),$E160-1973)</f>
        <v>0.5</v>
      </c>
      <c r="J160" t="e" cm="1">
        <f t="array" ref="J160">INDEX('GMW - Baseline'!$A$2:$MC$200,MATCH(1,('GMW - Baseline'!$MC$2:$MC$200=J$3)*('GMW - Baseline'!$MB$2:$MB$200=J$4),0),$E160-1973)</f>
        <v>#N/A</v>
      </c>
      <c r="K160" t="e" cm="1">
        <f t="array" ref="K160">INDEX('GMW - Baseline'!$A$2:$MC$200,MATCH(1,('GMW - Baseline'!$MC$2:$MC$200=K$3)*('GMW - Baseline'!$MB$2:$MB$200=K$4),0),$E160-1973)</f>
        <v>#N/A</v>
      </c>
      <c r="L160" t="e" cm="1">
        <f t="array" ref="L160">INDEX('GMW - Baseline'!$A$2:$MC$200,MATCH(1,('GMW - Baseline'!$MC$2:$MC$200=L$3)*('GMW - Baseline'!$MB$2:$MB$200=L$4),0),$E160-1973)</f>
        <v>#N/A</v>
      </c>
      <c r="M160" t="e" cm="1">
        <f t="array" ref="M160">INDEX('GMW - Baseline'!$A$2:$MC$200,MATCH(1,('GMW - Baseline'!$MC$2:$MC$200=M$3)*('GMW - Baseline'!$MB$2:$MB$200=M$4),0),$E160-1973)</f>
        <v>#N/A</v>
      </c>
      <c r="N160" t="e" cm="1">
        <f t="array" ref="N160">INDEX('GMW - Baseline'!$A$2:$MC$200,MATCH(1,('GMW - Baseline'!$MC$2:$MC$200=N$3)*('GMW - Baseline'!$MB$2:$MB$200=N$4),0),$E160-1973)</f>
        <v>#N/A</v>
      </c>
      <c r="O160" t="e" cm="1">
        <f t="array" ref="O160">INDEX('GMW - Baseline'!$A$2:$MC$200,MATCH(1,('GMW - Baseline'!$MC$2:$MC$200=O$3)*('GMW - Baseline'!$MB$2:$MB$200=O$4),0),$E160-1973)</f>
        <v>#N/A</v>
      </c>
      <c r="P160" t="e" cm="1">
        <f t="array" ref="P160">INDEX('GMW - Baseline'!$A$2:$MC$200,MATCH(1,('GMW - Baseline'!$MC$2:$MC$200=P$3)*('GMW - Baseline'!$MB$2:$MB$200=P$4),0),$E160-1973)</f>
        <v>#N/A</v>
      </c>
      <c r="Q160" t="e" cm="1">
        <f t="array" ref="Q160">INDEX('GMW - Baseline'!$A$2:$MC$200,MATCH(1,('GMW - Baseline'!$MC$2:$MC$200=Q$3)*('GMW - Baseline'!$MB$2:$MB$200=Q$4),0),$E160-1973)</f>
        <v>#N/A</v>
      </c>
      <c r="R160" t="e" cm="1">
        <f t="array" ref="R160">INDEX('GMW - Baseline'!$A$2:$MC$200,MATCH(1,('GMW - Baseline'!$MC$2:$MC$200=R$3)*('GMW - Baseline'!$MB$2:$MB$200=R$4),0),$E160-1973)</f>
        <v>#N/A</v>
      </c>
      <c r="S160" t="e" cm="1">
        <f t="array" ref="S160">INDEX('GMW - Baseline'!$A$2:$MC$200,MATCH(1,('GMW - Baseline'!$MC$2:$MC$200=S$3)*('GMW - Baseline'!$MB$2:$MB$200=S$4),0),$E160-1973)</f>
        <v>#N/A</v>
      </c>
      <c r="T160" t="e" cm="1">
        <f t="array" ref="T160">INDEX('GMW - Baseline'!$A$2:$MC$200,MATCH(1,('GMW - Baseline'!$MC$2:$MC$200=T$3)*('GMW - Baseline'!$MB$2:$MB$200=T$4),0),$E160-1973)</f>
        <v>#N/A</v>
      </c>
    </row>
    <row r="161" spans="1:20" x14ac:dyDescent="0.25">
      <c r="B161">
        <f t="shared" si="13"/>
        <v>2018</v>
      </c>
      <c r="C161">
        <f t="shared" si="13"/>
        <v>2018</v>
      </c>
      <c r="E161">
        <f t="shared" si="11"/>
        <v>2134</v>
      </c>
      <c r="F161" cm="1">
        <f t="array" ref="F161">INDEX('GMW - Baseline'!$A$2:$MC$200,MATCH(1,('GMW - Baseline'!$MC$2:$MC$200=F$3)*('GMW - Baseline'!$MB$2:$MB$200=F$4),0),$E161-1973)</f>
        <v>661262</v>
      </c>
      <c r="G161" cm="1">
        <f t="array" ref="G161">INDEX('GMW - Baseline'!$A$2:$MC$200,MATCH(1,('GMW - Baseline'!$MC$2:$MC$200=G$3)*('GMW - Baseline'!$MB$2:$MB$200=G$4),0),$E161-1973)</f>
        <v>408017</v>
      </c>
      <c r="H161" cm="1">
        <f t="array" ref="H161">INDEX('GMW - Baseline'!$A$2:$MC$200,MATCH(1,('GMW - Baseline'!$MC$2:$MC$200=H$3)*('GMW - Baseline'!$MB$2:$MB$200=H$4),0),$E161-1973)</f>
        <v>106.3</v>
      </c>
      <c r="I161" cm="1">
        <f t="array" ref="I161">INDEX('GMW - Baseline'!$A$2:$MC$200,MATCH(1,('GMW - Baseline'!$MC$2:$MC$200=I$3)*('GMW - Baseline'!$MB$2:$MB$200=I$4),0),$E161-1973)</f>
        <v>0.66153850000000003</v>
      </c>
      <c r="J161" t="e" cm="1">
        <f t="array" ref="J161">INDEX('GMW - Baseline'!$A$2:$MC$200,MATCH(1,('GMW - Baseline'!$MC$2:$MC$200=J$3)*('GMW - Baseline'!$MB$2:$MB$200=J$4),0),$E161-1973)</f>
        <v>#N/A</v>
      </c>
      <c r="K161" t="e" cm="1">
        <f t="array" ref="K161">INDEX('GMW - Baseline'!$A$2:$MC$200,MATCH(1,('GMW - Baseline'!$MC$2:$MC$200=K$3)*('GMW - Baseline'!$MB$2:$MB$200=K$4),0),$E161-1973)</f>
        <v>#N/A</v>
      </c>
      <c r="L161" t="e" cm="1">
        <f t="array" ref="L161">INDEX('GMW - Baseline'!$A$2:$MC$200,MATCH(1,('GMW - Baseline'!$MC$2:$MC$200=L$3)*('GMW - Baseline'!$MB$2:$MB$200=L$4),0),$E161-1973)</f>
        <v>#N/A</v>
      </c>
      <c r="M161" t="e" cm="1">
        <f t="array" ref="M161">INDEX('GMW - Baseline'!$A$2:$MC$200,MATCH(1,('GMW - Baseline'!$MC$2:$MC$200=M$3)*('GMW - Baseline'!$MB$2:$MB$200=M$4),0),$E161-1973)</f>
        <v>#N/A</v>
      </c>
      <c r="N161" t="e" cm="1">
        <f t="array" ref="N161">INDEX('GMW - Baseline'!$A$2:$MC$200,MATCH(1,('GMW - Baseline'!$MC$2:$MC$200=N$3)*('GMW - Baseline'!$MB$2:$MB$200=N$4),0),$E161-1973)</f>
        <v>#N/A</v>
      </c>
      <c r="O161" t="e" cm="1">
        <f t="array" ref="O161">INDEX('GMW - Baseline'!$A$2:$MC$200,MATCH(1,('GMW - Baseline'!$MC$2:$MC$200=O$3)*('GMW - Baseline'!$MB$2:$MB$200=O$4),0),$E161-1973)</f>
        <v>#N/A</v>
      </c>
      <c r="P161" t="e" cm="1">
        <f t="array" ref="P161">INDEX('GMW - Baseline'!$A$2:$MC$200,MATCH(1,('GMW - Baseline'!$MC$2:$MC$200=P$3)*('GMW - Baseline'!$MB$2:$MB$200=P$4),0),$E161-1973)</f>
        <v>#N/A</v>
      </c>
      <c r="Q161" t="e" cm="1">
        <f t="array" ref="Q161">INDEX('GMW - Baseline'!$A$2:$MC$200,MATCH(1,('GMW - Baseline'!$MC$2:$MC$200=Q$3)*('GMW - Baseline'!$MB$2:$MB$200=Q$4),0),$E161-1973)</f>
        <v>#N/A</v>
      </c>
      <c r="R161" t="e" cm="1">
        <f t="array" ref="R161">INDEX('GMW - Baseline'!$A$2:$MC$200,MATCH(1,('GMW - Baseline'!$MC$2:$MC$200=R$3)*('GMW - Baseline'!$MB$2:$MB$200=R$4),0),$E161-1973)</f>
        <v>#N/A</v>
      </c>
      <c r="S161" t="e" cm="1">
        <f t="array" ref="S161">INDEX('GMW - Baseline'!$A$2:$MC$200,MATCH(1,('GMW - Baseline'!$MC$2:$MC$200=S$3)*('GMW - Baseline'!$MB$2:$MB$200=S$4),0),$E161-1973)</f>
        <v>#N/A</v>
      </c>
      <c r="T161" t="e" cm="1">
        <f t="array" ref="T161">INDEX('GMW - Baseline'!$A$2:$MC$200,MATCH(1,('GMW - Baseline'!$MC$2:$MC$200=T$3)*('GMW - Baseline'!$MB$2:$MB$200=T$4),0),$E161-1973)</f>
        <v>#N/A</v>
      </c>
    </row>
    <row r="162" spans="1:20" x14ac:dyDescent="0.25">
      <c r="B162">
        <f t="shared" si="13"/>
        <v>2018</v>
      </c>
      <c r="C162">
        <f t="shared" si="13"/>
        <v>2018</v>
      </c>
      <c r="E162">
        <f t="shared" si="11"/>
        <v>2135</v>
      </c>
      <c r="F162" cm="1">
        <f t="array" ref="F162">INDEX('GMW - Baseline'!$A$2:$MC$200,MATCH(1,('GMW - Baseline'!$MC$2:$MC$200=F$3)*('GMW - Baseline'!$MB$2:$MB$200=F$4),0),$E162-1973)</f>
        <v>662120</v>
      </c>
      <c r="G162" cm="1">
        <f t="array" ref="G162">INDEX('GMW - Baseline'!$A$2:$MC$200,MATCH(1,('GMW - Baseline'!$MC$2:$MC$200=G$3)*('GMW - Baseline'!$MB$2:$MB$200=G$4),0),$E162-1973)</f>
        <v>412655</v>
      </c>
      <c r="H162" cm="1">
        <f t="array" ref="H162">INDEX('GMW - Baseline'!$A$2:$MC$200,MATCH(1,('GMW - Baseline'!$MC$2:$MC$200=H$3)*('GMW - Baseline'!$MB$2:$MB$200=H$4),0),$E162-1973)</f>
        <v>106.9333</v>
      </c>
      <c r="I162" cm="1">
        <f t="array" ref="I162">INDEX('GMW - Baseline'!$A$2:$MC$200,MATCH(1,('GMW - Baseline'!$MC$2:$MC$200=I$3)*('GMW - Baseline'!$MB$2:$MB$200=I$4),0),$E162-1973)</f>
        <v>0.75</v>
      </c>
      <c r="J162" t="e" cm="1">
        <f t="array" ref="J162">INDEX('GMW - Baseline'!$A$2:$MC$200,MATCH(1,('GMW - Baseline'!$MC$2:$MC$200=J$3)*('GMW - Baseline'!$MB$2:$MB$200=J$4),0),$E162-1973)</f>
        <v>#N/A</v>
      </c>
      <c r="K162" t="e" cm="1">
        <f t="array" ref="K162">INDEX('GMW - Baseline'!$A$2:$MC$200,MATCH(1,('GMW - Baseline'!$MC$2:$MC$200=K$3)*('GMW - Baseline'!$MB$2:$MB$200=K$4),0),$E162-1973)</f>
        <v>#N/A</v>
      </c>
      <c r="L162" t="e" cm="1">
        <f t="array" ref="L162">INDEX('GMW - Baseline'!$A$2:$MC$200,MATCH(1,('GMW - Baseline'!$MC$2:$MC$200=L$3)*('GMW - Baseline'!$MB$2:$MB$200=L$4),0),$E162-1973)</f>
        <v>#N/A</v>
      </c>
      <c r="M162" t="e" cm="1">
        <f t="array" ref="M162">INDEX('GMW - Baseline'!$A$2:$MC$200,MATCH(1,('GMW - Baseline'!$MC$2:$MC$200=M$3)*('GMW - Baseline'!$MB$2:$MB$200=M$4),0),$E162-1973)</f>
        <v>#N/A</v>
      </c>
      <c r="N162" t="e" cm="1">
        <f t="array" ref="N162">INDEX('GMW - Baseline'!$A$2:$MC$200,MATCH(1,('GMW - Baseline'!$MC$2:$MC$200=N$3)*('GMW - Baseline'!$MB$2:$MB$200=N$4),0),$E162-1973)</f>
        <v>#N/A</v>
      </c>
      <c r="O162" t="e" cm="1">
        <f t="array" ref="O162">INDEX('GMW - Baseline'!$A$2:$MC$200,MATCH(1,('GMW - Baseline'!$MC$2:$MC$200=O$3)*('GMW - Baseline'!$MB$2:$MB$200=O$4),0),$E162-1973)</f>
        <v>#N/A</v>
      </c>
      <c r="P162" t="e" cm="1">
        <f t="array" ref="P162">INDEX('GMW - Baseline'!$A$2:$MC$200,MATCH(1,('GMW - Baseline'!$MC$2:$MC$200=P$3)*('GMW - Baseline'!$MB$2:$MB$200=P$4),0),$E162-1973)</f>
        <v>#N/A</v>
      </c>
      <c r="Q162" t="e" cm="1">
        <f t="array" ref="Q162">INDEX('GMW - Baseline'!$A$2:$MC$200,MATCH(1,('GMW - Baseline'!$MC$2:$MC$200=Q$3)*('GMW - Baseline'!$MB$2:$MB$200=Q$4),0),$E162-1973)</f>
        <v>#N/A</v>
      </c>
      <c r="R162" t="e" cm="1">
        <f t="array" ref="R162">INDEX('GMW - Baseline'!$A$2:$MC$200,MATCH(1,('GMW - Baseline'!$MC$2:$MC$200=R$3)*('GMW - Baseline'!$MB$2:$MB$200=R$4),0),$E162-1973)</f>
        <v>#N/A</v>
      </c>
      <c r="S162" t="e" cm="1">
        <f t="array" ref="S162">INDEX('GMW - Baseline'!$A$2:$MC$200,MATCH(1,('GMW - Baseline'!$MC$2:$MC$200=S$3)*('GMW - Baseline'!$MB$2:$MB$200=S$4),0),$E162-1973)</f>
        <v>#N/A</v>
      </c>
      <c r="T162" t="e" cm="1">
        <f t="array" ref="T162">INDEX('GMW - Baseline'!$A$2:$MC$200,MATCH(1,('GMW - Baseline'!$MC$2:$MC$200=T$3)*('GMW - Baseline'!$MB$2:$MB$200=T$4),0),$E162-1973)</f>
        <v>#N/A</v>
      </c>
    </row>
    <row r="163" spans="1:20" x14ac:dyDescent="0.25">
      <c r="A163">
        <v>2019</v>
      </c>
      <c r="B163">
        <f t="shared" si="13"/>
        <v>2019</v>
      </c>
      <c r="C163">
        <f t="shared" si="13"/>
        <v>2018</v>
      </c>
      <c r="D163">
        <f t="shared" si="13"/>
        <v>2018</v>
      </c>
      <c r="E163">
        <f t="shared" si="11"/>
        <v>2136</v>
      </c>
      <c r="F163" cm="1">
        <f t="array" ref="F163">INDEX('GMW - Baseline'!$A$2:$MC$200,MATCH(1,('GMW - Baseline'!$MC$2:$MC$200=F$3)*('GMW - Baseline'!$MB$2:$MB$200=F$4),0),$E163-1973)</f>
        <v>665456</v>
      </c>
      <c r="G163" cm="1">
        <f t="array" ref="G163">INDEX('GMW - Baseline'!$A$2:$MC$200,MATCH(1,('GMW - Baseline'!$MC$2:$MC$200=G$3)*('GMW - Baseline'!$MB$2:$MB$200=G$4),0),$E163-1973)</f>
        <v>412090</v>
      </c>
      <c r="H163" cm="1">
        <f t="array" ref="H163">INDEX('GMW - Baseline'!$A$2:$MC$200,MATCH(1,('GMW - Baseline'!$MC$2:$MC$200=H$3)*('GMW - Baseline'!$MB$2:$MB$200=H$4),0),$E163-1973)</f>
        <v>106.7</v>
      </c>
      <c r="I163" cm="1">
        <f t="array" ref="I163">INDEX('GMW - Baseline'!$A$2:$MC$200,MATCH(1,('GMW - Baseline'!$MC$2:$MC$200=I$3)*('GMW - Baseline'!$MB$2:$MB$200=I$4),0),$E163-1973)</f>
        <v>0.75</v>
      </c>
      <c r="J163" t="e" cm="1">
        <f t="array" ref="J163">INDEX('GMW - Baseline'!$A$2:$MC$200,MATCH(1,('GMW - Baseline'!$MC$2:$MC$200=J$3)*('GMW - Baseline'!$MB$2:$MB$200=J$4),0),$E163-1973)</f>
        <v>#N/A</v>
      </c>
      <c r="K163" t="e" cm="1">
        <f t="array" ref="K163">INDEX('GMW - Baseline'!$A$2:$MC$200,MATCH(1,('GMW - Baseline'!$MC$2:$MC$200=K$3)*('GMW - Baseline'!$MB$2:$MB$200=K$4),0),$E163-1973)</f>
        <v>#N/A</v>
      </c>
      <c r="L163" t="e" cm="1">
        <f t="array" ref="L163">INDEX('GMW - Baseline'!$A$2:$MC$200,MATCH(1,('GMW - Baseline'!$MC$2:$MC$200=L$3)*('GMW - Baseline'!$MB$2:$MB$200=L$4),0),$E163-1973)</f>
        <v>#N/A</v>
      </c>
      <c r="M163" t="e" cm="1">
        <f t="array" ref="M163">INDEX('GMW - Baseline'!$A$2:$MC$200,MATCH(1,('GMW - Baseline'!$MC$2:$MC$200=M$3)*('GMW - Baseline'!$MB$2:$MB$200=M$4),0),$E163-1973)</f>
        <v>#N/A</v>
      </c>
      <c r="N163" t="e" cm="1">
        <f t="array" ref="N163">INDEX('GMW - Baseline'!$A$2:$MC$200,MATCH(1,('GMW - Baseline'!$MC$2:$MC$200=N$3)*('GMW - Baseline'!$MB$2:$MB$200=N$4),0),$E163-1973)</f>
        <v>#N/A</v>
      </c>
      <c r="O163" t="e" cm="1">
        <f t="array" ref="O163">INDEX('GMW - Baseline'!$A$2:$MC$200,MATCH(1,('GMW - Baseline'!$MC$2:$MC$200=O$3)*('GMW - Baseline'!$MB$2:$MB$200=O$4),0),$E163-1973)</f>
        <v>#N/A</v>
      </c>
      <c r="P163" t="e" cm="1">
        <f t="array" ref="P163">INDEX('GMW - Baseline'!$A$2:$MC$200,MATCH(1,('GMW - Baseline'!$MC$2:$MC$200=P$3)*('GMW - Baseline'!$MB$2:$MB$200=P$4),0),$E163-1973)</f>
        <v>#N/A</v>
      </c>
      <c r="Q163" t="e" cm="1">
        <f t="array" ref="Q163">INDEX('GMW - Baseline'!$A$2:$MC$200,MATCH(1,('GMW - Baseline'!$MC$2:$MC$200=Q$3)*('GMW - Baseline'!$MB$2:$MB$200=Q$4),0),$E163-1973)</f>
        <v>#N/A</v>
      </c>
      <c r="R163" t="e" cm="1">
        <f t="array" ref="R163">INDEX('GMW - Baseline'!$A$2:$MC$200,MATCH(1,('GMW - Baseline'!$MC$2:$MC$200=R$3)*('GMW - Baseline'!$MB$2:$MB$200=R$4),0),$E163-1973)</f>
        <v>#N/A</v>
      </c>
      <c r="S163" t="e" cm="1">
        <f t="array" ref="S163">INDEX('GMW - Baseline'!$A$2:$MC$200,MATCH(1,('GMW - Baseline'!$MC$2:$MC$200=S$3)*('GMW - Baseline'!$MB$2:$MB$200=S$4),0),$E163-1973)</f>
        <v>#N/A</v>
      </c>
      <c r="T163" t="e" cm="1">
        <f t="array" ref="T163">INDEX('GMW - Baseline'!$A$2:$MC$200,MATCH(1,('GMW - Baseline'!$MC$2:$MC$200=T$3)*('GMW - Baseline'!$MB$2:$MB$200=T$4),0),$E163-1973)</f>
        <v>#N/A</v>
      </c>
    </row>
    <row r="164" spans="1:20" x14ac:dyDescent="0.25">
      <c r="B164">
        <f t="shared" si="13"/>
        <v>2019</v>
      </c>
      <c r="C164">
        <f t="shared" si="13"/>
        <v>2019</v>
      </c>
      <c r="E164">
        <f t="shared" si="11"/>
        <v>2137</v>
      </c>
      <c r="F164" cm="1">
        <f t="array" ref="F164">INDEX('GMW - Baseline'!$A$2:$MC$200,MATCH(1,('GMW - Baseline'!$MC$2:$MC$200=F$3)*('GMW - Baseline'!$MB$2:$MB$200=F$4),0),$E164-1973)</f>
        <v>666875</v>
      </c>
      <c r="G164" cm="1">
        <f t="array" ref="G164">INDEX('GMW - Baseline'!$A$2:$MC$200,MATCH(1,('GMW - Baseline'!$MC$2:$MC$200=G$3)*('GMW - Baseline'!$MB$2:$MB$200=G$4),0),$E164-1973)</f>
        <v>413136</v>
      </c>
      <c r="H164" cm="1">
        <f t="array" ref="H164">INDEX('GMW - Baseline'!$A$2:$MC$200,MATCH(1,('GMW - Baseline'!$MC$2:$MC$200=H$3)*('GMW - Baseline'!$MB$2:$MB$200=H$4),0),$E164-1973)</f>
        <v>107.8</v>
      </c>
      <c r="I164" cm="1">
        <f t="array" ref="I164">INDEX('GMW - Baseline'!$A$2:$MC$200,MATCH(1,('GMW - Baseline'!$MC$2:$MC$200=I$3)*('GMW - Baseline'!$MB$2:$MB$200=I$4),0),$E164-1973)</f>
        <v>0.75</v>
      </c>
      <c r="J164" t="e" cm="1">
        <f t="array" ref="J164">INDEX('GMW - Baseline'!$A$2:$MC$200,MATCH(1,('GMW - Baseline'!$MC$2:$MC$200=J$3)*('GMW - Baseline'!$MB$2:$MB$200=J$4),0),$E164-1973)</f>
        <v>#N/A</v>
      </c>
      <c r="K164" t="e" cm="1">
        <f t="array" ref="K164">INDEX('GMW - Baseline'!$A$2:$MC$200,MATCH(1,('GMW - Baseline'!$MC$2:$MC$200=K$3)*('GMW - Baseline'!$MB$2:$MB$200=K$4),0),$E164-1973)</f>
        <v>#N/A</v>
      </c>
      <c r="L164" t="e" cm="1">
        <f t="array" ref="L164">INDEX('GMW - Baseline'!$A$2:$MC$200,MATCH(1,('GMW - Baseline'!$MC$2:$MC$200=L$3)*('GMW - Baseline'!$MB$2:$MB$200=L$4),0),$E164-1973)</f>
        <v>#N/A</v>
      </c>
      <c r="M164" t="e" cm="1">
        <f t="array" ref="M164">INDEX('GMW - Baseline'!$A$2:$MC$200,MATCH(1,('GMW - Baseline'!$MC$2:$MC$200=M$3)*('GMW - Baseline'!$MB$2:$MB$200=M$4),0),$E164-1973)</f>
        <v>#N/A</v>
      </c>
      <c r="N164" t="e" cm="1">
        <f t="array" ref="N164">INDEX('GMW - Baseline'!$A$2:$MC$200,MATCH(1,('GMW - Baseline'!$MC$2:$MC$200=N$3)*('GMW - Baseline'!$MB$2:$MB$200=N$4),0),$E164-1973)</f>
        <v>#N/A</v>
      </c>
      <c r="O164" t="e" cm="1">
        <f t="array" ref="O164">INDEX('GMW - Baseline'!$A$2:$MC$200,MATCH(1,('GMW - Baseline'!$MC$2:$MC$200=O$3)*('GMW - Baseline'!$MB$2:$MB$200=O$4),0),$E164-1973)</f>
        <v>#N/A</v>
      </c>
      <c r="P164" t="e" cm="1">
        <f t="array" ref="P164">INDEX('GMW - Baseline'!$A$2:$MC$200,MATCH(1,('GMW - Baseline'!$MC$2:$MC$200=P$3)*('GMW - Baseline'!$MB$2:$MB$200=P$4),0),$E164-1973)</f>
        <v>#N/A</v>
      </c>
      <c r="Q164" t="e" cm="1">
        <f t="array" ref="Q164">INDEX('GMW - Baseline'!$A$2:$MC$200,MATCH(1,('GMW - Baseline'!$MC$2:$MC$200=Q$3)*('GMW - Baseline'!$MB$2:$MB$200=Q$4),0),$E164-1973)</f>
        <v>#N/A</v>
      </c>
      <c r="R164" t="e" cm="1">
        <f t="array" ref="R164">INDEX('GMW - Baseline'!$A$2:$MC$200,MATCH(1,('GMW - Baseline'!$MC$2:$MC$200=R$3)*('GMW - Baseline'!$MB$2:$MB$200=R$4),0),$E164-1973)</f>
        <v>#N/A</v>
      </c>
      <c r="S164" t="e" cm="1">
        <f t="array" ref="S164">INDEX('GMW - Baseline'!$A$2:$MC$200,MATCH(1,('GMW - Baseline'!$MC$2:$MC$200=S$3)*('GMW - Baseline'!$MB$2:$MB$200=S$4),0),$E164-1973)</f>
        <v>#N/A</v>
      </c>
      <c r="T164" t="e" cm="1">
        <f t="array" ref="T164">INDEX('GMW - Baseline'!$A$2:$MC$200,MATCH(1,('GMW - Baseline'!$MC$2:$MC$200=T$3)*('GMW - Baseline'!$MB$2:$MB$200=T$4),0),$E164-1973)</f>
        <v>#N/A</v>
      </c>
    </row>
    <row r="165" spans="1:20" x14ac:dyDescent="0.25">
      <c r="B165">
        <f t="shared" si="13"/>
        <v>2019</v>
      </c>
      <c r="C165">
        <f t="shared" si="13"/>
        <v>2019</v>
      </c>
      <c r="E165">
        <f t="shared" si="11"/>
        <v>2138</v>
      </c>
      <c r="F165" cm="1">
        <f t="array" ref="F165">INDEX('GMW - Baseline'!$A$2:$MC$200,MATCH(1,('GMW - Baseline'!$MC$2:$MC$200=F$3)*('GMW - Baseline'!$MB$2:$MB$200=F$4),0),$E165-1973)</f>
        <v>670547</v>
      </c>
      <c r="G165" cm="1">
        <f t="array" ref="G165">INDEX('GMW - Baseline'!$A$2:$MC$200,MATCH(1,('GMW - Baseline'!$MC$2:$MC$200=G$3)*('GMW - Baseline'!$MB$2:$MB$200=G$4),0),$E165-1973)</f>
        <v>412951</v>
      </c>
      <c r="H165" cm="1">
        <f t="array" ref="H165">INDEX('GMW - Baseline'!$A$2:$MC$200,MATCH(1,('GMW - Baseline'!$MC$2:$MC$200=H$3)*('GMW - Baseline'!$MB$2:$MB$200=H$4),0),$E165-1973)</f>
        <v>108.2667</v>
      </c>
      <c r="I165" cm="1">
        <f t="array" ref="I165">INDEX('GMW - Baseline'!$A$2:$MC$200,MATCH(1,('GMW - Baseline'!$MC$2:$MC$200=I$3)*('GMW - Baseline'!$MB$2:$MB$200=I$4),0),$E165-1973)</f>
        <v>0.75</v>
      </c>
      <c r="J165" t="e" cm="1">
        <f t="array" ref="J165">INDEX('GMW - Baseline'!$A$2:$MC$200,MATCH(1,('GMW - Baseline'!$MC$2:$MC$200=J$3)*('GMW - Baseline'!$MB$2:$MB$200=J$4),0),$E165-1973)</f>
        <v>#N/A</v>
      </c>
      <c r="K165" t="e" cm="1">
        <f t="array" ref="K165">INDEX('GMW - Baseline'!$A$2:$MC$200,MATCH(1,('GMW - Baseline'!$MC$2:$MC$200=K$3)*('GMW - Baseline'!$MB$2:$MB$200=K$4),0),$E165-1973)</f>
        <v>#N/A</v>
      </c>
      <c r="L165" t="e" cm="1">
        <f t="array" ref="L165">INDEX('GMW - Baseline'!$A$2:$MC$200,MATCH(1,('GMW - Baseline'!$MC$2:$MC$200=L$3)*('GMW - Baseline'!$MB$2:$MB$200=L$4),0),$E165-1973)</f>
        <v>#N/A</v>
      </c>
      <c r="M165" t="e" cm="1">
        <f t="array" ref="M165">INDEX('GMW - Baseline'!$A$2:$MC$200,MATCH(1,('GMW - Baseline'!$MC$2:$MC$200=M$3)*('GMW - Baseline'!$MB$2:$MB$200=M$4),0),$E165-1973)</f>
        <v>#N/A</v>
      </c>
      <c r="N165" t="e" cm="1">
        <f t="array" ref="N165">INDEX('GMW - Baseline'!$A$2:$MC$200,MATCH(1,('GMW - Baseline'!$MC$2:$MC$200=N$3)*('GMW - Baseline'!$MB$2:$MB$200=N$4),0),$E165-1973)</f>
        <v>#N/A</v>
      </c>
      <c r="O165" t="e" cm="1">
        <f t="array" ref="O165">INDEX('GMW - Baseline'!$A$2:$MC$200,MATCH(1,('GMW - Baseline'!$MC$2:$MC$200=O$3)*('GMW - Baseline'!$MB$2:$MB$200=O$4),0),$E165-1973)</f>
        <v>#N/A</v>
      </c>
      <c r="P165" t="e" cm="1">
        <f t="array" ref="P165">INDEX('GMW - Baseline'!$A$2:$MC$200,MATCH(1,('GMW - Baseline'!$MC$2:$MC$200=P$3)*('GMW - Baseline'!$MB$2:$MB$200=P$4),0),$E165-1973)</f>
        <v>#N/A</v>
      </c>
      <c r="Q165" t="e" cm="1">
        <f t="array" ref="Q165">INDEX('GMW - Baseline'!$A$2:$MC$200,MATCH(1,('GMW - Baseline'!$MC$2:$MC$200=Q$3)*('GMW - Baseline'!$MB$2:$MB$200=Q$4),0),$E165-1973)</f>
        <v>#N/A</v>
      </c>
      <c r="R165" t="e" cm="1">
        <f t="array" ref="R165">INDEX('GMW - Baseline'!$A$2:$MC$200,MATCH(1,('GMW - Baseline'!$MC$2:$MC$200=R$3)*('GMW - Baseline'!$MB$2:$MB$200=R$4),0),$E165-1973)</f>
        <v>#N/A</v>
      </c>
      <c r="S165" t="e" cm="1">
        <f t="array" ref="S165">INDEX('GMW - Baseline'!$A$2:$MC$200,MATCH(1,('GMW - Baseline'!$MC$2:$MC$200=S$3)*('GMW - Baseline'!$MB$2:$MB$200=S$4),0),$E165-1973)</f>
        <v>#N/A</v>
      </c>
      <c r="T165" t="e" cm="1">
        <f t="array" ref="T165">INDEX('GMW - Baseline'!$A$2:$MC$200,MATCH(1,('GMW - Baseline'!$MC$2:$MC$200=T$3)*('GMW - Baseline'!$MB$2:$MB$200=T$4),0),$E165-1973)</f>
        <v>#N/A</v>
      </c>
    </row>
    <row r="166" spans="1:20" x14ac:dyDescent="0.25">
      <c r="B166">
        <f t="shared" si="13"/>
        <v>2019</v>
      </c>
      <c r="C166">
        <f t="shared" si="13"/>
        <v>2019</v>
      </c>
      <c r="E166">
        <f t="shared" si="11"/>
        <v>2139</v>
      </c>
      <c r="F166" cm="1">
        <f t="array" ref="F166">INDEX('GMW - Baseline'!$A$2:$MC$200,MATCH(1,('GMW - Baseline'!$MC$2:$MC$200=F$3)*('GMW - Baseline'!$MB$2:$MB$200=F$4),0),$E166-1973)</f>
        <v>670587</v>
      </c>
      <c r="G166" cm="1">
        <f t="array" ref="G166">INDEX('GMW - Baseline'!$A$2:$MC$200,MATCH(1,('GMW - Baseline'!$MC$2:$MC$200=G$3)*('GMW - Baseline'!$MB$2:$MB$200=G$4),0),$E166-1973)</f>
        <v>412487</v>
      </c>
      <c r="H166" cm="1">
        <f t="array" ref="H166">INDEX('GMW - Baseline'!$A$2:$MC$200,MATCH(1,('GMW - Baseline'!$MC$2:$MC$200=H$3)*('GMW - Baseline'!$MB$2:$MB$200=H$4),0),$E166-1973)</f>
        <v>108.4333</v>
      </c>
      <c r="I166" cm="1">
        <f t="array" ref="I166">INDEX('GMW - Baseline'!$A$2:$MC$200,MATCH(1,('GMW - Baseline'!$MC$2:$MC$200=I$3)*('GMW - Baseline'!$MB$2:$MB$200=I$4),0),$E166-1973)</f>
        <v>0.75</v>
      </c>
      <c r="J166" t="e" cm="1">
        <f t="array" ref="J166">INDEX('GMW - Baseline'!$A$2:$MC$200,MATCH(1,('GMW - Baseline'!$MC$2:$MC$200=J$3)*('GMW - Baseline'!$MB$2:$MB$200=J$4),0),$E166-1973)</f>
        <v>#N/A</v>
      </c>
      <c r="K166" t="e" cm="1">
        <f t="array" ref="K166">INDEX('GMW - Baseline'!$A$2:$MC$200,MATCH(1,('GMW - Baseline'!$MC$2:$MC$200=K$3)*('GMW - Baseline'!$MB$2:$MB$200=K$4),0),$E166-1973)</f>
        <v>#N/A</v>
      </c>
      <c r="L166" t="e" cm="1">
        <f t="array" ref="L166">INDEX('GMW - Baseline'!$A$2:$MC$200,MATCH(1,('GMW - Baseline'!$MC$2:$MC$200=L$3)*('GMW - Baseline'!$MB$2:$MB$200=L$4),0),$E166-1973)</f>
        <v>#N/A</v>
      </c>
      <c r="M166" t="e" cm="1">
        <f t="array" ref="M166">INDEX('GMW - Baseline'!$A$2:$MC$200,MATCH(1,('GMW - Baseline'!$MC$2:$MC$200=M$3)*('GMW - Baseline'!$MB$2:$MB$200=M$4),0),$E166-1973)</f>
        <v>#N/A</v>
      </c>
      <c r="N166" t="e" cm="1">
        <f t="array" ref="N166">INDEX('GMW - Baseline'!$A$2:$MC$200,MATCH(1,('GMW - Baseline'!$MC$2:$MC$200=N$3)*('GMW - Baseline'!$MB$2:$MB$200=N$4),0),$E166-1973)</f>
        <v>#N/A</v>
      </c>
      <c r="O166" t="e" cm="1">
        <f t="array" ref="O166">INDEX('GMW - Baseline'!$A$2:$MC$200,MATCH(1,('GMW - Baseline'!$MC$2:$MC$200=O$3)*('GMW - Baseline'!$MB$2:$MB$200=O$4),0),$E166-1973)</f>
        <v>#N/A</v>
      </c>
      <c r="P166" t="e" cm="1">
        <f t="array" ref="P166">INDEX('GMW - Baseline'!$A$2:$MC$200,MATCH(1,('GMW - Baseline'!$MC$2:$MC$200=P$3)*('GMW - Baseline'!$MB$2:$MB$200=P$4),0),$E166-1973)</f>
        <v>#N/A</v>
      </c>
      <c r="Q166" t="e" cm="1">
        <f t="array" ref="Q166">INDEX('GMW - Baseline'!$A$2:$MC$200,MATCH(1,('GMW - Baseline'!$MC$2:$MC$200=Q$3)*('GMW - Baseline'!$MB$2:$MB$200=Q$4),0),$E166-1973)</f>
        <v>#N/A</v>
      </c>
      <c r="R166" t="e" cm="1">
        <f t="array" ref="R166">INDEX('GMW - Baseline'!$A$2:$MC$200,MATCH(1,('GMW - Baseline'!$MC$2:$MC$200=R$3)*('GMW - Baseline'!$MB$2:$MB$200=R$4),0),$E166-1973)</f>
        <v>#N/A</v>
      </c>
      <c r="S166" t="e" cm="1">
        <f t="array" ref="S166">INDEX('GMW - Baseline'!$A$2:$MC$200,MATCH(1,('GMW - Baseline'!$MC$2:$MC$200=S$3)*('GMW - Baseline'!$MB$2:$MB$200=S$4),0),$E166-1973)</f>
        <v>#N/A</v>
      </c>
      <c r="T166" t="e" cm="1">
        <f t="array" ref="T166">INDEX('GMW - Baseline'!$A$2:$MC$200,MATCH(1,('GMW - Baseline'!$MC$2:$MC$200=T$3)*('GMW - Baseline'!$MB$2:$MB$200=T$4),0),$E166-1973)</f>
        <v>#N/A</v>
      </c>
    </row>
    <row r="167" spans="1:20" x14ac:dyDescent="0.25">
      <c r="A167">
        <v>2020</v>
      </c>
      <c r="B167">
        <f t="shared" si="13"/>
        <v>2020</v>
      </c>
      <c r="C167">
        <f t="shared" si="13"/>
        <v>2019</v>
      </c>
      <c r="D167">
        <f t="shared" si="13"/>
        <v>2019</v>
      </c>
      <c r="E167">
        <f t="shared" si="11"/>
        <v>2140</v>
      </c>
      <c r="F167" cm="1">
        <f t="array" ref="F167">INDEX('GMW - Baseline'!$A$2:$MC$200,MATCH(1,('GMW - Baseline'!$MC$2:$MC$200=F$3)*('GMW - Baseline'!$MB$2:$MB$200=F$4),0),$E167-1973)</f>
        <v>652180</v>
      </c>
      <c r="G167" cm="1">
        <f t="array" ref="G167">INDEX('GMW - Baseline'!$A$2:$MC$200,MATCH(1,('GMW - Baseline'!$MC$2:$MC$200=G$3)*('GMW - Baseline'!$MB$2:$MB$200=G$4),0),$E167-1973)</f>
        <v>400748</v>
      </c>
      <c r="H167" cm="1">
        <f t="array" ref="H167">INDEX('GMW - Baseline'!$A$2:$MC$200,MATCH(1,('GMW - Baseline'!$MC$2:$MC$200=H$3)*('GMW - Baseline'!$MB$2:$MB$200=H$4),0),$E167-1973)</f>
        <v>108.4667</v>
      </c>
      <c r="I167" cm="1">
        <f t="array" ref="I167">INDEX('GMW - Baseline'!$A$2:$MC$200,MATCH(1,('GMW - Baseline'!$MC$2:$MC$200=I$3)*('GMW - Baseline'!$MB$2:$MB$200=I$4),0),$E167-1973)</f>
        <v>0.61384620000000001</v>
      </c>
      <c r="J167" t="e" cm="1">
        <f t="array" ref="J167">INDEX('GMW - Baseline'!$A$2:$MC$200,MATCH(1,('GMW - Baseline'!$MC$2:$MC$200=J$3)*('GMW - Baseline'!$MB$2:$MB$200=J$4),0),$E167-1973)</f>
        <v>#N/A</v>
      </c>
      <c r="K167" t="e" cm="1">
        <f t="array" ref="K167">INDEX('GMW - Baseline'!$A$2:$MC$200,MATCH(1,('GMW - Baseline'!$MC$2:$MC$200=K$3)*('GMW - Baseline'!$MB$2:$MB$200=K$4),0),$E167-1973)</f>
        <v>#N/A</v>
      </c>
      <c r="L167" t="e" cm="1">
        <f t="array" ref="L167">INDEX('GMW - Baseline'!$A$2:$MC$200,MATCH(1,('GMW - Baseline'!$MC$2:$MC$200=L$3)*('GMW - Baseline'!$MB$2:$MB$200=L$4),0),$E167-1973)</f>
        <v>#N/A</v>
      </c>
      <c r="M167" t="e" cm="1">
        <f t="array" ref="M167">INDEX('GMW - Baseline'!$A$2:$MC$200,MATCH(1,('GMW - Baseline'!$MC$2:$MC$200=M$3)*('GMW - Baseline'!$MB$2:$MB$200=M$4),0),$E167-1973)</f>
        <v>#N/A</v>
      </c>
      <c r="N167" t="e" cm="1">
        <f t="array" ref="N167">INDEX('GMW - Baseline'!$A$2:$MC$200,MATCH(1,('GMW - Baseline'!$MC$2:$MC$200=N$3)*('GMW - Baseline'!$MB$2:$MB$200=N$4),0),$E167-1973)</f>
        <v>#N/A</v>
      </c>
      <c r="O167" t="e" cm="1">
        <f t="array" ref="O167">INDEX('GMW - Baseline'!$A$2:$MC$200,MATCH(1,('GMW - Baseline'!$MC$2:$MC$200=O$3)*('GMW - Baseline'!$MB$2:$MB$200=O$4),0),$E167-1973)</f>
        <v>#N/A</v>
      </c>
      <c r="P167" t="e" cm="1">
        <f t="array" ref="P167">INDEX('GMW - Baseline'!$A$2:$MC$200,MATCH(1,('GMW - Baseline'!$MC$2:$MC$200=P$3)*('GMW - Baseline'!$MB$2:$MB$200=P$4),0),$E167-1973)</f>
        <v>#N/A</v>
      </c>
      <c r="Q167" t="e" cm="1">
        <f t="array" ref="Q167">INDEX('GMW - Baseline'!$A$2:$MC$200,MATCH(1,('GMW - Baseline'!$MC$2:$MC$200=Q$3)*('GMW - Baseline'!$MB$2:$MB$200=Q$4),0),$E167-1973)</f>
        <v>#N/A</v>
      </c>
      <c r="R167" t="e" cm="1">
        <f t="array" ref="R167">INDEX('GMW - Baseline'!$A$2:$MC$200,MATCH(1,('GMW - Baseline'!$MC$2:$MC$200=R$3)*('GMW - Baseline'!$MB$2:$MB$200=R$4),0),$E167-1973)</f>
        <v>#N/A</v>
      </c>
      <c r="S167" t="e" cm="1">
        <f t="array" ref="S167">INDEX('GMW - Baseline'!$A$2:$MC$200,MATCH(1,('GMW - Baseline'!$MC$2:$MC$200=S$3)*('GMW - Baseline'!$MB$2:$MB$200=S$4),0),$E167-1973)</f>
        <v>#N/A</v>
      </c>
      <c r="T167" t="e" cm="1">
        <f t="array" ref="T167">INDEX('GMW - Baseline'!$A$2:$MC$200,MATCH(1,('GMW - Baseline'!$MC$2:$MC$200=T$3)*('GMW - Baseline'!$MB$2:$MB$200=T$4),0),$E167-1973)</f>
        <v>#N/A</v>
      </c>
    </row>
    <row r="168" spans="1:20" x14ac:dyDescent="0.25">
      <c r="B168">
        <f t="shared" si="13"/>
        <v>2020</v>
      </c>
      <c r="C168">
        <f t="shared" si="13"/>
        <v>2020</v>
      </c>
      <c r="E168">
        <f t="shared" si="11"/>
        <v>2141</v>
      </c>
      <c r="F168" cm="1">
        <f t="array" ref="F168">INDEX('GMW - Baseline'!$A$2:$MC$200,MATCH(1,('GMW - Baseline'!$MC$2:$MC$200=F$3)*('GMW - Baseline'!$MB$2:$MB$200=F$4),0),$E168-1973)</f>
        <v>522356</v>
      </c>
      <c r="G168" cm="1">
        <f t="array" ref="G168">INDEX('GMW - Baseline'!$A$2:$MC$200,MATCH(1,('GMW - Baseline'!$MC$2:$MC$200=G$3)*('GMW - Baseline'!$MB$2:$MB$200=G$4),0),$E168-1973)</f>
        <v>308486</v>
      </c>
      <c r="H168" cm="1">
        <f t="array" ref="H168">INDEX('GMW - Baseline'!$A$2:$MC$200,MATCH(1,('GMW - Baseline'!$MC$2:$MC$200=H$3)*('GMW - Baseline'!$MB$2:$MB$200=H$4),0),$E168-1973)</f>
        <v>108.5333</v>
      </c>
      <c r="I168" cm="1">
        <f t="array" ref="I168">INDEX('GMW - Baseline'!$A$2:$MC$200,MATCH(1,('GMW - Baseline'!$MC$2:$MC$200=I$3)*('GMW - Baseline'!$MB$2:$MB$200=I$4),0),$E168-1973)</f>
        <v>0.1</v>
      </c>
      <c r="J168" t="e" cm="1">
        <f t="array" ref="J168">INDEX('GMW - Baseline'!$A$2:$MC$200,MATCH(1,('GMW - Baseline'!$MC$2:$MC$200=J$3)*('GMW - Baseline'!$MB$2:$MB$200=J$4),0),$E168-1973)</f>
        <v>#N/A</v>
      </c>
      <c r="K168" t="e" cm="1">
        <f t="array" ref="K168">INDEX('GMW - Baseline'!$A$2:$MC$200,MATCH(1,('GMW - Baseline'!$MC$2:$MC$200=K$3)*('GMW - Baseline'!$MB$2:$MB$200=K$4),0),$E168-1973)</f>
        <v>#N/A</v>
      </c>
      <c r="L168" t="e" cm="1">
        <f t="array" ref="L168">INDEX('GMW - Baseline'!$A$2:$MC$200,MATCH(1,('GMW - Baseline'!$MC$2:$MC$200=L$3)*('GMW - Baseline'!$MB$2:$MB$200=L$4),0),$E168-1973)</f>
        <v>#N/A</v>
      </c>
      <c r="M168" t="e" cm="1">
        <f t="array" ref="M168">INDEX('GMW - Baseline'!$A$2:$MC$200,MATCH(1,('GMW - Baseline'!$MC$2:$MC$200=M$3)*('GMW - Baseline'!$MB$2:$MB$200=M$4),0),$E168-1973)</f>
        <v>#N/A</v>
      </c>
      <c r="N168" t="e" cm="1">
        <f t="array" ref="N168">INDEX('GMW - Baseline'!$A$2:$MC$200,MATCH(1,('GMW - Baseline'!$MC$2:$MC$200=N$3)*('GMW - Baseline'!$MB$2:$MB$200=N$4),0),$E168-1973)</f>
        <v>#N/A</v>
      </c>
      <c r="O168" t="e" cm="1">
        <f t="array" ref="O168">INDEX('GMW - Baseline'!$A$2:$MC$200,MATCH(1,('GMW - Baseline'!$MC$2:$MC$200=O$3)*('GMW - Baseline'!$MB$2:$MB$200=O$4),0),$E168-1973)</f>
        <v>#N/A</v>
      </c>
      <c r="P168" t="e" cm="1">
        <f t="array" ref="P168">INDEX('GMW - Baseline'!$A$2:$MC$200,MATCH(1,('GMW - Baseline'!$MC$2:$MC$200=P$3)*('GMW - Baseline'!$MB$2:$MB$200=P$4),0),$E168-1973)</f>
        <v>#N/A</v>
      </c>
      <c r="Q168" t="e" cm="1">
        <f t="array" ref="Q168">INDEX('GMW - Baseline'!$A$2:$MC$200,MATCH(1,('GMW - Baseline'!$MC$2:$MC$200=Q$3)*('GMW - Baseline'!$MB$2:$MB$200=Q$4),0),$E168-1973)</f>
        <v>#N/A</v>
      </c>
      <c r="R168" t="e" cm="1">
        <f t="array" ref="R168">INDEX('GMW - Baseline'!$A$2:$MC$200,MATCH(1,('GMW - Baseline'!$MC$2:$MC$200=R$3)*('GMW - Baseline'!$MB$2:$MB$200=R$4),0),$E168-1973)</f>
        <v>#N/A</v>
      </c>
      <c r="S168" t="e" cm="1">
        <f t="array" ref="S168">INDEX('GMW - Baseline'!$A$2:$MC$200,MATCH(1,('GMW - Baseline'!$MC$2:$MC$200=S$3)*('GMW - Baseline'!$MB$2:$MB$200=S$4),0),$E168-1973)</f>
        <v>#N/A</v>
      </c>
      <c r="T168" t="e" cm="1">
        <f t="array" ref="T168">INDEX('GMW - Baseline'!$A$2:$MC$200,MATCH(1,('GMW - Baseline'!$MC$2:$MC$200=T$3)*('GMW - Baseline'!$MB$2:$MB$200=T$4),0),$E168-1973)</f>
        <v>#N/A</v>
      </c>
    </row>
    <row r="169" spans="1:20" x14ac:dyDescent="0.25">
      <c r="B169">
        <f t="shared" si="13"/>
        <v>2020</v>
      </c>
      <c r="C169">
        <f t="shared" si="13"/>
        <v>2020</v>
      </c>
      <c r="E169">
        <f t="shared" si="11"/>
        <v>2142</v>
      </c>
      <c r="F169" cm="1">
        <f t="array" ref="F169">INDEX('GMW - Baseline'!$A$2:$MC$200,MATCH(1,('GMW - Baseline'!$MC$2:$MC$200=F$3)*('GMW - Baseline'!$MB$2:$MB$200=F$4),0),$E169-1973)</f>
        <v>610972</v>
      </c>
      <c r="G169" cm="1">
        <f t="array" ref="G169">INDEX('GMW - Baseline'!$A$2:$MC$200,MATCH(1,('GMW - Baseline'!$MC$2:$MC$200=G$3)*('GMW - Baseline'!$MB$2:$MB$200=G$4),0),$E169-1973)</f>
        <v>369291</v>
      </c>
      <c r="H169" cm="1">
        <f t="array" ref="H169">INDEX('GMW - Baseline'!$A$2:$MC$200,MATCH(1,('GMW - Baseline'!$MC$2:$MC$200=H$3)*('GMW - Baseline'!$MB$2:$MB$200=H$4),0),$E169-1973)</f>
        <v>108.9333</v>
      </c>
      <c r="I169" cm="1">
        <f t="array" ref="I169">INDEX('GMW - Baseline'!$A$2:$MC$200,MATCH(1,('GMW - Baseline'!$MC$2:$MC$200=I$3)*('GMW - Baseline'!$MB$2:$MB$200=I$4),0),$E169-1973)</f>
        <v>0.1</v>
      </c>
      <c r="J169" t="e" cm="1">
        <f t="array" ref="J169">INDEX('GMW - Baseline'!$A$2:$MC$200,MATCH(1,('GMW - Baseline'!$MC$2:$MC$200=J$3)*('GMW - Baseline'!$MB$2:$MB$200=J$4),0),$E169-1973)</f>
        <v>#N/A</v>
      </c>
      <c r="K169" t="e" cm="1">
        <f t="array" ref="K169">INDEX('GMW - Baseline'!$A$2:$MC$200,MATCH(1,('GMW - Baseline'!$MC$2:$MC$200=K$3)*('GMW - Baseline'!$MB$2:$MB$200=K$4),0),$E169-1973)</f>
        <v>#N/A</v>
      </c>
      <c r="L169" t="e" cm="1">
        <f t="array" ref="L169">INDEX('GMW - Baseline'!$A$2:$MC$200,MATCH(1,('GMW - Baseline'!$MC$2:$MC$200=L$3)*('GMW - Baseline'!$MB$2:$MB$200=L$4),0),$E169-1973)</f>
        <v>#N/A</v>
      </c>
      <c r="M169" t="e" cm="1">
        <f t="array" ref="M169">INDEX('GMW - Baseline'!$A$2:$MC$200,MATCH(1,('GMW - Baseline'!$MC$2:$MC$200=M$3)*('GMW - Baseline'!$MB$2:$MB$200=M$4),0),$E169-1973)</f>
        <v>#N/A</v>
      </c>
      <c r="N169" t="e" cm="1">
        <f t="array" ref="N169">INDEX('GMW - Baseline'!$A$2:$MC$200,MATCH(1,('GMW - Baseline'!$MC$2:$MC$200=N$3)*('GMW - Baseline'!$MB$2:$MB$200=N$4),0),$E169-1973)</f>
        <v>#N/A</v>
      </c>
      <c r="O169" t="e" cm="1">
        <f t="array" ref="O169">INDEX('GMW - Baseline'!$A$2:$MC$200,MATCH(1,('GMW - Baseline'!$MC$2:$MC$200=O$3)*('GMW - Baseline'!$MB$2:$MB$200=O$4),0),$E169-1973)</f>
        <v>#N/A</v>
      </c>
      <c r="P169" t="e" cm="1">
        <f t="array" ref="P169">INDEX('GMW - Baseline'!$A$2:$MC$200,MATCH(1,('GMW - Baseline'!$MC$2:$MC$200=P$3)*('GMW - Baseline'!$MB$2:$MB$200=P$4),0),$E169-1973)</f>
        <v>#N/A</v>
      </c>
      <c r="Q169" t="e" cm="1">
        <f t="array" ref="Q169">INDEX('GMW - Baseline'!$A$2:$MC$200,MATCH(1,('GMW - Baseline'!$MC$2:$MC$200=Q$3)*('GMW - Baseline'!$MB$2:$MB$200=Q$4),0),$E169-1973)</f>
        <v>#N/A</v>
      </c>
      <c r="R169" t="e" cm="1">
        <f t="array" ref="R169">INDEX('GMW - Baseline'!$A$2:$MC$200,MATCH(1,('GMW - Baseline'!$MC$2:$MC$200=R$3)*('GMW - Baseline'!$MB$2:$MB$200=R$4),0),$E169-1973)</f>
        <v>#N/A</v>
      </c>
      <c r="S169" t="e" cm="1">
        <f t="array" ref="S169">INDEX('GMW - Baseline'!$A$2:$MC$200,MATCH(1,('GMW - Baseline'!$MC$2:$MC$200=S$3)*('GMW - Baseline'!$MB$2:$MB$200=S$4),0),$E169-1973)</f>
        <v>#N/A</v>
      </c>
      <c r="T169" t="e" cm="1">
        <f t="array" ref="T169">INDEX('GMW - Baseline'!$A$2:$MC$200,MATCH(1,('GMW - Baseline'!$MC$2:$MC$200=T$3)*('GMW - Baseline'!$MB$2:$MB$200=T$4),0),$E169-1973)</f>
        <v>#N/A</v>
      </c>
    </row>
    <row r="170" spans="1:20" x14ac:dyDescent="0.25">
      <c r="B170">
        <f t="shared" si="13"/>
        <v>2020</v>
      </c>
      <c r="C170">
        <f t="shared" si="13"/>
        <v>2020</v>
      </c>
      <c r="E170">
        <f t="shared" si="11"/>
        <v>2143</v>
      </c>
      <c r="F170" cm="1">
        <f t="array" ref="F170">INDEX('GMW - Baseline'!$A$2:$MC$200,MATCH(1,('GMW - Baseline'!$MC$2:$MC$200=F$3)*('GMW - Baseline'!$MB$2:$MB$200=F$4),0),$E170-1973)</f>
        <v>619330</v>
      </c>
      <c r="G170" cm="1">
        <f t="array" ref="G170">INDEX('GMW - Baseline'!$A$2:$MC$200,MATCH(1,('GMW - Baseline'!$MC$2:$MC$200=G$3)*('GMW - Baseline'!$MB$2:$MB$200=G$4),0),$E170-1973)</f>
        <v>362708</v>
      </c>
      <c r="H170" cm="1">
        <f t="array" ref="H170">INDEX('GMW - Baseline'!$A$2:$MC$200,MATCH(1,('GMW - Baseline'!$MC$2:$MC$200=H$3)*('GMW - Baseline'!$MB$2:$MB$200=H$4),0),$E170-1973)</f>
        <v>109.0667</v>
      </c>
      <c r="I170" cm="1">
        <f t="array" ref="I170">INDEX('GMW - Baseline'!$A$2:$MC$200,MATCH(1,('GMW - Baseline'!$MC$2:$MC$200=I$3)*('GMW - Baseline'!$MB$2:$MB$200=I$4),0),$E170-1973)</f>
        <v>0.1</v>
      </c>
      <c r="J170" t="e" cm="1">
        <f t="array" ref="J170">INDEX('GMW - Baseline'!$A$2:$MC$200,MATCH(1,('GMW - Baseline'!$MC$2:$MC$200=J$3)*('GMW - Baseline'!$MB$2:$MB$200=J$4),0),$E170-1973)</f>
        <v>#N/A</v>
      </c>
      <c r="K170" t="e" cm="1">
        <f t="array" ref="K170">INDEX('GMW - Baseline'!$A$2:$MC$200,MATCH(1,('GMW - Baseline'!$MC$2:$MC$200=K$3)*('GMW - Baseline'!$MB$2:$MB$200=K$4),0),$E170-1973)</f>
        <v>#N/A</v>
      </c>
      <c r="L170" t="e" cm="1">
        <f t="array" ref="L170">INDEX('GMW - Baseline'!$A$2:$MC$200,MATCH(1,('GMW - Baseline'!$MC$2:$MC$200=L$3)*('GMW - Baseline'!$MB$2:$MB$200=L$4),0),$E170-1973)</f>
        <v>#N/A</v>
      </c>
      <c r="M170" t="e" cm="1">
        <f t="array" ref="M170">INDEX('GMW - Baseline'!$A$2:$MC$200,MATCH(1,('GMW - Baseline'!$MC$2:$MC$200=M$3)*('GMW - Baseline'!$MB$2:$MB$200=M$4),0),$E170-1973)</f>
        <v>#N/A</v>
      </c>
      <c r="N170" t="e" cm="1">
        <f t="array" ref="N170">INDEX('GMW - Baseline'!$A$2:$MC$200,MATCH(1,('GMW - Baseline'!$MC$2:$MC$200=N$3)*('GMW - Baseline'!$MB$2:$MB$200=N$4),0),$E170-1973)</f>
        <v>#N/A</v>
      </c>
      <c r="O170" t="e" cm="1">
        <f t="array" ref="O170">INDEX('GMW - Baseline'!$A$2:$MC$200,MATCH(1,('GMW - Baseline'!$MC$2:$MC$200=O$3)*('GMW - Baseline'!$MB$2:$MB$200=O$4),0),$E170-1973)</f>
        <v>#N/A</v>
      </c>
      <c r="P170" t="e" cm="1">
        <f t="array" ref="P170">INDEX('GMW - Baseline'!$A$2:$MC$200,MATCH(1,('GMW - Baseline'!$MC$2:$MC$200=P$3)*('GMW - Baseline'!$MB$2:$MB$200=P$4),0),$E170-1973)</f>
        <v>#N/A</v>
      </c>
      <c r="Q170" t="e" cm="1">
        <f t="array" ref="Q170">INDEX('GMW - Baseline'!$A$2:$MC$200,MATCH(1,('GMW - Baseline'!$MC$2:$MC$200=Q$3)*('GMW - Baseline'!$MB$2:$MB$200=Q$4),0),$E170-1973)</f>
        <v>#N/A</v>
      </c>
      <c r="R170" t="e" cm="1">
        <f t="array" ref="R170">INDEX('GMW - Baseline'!$A$2:$MC$200,MATCH(1,('GMW - Baseline'!$MC$2:$MC$200=R$3)*('GMW - Baseline'!$MB$2:$MB$200=R$4),0),$E170-1973)</f>
        <v>#N/A</v>
      </c>
      <c r="S170" t="e" cm="1">
        <f t="array" ref="S170">INDEX('GMW - Baseline'!$A$2:$MC$200,MATCH(1,('GMW - Baseline'!$MC$2:$MC$200=S$3)*('GMW - Baseline'!$MB$2:$MB$200=S$4),0),$E170-1973)</f>
        <v>#N/A</v>
      </c>
      <c r="T170" t="e" cm="1">
        <f t="array" ref="T170">INDEX('GMW - Baseline'!$A$2:$MC$200,MATCH(1,('GMW - Baseline'!$MC$2:$MC$200=T$3)*('GMW - Baseline'!$MB$2:$MB$200=T$4),0),$E170-1973)</f>
        <v>#N/A</v>
      </c>
    </row>
    <row r="171" spans="1:20" x14ac:dyDescent="0.25">
      <c r="A171">
        <v>2021</v>
      </c>
      <c r="B171">
        <f t="shared" si="13"/>
        <v>2021</v>
      </c>
      <c r="C171">
        <f t="shared" si="13"/>
        <v>2020</v>
      </c>
      <c r="D171">
        <f t="shared" si="13"/>
        <v>2020</v>
      </c>
      <c r="E171">
        <f t="shared" si="11"/>
        <v>2144</v>
      </c>
      <c r="F171" cm="1">
        <f t="array" ref="F171">INDEX('GMW - Baseline'!$A$2:$MC$200,MATCH(1,('GMW - Baseline'!$MC$2:$MC$200=F$3)*('GMW - Baseline'!$MB$2:$MB$200=F$4),0),$E171-1973)</f>
        <v>612665</v>
      </c>
      <c r="G171" cm="1">
        <f t="array" ref="G171">INDEX('GMW - Baseline'!$A$2:$MC$200,MATCH(1,('GMW - Baseline'!$MC$2:$MC$200=G$3)*('GMW - Baseline'!$MB$2:$MB$200=G$4),0),$E171-1973)</f>
        <v>349378</v>
      </c>
      <c r="H171" cm="1">
        <f t="array" ref="H171">INDEX('GMW - Baseline'!$A$2:$MC$200,MATCH(1,('GMW - Baseline'!$MC$2:$MC$200=H$3)*('GMW - Baseline'!$MB$2:$MB$200=H$4),0),$E171-1973)</f>
        <v>109.16670000000001</v>
      </c>
      <c r="I171" cm="1">
        <f t="array" ref="I171">INDEX('GMW - Baseline'!$A$2:$MC$200,MATCH(1,('GMW - Baseline'!$MC$2:$MC$200=I$3)*('GMW - Baseline'!$MB$2:$MB$200=I$4),0),$E171-1973)</f>
        <v>0.1</v>
      </c>
      <c r="J171" t="e" cm="1">
        <f t="array" ref="J171">INDEX('GMW - Baseline'!$A$2:$MC$200,MATCH(1,('GMW - Baseline'!$MC$2:$MC$200=J$3)*('GMW - Baseline'!$MB$2:$MB$200=J$4),0),$E171-1973)</f>
        <v>#N/A</v>
      </c>
      <c r="K171" t="e" cm="1">
        <f t="array" ref="K171">INDEX('GMW - Baseline'!$A$2:$MC$200,MATCH(1,('GMW - Baseline'!$MC$2:$MC$200=K$3)*('GMW - Baseline'!$MB$2:$MB$200=K$4),0),$E171-1973)</f>
        <v>#N/A</v>
      </c>
      <c r="L171" t="e" cm="1">
        <f t="array" ref="L171">INDEX('GMW - Baseline'!$A$2:$MC$200,MATCH(1,('GMW - Baseline'!$MC$2:$MC$200=L$3)*('GMW - Baseline'!$MB$2:$MB$200=L$4),0),$E171-1973)</f>
        <v>#N/A</v>
      </c>
      <c r="M171" t="e" cm="1">
        <f t="array" ref="M171">INDEX('GMW - Baseline'!$A$2:$MC$200,MATCH(1,('GMW - Baseline'!$MC$2:$MC$200=M$3)*('GMW - Baseline'!$MB$2:$MB$200=M$4),0),$E171-1973)</f>
        <v>#N/A</v>
      </c>
      <c r="N171" t="e" cm="1">
        <f t="array" ref="N171">INDEX('GMW - Baseline'!$A$2:$MC$200,MATCH(1,('GMW - Baseline'!$MC$2:$MC$200=N$3)*('GMW - Baseline'!$MB$2:$MB$200=N$4),0),$E171-1973)</f>
        <v>#N/A</v>
      </c>
      <c r="O171" t="e" cm="1">
        <f t="array" ref="O171">INDEX('GMW - Baseline'!$A$2:$MC$200,MATCH(1,('GMW - Baseline'!$MC$2:$MC$200=O$3)*('GMW - Baseline'!$MB$2:$MB$200=O$4),0),$E171-1973)</f>
        <v>#N/A</v>
      </c>
      <c r="P171" t="e" cm="1">
        <f t="array" ref="P171">INDEX('GMW - Baseline'!$A$2:$MC$200,MATCH(1,('GMW - Baseline'!$MC$2:$MC$200=P$3)*('GMW - Baseline'!$MB$2:$MB$200=P$4),0),$E171-1973)</f>
        <v>#N/A</v>
      </c>
      <c r="Q171" t="e" cm="1">
        <f t="array" ref="Q171">INDEX('GMW - Baseline'!$A$2:$MC$200,MATCH(1,('GMW - Baseline'!$MC$2:$MC$200=Q$3)*('GMW - Baseline'!$MB$2:$MB$200=Q$4),0),$E171-1973)</f>
        <v>#N/A</v>
      </c>
      <c r="R171" t="e" cm="1">
        <f t="array" ref="R171">INDEX('GMW - Baseline'!$A$2:$MC$200,MATCH(1,('GMW - Baseline'!$MC$2:$MC$200=R$3)*('GMW - Baseline'!$MB$2:$MB$200=R$4),0),$E171-1973)</f>
        <v>#N/A</v>
      </c>
      <c r="S171" t="e" cm="1">
        <f t="array" ref="S171">INDEX('GMW - Baseline'!$A$2:$MC$200,MATCH(1,('GMW - Baseline'!$MC$2:$MC$200=S$3)*('GMW - Baseline'!$MB$2:$MB$200=S$4),0),$E171-1973)</f>
        <v>#N/A</v>
      </c>
      <c r="T171" t="e" cm="1">
        <f t="array" ref="T171">INDEX('GMW - Baseline'!$A$2:$MC$200,MATCH(1,('GMW - Baseline'!$MC$2:$MC$200=T$3)*('GMW - Baseline'!$MB$2:$MB$200=T$4),0),$E171-1973)</f>
        <v>#N/A</v>
      </c>
    </row>
    <row r="172" spans="1:20" x14ac:dyDescent="0.25">
      <c r="B172">
        <f t="shared" ref="B172:D187" si="14">+B168+1</f>
        <v>2021</v>
      </c>
      <c r="C172">
        <f t="shared" si="14"/>
        <v>2021</v>
      </c>
      <c r="E172">
        <f t="shared" si="11"/>
        <v>2145</v>
      </c>
      <c r="F172" cm="1">
        <f t="array" ref="F172">INDEX('GMW - Baseline'!$A$2:$MC$200,MATCH(1,('GMW - Baseline'!$MC$2:$MC$200=F$3)*('GMW - Baseline'!$MB$2:$MB$200=F$4),0),$E172-1973)</f>
        <v>655443</v>
      </c>
      <c r="G172" cm="1">
        <f t="array" ref="G172">INDEX('GMW - Baseline'!$A$2:$MC$200,MATCH(1,('GMW - Baseline'!$MC$2:$MC$200=G$3)*('GMW - Baseline'!$MB$2:$MB$200=G$4),0),$E172-1973)</f>
        <v>389324</v>
      </c>
      <c r="H172" cm="1">
        <f t="array" ref="H172">INDEX('GMW - Baseline'!$A$2:$MC$200,MATCH(1,('GMW - Baseline'!$MC$2:$MC$200=H$3)*('GMW - Baseline'!$MB$2:$MB$200=H$4),0),$E172-1973)</f>
        <v>110.7333</v>
      </c>
      <c r="I172" cm="1">
        <f t="array" ref="I172">INDEX('GMW - Baseline'!$A$2:$MC$200,MATCH(1,('GMW - Baseline'!$MC$2:$MC$200=I$3)*('GMW - Baseline'!$MB$2:$MB$200=I$4),0),$E172-1973)</f>
        <v>0.1</v>
      </c>
      <c r="J172" t="e" cm="1">
        <f t="array" ref="J172">INDEX('GMW - Baseline'!$A$2:$MC$200,MATCH(1,('GMW - Baseline'!$MC$2:$MC$200=J$3)*('GMW - Baseline'!$MB$2:$MB$200=J$4),0),$E172-1973)</f>
        <v>#N/A</v>
      </c>
      <c r="K172" t="e" cm="1">
        <f t="array" ref="K172">INDEX('GMW - Baseline'!$A$2:$MC$200,MATCH(1,('GMW - Baseline'!$MC$2:$MC$200=K$3)*('GMW - Baseline'!$MB$2:$MB$200=K$4),0),$E172-1973)</f>
        <v>#N/A</v>
      </c>
      <c r="L172" t="e" cm="1">
        <f t="array" ref="L172">INDEX('GMW - Baseline'!$A$2:$MC$200,MATCH(1,('GMW - Baseline'!$MC$2:$MC$200=L$3)*('GMW - Baseline'!$MB$2:$MB$200=L$4),0),$E172-1973)</f>
        <v>#N/A</v>
      </c>
      <c r="M172" t="e" cm="1">
        <f t="array" ref="M172">INDEX('GMW - Baseline'!$A$2:$MC$200,MATCH(1,('GMW - Baseline'!$MC$2:$MC$200=M$3)*('GMW - Baseline'!$MB$2:$MB$200=M$4),0),$E172-1973)</f>
        <v>#N/A</v>
      </c>
      <c r="N172" t="e" cm="1">
        <f t="array" ref="N172">INDEX('GMW - Baseline'!$A$2:$MC$200,MATCH(1,('GMW - Baseline'!$MC$2:$MC$200=N$3)*('GMW - Baseline'!$MB$2:$MB$200=N$4),0),$E172-1973)</f>
        <v>#N/A</v>
      </c>
      <c r="O172" t="e" cm="1">
        <f t="array" ref="O172">INDEX('GMW - Baseline'!$A$2:$MC$200,MATCH(1,('GMW - Baseline'!$MC$2:$MC$200=O$3)*('GMW - Baseline'!$MB$2:$MB$200=O$4),0),$E172-1973)</f>
        <v>#N/A</v>
      </c>
      <c r="P172" t="e" cm="1">
        <f t="array" ref="P172">INDEX('GMW - Baseline'!$A$2:$MC$200,MATCH(1,('GMW - Baseline'!$MC$2:$MC$200=P$3)*('GMW - Baseline'!$MB$2:$MB$200=P$4),0),$E172-1973)</f>
        <v>#N/A</v>
      </c>
      <c r="Q172" t="e" cm="1">
        <f t="array" ref="Q172">INDEX('GMW - Baseline'!$A$2:$MC$200,MATCH(1,('GMW - Baseline'!$MC$2:$MC$200=Q$3)*('GMW - Baseline'!$MB$2:$MB$200=Q$4),0),$E172-1973)</f>
        <v>#N/A</v>
      </c>
      <c r="R172" t="e" cm="1">
        <f t="array" ref="R172">INDEX('GMW - Baseline'!$A$2:$MC$200,MATCH(1,('GMW - Baseline'!$MC$2:$MC$200=R$3)*('GMW - Baseline'!$MB$2:$MB$200=R$4),0),$E172-1973)</f>
        <v>#N/A</v>
      </c>
      <c r="S172" t="e" cm="1">
        <f t="array" ref="S172">INDEX('GMW - Baseline'!$A$2:$MC$200,MATCH(1,('GMW - Baseline'!$MC$2:$MC$200=S$3)*('GMW - Baseline'!$MB$2:$MB$200=S$4),0),$E172-1973)</f>
        <v>#N/A</v>
      </c>
      <c r="T172" t="e" cm="1">
        <f t="array" ref="T172">INDEX('GMW - Baseline'!$A$2:$MC$200,MATCH(1,('GMW - Baseline'!$MC$2:$MC$200=T$3)*('GMW - Baseline'!$MB$2:$MB$200=T$4),0),$E172-1973)</f>
        <v>#N/A</v>
      </c>
    </row>
    <row r="173" spans="1:20" x14ac:dyDescent="0.25">
      <c r="B173">
        <f t="shared" si="14"/>
        <v>2021</v>
      </c>
      <c r="C173">
        <f t="shared" si="14"/>
        <v>2021</v>
      </c>
      <c r="E173">
        <f t="shared" si="11"/>
        <v>2146</v>
      </c>
      <c r="F173" cm="1">
        <f t="array" ref="F173">INDEX('GMW - Baseline'!$A$2:$MC$200,MATCH(1,('GMW - Baseline'!$MC$2:$MC$200=F$3)*('GMW - Baseline'!$MB$2:$MB$200=F$4),0),$E173-1973)</f>
        <v>666498</v>
      </c>
      <c r="G173" cm="1">
        <f t="array" ref="G173">INDEX('GMW - Baseline'!$A$2:$MC$200,MATCH(1,('GMW - Baseline'!$MC$2:$MC$200=G$3)*('GMW - Baseline'!$MB$2:$MB$200=G$4),0),$E173-1973)</f>
        <v>401314</v>
      </c>
      <c r="H173" cm="1">
        <f t="array" ref="H173">INDEX('GMW - Baseline'!$A$2:$MC$200,MATCH(1,('GMW - Baseline'!$MC$2:$MC$200=H$3)*('GMW - Baseline'!$MB$2:$MB$200=H$4),0),$E173-1973)</f>
        <v>111.9333</v>
      </c>
      <c r="I173" cm="1">
        <f t="array" ref="I173">INDEX('GMW - Baseline'!$A$2:$MC$200,MATCH(1,('GMW - Baseline'!$MC$2:$MC$200=I$3)*('GMW - Baseline'!$MB$2:$MB$200=I$4),0),$E173-1973)</f>
        <v>0.1</v>
      </c>
      <c r="J173" t="e" cm="1">
        <f t="array" ref="J173">INDEX('GMW - Baseline'!$A$2:$MC$200,MATCH(1,('GMW - Baseline'!$MC$2:$MC$200=J$3)*('GMW - Baseline'!$MB$2:$MB$200=J$4),0),$E173-1973)</f>
        <v>#N/A</v>
      </c>
      <c r="K173" t="e" cm="1">
        <f t="array" ref="K173">INDEX('GMW - Baseline'!$A$2:$MC$200,MATCH(1,('GMW - Baseline'!$MC$2:$MC$200=K$3)*('GMW - Baseline'!$MB$2:$MB$200=K$4),0),$E173-1973)</f>
        <v>#N/A</v>
      </c>
      <c r="L173" t="e" cm="1">
        <f t="array" ref="L173">INDEX('GMW - Baseline'!$A$2:$MC$200,MATCH(1,('GMW - Baseline'!$MC$2:$MC$200=L$3)*('GMW - Baseline'!$MB$2:$MB$200=L$4),0),$E173-1973)</f>
        <v>#N/A</v>
      </c>
      <c r="M173" t="e" cm="1">
        <f t="array" ref="M173">INDEX('GMW - Baseline'!$A$2:$MC$200,MATCH(1,('GMW - Baseline'!$MC$2:$MC$200=M$3)*('GMW - Baseline'!$MB$2:$MB$200=M$4),0),$E173-1973)</f>
        <v>#N/A</v>
      </c>
      <c r="N173" t="e" cm="1">
        <f t="array" ref="N173">INDEX('GMW - Baseline'!$A$2:$MC$200,MATCH(1,('GMW - Baseline'!$MC$2:$MC$200=N$3)*('GMW - Baseline'!$MB$2:$MB$200=N$4),0),$E173-1973)</f>
        <v>#N/A</v>
      </c>
      <c r="O173" t="e" cm="1">
        <f t="array" ref="O173">INDEX('GMW - Baseline'!$A$2:$MC$200,MATCH(1,('GMW - Baseline'!$MC$2:$MC$200=O$3)*('GMW - Baseline'!$MB$2:$MB$200=O$4),0),$E173-1973)</f>
        <v>#N/A</v>
      </c>
      <c r="P173" t="e" cm="1">
        <f t="array" ref="P173">INDEX('GMW - Baseline'!$A$2:$MC$200,MATCH(1,('GMW - Baseline'!$MC$2:$MC$200=P$3)*('GMW - Baseline'!$MB$2:$MB$200=P$4),0),$E173-1973)</f>
        <v>#N/A</v>
      </c>
      <c r="Q173" t="e" cm="1">
        <f t="array" ref="Q173">INDEX('GMW - Baseline'!$A$2:$MC$200,MATCH(1,('GMW - Baseline'!$MC$2:$MC$200=Q$3)*('GMW - Baseline'!$MB$2:$MB$200=Q$4),0),$E173-1973)</f>
        <v>#N/A</v>
      </c>
      <c r="R173" t="e" cm="1">
        <f t="array" ref="R173">INDEX('GMW - Baseline'!$A$2:$MC$200,MATCH(1,('GMW - Baseline'!$MC$2:$MC$200=R$3)*('GMW - Baseline'!$MB$2:$MB$200=R$4),0),$E173-1973)</f>
        <v>#N/A</v>
      </c>
      <c r="S173" t="e" cm="1">
        <f t="array" ref="S173">INDEX('GMW - Baseline'!$A$2:$MC$200,MATCH(1,('GMW - Baseline'!$MC$2:$MC$200=S$3)*('GMW - Baseline'!$MB$2:$MB$200=S$4),0),$E173-1973)</f>
        <v>#N/A</v>
      </c>
      <c r="T173" t="e" cm="1">
        <f t="array" ref="T173">INDEX('GMW - Baseline'!$A$2:$MC$200,MATCH(1,('GMW - Baseline'!$MC$2:$MC$200=T$3)*('GMW - Baseline'!$MB$2:$MB$200=T$4),0),$E173-1973)</f>
        <v>#N/A</v>
      </c>
    </row>
    <row r="174" spans="1:20" x14ac:dyDescent="0.25">
      <c r="B174">
        <f t="shared" si="14"/>
        <v>2021</v>
      </c>
      <c r="C174">
        <f t="shared" si="14"/>
        <v>2021</v>
      </c>
      <c r="E174">
        <f t="shared" si="11"/>
        <v>2147</v>
      </c>
      <c r="F174" cm="1">
        <f t="array" ref="F174">INDEX('GMW - Baseline'!$A$2:$MC$200,MATCH(1,('GMW - Baseline'!$MC$2:$MC$200=F$3)*('GMW - Baseline'!$MB$2:$MB$200=F$4),0),$E174-1973)</f>
        <v>675680</v>
      </c>
      <c r="G174" cm="1">
        <f t="array" ref="G174">INDEX('GMW - Baseline'!$A$2:$MC$200,MATCH(1,('GMW - Baseline'!$MC$2:$MC$200=G$3)*('GMW - Baseline'!$MB$2:$MB$200=G$4),0),$E174-1973)</f>
        <v>402019</v>
      </c>
      <c r="H174" cm="1">
        <f t="array" ref="H174">INDEX('GMW - Baseline'!$A$2:$MC$200,MATCH(1,('GMW - Baseline'!$MC$2:$MC$200=H$3)*('GMW - Baseline'!$MB$2:$MB$200=H$4),0),$E174-1973)</f>
        <v>114.4</v>
      </c>
      <c r="I174" cm="1">
        <f t="array" ref="I174">INDEX('GMW - Baseline'!$A$2:$MC$200,MATCH(1,('GMW - Baseline'!$MC$2:$MC$200=I$3)*('GMW - Baseline'!$MB$2:$MB$200=I$4),0),$E174-1973)</f>
        <v>0.12727269999999999</v>
      </c>
      <c r="J174" t="e" cm="1">
        <f t="array" ref="J174">INDEX('GMW - Baseline'!$A$2:$MC$200,MATCH(1,('GMW - Baseline'!$MC$2:$MC$200=J$3)*('GMW - Baseline'!$MB$2:$MB$200=J$4),0),$E174-1973)</f>
        <v>#N/A</v>
      </c>
      <c r="K174" t="e" cm="1">
        <f t="array" ref="K174">INDEX('GMW - Baseline'!$A$2:$MC$200,MATCH(1,('GMW - Baseline'!$MC$2:$MC$200=K$3)*('GMW - Baseline'!$MB$2:$MB$200=K$4),0),$E174-1973)</f>
        <v>#N/A</v>
      </c>
      <c r="L174" t="e" cm="1">
        <f t="array" ref="L174">INDEX('GMW - Baseline'!$A$2:$MC$200,MATCH(1,('GMW - Baseline'!$MC$2:$MC$200=L$3)*('GMW - Baseline'!$MB$2:$MB$200=L$4),0),$E174-1973)</f>
        <v>#N/A</v>
      </c>
      <c r="M174" t="e" cm="1">
        <f t="array" ref="M174">INDEX('GMW - Baseline'!$A$2:$MC$200,MATCH(1,('GMW - Baseline'!$MC$2:$MC$200=M$3)*('GMW - Baseline'!$MB$2:$MB$200=M$4),0),$E174-1973)</f>
        <v>#N/A</v>
      </c>
      <c r="N174" t="e" cm="1">
        <f t="array" ref="N174">INDEX('GMW - Baseline'!$A$2:$MC$200,MATCH(1,('GMW - Baseline'!$MC$2:$MC$200=N$3)*('GMW - Baseline'!$MB$2:$MB$200=N$4),0),$E174-1973)</f>
        <v>#N/A</v>
      </c>
      <c r="O174" t="e" cm="1">
        <f t="array" ref="O174">INDEX('GMW - Baseline'!$A$2:$MC$200,MATCH(1,('GMW - Baseline'!$MC$2:$MC$200=O$3)*('GMW - Baseline'!$MB$2:$MB$200=O$4),0),$E174-1973)</f>
        <v>#N/A</v>
      </c>
      <c r="P174" t="e" cm="1">
        <f t="array" ref="P174">INDEX('GMW - Baseline'!$A$2:$MC$200,MATCH(1,('GMW - Baseline'!$MC$2:$MC$200=P$3)*('GMW - Baseline'!$MB$2:$MB$200=P$4),0),$E174-1973)</f>
        <v>#N/A</v>
      </c>
      <c r="Q174" t="e" cm="1">
        <f t="array" ref="Q174">INDEX('GMW - Baseline'!$A$2:$MC$200,MATCH(1,('GMW - Baseline'!$MC$2:$MC$200=Q$3)*('GMW - Baseline'!$MB$2:$MB$200=Q$4),0),$E174-1973)</f>
        <v>#N/A</v>
      </c>
      <c r="R174" t="e" cm="1">
        <f t="array" ref="R174">INDEX('GMW - Baseline'!$A$2:$MC$200,MATCH(1,('GMW - Baseline'!$MC$2:$MC$200=R$3)*('GMW - Baseline'!$MB$2:$MB$200=R$4),0),$E174-1973)</f>
        <v>#N/A</v>
      </c>
      <c r="S174" t="e" cm="1">
        <f t="array" ref="S174">INDEX('GMW - Baseline'!$A$2:$MC$200,MATCH(1,('GMW - Baseline'!$MC$2:$MC$200=S$3)*('GMW - Baseline'!$MB$2:$MB$200=S$4),0),$E174-1973)</f>
        <v>#N/A</v>
      </c>
      <c r="T174" t="e" cm="1">
        <f t="array" ref="T174">INDEX('GMW - Baseline'!$A$2:$MC$200,MATCH(1,('GMW - Baseline'!$MC$2:$MC$200=T$3)*('GMW - Baseline'!$MB$2:$MB$200=T$4),0),$E174-1973)</f>
        <v>#N/A</v>
      </c>
    </row>
    <row r="175" spans="1:20" x14ac:dyDescent="0.25">
      <c r="A175">
        <v>2022</v>
      </c>
      <c r="B175">
        <f t="shared" si="14"/>
        <v>2022</v>
      </c>
      <c r="C175">
        <f t="shared" si="14"/>
        <v>2021</v>
      </c>
      <c r="D175">
        <f t="shared" si="14"/>
        <v>2021</v>
      </c>
      <c r="E175">
        <f t="shared" si="11"/>
        <v>2148</v>
      </c>
      <c r="F175" cm="1">
        <f t="array" ref="F175">INDEX('GMW - Baseline'!$A$2:$MC$200,MATCH(1,('GMW - Baseline'!$MC$2:$MC$200=F$3)*('GMW - Baseline'!$MB$2:$MB$200=F$4),0),$E175-1973)</f>
        <v>682527</v>
      </c>
      <c r="G175" cm="1">
        <f t="array" ref="G175">INDEX('GMW - Baseline'!$A$2:$MC$200,MATCH(1,('GMW - Baseline'!$MC$2:$MC$200=G$3)*('GMW - Baseline'!$MB$2:$MB$200=G$4),0),$E175-1973)</f>
        <v>407981</v>
      </c>
      <c r="H175" cm="1">
        <f t="array" ref="H175">INDEX('GMW - Baseline'!$A$2:$MC$200,MATCH(1,('GMW - Baseline'!$MC$2:$MC$200=H$3)*('GMW - Baseline'!$MB$2:$MB$200=H$4),0),$E175-1973)</f>
        <v>115.9333</v>
      </c>
      <c r="I175" cm="1">
        <f t="array" ref="I175">INDEX('GMW - Baseline'!$A$2:$MC$200,MATCH(1,('GMW - Baseline'!$MC$2:$MC$200=I$3)*('GMW - Baseline'!$MB$2:$MB$200=I$4),0),$E175-1973)</f>
        <v>0.453125</v>
      </c>
      <c r="J175" t="e" cm="1">
        <f t="array" ref="J175">INDEX('GMW - Baseline'!$A$2:$MC$200,MATCH(1,('GMW - Baseline'!$MC$2:$MC$200=J$3)*('GMW - Baseline'!$MB$2:$MB$200=J$4),0),$E175-1973)</f>
        <v>#N/A</v>
      </c>
      <c r="K175" t="e" cm="1">
        <f t="array" ref="K175">INDEX('GMW - Baseline'!$A$2:$MC$200,MATCH(1,('GMW - Baseline'!$MC$2:$MC$200=K$3)*('GMW - Baseline'!$MB$2:$MB$200=K$4),0),$E175-1973)</f>
        <v>#N/A</v>
      </c>
      <c r="L175" t="e" cm="1">
        <f t="array" ref="L175">INDEX('GMW - Baseline'!$A$2:$MC$200,MATCH(1,('GMW - Baseline'!$MC$2:$MC$200=L$3)*('GMW - Baseline'!$MB$2:$MB$200=L$4),0),$E175-1973)</f>
        <v>#N/A</v>
      </c>
      <c r="M175" t="e" cm="1">
        <f t="array" ref="M175">INDEX('GMW - Baseline'!$A$2:$MC$200,MATCH(1,('GMW - Baseline'!$MC$2:$MC$200=M$3)*('GMW - Baseline'!$MB$2:$MB$200=M$4),0),$E175-1973)</f>
        <v>#N/A</v>
      </c>
      <c r="N175" t="e" cm="1">
        <f t="array" ref="N175">INDEX('GMW - Baseline'!$A$2:$MC$200,MATCH(1,('GMW - Baseline'!$MC$2:$MC$200=N$3)*('GMW - Baseline'!$MB$2:$MB$200=N$4),0),$E175-1973)</f>
        <v>#N/A</v>
      </c>
      <c r="O175" t="e" cm="1">
        <f t="array" ref="O175">INDEX('GMW - Baseline'!$A$2:$MC$200,MATCH(1,('GMW - Baseline'!$MC$2:$MC$200=O$3)*('GMW - Baseline'!$MB$2:$MB$200=O$4),0),$E175-1973)</f>
        <v>#N/A</v>
      </c>
      <c r="P175" t="e" cm="1">
        <f t="array" ref="P175">INDEX('GMW - Baseline'!$A$2:$MC$200,MATCH(1,('GMW - Baseline'!$MC$2:$MC$200=P$3)*('GMW - Baseline'!$MB$2:$MB$200=P$4),0),$E175-1973)</f>
        <v>#N/A</v>
      </c>
      <c r="Q175" t="e" cm="1">
        <f t="array" ref="Q175">INDEX('GMW - Baseline'!$A$2:$MC$200,MATCH(1,('GMW - Baseline'!$MC$2:$MC$200=Q$3)*('GMW - Baseline'!$MB$2:$MB$200=Q$4),0),$E175-1973)</f>
        <v>#N/A</v>
      </c>
      <c r="R175" t="e" cm="1">
        <f t="array" ref="R175">INDEX('GMW - Baseline'!$A$2:$MC$200,MATCH(1,('GMW - Baseline'!$MC$2:$MC$200=R$3)*('GMW - Baseline'!$MB$2:$MB$200=R$4),0),$E175-1973)</f>
        <v>#N/A</v>
      </c>
      <c r="S175" t="e" cm="1">
        <f t="array" ref="S175">INDEX('GMW - Baseline'!$A$2:$MC$200,MATCH(1,('GMW - Baseline'!$MC$2:$MC$200=S$3)*('GMW - Baseline'!$MB$2:$MB$200=S$4),0),$E175-1973)</f>
        <v>#N/A</v>
      </c>
      <c r="T175" t="e" cm="1">
        <f t="array" ref="T175">INDEX('GMW - Baseline'!$A$2:$MC$200,MATCH(1,('GMW - Baseline'!$MC$2:$MC$200=T$3)*('GMW - Baseline'!$MB$2:$MB$200=T$4),0),$E175-1973)</f>
        <v>#N/A</v>
      </c>
    </row>
    <row r="176" spans="1:20" x14ac:dyDescent="0.25">
      <c r="B176">
        <f t="shared" si="14"/>
        <v>2022</v>
      </c>
      <c r="C176">
        <f t="shared" si="14"/>
        <v>2022</v>
      </c>
      <c r="E176">
        <f t="shared" si="11"/>
        <v>2149</v>
      </c>
      <c r="F176" cm="1">
        <f t="array" ref="F176">INDEX('GMW - Baseline'!$A$2:$MC$200,MATCH(1,('GMW - Baseline'!$MC$2:$MC$200=F$3)*('GMW - Baseline'!$MB$2:$MB$200=F$4),0),$E176-1973)</f>
        <v>686335</v>
      </c>
      <c r="G176" cm="1">
        <f t="array" ref="G176">INDEX('GMW - Baseline'!$A$2:$MC$200,MATCH(1,('GMW - Baseline'!$MC$2:$MC$200=G$3)*('GMW - Baseline'!$MB$2:$MB$200=G$4),0),$E176-1973)</f>
        <v>415833</v>
      </c>
      <c r="H176" cm="1">
        <f t="array" ref="H176">INDEX('GMW - Baseline'!$A$2:$MC$200,MATCH(1,('GMW - Baseline'!$MC$2:$MC$200=H$3)*('GMW - Baseline'!$MB$2:$MB$200=H$4),0),$E176-1973)</f>
        <v>120.86669999999999</v>
      </c>
      <c r="I176" cm="1">
        <f t="array" ref="I176">INDEX('GMW - Baseline'!$A$2:$MC$200,MATCH(1,('GMW - Baseline'!$MC$2:$MC$200=I$3)*('GMW - Baseline'!$MB$2:$MB$200=I$4),0),$E176-1973)</f>
        <v>0.95</v>
      </c>
      <c r="J176" t="e" cm="1">
        <f t="array" ref="J176">INDEX('GMW - Baseline'!$A$2:$MC$200,MATCH(1,('GMW - Baseline'!$MC$2:$MC$200=J$3)*('GMW - Baseline'!$MB$2:$MB$200=J$4),0),$E176-1973)</f>
        <v>#N/A</v>
      </c>
      <c r="K176" t="e" cm="1">
        <f t="array" ref="K176">INDEX('GMW - Baseline'!$A$2:$MC$200,MATCH(1,('GMW - Baseline'!$MC$2:$MC$200=K$3)*('GMW - Baseline'!$MB$2:$MB$200=K$4),0),$E176-1973)</f>
        <v>#N/A</v>
      </c>
      <c r="L176" t="e" cm="1">
        <f t="array" ref="L176">INDEX('GMW - Baseline'!$A$2:$MC$200,MATCH(1,('GMW - Baseline'!$MC$2:$MC$200=L$3)*('GMW - Baseline'!$MB$2:$MB$200=L$4),0),$E176-1973)</f>
        <v>#N/A</v>
      </c>
      <c r="M176" t="e" cm="1">
        <f t="array" ref="M176">INDEX('GMW - Baseline'!$A$2:$MC$200,MATCH(1,('GMW - Baseline'!$MC$2:$MC$200=M$3)*('GMW - Baseline'!$MB$2:$MB$200=M$4),0),$E176-1973)</f>
        <v>#N/A</v>
      </c>
      <c r="N176" t="e" cm="1">
        <f t="array" ref="N176">INDEX('GMW - Baseline'!$A$2:$MC$200,MATCH(1,('GMW - Baseline'!$MC$2:$MC$200=N$3)*('GMW - Baseline'!$MB$2:$MB$200=N$4),0),$E176-1973)</f>
        <v>#N/A</v>
      </c>
      <c r="O176" t="e" cm="1">
        <f t="array" ref="O176">INDEX('GMW - Baseline'!$A$2:$MC$200,MATCH(1,('GMW - Baseline'!$MC$2:$MC$200=O$3)*('GMW - Baseline'!$MB$2:$MB$200=O$4),0),$E176-1973)</f>
        <v>#N/A</v>
      </c>
      <c r="P176" t="e" cm="1">
        <f t="array" ref="P176">INDEX('GMW - Baseline'!$A$2:$MC$200,MATCH(1,('GMW - Baseline'!$MC$2:$MC$200=P$3)*('GMW - Baseline'!$MB$2:$MB$200=P$4),0),$E176-1973)</f>
        <v>#N/A</v>
      </c>
      <c r="Q176" t="e" cm="1">
        <f t="array" ref="Q176">INDEX('GMW - Baseline'!$A$2:$MC$200,MATCH(1,('GMW - Baseline'!$MC$2:$MC$200=Q$3)*('GMW - Baseline'!$MB$2:$MB$200=Q$4),0),$E176-1973)</f>
        <v>#N/A</v>
      </c>
      <c r="R176" t="e" cm="1">
        <f t="array" ref="R176">INDEX('GMW - Baseline'!$A$2:$MC$200,MATCH(1,('GMW - Baseline'!$MC$2:$MC$200=R$3)*('GMW - Baseline'!$MB$2:$MB$200=R$4),0),$E176-1973)</f>
        <v>#N/A</v>
      </c>
      <c r="S176" t="e" cm="1">
        <f t="array" ref="S176">INDEX('GMW - Baseline'!$A$2:$MC$200,MATCH(1,('GMW - Baseline'!$MC$2:$MC$200=S$3)*('GMW - Baseline'!$MB$2:$MB$200=S$4),0),$E176-1973)</f>
        <v>#N/A</v>
      </c>
      <c r="T176" t="e" cm="1">
        <f t="array" ref="T176">INDEX('GMW - Baseline'!$A$2:$MC$200,MATCH(1,('GMW - Baseline'!$MC$2:$MC$200=T$3)*('GMW - Baseline'!$MB$2:$MB$200=T$4),0),$E176-1973)</f>
        <v>#N/A</v>
      </c>
    </row>
    <row r="177" spans="1:20" x14ac:dyDescent="0.25">
      <c r="B177">
        <f t="shared" si="14"/>
        <v>2022</v>
      </c>
      <c r="C177">
        <f t="shared" si="14"/>
        <v>2022</v>
      </c>
      <c r="E177">
        <f t="shared" si="11"/>
        <v>2150</v>
      </c>
      <c r="F177" cm="1">
        <f t="array" ref="F177">INDEX('GMW - Baseline'!$A$2:$MC$200,MATCH(1,('GMW - Baseline'!$MC$2:$MC$200=F$3)*('GMW - Baseline'!$MB$2:$MB$200=F$4),0),$E177-1973)</f>
        <v>687029</v>
      </c>
      <c r="G177" cm="1">
        <f t="array" ref="G177">INDEX('GMW - Baseline'!$A$2:$MC$200,MATCH(1,('GMW - Baseline'!$MC$2:$MC$200=G$3)*('GMW - Baseline'!$MB$2:$MB$200=G$4),0),$E177-1973)</f>
        <v>416076</v>
      </c>
      <c r="H177" cm="1">
        <f t="array" ref="H177">INDEX('GMW - Baseline'!$A$2:$MC$200,MATCH(1,('GMW - Baseline'!$MC$2:$MC$200=H$3)*('GMW - Baseline'!$MB$2:$MB$200=H$4),0),$E177-1973)</f>
        <v>123.13330000000001</v>
      </c>
      <c r="I177" cm="1">
        <f t="array" ref="I177">INDEX('GMW - Baseline'!$A$2:$MC$200,MATCH(1,('GMW - Baseline'!$MC$2:$MC$200=I$3)*('GMW - Baseline'!$MB$2:$MB$200=I$4),0),$E177-1973)</f>
        <v>1.6212120000000001</v>
      </c>
      <c r="J177" t="e" cm="1">
        <f t="array" ref="J177">INDEX('GMW - Baseline'!$A$2:$MC$200,MATCH(1,('GMW - Baseline'!$MC$2:$MC$200=J$3)*('GMW - Baseline'!$MB$2:$MB$200=J$4),0),$E177-1973)</f>
        <v>#N/A</v>
      </c>
      <c r="K177" t="e" cm="1">
        <f t="array" ref="K177">INDEX('GMW - Baseline'!$A$2:$MC$200,MATCH(1,('GMW - Baseline'!$MC$2:$MC$200=K$3)*('GMW - Baseline'!$MB$2:$MB$200=K$4),0),$E177-1973)</f>
        <v>#N/A</v>
      </c>
      <c r="L177" t="e" cm="1">
        <f t="array" ref="L177">INDEX('GMW - Baseline'!$A$2:$MC$200,MATCH(1,('GMW - Baseline'!$MC$2:$MC$200=L$3)*('GMW - Baseline'!$MB$2:$MB$200=L$4),0),$E177-1973)</f>
        <v>#N/A</v>
      </c>
      <c r="M177" t="e" cm="1">
        <f t="array" ref="M177">INDEX('GMW - Baseline'!$A$2:$MC$200,MATCH(1,('GMW - Baseline'!$MC$2:$MC$200=M$3)*('GMW - Baseline'!$MB$2:$MB$200=M$4),0),$E177-1973)</f>
        <v>#N/A</v>
      </c>
      <c r="N177" t="e" cm="1">
        <f t="array" ref="N177">INDEX('GMW - Baseline'!$A$2:$MC$200,MATCH(1,('GMW - Baseline'!$MC$2:$MC$200=N$3)*('GMW - Baseline'!$MB$2:$MB$200=N$4),0),$E177-1973)</f>
        <v>#N/A</v>
      </c>
      <c r="O177" t="e" cm="1">
        <f t="array" ref="O177">INDEX('GMW - Baseline'!$A$2:$MC$200,MATCH(1,('GMW - Baseline'!$MC$2:$MC$200=O$3)*('GMW - Baseline'!$MB$2:$MB$200=O$4),0),$E177-1973)</f>
        <v>#N/A</v>
      </c>
      <c r="P177" t="e" cm="1">
        <f t="array" ref="P177">INDEX('GMW - Baseline'!$A$2:$MC$200,MATCH(1,('GMW - Baseline'!$MC$2:$MC$200=P$3)*('GMW - Baseline'!$MB$2:$MB$200=P$4),0),$E177-1973)</f>
        <v>#N/A</v>
      </c>
      <c r="Q177" t="e" cm="1">
        <f t="array" ref="Q177">INDEX('GMW - Baseline'!$A$2:$MC$200,MATCH(1,('GMW - Baseline'!$MC$2:$MC$200=Q$3)*('GMW - Baseline'!$MB$2:$MB$200=Q$4),0),$E177-1973)</f>
        <v>#N/A</v>
      </c>
      <c r="R177" t="e" cm="1">
        <f t="array" ref="R177">INDEX('GMW - Baseline'!$A$2:$MC$200,MATCH(1,('GMW - Baseline'!$MC$2:$MC$200=R$3)*('GMW - Baseline'!$MB$2:$MB$200=R$4),0),$E177-1973)</f>
        <v>#N/A</v>
      </c>
      <c r="S177" t="e" cm="1">
        <f t="array" ref="S177">INDEX('GMW - Baseline'!$A$2:$MC$200,MATCH(1,('GMW - Baseline'!$MC$2:$MC$200=S$3)*('GMW - Baseline'!$MB$2:$MB$200=S$4),0),$E177-1973)</f>
        <v>#N/A</v>
      </c>
      <c r="T177" t="e" cm="1">
        <f t="array" ref="T177">INDEX('GMW - Baseline'!$A$2:$MC$200,MATCH(1,('GMW - Baseline'!$MC$2:$MC$200=T$3)*('GMW - Baseline'!$MB$2:$MB$200=T$4),0),$E177-1973)</f>
        <v>#N/A</v>
      </c>
    </row>
    <row r="178" spans="1:20" x14ac:dyDescent="0.25">
      <c r="B178">
        <f t="shared" si="14"/>
        <v>2022</v>
      </c>
      <c r="C178">
        <f t="shared" si="14"/>
        <v>2022</v>
      </c>
      <c r="E178">
        <f t="shared" si="11"/>
        <v>2151</v>
      </c>
      <c r="F178" cm="1">
        <f t="array" ref="F178">INDEX('GMW - Baseline'!$A$2:$MC$200,MATCH(1,('GMW - Baseline'!$MC$2:$MC$200=F$3)*('GMW - Baseline'!$MB$2:$MB$200=F$4),0),$E178-1973)</f>
        <v>688817</v>
      </c>
      <c r="G178" cm="1">
        <f t="array" ref="G178">INDEX('GMW - Baseline'!$A$2:$MC$200,MATCH(1,('GMW - Baseline'!$MC$2:$MC$200=G$3)*('GMW - Baseline'!$MB$2:$MB$200=G$4),0),$E178-1973)</f>
        <v>417728</v>
      </c>
      <c r="H178" cm="1">
        <f t="array" ref="H178">INDEX('GMW - Baseline'!$A$2:$MC$200,MATCH(1,('GMW - Baseline'!$MC$2:$MC$200=H$3)*('GMW - Baseline'!$MB$2:$MB$200=H$4),0),$E178-1973)</f>
        <v>126.7</v>
      </c>
      <c r="I178" cm="1">
        <f t="array" ref="I178">INDEX('GMW - Baseline'!$A$2:$MC$200,MATCH(1,('GMW - Baseline'!$MC$2:$MC$200=I$3)*('GMW - Baseline'!$MB$2:$MB$200=I$4),0),$E178-1973)</f>
        <v>2.8269229999999999</v>
      </c>
      <c r="J178" t="e" cm="1">
        <f t="array" ref="J178">INDEX('GMW - Baseline'!$A$2:$MC$200,MATCH(1,('GMW - Baseline'!$MC$2:$MC$200=J$3)*('GMW - Baseline'!$MB$2:$MB$200=J$4),0),$E178-1973)</f>
        <v>#N/A</v>
      </c>
      <c r="K178" t="e" cm="1">
        <f t="array" ref="K178">INDEX('GMW - Baseline'!$A$2:$MC$200,MATCH(1,('GMW - Baseline'!$MC$2:$MC$200=K$3)*('GMW - Baseline'!$MB$2:$MB$200=K$4),0),$E178-1973)</f>
        <v>#N/A</v>
      </c>
      <c r="L178" t="e" cm="1">
        <f t="array" ref="L178">INDEX('GMW - Baseline'!$A$2:$MC$200,MATCH(1,('GMW - Baseline'!$MC$2:$MC$200=L$3)*('GMW - Baseline'!$MB$2:$MB$200=L$4),0),$E178-1973)</f>
        <v>#N/A</v>
      </c>
      <c r="M178" t="e" cm="1">
        <f t="array" ref="M178">INDEX('GMW - Baseline'!$A$2:$MC$200,MATCH(1,('GMW - Baseline'!$MC$2:$MC$200=M$3)*('GMW - Baseline'!$MB$2:$MB$200=M$4),0),$E178-1973)</f>
        <v>#N/A</v>
      </c>
      <c r="N178" t="e" cm="1">
        <f t="array" ref="N178">INDEX('GMW - Baseline'!$A$2:$MC$200,MATCH(1,('GMW - Baseline'!$MC$2:$MC$200=N$3)*('GMW - Baseline'!$MB$2:$MB$200=N$4),0),$E178-1973)</f>
        <v>#N/A</v>
      </c>
      <c r="O178" t="e" cm="1">
        <f t="array" ref="O178">INDEX('GMW - Baseline'!$A$2:$MC$200,MATCH(1,('GMW - Baseline'!$MC$2:$MC$200=O$3)*('GMW - Baseline'!$MB$2:$MB$200=O$4),0),$E178-1973)</f>
        <v>#N/A</v>
      </c>
      <c r="P178" t="e" cm="1">
        <f t="array" ref="P178">INDEX('GMW - Baseline'!$A$2:$MC$200,MATCH(1,('GMW - Baseline'!$MC$2:$MC$200=P$3)*('GMW - Baseline'!$MB$2:$MB$200=P$4),0),$E178-1973)</f>
        <v>#N/A</v>
      </c>
      <c r="Q178" t="e" cm="1">
        <f t="array" ref="Q178">INDEX('GMW - Baseline'!$A$2:$MC$200,MATCH(1,('GMW - Baseline'!$MC$2:$MC$200=Q$3)*('GMW - Baseline'!$MB$2:$MB$200=Q$4),0),$E178-1973)</f>
        <v>#N/A</v>
      </c>
      <c r="R178" t="e" cm="1">
        <f t="array" ref="R178">INDEX('GMW - Baseline'!$A$2:$MC$200,MATCH(1,('GMW - Baseline'!$MC$2:$MC$200=R$3)*('GMW - Baseline'!$MB$2:$MB$200=R$4),0),$E178-1973)</f>
        <v>#N/A</v>
      </c>
      <c r="S178" t="e" cm="1">
        <f t="array" ref="S178">INDEX('GMW - Baseline'!$A$2:$MC$200,MATCH(1,('GMW - Baseline'!$MC$2:$MC$200=S$3)*('GMW - Baseline'!$MB$2:$MB$200=S$4),0),$E178-1973)</f>
        <v>#N/A</v>
      </c>
      <c r="T178" t="e" cm="1">
        <f t="array" ref="T178">INDEX('GMW - Baseline'!$A$2:$MC$200,MATCH(1,('GMW - Baseline'!$MC$2:$MC$200=T$3)*('GMW - Baseline'!$MB$2:$MB$200=T$4),0),$E178-1973)</f>
        <v>#N/A</v>
      </c>
    </row>
    <row r="179" spans="1:20" x14ac:dyDescent="0.25">
      <c r="A179">
        <v>2023</v>
      </c>
      <c r="B179">
        <f t="shared" si="14"/>
        <v>2023</v>
      </c>
      <c r="C179">
        <f t="shared" si="14"/>
        <v>2022</v>
      </c>
      <c r="D179">
        <f t="shared" si="14"/>
        <v>2022</v>
      </c>
      <c r="E179">
        <f t="shared" si="11"/>
        <v>2152</v>
      </c>
      <c r="F179" cm="1">
        <f t="array" ref="F179">INDEX('GMW - Baseline'!$A$2:$MC$200,MATCH(1,('GMW - Baseline'!$MC$2:$MC$200=F$3)*('GMW - Baseline'!$MB$2:$MB$200=F$4),0),$E179-1973)</f>
        <v>689206</v>
      </c>
      <c r="G179" cm="1">
        <f t="array" ref="G179">INDEX('GMW - Baseline'!$A$2:$MC$200,MATCH(1,('GMW - Baseline'!$MC$2:$MC$200=G$3)*('GMW - Baseline'!$MB$2:$MB$200=G$4),0),$E179-1973)</f>
        <v>415180</v>
      </c>
      <c r="H179" cm="1">
        <f t="array" ref="H179">INDEX('GMW - Baseline'!$A$2:$MC$200,MATCH(1,('GMW - Baseline'!$MC$2:$MC$200=H$3)*('GMW - Baseline'!$MB$2:$MB$200=H$4),0),$E179-1973)</f>
        <v>127.7333</v>
      </c>
      <c r="I179" cm="1">
        <f t="array" ref="I179">INDEX('GMW - Baseline'!$A$2:$MC$200,MATCH(1,('GMW - Baseline'!$MC$2:$MC$200=I$3)*('GMW - Baseline'!$MB$2:$MB$200=I$4),0),$E179-1973)</f>
        <v>3.85</v>
      </c>
      <c r="J179" t="e" cm="1">
        <f t="array" ref="J179">INDEX('GMW - Baseline'!$A$2:$MC$200,MATCH(1,('GMW - Baseline'!$MC$2:$MC$200=J$3)*('GMW - Baseline'!$MB$2:$MB$200=J$4),0),$E179-1973)</f>
        <v>#N/A</v>
      </c>
      <c r="K179" t="e" cm="1">
        <f t="array" ref="K179">INDEX('GMW - Baseline'!$A$2:$MC$200,MATCH(1,('GMW - Baseline'!$MC$2:$MC$200=K$3)*('GMW - Baseline'!$MB$2:$MB$200=K$4),0),$E179-1973)</f>
        <v>#N/A</v>
      </c>
      <c r="L179" t="e" cm="1">
        <f t="array" ref="L179">INDEX('GMW - Baseline'!$A$2:$MC$200,MATCH(1,('GMW - Baseline'!$MC$2:$MC$200=L$3)*('GMW - Baseline'!$MB$2:$MB$200=L$4),0),$E179-1973)</f>
        <v>#N/A</v>
      </c>
      <c r="M179" t="e" cm="1">
        <f t="array" ref="M179">INDEX('GMW - Baseline'!$A$2:$MC$200,MATCH(1,('GMW - Baseline'!$MC$2:$MC$200=M$3)*('GMW - Baseline'!$MB$2:$MB$200=M$4),0),$E179-1973)</f>
        <v>#N/A</v>
      </c>
      <c r="N179" t="e" cm="1">
        <f t="array" ref="N179">INDEX('GMW - Baseline'!$A$2:$MC$200,MATCH(1,('GMW - Baseline'!$MC$2:$MC$200=N$3)*('GMW - Baseline'!$MB$2:$MB$200=N$4),0),$E179-1973)</f>
        <v>#N/A</v>
      </c>
      <c r="O179" t="e" cm="1">
        <f t="array" ref="O179">INDEX('GMW - Baseline'!$A$2:$MC$200,MATCH(1,('GMW - Baseline'!$MC$2:$MC$200=O$3)*('GMW - Baseline'!$MB$2:$MB$200=O$4),0),$E179-1973)</f>
        <v>#N/A</v>
      </c>
      <c r="P179" t="e" cm="1">
        <f t="array" ref="P179">INDEX('GMW - Baseline'!$A$2:$MC$200,MATCH(1,('GMW - Baseline'!$MC$2:$MC$200=P$3)*('GMW - Baseline'!$MB$2:$MB$200=P$4),0),$E179-1973)</f>
        <v>#N/A</v>
      </c>
      <c r="Q179" t="e" cm="1">
        <f t="array" ref="Q179">INDEX('GMW - Baseline'!$A$2:$MC$200,MATCH(1,('GMW - Baseline'!$MC$2:$MC$200=Q$3)*('GMW - Baseline'!$MB$2:$MB$200=Q$4),0),$E179-1973)</f>
        <v>#N/A</v>
      </c>
      <c r="R179" t="e" cm="1">
        <f t="array" ref="R179">INDEX('GMW - Baseline'!$A$2:$MC$200,MATCH(1,('GMW - Baseline'!$MC$2:$MC$200=R$3)*('GMW - Baseline'!$MB$2:$MB$200=R$4),0),$E179-1973)</f>
        <v>#N/A</v>
      </c>
      <c r="S179" t="e" cm="1">
        <f t="array" ref="S179">INDEX('GMW - Baseline'!$A$2:$MC$200,MATCH(1,('GMW - Baseline'!$MC$2:$MC$200=S$3)*('GMW - Baseline'!$MB$2:$MB$200=S$4),0),$E179-1973)</f>
        <v>#N/A</v>
      </c>
      <c r="T179" t="e" cm="1">
        <f t="array" ref="T179">INDEX('GMW - Baseline'!$A$2:$MC$200,MATCH(1,('GMW - Baseline'!$MC$2:$MC$200=T$3)*('GMW - Baseline'!$MB$2:$MB$200=T$4),0),$E179-1973)</f>
        <v>#N/A</v>
      </c>
    </row>
    <row r="180" spans="1:20" x14ac:dyDescent="0.25">
      <c r="B180">
        <f t="shared" si="14"/>
        <v>2023</v>
      </c>
      <c r="C180">
        <f t="shared" si="14"/>
        <v>2023</v>
      </c>
      <c r="E180">
        <f t="shared" si="11"/>
        <v>2153</v>
      </c>
      <c r="F180" cm="1">
        <f t="array" ref="F180">INDEX('GMW - Baseline'!$A$2:$MC$200,MATCH(1,('GMW - Baseline'!$MC$2:$MC$200=F$3)*('GMW - Baseline'!$MB$2:$MB$200=F$4),0),$E180-1973)</f>
        <v>689491</v>
      </c>
      <c r="G180" cm="1">
        <f t="array" ref="G180">INDEX('GMW - Baseline'!$A$2:$MC$200,MATCH(1,('GMW - Baseline'!$MC$2:$MC$200=G$3)*('GMW - Baseline'!$MB$2:$MB$200=G$4),0),$E180-1973)</f>
        <v>416034</v>
      </c>
      <c r="H180" cm="1">
        <f t="array" ref="H180">INDEX('GMW - Baseline'!$A$2:$MC$200,MATCH(1,('GMW - Baseline'!$MC$2:$MC$200=H$3)*('GMW - Baseline'!$MB$2:$MB$200=H$4),0),$E180-1973)</f>
        <v>131.0667</v>
      </c>
      <c r="I180" cm="1">
        <f t="array" ref="I180">INDEX('GMW - Baseline'!$A$2:$MC$200,MATCH(1,('GMW - Baseline'!$MC$2:$MC$200=I$3)*('GMW - Baseline'!$MB$2:$MB$200=I$4),0),$E180-1973)</f>
        <v>4.4461539999999999</v>
      </c>
      <c r="J180" t="e" cm="1">
        <f t="array" ref="J180">INDEX('GMW - Baseline'!$A$2:$MC$200,MATCH(1,('GMW - Baseline'!$MC$2:$MC$200=J$3)*('GMW - Baseline'!$MB$2:$MB$200=J$4),0),$E180-1973)</f>
        <v>#N/A</v>
      </c>
      <c r="K180" t="e" cm="1">
        <f t="array" ref="K180">INDEX('GMW - Baseline'!$A$2:$MC$200,MATCH(1,('GMW - Baseline'!$MC$2:$MC$200=K$3)*('GMW - Baseline'!$MB$2:$MB$200=K$4),0),$E180-1973)</f>
        <v>#N/A</v>
      </c>
      <c r="L180" t="e" cm="1">
        <f t="array" ref="L180">INDEX('GMW - Baseline'!$A$2:$MC$200,MATCH(1,('GMW - Baseline'!$MC$2:$MC$200=L$3)*('GMW - Baseline'!$MB$2:$MB$200=L$4),0),$E180-1973)</f>
        <v>#N/A</v>
      </c>
      <c r="M180" t="e" cm="1">
        <f t="array" ref="M180">INDEX('GMW - Baseline'!$A$2:$MC$200,MATCH(1,('GMW - Baseline'!$MC$2:$MC$200=M$3)*('GMW - Baseline'!$MB$2:$MB$200=M$4),0),$E180-1973)</f>
        <v>#N/A</v>
      </c>
      <c r="N180" t="e" cm="1">
        <f t="array" ref="N180">INDEX('GMW - Baseline'!$A$2:$MC$200,MATCH(1,('GMW - Baseline'!$MC$2:$MC$200=N$3)*('GMW - Baseline'!$MB$2:$MB$200=N$4),0),$E180-1973)</f>
        <v>#N/A</v>
      </c>
      <c r="O180" t="e" cm="1">
        <f t="array" ref="O180">INDEX('GMW - Baseline'!$A$2:$MC$200,MATCH(1,('GMW - Baseline'!$MC$2:$MC$200=O$3)*('GMW - Baseline'!$MB$2:$MB$200=O$4),0),$E180-1973)</f>
        <v>#N/A</v>
      </c>
      <c r="P180" t="e" cm="1">
        <f t="array" ref="P180">INDEX('GMW - Baseline'!$A$2:$MC$200,MATCH(1,('GMW - Baseline'!$MC$2:$MC$200=P$3)*('GMW - Baseline'!$MB$2:$MB$200=P$4),0),$E180-1973)</f>
        <v>#N/A</v>
      </c>
      <c r="Q180" t="e" cm="1">
        <f t="array" ref="Q180">INDEX('GMW - Baseline'!$A$2:$MC$200,MATCH(1,('GMW - Baseline'!$MC$2:$MC$200=Q$3)*('GMW - Baseline'!$MB$2:$MB$200=Q$4),0),$E180-1973)</f>
        <v>#N/A</v>
      </c>
      <c r="R180" t="e" cm="1">
        <f t="array" ref="R180">INDEX('GMW - Baseline'!$A$2:$MC$200,MATCH(1,('GMW - Baseline'!$MC$2:$MC$200=R$3)*('GMW - Baseline'!$MB$2:$MB$200=R$4),0),$E180-1973)</f>
        <v>#N/A</v>
      </c>
      <c r="S180" t="e" cm="1">
        <f t="array" ref="S180">INDEX('GMW - Baseline'!$A$2:$MC$200,MATCH(1,('GMW - Baseline'!$MC$2:$MC$200=S$3)*('GMW - Baseline'!$MB$2:$MB$200=S$4),0),$E180-1973)</f>
        <v>#N/A</v>
      </c>
      <c r="T180" t="e" cm="1">
        <f t="array" ref="T180">INDEX('GMW - Baseline'!$A$2:$MC$200,MATCH(1,('GMW - Baseline'!$MC$2:$MC$200=T$3)*('GMW - Baseline'!$MB$2:$MB$200=T$4),0),$E180-1973)</f>
        <v>#N/A</v>
      </c>
    </row>
    <row r="181" spans="1:20" x14ac:dyDescent="0.25">
      <c r="B181">
        <f t="shared" si="14"/>
        <v>2023</v>
      </c>
      <c r="C181">
        <f t="shared" si="14"/>
        <v>2023</v>
      </c>
      <c r="E181">
        <f t="shared" si="11"/>
        <v>2154</v>
      </c>
      <c r="F181" cm="1">
        <f t="array" ref="F181">INDEX('GMW - Baseline'!$A$2:$MC$200,MATCH(1,('GMW - Baseline'!$MC$2:$MC$200=F$3)*('GMW - Baseline'!$MB$2:$MB$200=F$4),0),$E181-1973)</f>
        <v>687839</v>
      </c>
      <c r="G181" cm="1">
        <f t="array" ref="G181">INDEX('GMW - Baseline'!$A$2:$MC$200,MATCH(1,('GMW - Baseline'!$MC$2:$MC$200=G$3)*('GMW - Baseline'!$MB$2:$MB$200=G$4),0),$E181-1973)</f>
        <v>410873</v>
      </c>
      <c r="H181" cm="1">
        <f t="array" ref="H181">INDEX('GMW - Baseline'!$A$2:$MC$200,MATCH(1,('GMW - Baseline'!$MC$2:$MC$200=H$3)*('GMW - Baseline'!$MB$2:$MB$200=H$4),0),$E181-1973)</f>
        <v>131.4</v>
      </c>
      <c r="I181" cm="1">
        <f t="array" ref="I181">INDEX('GMW - Baseline'!$A$2:$MC$200,MATCH(1,('GMW - Baseline'!$MC$2:$MC$200=I$3)*('GMW - Baseline'!$MB$2:$MB$200=I$4),0),$E181-1973)</f>
        <v>5.1615390000000003</v>
      </c>
      <c r="J181" t="e" cm="1">
        <f t="array" ref="J181">INDEX('GMW - Baseline'!$A$2:$MC$200,MATCH(1,('GMW - Baseline'!$MC$2:$MC$200=J$3)*('GMW - Baseline'!$MB$2:$MB$200=J$4),0),$E181-1973)</f>
        <v>#N/A</v>
      </c>
      <c r="K181" t="e" cm="1">
        <f t="array" ref="K181">INDEX('GMW - Baseline'!$A$2:$MC$200,MATCH(1,('GMW - Baseline'!$MC$2:$MC$200=K$3)*('GMW - Baseline'!$MB$2:$MB$200=K$4),0),$E181-1973)</f>
        <v>#N/A</v>
      </c>
      <c r="L181" t="e" cm="1">
        <f t="array" ref="L181">INDEX('GMW - Baseline'!$A$2:$MC$200,MATCH(1,('GMW - Baseline'!$MC$2:$MC$200=L$3)*('GMW - Baseline'!$MB$2:$MB$200=L$4),0),$E181-1973)</f>
        <v>#N/A</v>
      </c>
      <c r="M181" t="e" cm="1">
        <f t="array" ref="M181">INDEX('GMW - Baseline'!$A$2:$MC$200,MATCH(1,('GMW - Baseline'!$MC$2:$MC$200=M$3)*('GMW - Baseline'!$MB$2:$MB$200=M$4),0),$E181-1973)</f>
        <v>#N/A</v>
      </c>
      <c r="N181" t="e" cm="1">
        <f t="array" ref="N181">INDEX('GMW - Baseline'!$A$2:$MC$200,MATCH(1,('GMW - Baseline'!$MC$2:$MC$200=N$3)*('GMW - Baseline'!$MB$2:$MB$200=N$4),0),$E181-1973)</f>
        <v>#N/A</v>
      </c>
      <c r="O181" t="e" cm="1">
        <f t="array" ref="O181">INDEX('GMW - Baseline'!$A$2:$MC$200,MATCH(1,('GMW - Baseline'!$MC$2:$MC$200=O$3)*('GMW - Baseline'!$MB$2:$MB$200=O$4),0),$E181-1973)</f>
        <v>#N/A</v>
      </c>
      <c r="P181" t="e" cm="1">
        <f t="array" ref="P181">INDEX('GMW - Baseline'!$A$2:$MC$200,MATCH(1,('GMW - Baseline'!$MC$2:$MC$200=P$3)*('GMW - Baseline'!$MB$2:$MB$200=P$4),0),$E181-1973)</f>
        <v>#N/A</v>
      </c>
      <c r="Q181" t="e" cm="1">
        <f t="array" ref="Q181">INDEX('GMW - Baseline'!$A$2:$MC$200,MATCH(1,('GMW - Baseline'!$MC$2:$MC$200=Q$3)*('GMW - Baseline'!$MB$2:$MB$200=Q$4),0),$E181-1973)</f>
        <v>#N/A</v>
      </c>
      <c r="R181" t="e" cm="1">
        <f t="array" ref="R181">INDEX('GMW - Baseline'!$A$2:$MC$200,MATCH(1,('GMW - Baseline'!$MC$2:$MC$200=R$3)*('GMW - Baseline'!$MB$2:$MB$200=R$4),0),$E181-1973)</f>
        <v>#N/A</v>
      </c>
      <c r="S181" t="e" cm="1">
        <f t="array" ref="S181">INDEX('GMW - Baseline'!$A$2:$MC$200,MATCH(1,('GMW - Baseline'!$MC$2:$MC$200=S$3)*('GMW - Baseline'!$MB$2:$MB$200=S$4),0),$E181-1973)</f>
        <v>#N/A</v>
      </c>
      <c r="T181" t="e" cm="1">
        <f t="array" ref="T181">INDEX('GMW - Baseline'!$A$2:$MC$200,MATCH(1,('GMW - Baseline'!$MC$2:$MC$200=T$3)*('GMW - Baseline'!$MB$2:$MB$200=T$4),0),$E181-1973)</f>
        <v>#N/A</v>
      </c>
    </row>
    <row r="182" spans="1:20" x14ac:dyDescent="0.25">
      <c r="B182">
        <f t="shared" si="14"/>
        <v>2023</v>
      </c>
      <c r="C182">
        <f t="shared" si="14"/>
        <v>2023</v>
      </c>
      <c r="E182">
        <f t="shared" si="11"/>
        <v>2155</v>
      </c>
      <c r="F182" cm="1">
        <f t="array" ref="F182">INDEX('GMW - Baseline'!$A$2:$MC$200,MATCH(1,('GMW - Baseline'!$MC$2:$MC$200=F$3)*('GMW - Baseline'!$MB$2:$MB$200=F$4),0),$E182-1973)</f>
        <v>685628</v>
      </c>
      <c r="G182" cm="1">
        <f t="array" ref="G182">INDEX('GMW - Baseline'!$A$2:$MC$200,MATCH(1,('GMW - Baseline'!$MC$2:$MC$200=G$3)*('GMW - Baseline'!$MB$2:$MB$200=G$4),0),$E182-1973)</f>
        <v>410194</v>
      </c>
      <c r="H182" cm="1">
        <f t="array" ref="H182">INDEX('GMW - Baseline'!$A$2:$MC$200,MATCH(1,('GMW - Baseline'!$MC$2:$MC$200=H$3)*('GMW - Baseline'!$MB$2:$MB$200=H$4),0),$E182-1973)</f>
        <v>131.9667</v>
      </c>
      <c r="I182" cm="1">
        <f t="array" ref="I182">INDEX('GMW - Baseline'!$A$2:$MC$200,MATCH(1,('GMW - Baseline'!$MC$2:$MC$200=I$3)*('GMW - Baseline'!$MB$2:$MB$200=I$4),0),$E182-1973)</f>
        <v>5.25</v>
      </c>
      <c r="J182" t="e" cm="1">
        <f t="array" ref="J182">INDEX('GMW - Baseline'!$A$2:$MC$200,MATCH(1,('GMW - Baseline'!$MC$2:$MC$200=J$3)*('GMW - Baseline'!$MB$2:$MB$200=J$4),0),$E182-1973)</f>
        <v>#N/A</v>
      </c>
      <c r="K182" t="e" cm="1">
        <f t="array" ref="K182">INDEX('GMW - Baseline'!$A$2:$MC$200,MATCH(1,('GMW - Baseline'!$MC$2:$MC$200=K$3)*('GMW - Baseline'!$MB$2:$MB$200=K$4),0),$E182-1973)</f>
        <v>#N/A</v>
      </c>
      <c r="L182" t="e" cm="1">
        <f t="array" ref="L182">INDEX('GMW - Baseline'!$A$2:$MC$200,MATCH(1,('GMW - Baseline'!$MC$2:$MC$200=L$3)*('GMW - Baseline'!$MB$2:$MB$200=L$4),0),$E182-1973)</f>
        <v>#N/A</v>
      </c>
      <c r="M182" t="e" cm="1">
        <f t="array" ref="M182">INDEX('GMW - Baseline'!$A$2:$MC$200,MATCH(1,('GMW - Baseline'!$MC$2:$MC$200=M$3)*('GMW - Baseline'!$MB$2:$MB$200=M$4),0),$E182-1973)</f>
        <v>#N/A</v>
      </c>
      <c r="N182" t="e" cm="1">
        <f t="array" ref="N182">INDEX('GMW - Baseline'!$A$2:$MC$200,MATCH(1,('GMW - Baseline'!$MC$2:$MC$200=N$3)*('GMW - Baseline'!$MB$2:$MB$200=N$4),0),$E182-1973)</f>
        <v>#N/A</v>
      </c>
      <c r="O182" t="e" cm="1">
        <f t="array" ref="O182">INDEX('GMW - Baseline'!$A$2:$MC$200,MATCH(1,('GMW - Baseline'!$MC$2:$MC$200=O$3)*('GMW - Baseline'!$MB$2:$MB$200=O$4),0),$E182-1973)</f>
        <v>#N/A</v>
      </c>
      <c r="P182" t="e" cm="1">
        <f t="array" ref="P182">INDEX('GMW - Baseline'!$A$2:$MC$200,MATCH(1,('GMW - Baseline'!$MC$2:$MC$200=P$3)*('GMW - Baseline'!$MB$2:$MB$200=P$4),0),$E182-1973)</f>
        <v>#N/A</v>
      </c>
      <c r="Q182" t="e" cm="1">
        <f t="array" ref="Q182">INDEX('GMW - Baseline'!$A$2:$MC$200,MATCH(1,('GMW - Baseline'!$MC$2:$MC$200=Q$3)*('GMW - Baseline'!$MB$2:$MB$200=Q$4),0),$E182-1973)</f>
        <v>#N/A</v>
      </c>
      <c r="R182" t="e" cm="1">
        <f t="array" ref="R182">INDEX('GMW - Baseline'!$A$2:$MC$200,MATCH(1,('GMW - Baseline'!$MC$2:$MC$200=R$3)*('GMW - Baseline'!$MB$2:$MB$200=R$4),0),$E182-1973)</f>
        <v>#N/A</v>
      </c>
      <c r="S182" t="e" cm="1">
        <f t="array" ref="S182">INDEX('GMW - Baseline'!$A$2:$MC$200,MATCH(1,('GMW - Baseline'!$MC$2:$MC$200=S$3)*('GMW - Baseline'!$MB$2:$MB$200=S$4),0),$E182-1973)</f>
        <v>#N/A</v>
      </c>
      <c r="T182" t="e" cm="1">
        <f t="array" ref="T182">INDEX('GMW - Baseline'!$A$2:$MC$200,MATCH(1,('GMW - Baseline'!$MC$2:$MC$200=T$3)*('GMW - Baseline'!$MB$2:$MB$200=T$4),0),$E182-1973)</f>
        <v>#N/A</v>
      </c>
    </row>
    <row r="183" spans="1:20" x14ac:dyDescent="0.25">
      <c r="A183">
        <v>2024</v>
      </c>
      <c r="B183">
        <f t="shared" si="14"/>
        <v>2024</v>
      </c>
      <c r="C183">
        <f t="shared" si="14"/>
        <v>2023</v>
      </c>
      <c r="D183">
        <f t="shared" si="14"/>
        <v>2023</v>
      </c>
      <c r="E183">
        <f t="shared" si="11"/>
        <v>2156</v>
      </c>
      <c r="F183" cm="1">
        <f t="array" ref="F183">INDEX('GMW - Baseline'!$A$2:$MC$200,MATCH(1,('GMW - Baseline'!$MC$2:$MC$200=F$3)*('GMW - Baseline'!$MB$2:$MB$200=F$4),0),$E183-1973)</f>
        <v>691198</v>
      </c>
      <c r="G183" cm="1">
        <f t="array" ref="G183">INDEX('GMW - Baseline'!$A$2:$MC$200,MATCH(1,('GMW - Baseline'!$MC$2:$MC$200=G$3)*('GMW - Baseline'!$MB$2:$MB$200=G$4),0),$E183-1973)</f>
        <v>411349</v>
      </c>
      <c r="H183" cm="1">
        <f t="array" ref="H183">INDEX('GMW - Baseline'!$A$2:$MC$200,MATCH(1,('GMW - Baseline'!$MC$2:$MC$200=H$3)*('GMW - Baseline'!$MB$2:$MB$200=H$4),0),$E183-1973)</f>
        <v>132.26669999999999</v>
      </c>
      <c r="I183" cm="1">
        <f t="array" ref="I183">INDEX('GMW - Baseline'!$A$2:$MC$200,MATCH(1,('GMW - Baseline'!$MC$2:$MC$200=I$3)*('GMW - Baseline'!$MB$2:$MB$200=I$4),0),$E183-1973)</f>
        <v>5.25</v>
      </c>
      <c r="J183" t="e" cm="1">
        <f t="array" ref="J183">INDEX('GMW - Baseline'!$A$2:$MC$200,MATCH(1,('GMW - Baseline'!$MC$2:$MC$200=J$3)*('GMW - Baseline'!$MB$2:$MB$200=J$4),0),$E183-1973)</f>
        <v>#N/A</v>
      </c>
      <c r="K183" t="e" cm="1">
        <f t="array" ref="K183">INDEX('GMW - Baseline'!$A$2:$MC$200,MATCH(1,('GMW - Baseline'!$MC$2:$MC$200=K$3)*('GMW - Baseline'!$MB$2:$MB$200=K$4),0),$E183-1973)</f>
        <v>#N/A</v>
      </c>
      <c r="L183" t="e" cm="1">
        <f t="array" ref="L183">INDEX('GMW - Baseline'!$A$2:$MC$200,MATCH(1,('GMW - Baseline'!$MC$2:$MC$200=L$3)*('GMW - Baseline'!$MB$2:$MB$200=L$4),0),$E183-1973)</f>
        <v>#N/A</v>
      </c>
      <c r="M183" t="e" cm="1">
        <f t="array" ref="M183">INDEX('GMW - Baseline'!$A$2:$MC$200,MATCH(1,('GMW - Baseline'!$MC$2:$MC$200=M$3)*('GMW - Baseline'!$MB$2:$MB$200=M$4),0),$E183-1973)</f>
        <v>#N/A</v>
      </c>
      <c r="N183" t="e" cm="1">
        <f t="array" ref="N183">INDEX('GMW - Baseline'!$A$2:$MC$200,MATCH(1,('GMW - Baseline'!$MC$2:$MC$200=N$3)*('GMW - Baseline'!$MB$2:$MB$200=N$4),0),$E183-1973)</f>
        <v>#N/A</v>
      </c>
      <c r="O183" t="e" cm="1">
        <f t="array" ref="O183">INDEX('GMW - Baseline'!$A$2:$MC$200,MATCH(1,('GMW - Baseline'!$MC$2:$MC$200=O$3)*('GMW - Baseline'!$MB$2:$MB$200=O$4),0),$E183-1973)</f>
        <v>#N/A</v>
      </c>
      <c r="P183" t="e" cm="1">
        <f t="array" ref="P183">INDEX('GMW - Baseline'!$A$2:$MC$200,MATCH(1,('GMW - Baseline'!$MC$2:$MC$200=P$3)*('GMW - Baseline'!$MB$2:$MB$200=P$4),0),$E183-1973)</f>
        <v>#N/A</v>
      </c>
      <c r="Q183" t="e" cm="1">
        <f t="array" ref="Q183">INDEX('GMW - Baseline'!$A$2:$MC$200,MATCH(1,('GMW - Baseline'!$MC$2:$MC$200=Q$3)*('GMW - Baseline'!$MB$2:$MB$200=Q$4),0),$E183-1973)</f>
        <v>#N/A</v>
      </c>
      <c r="R183" t="e" cm="1">
        <f t="array" ref="R183">INDEX('GMW - Baseline'!$A$2:$MC$200,MATCH(1,('GMW - Baseline'!$MC$2:$MC$200=R$3)*('GMW - Baseline'!$MB$2:$MB$200=R$4),0),$E183-1973)</f>
        <v>#N/A</v>
      </c>
      <c r="S183" t="e" cm="1">
        <f t="array" ref="S183">INDEX('GMW - Baseline'!$A$2:$MC$200,MATCH(1,('GMW - Baseline'!$MC$2:$MC$200=S$3)*('GMW - Baseline'!$MB$2:$MB$200=S$4),0),$E183-1973)</f>
        <v>#N/A</v>
      </c>
      <c r="T183" t="e" cm="1">
        <f t="array" ref="T183">INDEX('GMW - Baseline'!$A$2:$MC$200,MATCH(1,('GMW - Baseline'!$MC$2:$MC$200=T$3)*('GMW - Baseline'!$MB$2:$MB$200=T$4),0),$E183-1973)</f>
        <v>#N/A</v>
      </c>
    </row>
    <row r="184" spans="1:20" x14ac:dyDescent="0.25">
      <c r="B184">
        <f t="shared" si="14"/>
        <v>2024</v>
      </c>
      <c r="C184">
        <f t="shared" si="14"/>
        <v>2024</v>
      </c>
      <c r="E184">
        <f t="shared" si="11"/>
        <v>2157</v>
      </c>
      <c r="F184" cm="1">
        <f t="array" ref="F184">INDEX('GMW - Baseline'!$A$2:$MC$200,MATCH(1,('GMW - Baseline'!$MC$2:$MC$200=F$3)*('GMW - Baseline'!$MB$2:$MB$200=F$4),0),$E184-1973)</f>
        <v>695280</v>
      </c>
      <c r="G184" cm="1">
        <f t="array" ref="G184">INDEX('GMW - Baseline'!$A$2:$MC$200,MATCH(1,('GMW - Baseline'!$MC$2:$MC$200=G$3)*('GMW - Baseline'!$MB$2:$MB$200=G$4),0),$E184-1973)</f>
        <v>411115</v>
      </c>
      <c r="H184" cm="1">
        <f t="array" ref="H184">INDEX('GMW - Baseline'!$A$2:$MC$200,MATCH(1,('GMW - Baseline'!$MC$2:$MC$200=H$3)*('GMW - Baseline'!$MB$2:$MB$200=H$4),0),$E184-1973)</f>
        <v>133.83330000000001</v>
      </c>
      <c r="I184" cm="1">
        <f t="array" ref="I184">INDEX('GMW - Baseline'!$A$2:$MC$200,MATCH(1,('GMW - Baseline'!$MC$2:$MC$200=I$3)*('GMW - Baseline'!$MB$2:$MB$200=I$4),0),$E184-1973)</f>
        <v>5.25</v>
      </c>
      <c r="J184" t="e" cm="1">
        <f t="array" ref="J184">INDEX('GMW - Baseline'!$A$2:$MC$200,MATCH(1,('GMW - Baseline'!$MC$2:$MC$200=J$3)*('GMW - Baseline'!$MB$2:$MB$200=J$4),0),$E184-1973)</f>
        <v>#N/A</v>
      </c>
      <c r="K184" t="e" cm="1">
        <f t="array" ref="K184">INDEX('GMW - Baseline'!$A$2:$MC$200,MATCH(1,('GMW - Baseline'!$MC$2:$MC$200=K$3)*('GMW - Baseline'!$MB$2:$MB$200=K$4),0),$E184-1973)</f>
        <v>#N/A</v>
      </c>
      <c r="L184" t="e" cm="1">
        <f t="array" ref="L184">INDEX('GMW - Baseline'!$A$2:$MC$200,MATCH(1,('GMW - Baseline'!$MC$2:$MC$200=L$3)*('GMW - Baseline'!$MB$2:$MB$200=L$4),0),$E184-1973)</f>
        <v>#N/A</v>
      </c>
      <c r="M184" t="e" cm="1">
        <f t="array" ref="M184">INDEX('GMW - Baseline'!$A$2:$MC$200,MATCH(1,('GMW - Baseline'!$MC$2:$MC$200=M$3)*('GMW - Baseline'!$MB$2:$MB$200=M$4),0),$E184-1973)</f>
        <v>#N/A</v>
      </c>
      <c r="N184" t="e" cm="1">
        <f t="array" ref="N184">INDEX('GMW - Baseline'!$A$2:$MC$200,MATCH(1,('GMW - Baseline'!$MC$2:$MC$200=N$3)*('GMW - Baseline'!$MB$2:$MB$200=N$4),0),$E184-1973)</f>
        <v>#N/A</v>
      </c>
      <c r="O184" t="e" cm="1">
        <f t="array" ref="O184">INDEX('GMW - Baseline'!$A$2:$MC$200,MATCH(1,('GMW - Baseline'!$MC$2:$MC$200=O$3)*('GMW - Baseline'!$MB$2:$MB$200=O$4),0),$E184-1973)</f>
        <v>#N/A</v>
      </c>
      <c r="P184" t="e" cm="1">
        <f t="array" ref="P184">INDEX('GMW - Baseline'!$A$2:$MC$200,MATCH(1,('GMW - Baseline'!$MC$2:$MC$200=P$3)*('GMW - Baseline'!$MB$2:$MB$200=P$4),0),$E184-1973)</f>
        <v>#N/A</v>
      </c>
      <c r="Q184" t="e" cm="1">
        <f t="array" ref="Q184">INDEX('GMW - Baseline'!$A$2:$MC$200,MATCH(1,('GMW - Baseline'!$MC$2:$MC$200=Q$3)*('GMW - Baseline'!$MB$2:$MB$200=Q$4),0),$E184-1973)</f>
        <v>#N/A</v>
      </c>
      <c r="R184" t="e" cm="1">
        <f t="array" ref="R184">INDEX('GMW - Baseline'!$A$2:$MC$200,MATCH(1,('GMW - Baseline'!$MC$2:$MC$200=R$3)*('GMW - Baseline'!$MB$2:$MB$200=R$4),0),$E184-1973)</f>
        <v>#N/A</v>
      </c>
      <c r="S184" t="e" cm="1">
        <f t="array" ref="S184">INDEX('GMW - Baseline'!$A$2:$MC$200,MATCH(1,('GMW - Baseline'!$MC$2:$MC$200=S$3)*('GMW - Baseline'!$MB$2:$MB$200=S$4),0),$E184-1973)</f>
        <v>#N/A</v>
      </c>
      <c r="T184" t="e" cm="1">
        <f t="array" ref="T184">INDEX('GMW - Baseline'!$A$2:$MC$200,MATCH(1,('GMW - Baseline'!$MC$2:$MC$200=T$3)*('GMW - Baseline'!$MB$2:$MB$200=T$4),0),$E184-1973)</f>
        <v>#N/A</v>
      </c>
    </row>
    <row r="185" spans="1:20" x14ac:dyDescent="0.25">
      <c r="B185">
        <f t="shared" si="14"/>
        <v>2024</v>
      </c>
      <c r="C185">
        <f t="shared" si="14"/>
        <v>2024</v>
      </c>
      <c r="E185">
        <f t="shared" si="11"/>
        <v>2158</v>
      </c>
      <c r="F185" cm="1">
        <f t="array" ref="F185">INDEX('GMW - Baseline'!$A$2:$MC$200,MATCH(1,('GMW - Baseline'!$MC$2:$MC$200=F$3)*('GMW - Baseline'!$MB$2:$MB$200=F$4),0),$E185-1973)</f>
        <v>696853</v>
      </c>
      <c r="G185" cm="1">
        <f t="array" ref="G185">INDEX('GMW - Baseline'!$A$2:$MC$200,MATCH(1,('GMW - Baseline'!$MC$2:$MC$200=G$3)*('GMW - Baseline'!$MB$2:$MB$200=G$4),0),$E185-1973)</f>
        <v>413915</v>
      </c>
      <c r="H185" cm="1">
        <f t="array" ref="H185">INDEX('GMW - Baseline'!$A$2:$MC$200,MATCH(1,('GMW - Baseline'!$MC$2:$MC$200=H$3)*('GMW - Baseline'!$MB$2:$MB$200=H$4),0),$E185-1973)</f>
        <v>134.1</v>
      </c>
      <c r="I185" cm="1">
        <f t="array" ref="I185">INDEX('GMW - Baseline'!$A$2:$MC$200,MATCH(1,('GMW - Baseline'!$MC$2:$MC$200=I$3)*('GMW - Baseline'!$MB$2:$MB$200=I$4),0),$E185-1973)</f>
        <v>5.0871209999999998</v>
      </c>
      <c r="J185" t="e" cm="1">
        <f t="array" ref="J185">INDEX('GMW - Baseline'!$A$2:$MC$200,MATCH(1,('GMW - Baseline'!$MC$2:$MC$200=J$3)*('GMW - Baseline'!$MB$2:$MB$200=J$4),0),$E185-1973)</f>
        <v>#N/A</v>
      </c>
      <c r="K185" t="e" cm="1">
        <f t="array" ref="K185">INDEX('GMW - Baseline'!$A$2:$MC$200,MATCH(1,('GMW - Baseline'!$MC$2:$MC$200=K$3)*('GMW - Baseline'!$MB$2:$MB$200=K$4),0),$E185-1973)</f>
        <v>#N/A</v>
      </c>
      <c r="L185" t="e" cm="1">
        <f t="array" ref="L185">INDEX('GMW - Baseline'!$A$2:$MC$200,MATCH(1,('GMW - Baseline'!$MC$2:$MC$200=L$3)*('GMW - Baseline'!$MB$2:$MB$200=L$4),0),$E185-1973)</f>
        <v>#N/A</v>
      </c>
      <c r="M185" t="e" cm="1">
        <f t="array" ref="M185">INDEX('GMW - Baseline'!$A$2:$MC$200,MATCH(1,('GMW - Baseline'!$MC$2:$MC$200=M$3)*('GMW - Baseline'!$MB$2:$MB$200=M$4),0),$E185-1973)</f>
        <v>#N/A</v>
      </c>
      <c r="N185" t="e" cm="1">
        <f t="array" ref="N185">INDEX('GMW - Baseline'!$A$2:$MC$200,MATCH(1,('GMW - Baseline'!$MC$2:$MC$200=N$3)*('GMW - Baseline'!$MB$2:$MB$200=N$4),0),$E185-1973)</f>
        <v>#N/A</v>
      </c>
      <c r="O185" t="e" cm="1">
        <f t="array" ref="O185">INDEX('GMW - Baseline'!$A$2:$MC$200,MATCH(1,('GMW - Baseline'!$MC$2:$MC$200=O$3)*('GMW - Baseline'!$MB$2:$MB$200=O$4),0),$E185-1973)</f>
        <v>#N/A</v>
      </c>
      <c r="P185" t="e" cm="1">
        <f t="array" ref="P185">INDEX('GMW - Baseline'!$A$2:$MC$200,MATCH(1,('GMW - Baseline'!$MC$2:$MC$200=P$3)*('GMW - Baseline'!$MB$2:$MB$200=P$4),0),$E185-1973)</f>
        <v>#N/A</v>
      </c>
      <c r="Q185" t="e" cm="1">
        <f t="array" ref="Q185">INDEX('GMW - Baseline'!$A$2:$MC$200,MATCH(1,('GMW - Baseline'!$MC$2:$MC$200=Q$3)*('GMW - Baseline'!$MB$2:$MB$200=Q$4),0),$E185-1973)</f>
        <v>#N/A</v>
      </c>
      <c r="R185" t="e" cm="1">
        <f t="array" ref="R185">INDEX('GMW - Baseline'!$A$2:$MC$200,MATCH(1,('GMW - Baseline'!$MC$2:$MC$200=R$3)*('GMW - Baseline'!$MB$2:$MB$200=R$4),0),$E185-1973)</f>
        <v>#N/A</v>
      </c>
      <c r="S185" t="e" cm="1">
        <f t="array" ref="S185">INDEX('GMW - Baseline'!$A$2:$MC$200,MATCH(1,('GMW - Baseline'!$MC$2:$MC$200=S$3)*('GMW - Baseline'!$MB$2:$MB$200=S$4),0),$E185-1973)</f>
        <v>#N/A</v>
      </c>
      <c r="T185" t="e" cm="1">
        <f t="array" ref="T185">INDEX('GMW - Baseline'!$A$2:$MC$200,MATCH(1,('GMW - Baseline'!$MC$2:$MC$200=T$3)*('GMW - Baseline'!$MB$2:$MB$200=T$4),0),$E185-1973)</f>
        <v>#N/A</v>
      </c>
    </row>
    <row r="186" spans="1:20" x14ac:dyDescent="0.25">
      <c r="B186">
        <f t="shared" si="14"/>
        <v>2024</v>
      </c>
      <c r="C186">
        <f t="shared" si="14"/>
        <v>2024</v>
      </c>
      <c r="E186">
        <f t="shared" si="11"/>
        <v>2159</v>
      </c>
      <c r="F186" cm="1">
        <f t="array" ref="F186">INDEX('GMW - Baseline'!$A$2:$MC$200,MATCH(1,('GMW - Baseline'!$MC$2:$MC$200=F$3)*('GMW - Baseline'!$MB$2:$MB$200=F$4),0),$E186-1973)</f>
        <v>698780</v>
      </c>
      <c r="G186" cm="1">
        <f t="array" ref="G186">INDEX('GMW - Baseline'!$A$2:$MC$200,MATCH(1,('GMW - Baseline'!$MC$2:$MC$200=G$3)*('GMW - Baseline'!$MB$2:$MB$200=G$4),0),$E186-1973)</f>
        <v>414482</v>
      </c>
      <c r="H186" cm="1">
        <f t="array" ref="H186">INDEX('GMW - Baseline'!$A$2:$MC$200,MATCH(1,('GMW - Baseline'!$MC$2:$MC$200=H$3)*('GMW - Baseline'!$MB$2:$MB$200=H$4),0),$E186-1973)</f>
        <v>135.23330000000001</v>
      </c>
      <c r="I186" cm="1">
        <f t="array" ref="I186">INDEX('GMW - Baseline'!$A$2:$MC$200,MATCH(1,('GMW - Baseline'!$MC$2:$MC$200=I$3)*('GMW - Baseline'!$MB$2:$MB$200=I$4),0),$E186-1973)</f>
        <v>4.8522730000000003</v>
      </c>
      <c r="J186" t="e" cm="1">
        <f t="array" ref="J186">INDEX('GMW - Baseline'!$A$2:$MC$200,MATCH(1,('GMW - Baseline'!$MC$2:$MC$200=J$3)*('GMW - Baseline'!$MB$2:$MB$200=J$4),0),$E186-1973)</f>
        <v>#N/A</v>
      </c>
      <c r="K186" t="e" cm="1">
        <f t="array" ref="K186">INDEX('GMW - Baseline'!$A$2:$MC$200,MATCH(1,('GMW - Baseline'!$MC$2:$MC$200=K$3)*('GMW - Baseline'!$MB$2:$MB$200=K$4),0),$E186-1973)</f>
        <v>#N/A</v>
      </c>
      <c r="L186" t="e" cm="1">
        <f t="array" ref="L186">INDEX('GMW - Baseline'!$A$2:$MC$200,MATCH(1,('GMW - Baseline'!$MC$2:$MC$200=L$3)*('GMW - Baseline'!$MB$2:$MB$200=L$4),0),$E186-1973)</f>
        <v>#N/A</v>
      </c>
      <c r="M186" t="e" cm="1">
        <f t="array" ref="M186">INDEX('GMW - Baseline'!$A$2:$MC$200,MATCH(1,('GMW - Baseline'!$MC$2:$MC$200=M$3)*('GMW - Baseline'!$MB$2:$MB$200=M$4),0),$E186-1973)</f>
        <v>#N/A</v>
      </c>
      <c r="N186" t="e" cm="1">
        <f t="array" ref="N186">INDEX('GMW - Baseline'!$A$2:$MC$200,MATCH(1,('GMW - Baseline'!$MC$2:$MC$200=N$3)*('GMW - Baseline'!$MB$2:$MB$200=N$4),0),$E186-1973)</f>
        <v>#N/A</v>
      </c>
      <c r="O186" t="e" cm="1">
        <f t="array" ref="O186">INDEX('GMW - Baseline'!$A$2:$MC$200,MATCH(1,('GMW - Baseline'!$MC$2:$MC$200=O$3)*('GMW - Baseline'!$MB$2:$MB$200=O$4),0),$E186-1973)</f>
        <v>#N/A</v>
      </c>
      <c r="P186" t="e" cm="1">
        <f t="array" ref="P186">INDEX('GMW - Baseline'!$A$2:$MC$200,MATCH(1,('GMW - Baseline'!$MC$2:$MC$200=P$3)*('GMW - Baseline'!$MB$2:$MB$200=P$4),0),$E186-1973)</f>
        <v>#N/A</v>
      </c>
      <c r="Q186" t="e" cm="1">
        <f t="array" ref="Q186">INDEX('GMW - Baseline'!$A$2:$MC$200,MATCH(1,('GMW - Baseline'!$MC$2:$MC$200=Q$3)*('GMW - Baseline'!$MB$2:$MB$200=Q$4),0),$E186-1973)</f>
        <v>#N/A</v>
      </c>
      <c r="R186" t="e" cm="1">
        <f t="array" ref="R186">INDEX('GMW - Baseline'!$A$2:$MC$200,MATCH(1,('GMW - Baseline'!$MC$2:$MC$200=R$3)*('GMW - Baseline'!$MB$2:$MB$200=R$4),0),$E186-1973)</f>
        <v>#N/A</v>
      </c>
      <c r="S186" t="e" cm="1">
        <f t="array" ref="S186">INDEX('GMW - Baseline'!$A$2:$MC$200,MATCH(1,('GMW - Baseline'!$MC$2:$MC$200=S$3)*('GMW - Baseline'!$MB$2:$MB$200=S$4),0),$E186-1973)</f>
        <v>#N/A</v>
      </c>
      <c r="T186" t="e" cm="1">
        <f t="array" ref="T186">INDEX('GMW - Baseline'!$A$2:$MC$200,MATCH(1,('GMW - Baseline'!$MC$2:$MC$200=T$3)*('GMW - Baseline'!$MB$2:$MB$200=T$4),0),$E186-1973)</f>
        <v>#N/A</v>
      </c>
    </row>
    <row r="187" spans="1:20" x14ac:dyDescent="0.25">
      <c r="A187">
        <v>2025</v>
      </c>
      <c r="B187">
        <f t="shared" si="14"/>
        <v>2025</v>
      </c>
      <c r="C187">
        <f t="shared" si="14"/>
        <v>2024</v>
      </c>
      <c r="D187">
        <f t="shared" si="14"/>
        <v>2024</v>
      </c>
      <c r="E187">
        <f t="shared" si="11"/>
        <v>2160</v>
      </c>
      <c r="F187" cm="1">
        <f t="array" ref="F187">INDEX('GMW - Baseline'!$A$2:$MC$200,MATCH(1,('GMW - Baseline'!$MC$2:$MC$200=F$3)*('GMW - Baseline'!$MB$2:$MB$200=F$4),0),$E187-1973)</f>
        <v>703373</v>
      </c>
      <c r="G187" cm="1">
        <f t="array" ref="G187">INDEX('GMW - Baseline'!$A$2:$MC$200,MATCH(1,('GMW - Baseline'!$MC$2:$MC$200=G$3)*('GMW - Baseline'!$MB$2:$MB$200=G$4),0),$E187-1973)</f>
        <v>415670</v>
      </c>
      <c r="H187" cm="1">
        <f t="array" ref="H187">INDEX('GMW - Baseline'!$A$2:$MC$200,MATCH(1,('GMW - Baseline'!$MC$2:$MC$200=H$3)*('GMW - Baseline'!$MB$2:$MB$200=H$4),0),$E187-1973)</f>
        <v>135.9667</v>
      </c>
      <c r="I187" cm="1">
        <f t="array" ref="I187">INDEX('GMW - Baseline'!$A$2:$MC$200,MATCH(1,('GMW - Baseline'!$MC$2:$MC$200=I$3)*('GMW - Baseline'!$MB$2:$MB$200=I$4),0),$E187-1973)</f>
        <v>4.6015629999999996</v>
      </c>
      <c r="J187" t="e" cm="1">
        <f t="array" ref="J187">INDEX('GMW - Baseline'!$A$2:$MC$200,MATCH(1,('GMW - Baseline'!$MC$2:$MC$200=J$3)*('GMW - Baseline'!$MB$2:$MB$200=J$4),0),$E187-1973)</f>
        <v>#N/A</v>
      </c>
      <c r="K187" t="e" cm="1">
        <f t="array" ref="K187">INDEX('GMW - Baseline'!$A$2:$MC$200,MATCH(1,('GMW - Baseline'!$MC$2:$MC$200=K$3)*('GMW - Baseline'!$MB$2:$MB$200=K$4),0),$E187-1973)</f>
        <v>#N/A</v>
      </c>
      <c r="L187" t="e" cm="1">
        <f t="array" ref="L187">INDEX('GMW - Baseline'!$A$2:$MC$200,MATCH(1,('GMW - Baseline'!$MC$2:$MC$200=L$3)*('GMW - Baseline'!$MB$2:$MB$200=L$4),0),$E187-1973)</f>
        <v>#N/A</v>
      </c>
      <c r="M187" t="e" cm="1">
        <f t="array" ref="M187">INDEX('GMW - Baseline'!$A$2:$MC$200,MATCH(1,('GMW - Baseline'!$MC$2:$MC$200=M$3)*('GMW - Baseline'!$MB$2:$MB$200=M$4),0),$E187-1973)</f>
        <v>#N/A</v>
      </c>
      <c r="N187" t="e" cm="1">
        <f t="array" ref="N187">INDEX('GMW - Baseline'!$A$2:$MC$200,MATCH(1,('GMW - Baseline'!$MC$2:$MC$200=N$3)*('GMW - Baseline'!$MB$2:$MB$200=N$4),0),$E187-1973)</f>
        <v>#N/A</v>
      </c>
      <c r="O187" t="e" cm="1">
        <f t="array" ref="O187">INDEX('GMW - Baseline'!$A$2:$MC$200,MATCH(1,('GMW - Baseline'!$MC$2:$MC$200=O$3)*('GMW - Baseline'!$MB$2:$MB$200=O$4),0),$E187-1973)</f>
        <v>#N/A</v>
      </c>
      <c r="P187" t="e" cm="1">
        <f t="array" ref="P187">INDEX('GMW - Baseline'!$A$2:$MC$200,MATCH(1,('GMW - Baseline'!$MC$2:$MC$200=P$3)*('GMW - Baseline'!$MB$2:$MB$200=P$4),0),$E187-1973)</f>
        <v>#N/A</v>
      </c>
      <c r="Q187" t="e" cm="1">
        <f t="array" ref="Q187">INDEX('GMW - Baseline'!$A$2:$MC$200,MATCH(1,('GMW - Baseline'!$MC$2:$MC$200=Q$3)*('GMW - Baseline'!$MB$2:$MB$200=Q$4),0),$E187-1973)</f>
        <v>#N/A</v>
      </c>
      <c r="R187" t="e" cm="1">
        <f t="array" ref="R187">INDEX('GMW - Baseline'!$A$2:$MC$200,MATCH(1,('GMW - Baseline'!$MC$2:$MC$200=R$3)*('GMW - Baseline'!$MB$2:$MB$200=R$4),0),$E187-1973)</f>
        <v>#N/A</v>
      </c>
      <c r="S187" t="e" cm="1">
        <f t="array" ref="S187">INDEX('GMW - Baseline'!$A$2:$MC$200,MATCH(1,('GMW - Baseline'!$MC$2:$MC$200=S$3)*('GMW - Baseline'!$MB$2:$MB$200=S$4),0),$E187-1973)</f>
        <v>#N/A</v>
      </c>
      <c r="T187" t="e" cm="1">
        <f t="array" ref="T187">INDEX('GMW - Baseline'!$A$2:$MC$200,MATCH(1,('GMW - Baseline'!$MC$2:$MC$200=T$3)*('GMW - Baseline'!$MB$2:$MB$200=T$4),0),$E187-1973)</f>
        <v>#N/A</v>
      </c>
    </row>
    <row r="188" spans="1:20" x14ac:dyDescent="0.25">
      <c r="B188">
        <f t="shared" ref="B188:D203" si="15">+B184+1</f>
        <v>2025</v>
      </c>
      <c r="C188">
        <f t="shared" si="15"/>
        <v>2025</v>
      </c>
      <c r="E188">
        <f t="shared" si="11"/>
        <v>2161</v>
      </c>
      <c r="F188" cm="1">
        <f t="array" ref="F188">INDEX('GMW - Baseline'!$A$2:$MC$200,MATCH(1,('GMW - Baseline'!$MC$2:$MC$200=F$3)*('GMW - Baseline'!$MB$2:$MB$200=F$4),0),$E188-1973)</f>
        <v>704798</v>
      </c>
      <c r="G188" cm="1">
        <f t="array" ref="G188">INDEX('GMW - Baseline'!$A$2:$MC$200,MATCH(1,('GMW - Baseline'!$MC$2:$MC$200=G$3)*('GMW - Baseline'!$MB$2:$MB$200=G$4),0),$E188-1973)</f>
        <v>415858</v>
      </c>
      <c r="H188" cm="1">
        <f t="array" ref="H188">INDEX('GMW - Baseline'!$A$2:$MC$200,MATCH(1,('GMW - Baseline'!$MC$2:$MC$200=H$3)*('GMW - Baseline'!$MB$2:$MB$200=H$4),0),$E188-1973)</f>
        <v>138.5</v>
      </c>
      <c r="I188" cm="1">
        <f t="array" ref="I188">INDEX('GMW - Baseline'!$A$2:$MC$200,MATCH(1,('GMW - Baseline'!$MC$2:$MC$200=I$3)*('GMW - Baseline'!$MB$2:$MB$200=I$4),0),$E188-1973)</f>
        <v>4.3538459999999999</v>
      </c>
      <c r="J188" t="e" cm="1">
        <f t="array" ref="J188">INDEX('GMW - Baseline'!$A$2:$MC$200,MATCH(1,('GMW - Baseline'!$MC$2:$MC$200=J$3)*('GMW - Baseline'!$MB$2:$MB$200=J$4),0),$E188-1973)</f>
        <v>#N/A</v>
      </c>
      <c r="K188" t="e" cm="1">
        <f t="array" ref="K188">INDEX('GMW - Baseline'!$A$2:$MC$200,MATCH(1,('GMW - Baseline'!$MC$2:$MC$200=K$3)*('GMW - Baseline'!$MB$2:$MB$200=K$4),0),$E188-1973)</f>
        <v>#N/A</v>
      </c>
      <c r="L188" t="e" cm="1">
        <f t="array" ref="L188">INDEX('GMW - Baseline'!$A$2:$MC$200,MATCH(1,('GMW - Baseline'!$MC$2:$MC$200=L$3)*('GMW - Baseline'!$MB$2:$MB$200=L$4),0),$E188-1973)</f>
        <v>#N/A</v>
      </c>
      <c r="M188" t="e" cm="1">
        <f t="array" ref="M188">INDEX('GMW - Baseline'!$A$2:$MC$200,MATCH(1,('GMW - Baseline'!$MC$2:$MC$200=M$3)*('GMW - Baseline'!$MB$2:$MB$200=M$4),0),$E188-1973)</f>
        <v>#N/A</v>
      </c>
      <c r="N188" t="e" cm="1">
        <f t="array" ref="N188">INDEX('GMW - Baseline'!$A$2:$MC$200,MATCH(1,('GMW - Baseline'!$MC$2:$MC$200=N$3)*('GMW - Baseline'!$MB$2:$MB$200=N$4),0),$E188-1973)</f>
        <v>#N/A</v>
      </c>
      <c r="O188" t="e" cm="1">
        <f t="array" ref="O188">INDEX('GMW - Baseline'!$A$2:$MC$200,MATCH(1,('GMW - Baseline'!$MC$2:$MC$200=O$3)*('GMW - Baseline'!$MB$2:$MB$200=O$4),0),$E188-1973)</f>
        <v>#N/A</v>
      </c>
      <c r="P188" t="e" cm="1">
        <f t="array" ref="P188">INDEX('GMW - Baseline'!$A$2:$MC$200,MATCH(1,('GMW - Baseline'!$MC$2:$MC$200=P$3)*('GMW - Baseline'!$MB$2:$MB$200=P$4),0),$E188-1973)</f>
        <v>#N/A</v>
      </c>
      <c r="Q188" t="e" cm="1">
        <f t="array" ref="Q188">INDEX('GMW - Baseline'!$A$2:$MC$200,MATCH(1,('GMW - Baseline'!$MC$2:$MC$200=Q$3)*('GMW - Baseline'!$MB$2:$MB$200=Q$4),0),$E188-1973)</f>
        <v>#N/A</v>
      </c>
      <c r="R188" t="e" cm="1">
        <f t="array" ref="R188">INDEX('GMW - Baseline'!$A$2:$MC$200,MATCH(1,('GMW - Baseline'!$MC$2:$MC$200=R$3)*('GMW - Baseline'!$MB$2:$MB$200=R$4),0),$E188-1973)</f>
        <v>#N/A</v>
      </c>
      <c r="S188" t="e" cm="1">
        <f t="array" ref="S188">INDEX('GMW - Baseline'!$A$2:$MC$200,MATCH(1,('GMW - Baseline'!$MC$2:$MC$200=S$3)*('GMW - Baseline'!$MB$2:$MB$200=S$4),0),$E188-1973)</f>
        <v>#N/A</v>
      </c>
      <c r="T188" t="e" cm="1">
        <f t="array" ref="T188">INDEX('GMW - Baseline'!$A$2:$MC$200,MATCH(1,('GMW - Baseline'!$MC$2:$MC$200=T$3)*('GMW - Baseline'!$MB$2:$MB$200=T$4),0),$E188-1973)</f>
        <v>#N/A</v>
      </c>
    </row>
    <row r="189" spans="1:20" x14ac:dyDescent="0.25">
      <c r="B189">
        <f t="shared" si="15"/>
        <v>2025</v>
      </c>
      <c r="C189">
        <f t="shared" si="15"/>
        <v>2025</v>
      </c>
      <c r="E189">
        <f t="shared" si="11"/>
        <v>2162</v>
      </c>
      <c r="F189" cm="1">
        <f t="array" ref="F189">INDEX('GMW - Baseline'!$A$2:$MC$200,MATCH(1,('GMW - Baseline'!$MC$2:$MC$200=F$3)*('GMW - Baseline'!$MB$2:$MB$200=F$4),0),$E189-1973)</f>
        <v>705187</v>
      </c>
      <c r="G189" cm="1">
        <f t="array" ref="G189">INDEX('GMW - Baseline'!$A$2:$MC$200,MATCH(1,('GMW - Baseline'!$MC$2:$MC$200=G$3)*('GMW - Baseline'!$MB$2:$MB$200=G$4),0),$E189-1973)</f>
        <v>417589</v>
      </c>
      <c r="H189" cm="1">
        <f t="array" ref="H189">INDEX('GMW - Baseline'!$A$2:$MC$200,MATCH(1,('GMW - Baseline'!$MC$2:$MC$200=H$3)*('GMW - Baseline'!$MB$2:$MB$200=H$4),0),$E189-1973)</f>
        <v>139.19999999999999</v>
      </c>
      <c r="I189" cm="1">
        <f t="array" ref="I189">INDEX('GMW - Baseline'!$A$2:$MC$200,MATCH(1,('GMW - Baseline'!$MC$2:$MC$200=I$3)*('GMW - Baseline'!$MB$2:$MB$200=I$4),0),$E189-1973)</f>
        <v>4.1022730000000003</v>
      </c>
      <c r="J189" t="e" cm="1">
        <f t="array" ref="J189">INDEX('GMW - Baseline'!$A$2:$MC$200,MATCH(1,('GMW - Baseline'!$MC$2:$MC$200=J$3)*('GMW - Baseline'!$MB$2:$MB$200=J$4),0),$E189-1973)</f>
        <v>#N/A</v>
      </c>
      <c r="K189" t="e" cm="1">
        <f t="array" ref="K189">INDEX('GMW - Baseline'!$A$2:$MC$200,MATCH(1,('GMW - Baseline'!$MC$2:$MC$200=K$3)*('GMW - Baseline'!$MB$2:$MB$200=K$4),0),$E189-1973)</f>
        <v>#N/A</v>
      </c>
      <c r="L189" t="e" cm="1">
        <f t="array" ref="L189">INDEX('GMW - Baseline'!$A$2:$MC$200,MATCH(1,('GMW - Baseline'!$MC$2:$MC$200=L$3)*('GMW - Baseline'!$MB$2:$MB$200=L$4),0),$E189-1973)</f>
        <v>#N/A</v>
      </c>
      <c r="M189" t="e" cm="1">
        <f t="array" ref="M189">INDEX('GMW - Baseline'!$A$2:$MC$200,MATCH(1,('GMW - Baseline'!$MC$2:$MC$200=M$3)*('GMW - Baseline'!$MB$2:$MB$200=M$4),0),$E189-1973)</f>
        <v>#N/A</v>
      </c>
      <c r="N189" t="e" cm="1">
        <f t="array" ref="N189">INDEX('GMW - Baseline'!$A$2:$MC$200,MATCH(1,('GMW - Baseline'!$MC$2:$MC$200=N$3)*('GMW - Baseline'!$MB$2:$MB$200=N$4),0),$E189-1973)</f>
        <v>#N/A</v>
      </c>
      <c r="O189" t="e" cm="1">
        <f t="array" ref="O189">INDEX('GMW - Baseline'!$A$2:$MC$200,MATCH(1,('GMW - Baseline'!$MC$2:$MC$200=O$3)*('GMW - Baseline'!$MB$2:$MB$200=O$4),0),$E189-1973)</f>
        <v>#N/A</v>
      </c>
      <c r="P189" t="e" cm="1">
        <f t="array" ref="P189">INDEX('GMW - Baseline'!$A$2:$MC$200,MATCH(1,('GMW - Baseline'!$MC$2:$MC$200=P$3)*('GMW - Baseline'!$MB$2:$MB$200=P$4),0),$E189-1973)</f>
        <v>#N/A</v>
      </c>
      <c r="Q189" t="e" cm="1">
        <f t="array" ref="Q189">INDEX('GMW - Baseline'!$A$2:$MC$200,MATCH(1,('GMW - Baseline'!$MC$2:$MC$200=Q$3)*('GMW - Baseline'!$MB$2:$MB$200=Q$4),0),$E189-1973)</f>
        <v>#N/A</v>
      </c>
      <c r="R189" t="e" cm="1">
        <f t="array" ref="R189">INDEX('GMW - Baseline'!$A$2:$MC$200,MATCH(1,('GMW - Baseline'!$MC$2:$MC$200=R$3)*('GMW - Baseline'!$MB$2:$MB$200=R$4),0),$E189-1973)</f>
        <v>#N/A</v>
      </c>
      <c r="S189" t="e" cm="1">
        <f t="array" ref="S189">INDEX('GMW - Baseline'!$A$2:$MC$200,MATCH(1,('GMW - Baseline'!$MC$2:$MC$200=S$3)*('GMW - Baseline'!$MB$2:$MB$200=S$4),0),$E189-1973)</f>
        <v>#N/A</v>
      </c>
      <c r="T189" t="e" cm="1">
        <f t="array" ref="T189">INDEX('GMW - Baseline'!$A$2:$MC$200,MATCH(1,('GMW - Baseline'!$MC$2:$MC$200=T$3)*('GMW - Baseline'!$MB$2:$MB$200=T$4),0),$E189-1973)</f>
        <v>#N/A</v>
      </c>
    </row>
    <row r="190" spans="1:20" x14ac:dyDescent="0.25">
      <c r="B190">
        <f t="shared" si="15"/>
        <v>2025</v>
      </c>
      <c r="C190">
        <f t="shared" si="15"/>
        <v>2025</v>
      </c>
      <c r="E190">
        <f t="shared" si="11"/>
        <v>2163</v>
      </c>
      <c r="F190" cm="1">
        <f t="array" ref="F190">INDEX('GMW - Baseline'!$A$2:$MC$200,MATCH(1,('GMW - Baseline'!$MC$2:$MC$200=F$3)*('GMW - Baseline'!$MB$2:$MB$200=F$4),0),$E190-1973)</f>
        <v>705571</v>
      </c>
      <c r="G190" cm="1">
        <f t="array" ref="G190">INDEX('GMW - Baseline'!$A$2:$MC$200,MATCH(1,('GMW - Baseline'!$MC$2:$MC$200=G$3)*('GMW - Baseline'!$MB$2:$MB$200=G$4),0),$E190-1973)</f>
        <v>418232</v>
      </c>
      <c r="H190" cm="1">
        <f t="array" ref="H190">INDEX('GMW - Baseline'!$A$2:$MC$200,MATCH(1,('GMW - Baseline'!$MC$2:$MC$200=H$3)*('GMW - Baseline'!$MB$2:$MB$200=H$4),0),$E190-1973)</f>
        <v>139.80000000000001</v>
      </c>
      <c r="I190" cm="1">
        <f t="array" ref="I190">INDEX('GMW - Baseline'!$A$2:$MC$200,MATCH(1,('GMW - Baseline'!$MC$2:$MC$200=I$3)*('GMW - Baseline'!$MB$2:$MB$200=I$4),0),$E190-1973)</f>
        <v>3.9621209999999998</v>
      </c>
      <c r="J190" t="e" cm="1">
        <f t="array" ref="J190">INDEX('GMW - Baseline'!$A$2:$MC$200,MATCH(1,('GMW - Baseline'!$MC$2:$MC$200=J$3)*('GMW - Baseline'!$MB$2:$MB$200=J$4),0),$E190-1973)</f>
        <v>#N/A</v>
      </c>
      <c r="K190" t="e" cm="1">
        <f t="array" ref="K190">INDEX('GMW - Baseline'!$A$2:$MC$200,MATCH(1,('GMW - Baseline'!$MC$2:$MC$200=K$3)*('GMW - Baseline'!$MB$2:$MB$200=K$4),0),$E190-1973)</f>
        <v>#N/A</v>
      </c>
      <c r="L190" t="e" cm="1">
        <f t="array" ref="L190">INDEX('GMW - Baseline'!$A$2:$MC$200,MATCH(1,('GMW - Baseline'!$MC$2:$MC$200=L$3)*('GMW - Baseline'!$MB$2:$MB$200=L$4),0),$E190-1973)</f>
        <v>#N/A</v>
      </c>
      <c r="M190" t="e" cm="1">
        <f t="array" ref="M190">INDEX('GMW - Baseline'!$A$2:$MC$200,MATCH(1,('GMW - Baseline'!$MC$2:$MC$200=M$3)*('GMW - Baseline'!$MB$2:$MB$200=M$4),0),$E190-1973)</f>
        <v>#N/A</v>
      </c>
      <c r="N190" t="e" cm="1">
        <f t="array" ref="N190">INDEX('GMW - Baseline'!$A$2:$MC$200,MATCH(1,('GMW - Baseline'!$MC$2:$MC$200=N$3)*('GMW - Baseline'!$MB$2:$MB$200=N$4),0),$E190-1973)</f>
        <v>#N/A</v>
      </c>
      <c r="O190" t="e" cm="1">
        <f t="array" ref="O190">INDEX('GMW - Baseline'!$A$2:$MC$200,MATCH(1,('GMW - Baseline'!$MC$2:$MC$200=O$3)*('GMW - Baseline'!$MB$2:$MB$200=O$4),0),$E190-1973)</f>
        <v>#N/A</v>
      </c>
      <c r="P190" t="e" cm="1">
        <f t="array" ref="P190">INDEX('GMW - Baseline'!$A$2:$MC$200,MATCH(1,('GMW - Baseline'!$MC$2:$MC$200=P$3)*('GMW - Baseline'!$MB$2:$MB$200=P$4),0),$E190-1973)</f>
        <v>#N/A</v>
      </c>
      <c r="Q190" t="e" cm="1">
        <f t="array" ref="Q190">INDEX('GMW - Baseline'!$A$2:$MC$200,MATCH(1,('GMW - Baseline'!$MC$2:$MC$200=Q$3)*('GMW - Baseline'!$MB$2:$MB$200=Q$4),0),$E190-1973)</f>
        <v>#N/A</v>
      </c>
      <c r="R190" t="e" cm="1">
        <f t="array" ref="R190">INDEX('GMW - Baseline'!$A$2:$MC$200,MATCH(1,('GMW - Baseline'!$MC$2:$MC$200=R$3)*('GMW - Baseline'!$MB$2:$MB$200=R$4),0),$E190-1973)</f>
        <v>#N/A</v>
      </c>
      <c r="S190" t="e" cm="1">
        <f t="array" ref="S190">INDEX('GMW - Baseline'!$A$2:$MC$200,MATCH(1,('GMW - Baseline'!$MC$2:$MC$200=S$3)*('GMW - Baseline'!$MB$2:$MB$200=S$4),0),$E190-1973)</f>
        <v>#N/A</v>
      </c>
      <c r="T190" t="e" cm="1">
        <f t="array" ref="T190">INDEX('GMW - Baseline'!$A$2:$MC$200,MATCH(1,('GMW - Baseline'!$MC$2:$MC$200=T$3)*('GMW - Baseline'!$MB$2:$MB$200=T$4),0),$E190-1973)</f>
        <v>#N/A</v>
      </c>
    </row>
    <row r="191" spans="1:20" x14ac:dyDescent="0.25">
      <c r="A191">
        <v>2026</v>
      </c>
      <c r="B191">
        <f t="shared" si="15"/>
        <v>2026</v>
      </c>
      <c r="C191">
        <f t="shared" si="15"/>
        <v>2025</v>
      </c>
      <c r="D191">
        <f t="shared" si="15"/>
        <v>2025</v>
      </c>
      <c r="E191">
        <f t="shared" si="11"/>
        <v>2164</v>
      </c>
      <c r="F191" cm="1">
        <f t="array" ref="F191">INDEX('GMW - Baseline'!$A$2:$MC$200,MATCH(1,('GMW - Baseline'!$MC$2:$MC$200=F$3)*('GMW - Baseline'!$MB$2:$MB$200=F$4),0),$E191-1973)</f>
        <v>708222</v>
      </c>
      <c r="G191" cm="1">
        <f t="array" ref="G191">INDEX('GMW - Baseline'!$A$2:$MC$200,MATCH(1,('GMW - Baseline'!$MC$2:$MC$200=G$3)*('GMW - Baseline'!$MB$2:$MB$200=G$4),0),$E191-1973)</f>
        <v>419068.5</v>
      </c>
      <c r="H191" cm="1">
        <f t="array" ref="H191">INDEX('GMW - Baseline'!$A$2:$MC$200,MATCH(1,('GMW - Baseline'!$MC$2:$MC$200=H$3)*('GMW - Baseline'!$MB$2:$MB$200=H$4),0),$E191-1973)</f>
        <v>139.899</v>
      </c>
      <c r="I191" cm="1">
        <f t="array" ref="I191">INDEX('GMW - Baseline'!$A$2:$MC$200,MATCH(1,('GMW - Baseline'!$MC$2:$MC$200=I$3)*('GMW - Baseline'!$MB$2:$MB$200=I$4),0),$E191-1973)</f>
        <v>3.75</v>
      </c>
      <c r="J191" t="e" cm="1">
        <f t="array" ref="J191">INDEX('GMW - Baseline'!$A$2:$MC$200,MATCH(1,('GMW - Baseline'!$MC$2:$MC$200=J$3)*('GMW - Baseline'!$MB$2:$MB$200=J$4),0),$E191-1973)</f>
        <v>#N/A</v>
      </c>
      <c r="K191" t="e" cm="1">
        <f t="array" ref="K191">INDEX('GMW - Baseline'!$A$2:$MC$200,MATCH(1,('GMW - Baseline'!$MC$2:$MC$200=K$3)*('GMW - Baseline'!$MB$2:$MB$200=K$4),0),$E191-1973)</f>
        <v>#N/A</v>
      </c>
      <c r="L191" t="e" cm="1">
        <f t="array" ref="L191">INDEX('GMW - Baseline'!$A$2:$MC$200,MATCH(1,('GMW - Baseline'!$MC$2:$MC$200=L$3)*('GMW - Baseline'!$MB$2:$MB$200=L$4),0),$E191-1973)</f>
        <v>#N/A</v>
      </c>
      <c r="M191" t="e" cm="1">
        <f t="array" ref="M191">INDEX('GMW - Baseline'!$A$2:$MC$200,MATCH(1,('GMW - Baseline'!$MC$2:$MC$200=M$3)*('GMW - Baseline'!$MB$2:$MB$200=M$4),0),$E191-1973)</f>
        <v>#N/A</v>
      </c>
      <c r="N191" t="e" cm="1">
        <f t="array" ref="N191">INDEX('GMW - Baseline'!$A$2:$MC$200,MATCH(1,('GMW - Baseline'!$MC$2:$MC$200=N$3)*('GMW - Baseline'!$MB$2:$MB$200=N$4),0),$E191-1973)</f>
        <v>#N/A</v>
      </c>
      <c r="O191" t="e" cm="1">
        <f t="array" ref="O191">INDEX('GMW - Baseline'!$A$2:$MC$200,MATCH(1,('GMW - Baseline'!$MC$2:$MC$200=O$3)*('GMW - Baseline'!$MB$2:$MB$200=O$4),0),$E191-1973)</f>
        <v>#N/A</v>
      </c>
      <c r="P191" t="e" cm="1">
        <f t="array" ref="P191">INDEX('GMW - Baseline'!$A$2:$MC$200,MATCH(1,('GMW - Baseline'!$MC$2:$MC$200=P$3)*('GMW - Baseline'!$MB$2:$MB$200=P$4),0),$E191-1973)</f>
        <v>#N/A</v>
      </c>
      <c r="Q191" t="e" cm="1">
        <f t="array" ref="Q191">INDEX('GMW - Baseline'!$A$2:$MC$200,MATCH(1,('GMW - Baseline'!$MC$2:$MC$200=Q$3)*('GMW - Baseline'!$MB$2:$MB$200=Q$4),0),$E191-1973)</f>
        <v>#N/A</v>
      </c>
      <c r="R191" t="e" cm="1">
        <f t="array" ref="R191">INDEX('GMW - Baseline'!$A$2:$MC$200,MATCH(1,('GMW - Baseline'!$MC$2:$MC$200=R$3)*('GMW - Baseline'!$MB$2:$MB$200=R$4),0),$E191-1973)</f>
        <v>#N/A</v>
      </c>
      <c r="S191" t="e" cm="1">
        <f t="array" ref="S191">INDEX('GMW - Baseline'!$A$2:$MC$200,MATCH(1,('GMW - Baseline'!$MC$2:$MC$200=S$3)*('GMW - Baseline'!$MB$2:$MB$200=S$4),0),$E191-1973)</f>
        <v>#N/A</v>
      </c>
      <c r="T191" t="e" cm="1">
        <f t="array" ref="T191">INDEX('GMW - Baseline'!$A$2:$MC$200,MATCH(1,('GMW - Baseline'!$MC$2:$MC$200=T$3)*('GMW - Baseline'!$MB$2:$MB$200=T$4),0),$E191-1973)</f>
        <v>#N/A</v>
      </c>
    </row>
    <row r="192" spans="1:20" x14ac:dyDescent="0.25">
      <c r="B192">
        <f t="shared" si="15"/>
        <v>2026</v>
      </c>
      <c r="C192">
        <f t="shared" si="15"/>
        <v>2026</v>
      </c>
      <c r="E192">
        <f t="shared" si="11"/>
        <v>2165</v>
      </c>
      <c r="F192" cm="1">
        <f t="array" ref="F192">INDEX('GMW - Baseline'!$A$2:$MC$200,MATCH(1,('GMW - Baseline'!$MC$2:$MC$200=F$3)*('GMW - Baseline'!$MB$2:$MB$200=F$4),0),$E192-1973)</f>
        <v>709853.7</v>
      </c>
      <c r="G192" cm="1">
        <f t="array" ref="G192">INDEX('GMW - Baseline'!$A$2:$MC$200,MATCH(1,('GMW - Baseline'!$MC$2:$MC$200=G$3)*('GMW - Baseline'!$MB$2:$MB$200=G$4),0),$E192-1973)</f>
        <v>419655.9</v>
      </c>
      <c r="H192" cm="1">
        <f t="array" ref="H192">INDEX('GMW - Baseline'!$A$2:$MC$200,MATCH(1,('GMW - Baseline'!$MC$2:$MC$200=H$3)*('GMW - Baseline'!$MB$2:$MB$200=H$4),0),$E192-1973)</f>
        <v>141.94820000000001</v>
      </c>
      <c r="I192" cm="1">
        <f t="array" ref="I192">INDEX('GMW - Baseline'!$A$2:$MC$200,MATCH(1,('GMW - Baseline'!$MC$2:$MC$200=I$3)*('GMW - Baseline'!$MB$2:$MB$200=I$4),0),$E192-1973)</f>
        <v>3.5807669999999998</v>
      </c>
      <c r="J192" t="e" cm="1">
        <f t="array" ref="J192">INDEX('GMW - Baseline'!$A$2:$MC$200,MATCH(1,('GMW - Baseline'!$MC$2:$MC$200=J$3)*('GMW - Baseline'!$MB$2:$MB$200=J$4),0),$E192-1973)</f>
        <v>#N/A</v>
      </c>
      <c r="K192" t="e" cm="1">
        <f t="array" ref="K192">INDEX('GMW - Baseline'!$A$2:$MC$200,MATCH(1,('GMW - Baseline'!$MC$2:$MC$200=K$3)*('GMW - Baseline'!$MB$2:$MB$200=K$4),0),$E192-1973)</f>
        <v>#N/A</v>
      </c>
      <c r="L192" t="e" cm="1">
        <f t="array" ref="L192">INDEX('GMW - Baseline'!$A$2:$MC$200,MATCH(1,('GMW - Baseline'!$MC$2:$MC$200=L$3)*('GMW - Baseline'!$MB$2:$MB$200=L$4),0),$E192-1973)</f>
        <v>#N/A</v>
      </c>
      <c r="M192" t="e" cm="1">
        <f t="array" ref="M192">INDEX('GMW - Baseline'!$A$2:$MC$200,MATCH(1,('GMW - Baseline'!$MC$2:$MC$200=M$3)*('GMW - Baseline'!$MB$2:$MB$200=M$4),0),$E192-1973)</f>
        <v>#N/A</v>
      </c>
      <c r="N192" t="e" cm="1">
        <f t="array" ref="N192">INDEX('GMW - Baseline'!$A$2:$MC$200,MATCH(1,('GMW - Baseline'!$MC$2:$MC$200=N$3)*('GMW - Baseline'!$MB$2:$MB$200=N$4),0),$E192-1973)</f>
        <v>#N/A</v>
      </c>
      <c r="O192" t="e" cm="1">
        <f t="array" ref="O192">INDEX('GMW - Baseline'!$A$2:$MC$200,MATCH(1,('GMW - Baseline'!$MC$2:$MC$200=O$3)*('GMW - Baseline'!$MB$2:$MB$200=O$4),0),$E192-1973)</f>
        <v>#N/A</v>
      </c>
      <c r="P192" t="e" cm="1">
        <f t="array" ref="P192">INDEX('GMW - Baseline'!$A$2:$MC$200,MATCH(1,('GMW - Baseline'!$MC$2:$MC$200=P$3)*('GMW - Baseline'!$MB$2:$MB$200=P$4),0),$E192-1973)</f>
        <v>#N/A</v>
      </c>
      <c r="Q192" t="e" cm="1">
        <f t="array" ref="Q192">INDEX('GMW - Baseline'!$A$2:$MC$200,MATCH(1,('GMW - Baseline'!$MC$2:$MC$200=Q$3)*('GMW - Baseline'!$MB$2:$MB$200=Q$4),0),$E192-1973)</f>
        <v>#N/A</v>
      </c>
      <c r="R192" t="e" cm="1">
        <f t="array" ref="R192">INDEX('GMW - Baseline'!$A$2:$MC$200,MATCH(1,('GMW - Baseline'!$MC$2:$MC$200=R$3)*('GMW - Baseline'!$MB$2:$MB$200=R$4),0),$E192-1973)</f>
        <v>#N/A</v>
      </c>
      <c r="S192" t="e" cm="1">
        <f t="array" ref="S192">INDEX('GMW - Baseline'!$A$2:$MC$200,MATCH(1,('GMW - Baseline'!$MC$2:$MC$200=S$3)*('GMW - Baseline'!$MB$2:$MB$200=S$4),0),$E192-1973)</f>
        <v>#N/A</v>
      </c>
      <c r="T192" t="e" cm="1">
        <f t="array" ref="T192">INDEX('GMW - Baseline'!$A$2:$MC$200,MATCH(1,('GMW - Baseline'!$MC$2:$MC$200=T$3)*('GMW - Baseline'!$MB$2:$MB$200=T$4),0),$E192-1973)</f>
        <v>#N/A</v>
      </c>
    </row>
    <row r="193" spans="1:20" x14ac:dyDescent="0.25">
      <c r="B193">
        <f t="shared" si="15"/>
        <v>2026</v>
      </c>
      <c r="C193">
        <f t="shared" si="15"/>
        <v>2026</v>
      </c>
      <c r="E193">
        <f t="shared" si="11"/>
        <v>2166</v>
      </c>
      <c r="F193" cm="1">
        <f t="array" ref="F193">INDEX('GMW - Baseline'!$A$2:$MC$200,MATCH(1,('GMW - Baseline'!$MC$2:$MC$200=F$3)*('GMW - Baseline'!$MB$2:$MB$200=F$4),0),$E193-1973)</f>
        <v>711305.4</v>
      </c>
      <c r="G193" cm="1">
        <f t="array" ref="G193">INDEX('GMW - Baseline'!$A$2:$MC$200,MATCH(1,('GMW - Baseline'!$MC$2:$MC$200=G$3)*('GMW - Baseline'!$MB$2:$MB$200=G$4),0),$E193-1973)</f>
        <v>420263.7</v>
      </c>
      <c r="H193" cm="1">
        <f t="array" ref="H193">INDEX('GMW - Baseline'!$A$2:$MC$200,MATCH(1,('GMW - Baseline'!$MC$2:$MC$200=H$3)*('GMW - Baseline'!$MB$2:$MB$200=H$4),0),$E193-1973)</f>
        <v>143.16720000000001</v>
      </c>
      <c r="I193" cm="1">
        <f t="array" ref="I193">INDEX('GMW - Baseline'!$A$2:$MC$200,MATCH(1,('GMW - Baseline'!$MC$2:$MC$200=I$3)*('GMW - Baseline'!$MB$2:$MB$200=I$4),0),$E193-1973)</f>
        <v>3.4999920000000002</v>
      </c>
      <c r="J193" t="e" cm="1">
        <f t="array" ref="J193">INDEX('GMW - Baseline'!$A$2:$MC$200,MATCH(1,('GMW - Baseline'!$MC$2:$MC$200=J$3)*('GMW - Baseline'!$MB$2:$MB$200=J$4),0),$E193-1973)</f>
        <v>#N/A</v>
      </c>
      <c r="K193" t="e" cm="1">
        <f t="array" ref="K193">INDEX('GMW - Baseline'!$A$2:$MC$200,MATCH(1,('GMW - Baseline'!$MC$2:$MC$200=K$3)*('GMW - Baseline'!$MB$2:$MB$200=K$4),0),$E193-1973)</f>
        <v>#N/A</v>
      </c>
      <c r="L193" t="e" cm="1">
        <f t="array" ref="L193">INDEX('GMW - Baseline'!$A$2:$MC$200,MATCH(1,('GMW - Baseline'!$MC$2:$MC$200=L$3)*('GMW - Baseline'!$MB$2:$MB$200=L$4),0),$E193-1973)</f>
        <v>#N/A</v>
      </c>
      <c r="M193" t="e" cm="1">
        <f t="array" ref="M193">INDEX('GMW - Baseline'!$A$2:$MC$200,MATCH(1,('GMW - Baseline'!$MC$2:$MC$200=M$3)*('GMW - Baseline'!$MB$2:$MB$200=M$4),0),$E193-1973)</f>
        <v>#N/A</v>
      </c>
      <c r="N193" t="e" cm="1">
        <f t="array" ref="N193">INDEX('GMW - Baseline'!$A$2:$MC$200,MATCH(1,('GMW - Baseline'!$MC$2:$MC$200=N$3)*('GMW - Baseline'!$MB$2:$MB$200=N$4),0),$E193-1973)</f>
        <v>#N/A</v>
      </c>
      <c r="O193" t="e" cm="1">
        <f t="array" ref="O193">INDEX('GMW - Baseline'!$A$2:$MC$200,MATCH(1,('GMW - Baseline'!$MC$2:$MC$200=O$3)*('GMW - Baseline'!$MB$2:$MB$200=O$4),0),$E193-1973)</f>
        <v>#N/A</v>
      </c>
      <c r="P193" t="e" cm="1">
        <f t="array" ref="P193">INDEX('GMW - Baseline'!$A$2:$MC$200,MATCH(1,('GMW - Baseline'!$MC$2:$MC$200=P$3)*('GMW - Baseline'!$MB$2:$MB$200=P$4),0),$E193-1973)</f>
        <v>#N/A</v>
      </c>
      <c r="Q193" t="e" cm="1">
        <f t="array" ref="Q193">INDEX('GMW - Baseline'!$A$2:$MC$200,MATCH(1,('GMW - Baseline'!$MC$2:$MC$200=Q$3)*('GMW - Baseline'!$MB$2:$MB$200=Q$4),0),$E193-1973)</f>
        <v>#N/A</v>
      </c>
      <c r="R193" t="e" cm="1">
        <f t="array" ref="R193">INDEX('GMW - Baseline'!$A$2:$MC$200,MATCH(1,('GMW - Baseline'!$MC$2:$MC$200=R$3)*('GMW - Baseline'!$MB$2:$MB$200=R$4),0),$E193-1973)</f>
        <v>#N/A</v>
      </c>
      <c r="S193" t="e" cm="1">
        <f t="array" ref="S193">INDEX('GMW - Baseline'!$A$2:$MC$200,MATCH(1,('GMW - Baseline'!$MC$2:$MC$200=S$3)*('GMW - Baseline'!$MB$2:$MB$200=S$4),0),$E193-1973)</f>
        <v>#N/A</v>
      </c>
      <c r="T193" t="e" cm="1">
        <f t="array" ref="T193">INDEX('GMW - Baseline'!$A$2:$MC$200,MATCH(1,('GMW - Baseline'!$MC$2:$MC$200=T$3)*('GMW - Baseline'!$MB$2:$MB$200=T$4),0),$E193-1973)</f>
        <v>#N/A</v>
      </c>
    </row>
    <row r="194" spans="1:20" x14ac:dyDescent="0.25">
      <c r="B194">
        <f t="shared" si="15"/>
        <v>2026</v>
      </c>
      <c r="C194">
        <f t="shared" si="15"/>
        <v>2026</v>
      </c>
      <c r="E194">
        <f t="shared" si="11"/>
        <v>2167</v>
      </c>
      <c r="F194" cm="1">
        <f t="array" ref="F194">INDEX('GMW - Baseline'!$A$2:$MC$200,MATCH(1,('GMW - Baseline'!$MC$2:$MC$200=F$3)*('GMW - Baseline'!$MB$2:$MB$200=F$4),0),$E194-1973)</f>
        <v>713264</v>
      </c>
      <c r="G194" cm="1">
        <f t="array" ref="G194">INDEX('GMW - Baseline'!$A$2:$MC$200,MATCH(1,('GMW - Baseline'!$MC$2:$MC$200=G$3)*('GMW - Baseline'!$MB$2:$MB$200=G$4),0),$E194-1973)</f>
        <v>421146.4</v>
      </c>
      <c r="H194" cm="1">
        <f t="array" ref="H194">INDEX('GMW - Baseline'!$A$2:$MC$200,MATCH(1,('GMW - Baseline'!$MC$2:$MC$200=H$3)*('GMW - Baseline'!$MB$2:$MB$200=H$4),0),$E194-1973)</f>
        <v>143.49109999999999</v>
      </c>
      <c r="I194" cm="1">
        <f t="array" ref="I194">INDEX('GMW - Baseline'!$A$2:$MC$200,MATCH(1,('GMW - Baseline'!$MC$2:$MC$200=I$3)*('GMW - Baseline'!$MB$2:$MB$200=I$4),0),$E194-1973)</f>
        <v>3.3446760000000002</v>
      </c>
      <c r="J194" t="e" cm="1">
        <f t="array" ref="J194">INDEX('GMW - Baseline'!$A$2:$MC$200,MATCH(1,('GMW - Baseline'!$MC$2:$MC$200=J$3)*('GMW - Baseline'!$MB$2:$MB$200=J$4),0),$E194-1973)</f>
        <v>#N/A</v>
      </c>
      <c r="K194" t="e" cm="1">
        <f t="array" ref="K194">INDEX('GMW - Baseline'!$A$2:$MC$200,MATCH(1,('GMW - Baseline'!$MC$2:$MC$200=K$3)*('GMW - Baseline'!$MB$2:$MB$200=K$4),0),$E194-1973)</f>
        <v>#N/A</v>
      </c>
      <c r="L194" t="e" cm="1">
        <f t="array" ref="L194">INDEX('GMW - Baseline'!$A$2:$MC$200,MATCH(1,('GMW - Baseline'!$MC$2:$MC$200=L$3)*('GMW - Baseline'!$MB$2:$MB$200=L$4),0),$E194-1973)</f>
        <v>#N/A</v>
      </c>
      <c r="M194" t="e" cm="1">
        <f t="array" ref="M194">INDEX('GMW - Baseline'!$A$2:$MC$200,MATCH(1,('GMW - Baseline'!$MC$2:$MC$200=M$3)*('GMW - Baseline'!$MB$2:$MB$200=M$4),0),$E194-1973)</f>
        <v>#N/A</v>
      </c>
      <c r="N194" t="e" cm="1">
        <f t="array" ref="N194">INDEX('GMW - Baseline'!$A$2:$MC$200,MATCH(1,('GMW - Baseline'!$MC$2:$MC$200=N$3)*('GMW - Baseline'!$MB$2:$MB$200=N$4),0),$E194-1973)</f>
        <v>#N/A</v>
      </c>
      <c r="O194" t="e" cm="1">
        <f t="array" ref="O194">INDEX('GMW - Baseline'!$A$2:$MC$200,MATCH(1,('GMW - Baseline'!$MC$2:$MC$200=O$3)*('GMW - Baseline'!$MB$2:$MB$200=O$4),0),$E194-1973)</f>
        <v>#N/A</v>
      </c>
      <c r="P194" t="e" cm="1">
        <f t="array" ref="P194">INDEX('GMW - Baseline'!$A$2:$MC$200,MATCH(1,('GMW - Baseline'!$MC$2:$MC$200=P$3)*('GMW - Baseline'!$MB$2:$MB$200=P$4),0),$E194-1973)</f>
        <v>#N/A</v>
      </c>
      <c r="Q194" t="e" cm="1">
        <f t="array" ref="Q194">INDEX('GMW - Baseline'!$A$2:$MC$200,MATCH(1,('GMW - Baseline'!$MC$2:$MC$200=Q$3)*('GMW - Baseline'!$MB$2:$MB$200=Q$4),0),$E194-1973)</f>
        <v>#N/A</v>
      </c>
      <c r="R194" t="e" cm="1">
        <f t="array" ref="R194">INDEX('GMW - Baseline'!$A$2:$MC$200,MATCH(1,('GMW - Baseline'!$MC$2:$MC$200=R$3)*('GMW - Baseline'!$MB$2:$MB$200=R$4),0),$E194-1973)</f>
        <v>#N/A</v>
      </c>
      <c r="S194" t="e" cm="1">
        <f t="array" ref="S194">INDEX('GMW - Baseline'!$A$2:$MC$200,MATCH(1,('GMW - Baseline'!$MC$2:$MC$200=S$3)*('GMW - Baseline'!$MB$2:$MB$200=S$4),0),$E194-1973)</f>
        <v>#N/A</v>
      </c>
      <c r="T194" t="e" cm="1">
        <f t="array" ref="T194">INDEX('GMW - Baseline'!$A$2:$MC$200,MATCH(1,('GMW - Baseline'!$MC$2:$MC$200=T$3)*('GMW - Baseline'!$MB$2:$MB$200=T$4),0),$E194-1973)</f>
        <v>#N/A</v>
      </c>
    </row>
    <row r="195" spans="1:20" x14ac:dyDescent="0.25">
      <c r="A195">
        <v>2027</v>
      </c>
      <c r="B195">
        <f t="shared" si="15"/>
        <v>2027</v>
      </c>
      <c r="C195">
        <f t="shared" si="15"/>
        <v>2026</v>
      </c>
      <c r="D195">
        <f t="shared" si="15"/>
        <v>2026</v>
      </c>
      <c r="E195">
        <f t="shared" si="11"/>
        <v>2168</v>
      </c>
      <c r="F195" cm="1">
        <f t="array" ref="F195">INDEX('GMW - Baseline'!$A$2:$MC$200,MATCH(1,('GMW - Baseline'!$MC$2:$MC$200=F$3)*('GMW - Baseline'!$MB$2:$MB$200=F$4),0),$E195-1973)</f>
        <v>715760.7</v>
      </c>
      <c r="G195" cm="1">
        <f t="array" ref="G195">INDEX('GMW - Baseline'!$A$2:$MC$200,MATCH(1,('GMW - Baseline'!$MC$2:$MC$200=G$3)*('GMW - Baseline'!$MB$2:$MB$200=G$4),0),$E195-1973)</f>
        <v>422262</v>
      </c>
      <c r="H195" cm="1">
        <f t="array" ref="H195">INDEX('GMW - Baseline'!$A$2:$MC$200,MATCH(1,('GMW - Baseline'!$MC$2:$MC$200=H$3)*('GMW - Baseline'!$MB$2:$MB$200=H$4),0),$E195-1973)</f>
        <v>143.51320000000001</v>
      </c>
      <c r="I195" cm="1">
        <f t="array" ref="I195">INDEX('GMW - Baseline'!$A$2:$MC$200,MATCH(1,('GMW - Baseline'!$MC$2:$MC$200=I$3)*('GMW - Baseline'!$MB$2:$MB$200=I$4),0),$E195-1973)</f>
        <v>3.2499609999999999</v>
      </c>
      <c r="J195" t="e" cm="1">
        <f t="array" ref="J195">INDEX('GMW - Baseline'!$A$2:$MC$200,MATCH(1,('GMW - Baseline'!$MC$2:$MC$200=J$3)*('GMW - Baseline'!$MB$2:$MB$200=J$4),0),$E195-1973)</f>
        <v>#N/A</v>
      </c>
      <c r="K195" t="e" cm="1">
        <f t="array" ref="K195">INDEX('GMW - Baseline'!$A$2:$MC$200,MATCH(1,('GMW - Baseline'!$MC$2:$MC$200=K$3)*('GMW - Baseline'!$MB$2:$MB$200=K$4),0),$E195-1973)</f>
        <v>#N/A</v>
      </c>
      <c r="L195" t="e" cm="1">
        <f t="array" ref="L195">INDEX('GMW - Baseline'!$A$2:$MC$200,MATCH(1,('GMW - Baseline'!$MC$2:$MC$200=L$3)*('GMW - Baseline'!$MB$2:$MB$200=L$4),0),$E195-1973)</f>
        <v>#N/A</v>
      </c>
      <c r="M195" t="e" cm="1">
        <f t="array" ref="M195">INDEX('GMW - Baseline'!$A$2:$MC$200,MATCH(1,('GMW - Baseline'!$MC$2:$MC$200=M$3)*('GMW - Baseline'!$MB$2:$MB$200=M$4),0),$E195-1973)</f>
        <v>#N/A</v>
      </c>
      <c r="N195" t="e" cm="1">
        <f t="array" ref="N195">INDEX('GMW - Baseline'!$A$2:$MC$200,MATCH(1,('GMW - Baseline'!$MC$2:$MC$200=N$3)*('GMW - Baseline'!$MB$2:$MB$200=N$4),0),$E195-1973)</f>
        <v>#N/A</v>
      </c>
      <c r="O195" t="e" cm="1">
        <f t="array" ref="O195">INDEX('GMW - Baseline'!$A$2:$MC$200,MATCH(1,('GMW - Baseline'!$MC$2:$MC$200=O$3)*('GMW - Baseline'!$MB$2:$MB$200=O$4),0),$E195-1973)</f>
        <v>#N/A</v>
      </c>
      <c r="P195" t="e" cm="1">
        <f t="array" ref="P195">INDEX('GMW - Baseline'!$A$2:$MC$200,MATCH(1,('GMW - Baseline'!$MC$2:$MC$200=P$3)*('GMW - Baseline'!$MB$2:$MB$200=P$4),0),$E195-1973)</f>
        <v>#N/A</v>
      </c>
      <c r="Q195" t="e" cm="1">
        <f t="array" ref="Q195">INDEX('GMW - Baseline'!$A$2:$MC$200,MATCH(1,('GMW - Baseline'!$MC$2:$MC$200=Q$3)*('GMW - Baseline'!$MB$2:$MB$200=Q$4),0),$E195-1973)</f>
        <v>#N/A</v>
      </c>
      <c r="R195" t="e" cm="1">
        <f t="array" ref="R195">INDEX('GMW - Baseline'!$A$2:$MC$200,MATCH(1,('GMW - Baseline'!$MC$2:$MC$200=R$3)*('GMW - Baseline'!$MB$2:$MB$200=R$4),0),$E195-1973)</f>
        <v>#N/A</v>
      </c>
      <c r="S195" t="e" cm="1">
        <f t="array" ref="S195">INDEX('GMW - Baseline'!$A$2:$MC$200,MATCH(1,('GMW - Baseline'!$MC$2:$MC$200=S$3)*('GMW - Baseline'!$MB$2:$MB$200=S$4),0),$E195-1973)</f>
        <v>#N/A</v>
      </c>
      <c r="T195" t="e" cm="1">
        <f t="array" ref="T195">INDEX('GMW - Baseline'!$A$2:$MC$200,MATCH(1,('GMW - Baseline'!$MC$2:$MC$200=T$3)*('GMW - Baseline'!$MB$2:$MB$200=T$4),0),$E195-1973)</f>
        <v>#N/A</v>
      </c>
    </row>
    <row r="196" spans="1:20" x14ac:dyDescent="0.25">
      <c r="B196">
        <f t="shared" si="15"/>
        <v>2027</v>
      </c>
      <c r="C196">
        <f t="shared" si="15"/>
        <v>2027</v>
      </c>
      <c r="E196">
        <f t="shared" si="11"/>
        <v>2169</v>
      </c>
      <c r="F196" cm="1">
        <f t="array" ref="F196">INDEX('GMW - Baseline'!$A$2:$MC$200,MATCH(1,('GMW - Baseline'!$MC$2:$MC$200=F$3)*('GMW - Baseline'!$MB$2:$MB$200=F$4),0),$E196-1973)</f>
        <v>718249.3</v>
      </c>
      <c r="G196" cm="1">
        <f t="array" ref="G196">INDEX('GMW - Baseline'!$A$2:$MC$200,MATCH(1,('GMW - Baseline'!$MC$2:$MC$200=G$3)*('GMW - Baseline'!$MB$2:$MB$200=G$4),0),$E196-1973)</f>
        <v>423360.5</v>
      </c>
      <c r="H196" cm="1">
        <f t="array" ref="H196">INDEX('GMW - Baseline'!$A$2:$MC$200,MATCH(1,('GMW - Baseline'!$MC$2:$MC$200=H$3)*('GMW - Baseline'!$MB$2:$MB$200=H$4),0),$E196-1973)</f>
        <v>145.04669999999999</v>
      </c>
      <c r="I196" cm="1">
        <f t="array" ref="I196">INDEX('GMW - Baseline'!$A$2:$MC$200,MATCH(1,('GMW - Baseline'!$MC$2:$MC$200=I$3)*('GMW - Baseline'!$MB$2:$MB$200=I$4),0),$E196-1973)</f>
        <v>3.0768689999999999</v>
      </c>
      <c r="J196" t="e" cm="1">
        <f t="array" ref="J196">INDEX('GMW - Baseline'!$A$2:$MC$200,MATCH(1,('GMW - Baseline'!$MC$2:$MC$200=J$3)*('GMW - Baseline'!$MB$2:$MB$200=J$4),0),$E196-1973)</f>
        <v>#N/A</v>
      </c>
      <c r="K196" t="e" cm="1">
        <f t="array" ref="K196">INDEX('GMW - Baseline'!$A$2:$MC$200,MATCH(1,('GMW - Baseline'!$MC$2:$MC$200=K$3)*('GMW - Baseline'!$MB$2:$MB$200=K$4),0),$E196-1973)</f>
        <v>#N/A</v>
      </c>
      <c r="L196" t="e" cm="1">
        <f t="array" ref="L196">INDEX('GMW - Baseline'!$A$2:$MC$200,MATCH(1,('GMW - Baseline'!$MC$2:$MC$200=L$3)*('GMW - Baseline'!$MB$2:$MB$200=L$4),0),$E196-1973)</f>
        <v>#N/A</v>
      </c>
      <c r="M196" t="e" cm="1">
        <f t="array" ref="M196">INDEX('GMW - Baseline'!$A$2:$MC$200,MATCH(1,('GMW - Baseline'!$MC$2:$MC$200=M$3)*('GMW - Baseline'!$MB$2:$MB$200=M$4),0),$E196-1973)</f>
        <v>#N/A</v>
      </c>
      <c r="N196" t="e" cm="1">
        <f t="array" ref="N196">INDEX('GMW - Baseline'!$A$2:$MC$200,MATCH(1,('GMW - Baseline'!$MC$2:$MC$200=N$3)*('GMW - Baseline'!$MB$2:$MB$200=N$4),0),$E196-1973)</f>
        <v>#N/A</v>
      </c>
      <c r="O196" t="e" cm="1">
        <f t="array" ref="O196">INDEX('GMW - Baseline'!$A$2:$MC$200,MATCH(1,('GMW - Baseline'!$MC$2:$MC$200=O$3)*('GMW - Baseline'!$MB$2:$MB$200=O$4),0),$E196-1973)</f>
        <v>#N/A</v>
      </c>
      <c r="P196" t="e" cm="1">
        <f t="array" ref="P196">INDEX('GMW - Baseline'!$A$2:$MC$200,MATCH(1,('GMW - Baseline'!$MC$2:$MC$200=P$3)*('GMW - Baseline'!$MB$2:$MB$200=P$4),0),$E196-1973)</f>
        <v>#N/A</v>
      </c>
      <c r="Q196" t="e" cm="1">
        <f t="array" ref="Q196">INDEX('GMW - Baseline'!$A$2:$MC$200,MATCH(1,('GMW - Baseline'!$MC$2:$MC$200=Q$3)*('GMW - Baseline'!$MB$2:$MB$200=Q$4),0),$E196-1973)</f>
        <v>#N/A</v>
      </c>
      <c r="R196" t="e" cm="1">
        <f t="array" ref="R196">INDEX('GMW - Baseline'!$A$2:$MC$200,MATCH(1,('GMW - Baseline'!$MC$2:$MC$200=R$3)*('GMW - Baseline'!$MB$2:$MB$200=R$4),0),$E196-1973)</f>
        <v>#N/A</v>
      </c>
      <c r="S196" t="e" cm="1">
        <f t="array" ref="S196">INDEX('GMW - Baseline'!$A$2:$MC$200,MATCH(1,('GMW - Baseline'!$MC$2:$MC$200=S$3)*('GMW - Baseline'!$MB$2:$MB$200=S$4),0),$E196-1973)</f>
        <v>#N/A</v>
      </c>
      <c r="T196" t="e" cm="1">
        <f t="array" ref="T196">INDEX('GMW - Baseline'!$A$2:$MC$200,MATCH(1,('GMW - Baseline'!$MC$2:$MC$200=T$3)*('GMW - Baseline'!$MB$2:$MB$200=T$4),0),$E196-1973)</f>
        <v>#N/A</v>
      </c>
    </row>
    <row r="197" spans="1:20" x14ac:dyDescent="0.25">
      <c r="B197">
        <f t="shared" si="15"/>
        <v>2027</v>
      </c>
      <c r="C197">
        <f t="shared" si="15"/>
        <v>2027</v>
      </c>
      <c r="E197">
        <f t="shared" si="11"/>
        <v>2170</v>
      </c>
      <c r="F197" cm="1">
        <f t="array" ref="F197">INDEX('GMW - Baseline'!$A$2:$MC$200,MATCH(1,('GMW - Baseline'!$MC$2:$MC$200=F$3)*('GMW - Baseline'!$MB$2:$MB$200=F$4),0),$E197-1973)</f>
        <v>721050.6</v>
      </c>
      <c r="G197" cm="1">
        <f t="array" ref="G197">INDEX('GMW - Baseline'!$A$2:$MC$200,MATCH(1,('GMW - Baseline'!$MC$2:$MC$200=G$3)*('GMW - Baseline'!$MB$2:$MB$200=G$4),0),$E197-1973)</f>
        <v>424656.6</v>
      </c>
      <c r="H197" cm="1">
        <f t="array" ref="H197">INDEX('GMW - Baseline'!$A$2:$MC$200,MATCH(1,('GMW - Baseline'!$MC$2:$MC$200=H$3)*('GMW - Baseline'!$MB$2:$MB$200=H$4),0),$E197-1973)</f>
        <v>145.76089999999999</v>
      </c>
      <c r="I197" cm="1">
        <f t="array" ref="I197">INDEX('GMW - Baseline'!$A$2:$MC$200,MATCH(1,('GMW - Baseline'!$MC$2:$MC$200=I$3)*('GMW - Baseline'!$MB$2:$MB$200=I$4),0),$E197-1973)</f>
        <v>2.9999400000000001</v>
      </c>
      <c r="J197" t="e" cm="1">
        <f t="array" ref="J197">INDEX('GMW - Baseline'!$A$2:$MC$200,MATCH(1,('GMW - Baseline'!$MC$2:$MC$200=J$3)*('GMW - Baseline'!$MB$2:$MB$200=J$4),0),$E197-1973)</f>
        <v>#N/A</v>
      </c>
      <c r="K197" t="e" cm="1">
        <f t="array" ref="K197">INDEX('GMW - Baseline'!$A$2:$MC$200,MATCH(1,('GMW - Baseline'!$MC$2:$MC$200=K$3)*('GMW - Baseline'!$MB$2:$MB$200=K$4),0),$E197-1973)</f>
        <v>#N/A</v>
      </c>
      <c r="L197" t="e" cm="1">
        <f t="array" ref="L197">INDEX('GMW - Baseline'!$A$2:$MC$200,MATCH(1,('GMW - Baseline'!$MC$2:$MC$200=L$3)*('GMW - Baseline'!$MB$2:$MB$200=L$4),0),$E197-1973)</f>
        <v>#N/A</v>
      </c>
      <c r="M197" t="e" cm="1">
        <f t="array" ref="M197">INDEX('GMW - Baseline'!$A$2:$MC$200,MATCH(1,('GMW - Baseline'!$MC$2:$MC$200=M$3)*('GMW - Baseline'!$MB$2:$MB$200=M$4),0),$E197-1973)</f>
        <v>#N/A</v>
      </c>
      <c r="N197" t="e" cm="1">
        <f t="array" ref="N197">INDEX('GMW - Baseline'!$A$2:$MC$200,MATCH(1,('GMW - Baseline'!$MC$2:$MC$200=N$3)*('GMW - Baseline'!$MB$2:$MB$200=N$4),0),$E197-1973)</f>
        <v>#N/A</v>
      </c>
      <c r="O197" t="e" cm="1">
        <f t="array" ref="O197">INDEX('GMW - Baseline'!$A$2:$MC$200,MATCH(1,('GMW - Baseline'!$MC$2:$MC$200=O$3)*('GMW - Baseline'!$MB$2:$MB$200=O$4),0),$E197-1973)</f>
        <v>#N/A</v>
      </c>
      <c r="P197" t="e" cm="1">
        <f t="array" ref="P197">INDEX('GMW - Baseline'!$A$2:$MC$200,MATCH(1,('GMW - Baseline'!$MC$2:$MC$200=P$3)*('GMW - Baseline'!$MB$2:$MB$200=P$4),0),$E197-1973)</f>
        <v>#N/A</v>
      </c>
      <c r="Q197" t="e" cm="1">
        <f t="array" ref="Q197">INDEX('GMW - Baseline'!$A$2:$MC$200,MATCH(1,('GMW - Baseline'!$MC$2:$MC$200=Q$3)*('GMW - Baseline'!$MB$2:$MB$200=Q$4),0),$E197-1973)</f>
        <v>#N/A</v>
      </c>
      <c r="R197" t="e" cm="1">
        <f t="array" ref="R197">INDEX('GMW - Baseline'!$A$2:$MC$200,MATCH(1,('GMW - Baseline'!$MC$2:$MC$200=R$3)*('GMW - Baseline'!$MB$2:$MB$200=R$4),0),$E197-1973)</f>
        <v>#N/A</v>
      </c>
      <c r="S197" t="e" cm="1">
        <f t="array" ref="S197">INDEX('GMW - Baseline'!$A$2:$MC$200,MATCH(1,('GMW - Baseline'!$MC$2:$MC$200=S$3)*('GMW - Baseline'!$MB$2:$MB$200=S$4),0),$E197-1973)</f>
        <v>#N/A</v>
      </c>
      <c r="T197" t="e" cm="1">
        <f t="array" ref="T197">INDEX('GMW - Baseline'!$A$2:$MC$200,MATCH(1,('GMW - Baseline'!$MC$2:$MC$200=T$3)*('GMW - Baseline'!$MB$2:$MB$200=T$4),0),$E197-1973)</f>
        <v>#N/A</v>
      </c>
    </row>
    <row r="198" spans="1:20" x14ac:dyDescent="0.25">
      <c r="B198">
        <f t="shared" si="15"/>
        <v>2027</v>
      </c>
      <c r="C198">
        <f t="shared" si="15"/>
        <v>2027</v>
      </c>
      <c r="E198">
        <f t="shared" si="11"/>
        <v>2171</v>
      </c>
      <c r="F198" cm="1">
        <f t="array" ref="F198">INDEX('GMW - Baseline'!$A$2:$MC$200,MATCH(1,('GMW - Baseline'!$MC$2:$MC$200=F$3)*('GMW - Baseline'!$MB$2:$MB$200=F$4),0),$E198-1973)</f>
        <v>723790.6</v>
      </c>
      <c r="G198" cm="1">
        <f t="array" ref="G198">INDEX('GMW - Baseline'!$A$2:$MC$200,MATCH(1,('GMW - Baseline'!$MC$2:$MC$200=G$3)*('GMW - Baseline'!$MB$2:$MB$200=G$4),0),$E198-1973)</f>
        <v>425999.5</v>
      </c>
      <c r="H198" cm="1">
        <f t="array" ref="H198">INDEX('GMW - Baseline'!$A$2:$MC$200,MATCH(1,('GMW - Baseline'!$MC$2:$MC$200=H$3)*('GMW - Baseline'!$MB$2:$MB$200=H$4),0),$E198-1973)</f>
        <v>146.41030000000001</v>
      </c>
      <c r="I198" cm="1">
        <f t="array" ref="I198">INDEX('GMW - Baseline'!$A$2:$MC$200,MATCH(1,('GMW - Baseline'!$MC$2:$MC$200=I$3)*('GMW - Baseline'!$MB$2:$MB$200=I$4),0),$E198-1973)</f>
        <v>2.9999380000000002</v>
      </c>
      <c r="J198" t="e" cm="1">
        <f t="array" ref="J198">INDEX('GMW - Baseline'!$A$2:$MC$200,MATCH(1,('GMW - Baseline'!$MC$2:$MC$200=J$3)*('GMW - Baseline'!$MB$2:$MB$200=J$4),0),$E198-1973)</f>
        <v>#N/A</v>
      </c>
      <c r="K198" t="e" cm="1">
        <f t="array" ref="K198">INDEX('GMW - Baseline'!$A$2:$MC$200,MATCH(1,('GMW - Baseline'!$MC$2:$MC$200=K$3)*('GMW - Baseline'!$MB$2:$MB$200=K$4),0),$E198-1973)</f>
        <v>#N/A</v>
      </c>
      <c r="L198" t="e" cm="1">
        <f t="array" ref="L198">INDEX('GMW - Baseline'!$A$2:$MC$200,MATCH(1,('GMW - Baseline'!$MC$2:$MC$200=L$3)*('GMW - Baseline'!$MB$2:$MB$200=L$4),0),$E198-1973)</f>
        <v>#N/A</v>
      </c>
      <c r="M198" t="e" cm="1">
        <f t="array" ref="M198">INDEX('GMW - Baseline'!$A$2:$MC$200,MATCH(1,('GMW - Baseline'!$MC$2:$MC$200=M$3)*('GMW - Baseline'!$MB$2:$MB$200=M$4),0),$E198-1973)</f>
        <v>#N/A</v>
      </c>
      <c r="N198" t="e" cm="1">
        <f t="array" ref="N198">INDEX('GMW - Baseline'!$A$2:$MC$200,MATCH(1,('GMW - Baseline'!$MC$2:$MC$200=N$3)*('GMW - Baseline'!$MB$2:$MB$200=N$4),0),$E198-1973)</f>
        <v>#N/A</v>
      </c>
      <c r="O198" t="e" cm="1">
        <f t="array" ref="O198">INDEX('GMW - Baseline'!$A$2:$MC$200,MATCH(1,('GMW - Baseline'!$MC$2:$MC$200=O$3)*('GMW - Baseline'!$MB$2:$MB$200=O$4),0),$E198-1973)</f>
        <v>#N/A</v>
      </c>
      <c r="P198" t="e" cm="1">
        <f t="array" ref="P198">INDEX('GMW - Baseline'!$A$2:$MC$200,MATCH(1,('GMW - Baseline'!$MC$2:$MC$200=P$3)*('GMW - Baseline'!$MB$2:$MB$200=P$4),0),$E198-1973)</f>
        <v>#N/A</v>
      </c>
      <c r="Q198" t="e" cm="1">
        <f t="array" ref="Q198">INDEX('GMW - Baseline'!$A$2:$MC$200,MATCH(1,('GMW - Baseline'!$MC$2:$MC$200=Q$3)*('GMW - Baseline'!$MB$2:$MB$200=Q$4),0),$E198-1973)</f>
        <v>#N/A</v>
      </c>
      <c r="R198" t="e" cm="1">
        <f t="array" ref="R198">INDEX('GMW - Baseline'!$A$2:$MC$200,MATCH(1,('GMW - Baseline'!$MC$2:$MC$200=R$3)*('GMW - Baseline'!$MB$2:$MB$200=R$4),0),$E198-1973)</f>
        <v>#N/A</v>
      </c>
      <c r="S198" t="e" cm="1">
        <f t="array" ref="S198">INDEX('GMW - Baseline'!$A$2:$MC$200,MATCH(1,('GMW - Baseline'!$MC$2:$MC$200=S$3)*('GMW - Baseline'!$MB$2:$MB$200=S$4),0),$E198-1973)</f>
        <v>#N/A</v>
      </c>
      <c r="T198" t="e" cm="1">
        <f t="array" ref="T198">INDEX('GMW - Baseline'!$A$2:$MC$200,MATCH(1,('GMW - Baseline'!$MC$2:$MC$200=T$3)*('GMW - Baseline'!$MB$2:$MB$200=T$4),0),$E198-1973)</f>
        <v>#N/A</v>
      </c>
    </row>
    <row r="199" spans="1:20" x14ac:dyDescent="0.25">
      <c r="A199">
        <v>2028</v>
      </c>
      <c r="B199">
        <f t="shared" si="15"/>
        <v>2028</v>
      </c>
      <c r="C199">
        <f t="shared" si="15"/>
        <v>2027</v>
      </c>
      <c r="D199">
        <f t="shared" si="15"/>
        <v>2027</v>
      </c>
      <c r="E199">
        <f t="shared" si="11"/>
        <v>2172</v>
      </c>
      <c r="F199" cm="1">
        <f t="array" ref="F199">INDEX('GMW - Baseline'!$A$2:$MC$200,MATCH(1,('GMW - Baseline'!$MC$2:$MC$200=F$3)*('GMW - Baseline'!$MB$2:$MB$200=F$4),0),$E199-1973)</f>
        <v>726468.2</v>
      </c>
      <c r="G199" cm="1">
        <f t="array" ref="G199">INDEX('GMW - Baseline'!$A$2:$MC$200,MATCH(1,('GMW - Baseline'!$MC$2:$MC$200=G$3)*('GMW - Baseline'!$MB$2:$MB$200=G$4),0),$E199-1973)</f>
        <v>427409.4</v>
      </c>
      <c r="H199" cm="1">
        <f t="array" ref="H199">INDEX('GMW - Baseline'!$A$2:$MC$200,MATCH(1,('GMW - Baseline'!$MC$2:$MC$200=H$3)*('GMW - Baseline'!$MB$2:$MB$200=H$4),0),$E199-1973)</f>
        <v>146.61170000000001</v>
      </c>
      <c r="I199" cm="1">
        <f t="array" ref="I199">INDEX('GMW - Baseline'!$A$2:$MC$200,MATCH(1,('GMW - Baseline'!$MC$2:$MC$200=I$3)*('GMW - Baseline'!$MB$2:$MB$200=I$4),0),$E199-1973)</f>
        <v>2.999943</v>
      </c>
      <c r="J199" t="e" cm="1">
        <f t="array" ref="J199">INDEX('GMW - Baseline'!$A$2:$MC$200,MATCH(1,('GMW - Baseline'!$MC$2:$MC$200=J$3)*('GMW - Baseline'!$MB$2:$MB$200=J$4),0),$E199-1973)</f>
        <v>#N/A</v>
      </c>
      <c r="K199" t="e" cm="1">
        <f t="array" ref="K199">INDEX('GMW - Baseline'!$A$2:$MC$200,MATCH(1,('GMW - Baseline'!$MC$2:$MC$200=K$3)*('GMW - Baseline'!$MB$2:$MB$200=K$4),0),$E199-1973)</f>
        <v>#N/A</v>
      </c>
      <c r="L199" t="e" cm="1">
        <f t="array" ref="L199">INDEX('GMW - Baseline'!$A$2:$MC$200,MATCH(1,('GMW - Baseline'!$MC$2:$MC$200=L$3)*('GMW - Baseline'!$MB$2:$MB$200=L$4),0),$E199-1973)</f>
        <v>#N/A</v>
      </c>
      <c r="M199" t="e" cm="1">
        <f t="array" ref="M199">INDEX('GMW - Baseline'!$A$2:$MC$200,MATCH(1,('GMW - Baseline'!$MC$2:$MC$200=M$3)*('GMW - Baseline'!$MB$2:$MB$200=M$4),0),$E199-1973)</f>
        <v>#N/A</v>
      </c>
      <c r="N199" t="e" cm="1">
        <f t="array" ref="N199">INDEX('GMW - Baseline'!$A$2:$MC$200,MATCH(1,('GMW - Baseline'!$MC$2:$MC$200=N$3)*('GMW - Baseline'!$MB$2:$MB$200=N$4),0),$E199-1973)</f>
        <v>#N/A</v>
      </c>
      <c r="O199" t="e" cm="1">
        <f t="array" ref="O199">INDEX('GMW - Baseline'!$A$2:$MC$200,MATCH(1,('GMW - Baseline'!$MC$2:$MC$200=O$3)*('GMW - Baseline'!$MB$2:$MB$200=O$4),0),$E199-1973)</f>
        <v>#N/A</v>
      </c>
      <c r="P199" t="e" cm="1">
        <f t="array" ref="P199">INDEX('GMW - Baseline'!$A$2:$MC$200,MATCH(1,('GMW - Baseline'!$MC$2:$MC$200=P$3)*('GMW - Baseline'!$MB$2:$MB$200=P$4),0),$E199-1973)</f>
        <v>#N/A</v>
      </c>
      <c r="Q199" t="e" cm="1">
        <f t="array" ref="Q199">INDEX('GMW - Baseline'!$A$2:$MC$200,MATCH(1,('GMW - Baseline'!$MC$2:$MC$200=Q$3)*('GMW - Baseline'!$MB$2:$MB$200=Q$4),0),$E199-1973)</f>
        <v>#N/A</v>
      </c>
      <c r="R199" t="e" cm="1">
        <f t="array" ref="R199">INDEX('GMW - Baseline'!$A$2:$MC$200,MATCH(1,('GMW - Baseline'!$MC$2:$MC$200=R$3)*('GMW - Baseline'!$MB$2:$MB$200=R$4),0),$E199-1973)</f>
        <v>#N/A</v>
      </c>
      <c r="S199" t="e" cm="1">
        <f t="array" ref="S199">INDEX('GMW - Baseline'!$A$2:$MC$200,MATCH(1,('GMW - Baseline'!$MC$2:$MC$200=S$3)*('GMW - Baseline'!$MB$2:$MB$200=S$4),0),$E199-1973)</f>
        <v>#N/A</v>
      </c>
      <c r="T199" t="e" cm="1">
        <f t="array" ref="T199">INDEX('GMW - Baseline'!$A$2:$MC$200,MATCH(1,('GMW - Baseline'!$MC$2:$MC$200=T$3)*('GMW - Baseline'!$MB$2:$MB$200=T$4),0),$E199-1973)</f>
        <v>#N/A</v>
      </c>
    </row>
    <row r="200" spans="1:20" x14ac:dyDescent="0.25">
      <c r="B200">
        <f t="shared" si="15"/>
        <v>2028</v>
      </c>
      <c r="C200">
        <f t="shared" si="15"/>
        <v>2028</v>
      </c>
      <c r="E200">
        <f t="shared" si="11"/>
        <v>2173</v>
      </c>
      <c r="F200" cm="1">
        <f t="array" ref="F200">INDEX('GMW - Baseline'!$A$2:$MC$200,MATCH(1,('GMW - Baseline'!$MC$2:$MC$200=F$3)*('GMW - Baseline'!$MB$2:$MB$200=F$4),0),$E200-1973)</f>
        <v>729191.6</v>
      </c>
      <c r="G200" cm="1">
        <f t="array" ref="G200">INDEX('GMW - Baseline'!$A$2:$MC$200,MATCH(1,('GMW - Baseline'!$MC$2:$MC$200=G$3)*('GMW - Baseline'!$MB$2:$MB$200=G$4),0),$E200-1973)</f>
        <v>428995.4</v>
      </c>
      <c r="H200" cm="1">
        <f t="array" ref="H200">INDEX('GMW - Baseline'!$A$2:$MC$200,MATCH(1,('GMW - Baseline'!$MC$2:$MC$200=H$3)*('GMW - Baseline'!$MB$2:$MB$200=H$4),0),$E200-1973)</f>
        <v>147.91040000000001</v>
      </c>
      <c r="I200" cm="1">
        <f t="array" ref="I200">INDEX('GMW - Baseline'!$A$2:$MC$200,MATCH(1,('GMW - Baseline'!$MC$2:$MC$200=I$3)*('GMW - Baseline'!$MB$2:$MB$200=I$4),0),$E200-1973)</f>
        <v>2.8384160000000001</v>
      </c>
      <c r="J200" t="e" cm="1">
        <f t="array" ref="J200">INDEX('GMW - Baseline'!$A$2:$MC$200,MATCH(1,('GMW - Baseline'!$MC$2:$MC$200=J$3)*('GMW - Baseline'!$MB$2:$MB$200=J$4),0),$E200-1973)</f>
        <v>#N/A</v>
      </c>
      <c r="K200" t="e" cm="1">
        <f t="array" ref="K200">INDEX('GMW - Baseline'!$A$2:$MC$200,MATCH(1,('GMW - Baseline'!$MC$2:$MC$200=K$3)*('GMW - Baseline'!$MB$2:$MB$200=K$4),0),$E200-1973)</f>
        <v>#N/A</v>
      </c>
      <c r="L200" t="e" cm="1">
        <f t="array" ref="L200">INDEX('GMW - Baseline'!$A$2:$MC$200,MATCH(1,('GMW - Baseline'!$MC$2:$MC$200=L$3)*('GMW - Baseline'!$MB$2:$MB$200=L$4),0),$E200-1973)</f>
        <v>#N/A</v>
      </c>
      <c r="M200" t="e" cm="1">
        <f t="array" ref="M200">INDEX('GMW - Baseline'!$A$2:$MC$200,MATCH(1,('GMW - Baseline'!$MC$2:$MC$200=M$3)*('GMW - Baseline'!$MB$2:$MB$200=M$4),0),$E200-1973)</f>
        <v>#N/A</v>
      </c>
      <c r="N200" t="e" cm="1">
        <f t="array" ref="N200">INDEX('GMW - Baseline'!$A$2:$MC$200,MATCH(1,('GMW - Baseline'!$MC$2:$MC$200=N$3)*('GMW - Baseline'!$MB$2:$MB$200=N$4),0),$E200-1973)</f>
        <v>#N/A</v>
      </c>
      <c r="O200" t="e" cm="1">
        <f t="array" ref="O200">INDEX('GMW - Baseline'!$A$2:$MC$200,MATCH(1,('GMW - Baseline'!$MC$2:$MC$200=O$3)*('GMW - Baseline'!$MB$2:$MB$200=O$4),0),$E200-1973)</f>
        <v>#N/A</v>
      </c>
      <c r="P200" t="e" cm="1">
        <f t="array" ref="P200">INDEX('GMW - Baseline'!$A$2:$MC$200,MATCH(1,('GMW - Baseline'!$MC$2:$MC$200=P$3)*('GMW - Baseline'!$MB$2:$MB$200=P$4),0),$E200-1973)</f>
        <v>#N/A</v>
      </c>
      <c r="Q200" t="e" cm="1">
        <f t="array" ref="Q200">INDEX('GMW - Baseline'!$A$2:$MC$200,MATCH(1,('GMW - Baseline'!$MC$2:$MC$200=Q$3)*('GMW - Baseline'!$MB$2:$MB$200=Q$4),0),$E200-1973)</f>
        <v>#N/A</v>
      </c>
      <c r="R200" t="e" cm="1">
        <f t="array" ref="R200">INDEX('GMW - Baseline'!$A$2:$MC$200,MATCH(1,('GMW - Baseline'!$MC$2:$MC$200=R$3)*('GMW - Baseline'!$MB$2:$MB$200=R$4),0),$E200-1973)</f>
        <v>#N/A</v>
      </c>
      <c r="S200" t="e" cm="1">
        <f t="array" ref="S200">INDEX('GMW - Baseline'!$A$2:$MC$200,MATCH(1,('GMW - Baseline'!$MC$2:$MC$200=S$3)*('GMW - Baseline'!$MB$2:$MB$200=S$4),0),$E200-1973)</f>
        <v>#N/A</v>
      </c>
      <c r="T200" t="e" cm="1">
        <f t="array" ref="T200">INDEX('GMW - Baseline'!$A$2:$MC$200,MATCH(1,('GMW - Baseline'!$MC$2:$MC$200=T$3)*('GMW - Baseline'!$MB$2:$MB$200=T$4),0),$E200-1973)</f>
        <v>#N/A</v>
      </c>
    </row>
    <row r="201" spans="1:20" x14ac:dyDescent="0.25">
      <c r="B201">
        <f t="shared" si="15"/>
        <v>2028</v>
      </c>
      <c r="C201">
        <f t="shared" si="15"/>
        <v>2028</v>
      </c>
      <c r="E201">
        <f t="shared" ref="E201:E264" si="16">+E200+1</f>
        <v>2174</v>
      </c>
      <c r="F201" cm="1">
        <f t="array" ref="F201">INDEX('GMW - Baseline'!$A$2:$MC$200,MATCH(1,('GMW - Baseline'!$MC$2:$MC$200=F$3)*('GMW - Baseline'!$MB$2:$MB$200=F$4),0),$E201-1973)</f>
        <v>731926</v>
      </c>
      <c r="G201" cm="1">
        <f t="array" ref="G201">INDEX('GMW - Baseline'!$A$2:$MC$200,MATCH(1,('GMW - Baseline'!$MC$2:$MC$200=G$3)*('GMW - Baseline'!$MB$2:$MB$200=G$4),0),$E201-1973)</f>
        <v>430659.9</v>
      </c>
      <c r="H201" cm="1">
        <f t="array" ref="H201">INDEX('GMW - Baseline'!$A$2:$MC$200,MATCH(1,('GMW - Baseline'!$MC$2:$MC$200=H$3)*('GMW - Baseline'!$MB$2:$MB$200=H$4),0),$E201-1973)</f>
        <v>148.64680000000001</v>
      </c>
      <c r="I201" cm="1">
        <f t="array" ref="I201">INDEX('GMW - Baseline'!$A$2:$MC$200,MATCH(1,('GMW - Baseline'!$MC$2:$MC$200=I$3)*('GMW - Baseline'!$MB$2:$MB$200=I$4),0),$E201-1973)</f>
        <v>2.749965</v>
      </c>
      <c r="J201" t="e" cm="1">
        <f t="array" ref="J201">INDEX('GMW - Baseline'!$A$2:$MC$200,MATCH(1,('GMW - Baseline'!$MC$2:$MC$200=J$3)*('GMW - Baseline'!$MB$2:$MB$200=J$4),0),$E201-1973)</f>
        <v>#N/A</v>
      </c>
      <c r="K201" t="e" cm="1">
        <f t="array" ref="K201">INDEX('GMW - Baseline'!$A$2:$MC$200,MATCH(1,('GMW - Baseline'!$MC$2:$MC$200=K$3)*('GMW - Baseline'!$MB$2:$MB$200=K$4),0),$E201-1973)</f>
        <v>#N/A</v>
      </c>
      <c r="L201" t="e" cm="1">
        <f t="array" ref="L201">INDEX('GMW - Baseline'!$A$2:$MC$200,MATCH(1,('GMW - Baseline'!$MC$2:$MC$200=L$3)*('GMW - Baseline'!$MB$2:$MB$200=L$4),0),$E201-1973)</f>
        <v>#N/A</v>
      </c>
      <c r="M201" t="e" cm="1">
        <f t="array" ref="M201">INDEX('GMW - Baseline'!$A$2:$MC$200,MATCH(1,('GMW - Baseline'!$MC$2:$MC$200=M$3)*('GMW - Baseline'!$MB$2:$MB$200=M$4),0),$E201-1973)</f>
        <v>#N/A</v>
      </c>
      <c r="N201" t="e" cm="1">
        <f t="array" ref="N201">INDEX('GMW - Baseline'!$A$2:$MC$200,MATCH(1,('GMW - Baseline'!$MC$2:$MC$200=N$3)*('GMW - Baseline'!$MB$2:$MB$200=N$4),0),$E201-1973)</f>
        <v>#N/A</v>
      </c>
      <c r="O201" t="e" cm="1">
        <f t="array" ref="O201">INDEX('GMW - Baseline'!$A$2:$MC$200,MATCH(1,('GMW - Baseline'!$MC$2:$MC$200=O$3)*('GMW - Baseline'!$MB$2:$MB$200=O$4),0),$E201-1973)</f>
        <v>#N/A</v>
      </c>
      <c r="P201" t="e" cm="1">
        <f t="array" ref="P201">INDEX('GMW - Baseline'!$A$2:$MC$200,MATCH(1,('GMW - Baseline'!$MC$2:$MC$200=P$3)*('GMW - Baseline'!$MB$2:$MB$200=P$4),0),$E201-1973)</f>
        <v>#N/A</v>
      </c>
      <c r="Q201" t="e" cm="1">
        <f t="array" ref="Q201">INDEX('GMW - Baseline'!$A$2:$MC$200,MATCH(1,('GMW - Baseline'!$MC$2:$MC$200=Q$3)*('GMW - Baseline'!$MB$2:$MB$200=Q$4),0),$E201-1973)</f>
        <v>#N/A</v>
      </c>
      <c r="R201" t="e" cm="1">
        <f t="array" ref="R201">INDEX('GMW - Baseline'!$A$2:$MC$200,MATCH(1,('GMW - Baseline'!$MC$2:$MC$200=R$3)*('GMW - Baseline'!$MB$2:$MB$200=R$4),0),$E201-1973)</f>
        <v>#N/A</v>
      </c>
      <c r="S201" t="e" cm="1">
        <f t="array" ref="S201">INDEX('GMW - Baseline'!$A$2:$MC$200,MATCH(1,('GMW - Baseline'!$MC$2:$MC$200=S$3)*('GMW - Baseline'!$MB$2:$MB$200=S$4),0),$E201-1973)</f>
        <v>#N/A</v>
      </c>
      <c r="T201" t="e" cm="1">
        <f t="array" ref="T201">INDEX('GMW - Baseline'!$A$2:$MC$200,MATCH(1,('GMW - Baseline'!$MC$2:$MC$200=T$3)*('GMW - Baseline'!$MB$2:$MB$200=T$4),0),$E201-1973)</f>
        <v>#N/A</v>
      </c>
    </row>
    <row r="202" spans="1:20" x14ac:dyDescent="0.25">
      <c r="B202">
        <f t="shared" si="15"/>
        <v>2028</v>
      </c>
      <c r="C202">
        <f t="shared" si="15"/>
        <v>2028</v>
      </c>
      <c r="E202">
        <f t="shared" si="16"/>
        <v>2175</v>
      </c>
      <c r="F202" cm="1">
        <f t="array" ref="F202">INDEX('GMW - Baseline'!$A$2:$MC$200,MATCH(1,('GMW - Baseline'!$MC$2:$MC$200=F$3)*('GMW - Baseline'!$MB$2:$MB$200=F$4),0),$E202-1973)</f>
        <v>734634.7</v>
      </c>
      <c r="G202" cm="1">
        <f t="array" ref="G202">INDEX('GMW - Baseline'!$A$2:$MC$200,MATCH(1,('GMW - Baseline'!$MC$2:$MC$200=G$3)*('GMW - Baseline'!$MB$2:$MB$200=G$4),0),$E202-1973)</f>
        <v>432258.3</v>
      </c>
      <c r="H202" cm="1">
        <f t="array" ref="H202">INDEX('GMW - Baseline'!$A$2:$MC$200,MATCH(1,('GMW - Baseline'!$MC$2:$MC$200=H$3)*('GMW - Baseline'!$MB$2:$MB$200=H$4),0),$E202-1973)</f>
        <v>149.29660000000001</v>
      </c>
      <c r="I202" cm="1">
        <f t="array" ref="I202">INDEX('GMW - Baseline'!$A$2:$MC$200,MATCH(1,('GMW - Baseline'!$MC$2:$MC$200=I$3)*('GMW - Baseline'!$MB$2:$MB$200=I$4),0),$E202-1973)</f>
        <v>2.7499829999999998</v>
      </c>
      <c r="J202" t="e" cm="1">
        <f t="array" ref="J202">INDEX('GMW - Baseline'!$A$2:$MC$200,MATCH(1,('GMW - Baseline'!$MC$2:$MC$200=J$3)*('GMW - Baseline'!$MB$2:$MB$200=J$4),0),$E202-1973)</f>
        <v>#N/A</v>
      </c>
      <c r="K202" t="e" cm="1">
        <f t="array" ref="K202">INDEX('GMW - Baseline'!$A$2:$MC$200,MATCH(1,('GMW - Baseline'!$MC$2:$MC$200=K$3)*('GMW - Baseline'!$MB$2:$MB$200=K$4),0),$E202-1973)</f>
        <v>#N/A</v>
      </c>
      <c r="L202" t="e" cm="1">
        <f t="array" ref="L202">INDEX('GMW - Baseline'!$A$2:$MC$200,MATCH(1,('GMW - Baseline'!$MC$2:$MC$200=L$3)*('GMW - Baseline'!$MB$2:$MB$200=L$4),0),$E202-1973)</f>
        <v>#N/A</v>
      </c>
      <c r="M202" t="e" cm="1">
        <f t="array" ref="M202">INDEX('GMW - Baseline'!$A$2:$MC$200,MATCH(1,('GMW - Baseline'!$MC$2:$MC$200=M$3)*('GMW - Baseline'!$MB$2:$MB$200=M$4),0),$E202-1973)</f>
        <v>#N/A</v>
      </c>
      <c r="N202" t="e" cm="1">
        <f t="array" ref="N202">INDEX('GMW - Baseline'!$A$2:$MC$200,MATCH(1,('GMW - Baseline'!$MC$2:$MC$200=N$3)*('GMW - Baseline'!$MB$2:$MB$200=N$4),0),$E202-1973)</f>
        <v>#N/A</v>
      </c>
      <c r="O202" t="e" cm="1">
        <f t="array" ref="O202">INDEX('GMW - Baseline'!$A$2:$MC$200,MATCH(1,('GMW - Baseline'!$MC$2:$MC$200=O$3)*('GMW - Baseline'!$MB$2:$MB$200=O$4),0),$E202-1973)</f>
        <v>#N/A</v>
      </c>
      <c r="P202" t="e" cm="1">
        <f t="array" ref="P202">INDEX('GMW - Baseline'!$A$2:$MC$200,MATCH(1,('GMW - Baseline'!$MC$2:$MC$200=P$3)*('GMW - Baseline'!$MB$2:$MB$200=P$4),0),$E202-1973)</f>
        <v>#N/A</v>
      </c>
      <c r="Q202" t="e" cm="1">
        <f t="array" ref="Q202">INDEX('GMW - Baseline'!$A$2:$MC$200,MATCH(1,('GMW - Baseline'!$MC$2:$MC$200=Q$3)*('GMW - Baseline'!$MB$2:$MB$200=Q$4),0),$E202-1973)</f>
        <v>#N/A</v>
      </c>
      <c r="R202" t="e" cm="1">
        <f t="array" ref="R202">INDEX('GMW - Baseline'!$A$2:$MC$200,MATCH(1,('GMW - Baseline'!$MC$2:$MC$200=R$3)*('GMW - Baseline'!$MB$2:$MB$200=R$4),0),$E202-1973)</f>
        <v>#N/A</v>
      </c>
      <c r="S202" t="e" cm="1">
        <f t="array" ref="S202">INDEX('GMW - Baseline'!$A$2:$MC$200,MATCH(1,('GMW - Baseline'!$MC$2:$MC$200=S$3)*('GMW - Baseline'!$MB$2:$MB$200=S$4),0),$E202-1973)</f>
        <v>#N/A</v>
      </c>
      <c r="T202" t="e" cm="1">
        <f t="array" ref="T202">INDEX('GMW - Baseline'!$A$2:$MC$200,MATCH(1,('GMW - Baseline'!$MC$2:$MC$200=T$3)*('GMW - Baseline'!$MB$2:$MB$200=T$4),0),$E202-1973)</f>
        <v>#N/A</v>
      </c>
    </row>
    <row r="203" spans="1:20" x14ac:dyDescent="0.25">
      <c r="A203">
        <v>2029</v>
      </c>
      <c r="B203">
        <f t="shared" si="15"/>
        <v>2029</v>
      </c>
      <c r="C203">
        <f t="shared" si="15"/>
        <v>2028</v>
      </c>
      <c r="D203">
        <f t="shared" si="15"/>
        <v>2028</v>
      </c>
      <c r="E203">
        <f t="shared" si="16"/>
        <v>2176</v>
      </c>
      <c r="F203" cm="1">
        <f t="array" ref="F203">INDEX('GMW - Baseline'!$A$2:$MC$200,MATCH(1,('GMW - Baseline'!$MC$2:$MC$200=F$3)*('GMW - Baseline'!$MB$2:$MB$200=F$4),0),$E203-1973)</f>
        <v>737264.9</v>
      </c>
      <c r="G203" cm="1">
        <f t="array" ref="G203">INDEX('GMW - Baseline'!$A$2:$MC$200,MATCH(1,('GMW - Baseline'!$MC$2:$MC$200=G$3)*('GMW - Baseline'!$MB$2:$MB$200=G$4),0),$E203-1973)</f>
        <v>433739</v>
      </c>
      <c r="H203" cm="1">
        <f t="array" ref="H203">INDEX('GMW - Baseline'!$A$2:$MC$200,MATCH(1,('GMW - Baseline'!$MC$2:$MC$200=H$3)*('GMW - Baseline'!$MB$2:$MB$200=H$4),0),$E203-1973)</f>
        <v>149.5146</v>
      </c>
      <c r="I203" cm="1">
        <f t="array" ref="I203">INDEX('GMW - Baseline'!$A$2:$MC$200,MATCH(1,('GMW - Baseline'!$MC$2:$MC$200=I$3)*('GMW - Baseline'!$MB$2:$MB$200=I$4),0),$E203-1973)</f>
        <v>2.7499959999999999</v>
      </c>
      <c r="J203" t="e" cm="1">
        <f t="array" ref="J203">INDEX('GMW - Baseline'!$A$2:$MC$200,MATCH(1,('GMW - Baseline'!$MC$2:$MC$200=J$3)*('GMW - Baseline'!$MB$2:$MB$200=J$4),0),$E203-1973)</f>
        <v>#N/A</v>
      </c>
      <c r="K203" t="e" cm="1">
        <f t="array" ref="K203">INDEX('GMW - Baseline'!$A$2:$MC$200,MATCH(1,('GMW - Baseline'!$MC$2:$MC$200=K$3)*('GMW - Baseline'!$MB$2:$MB$200=K$4),0),$E203-1973)</f>
        <v>#N/A</v>
      </c>
      <c r="L203" t="e" cm="1">
        <f t="array" ref="L203">INDEX('GMW - Baseline'!$A$2:$MC$200,MATCH(1,('GMW - Baseline'!$MC$2:$MC$200=L$3)*('GMW - Baseline'!$MB$2:$MB$200=L$4),0),$E203-1973)</f>
        <v>#N/A</v>
      </c>
      <c r="M203" t="e" cm="1">
        <f t="array" ref="M203">INDEX('GMW - Baseline'!$A$2:$MC$200,MATCH(1,('GMW - Baseline'!$MC$2:$MC$200=M$3)*('GMW - Baseline'!$MB$2:$MB$200=M$4),0),$E203-1973)</f>
        <v>#N/A</v>
      </c>
      <c r="N203" t="e" cm="1">
        <f t="array" ref="N203">INDEX('GMW - Baseline'!$A$2:$MC$200,MATCH(1,('GMW - Baseline'!$MC$2:$MC$200=N$3)*('GMW - Baseline'!$MB$2:$MB$200=N$4),0),$E203-1973)</f>
        <v>#N/A</v>
      </c>
      <c r="O203" t="e" cm="1">
        <f t="array" ref="O203">INDEX('GMW - Baseline'!$A$2:$MC$200,MATCH(1,('GMW - Baseline'!$MC$2:$MC$200=O$3)*('GMW - Baseline'!$MB$2:$MB$200=O$4),0),$E203-1973)</f>
        <v>#N/A</v>
      </c>
      <c r="P203" t="e" cm="1">
        <f t="array" ref="P203">INDEX('GMW - Baseline'!$A$2:$MC$200,MATCH(1,('GMW - Baseline'!$MC$2:$MC$200=P$3)*('GMW - Baseline'!$MB$2:$MB$200=P$4),0),$E203-1973)</f>
        <v>#N/A</v>
      </c>
      <c r="Q203" t="e" cm="1">
        <f t="array" ref="Q203">INDEX('GMW - Baseline'!$A$2:$MC$200,MATCH(1,('GMW - Baseline'!$MC$2:$MC$200=Q$3)*('GMW - Baseline'!$MB$2:$MB$200=Q$4),0),$E203-1973)</f>
        <v>#N/A</v>
      </c>
      <c r="R203" t="e" cm="1">
        <f t="array" ref="R203">INDEX('GMW - Baseline'!$A$2:$MC$200,MATCH(1,('GMW - Baseline'!$MC$2:$MC$200=R$3)*('GMW - Baseline'!$MB$2:$MB$200=R$4),0),$E203-1973)</f>
        <v>#N/A</v>
      </c>
      <c r="S203" t="e" cm="1">
        <f t="array" ref="S203">INDEX('GMW - Baseline'!$A$2:$MC$200,MATCH(1,('GMW - Baseline'!$MC$2:$MC$200=S$3)*('GMW - Baseline'!$MB$2:$MB$200=S$4),0),$E203-1973)</f>
        <v>#N/A</v>
      </c>
      <c r="T203" t="e" cm="1">
        <f t="array" ref="T203">INDEX('GMW - Baseline'!$A$2:$MC$200,MATCH(1,('GMW - Baseline'!$MC$2:$MC$200=T$3)*('GMW - Baseline'!$MB$2:$MB$200=T$4),0),$E203-1973)</f>
        <v>#N/A</v>
      </c>
    </row>
    <row r="204" spans="1:20" x14ac:dyDescent="0.25">
      <c r="B204">
        <f t="shared" ref="B204:D219" si="17">+B200+1</f>
        <v>2029</v>
      </c>
      <c r="C204">
        <f t="shared" si="17"/>
        <v>2029</v>
      </c>
      <c r="E204">
        <f t="shared" si="16"/>
        <v>2177</v>
      </c>
      <c r="F204" cm="1">
        <f t="array" ref="F204">INDEX('GMW - Baseline'!$A$2:$MC$200,MATCH(1,('GMW - Baseline'!$MC$2:$MC$200=F$3)*('GMW - Baseline'!$MB$2:$MB$200=F$4),0),$E204-1973)</f>
        <v>739845.4</v>
      </c>
      <c r="G204" cm="1">
        <f t="array" ref="G204">INDEX('GMW - Baseline'!$A$2:$MC$200,MATCH(1,('GMW - Baseline'!$MC$2:$MC$200=G$3)*('GMW - Baseline'!$MB$2:$MB$200=G$4),0),$E204-1973)</f>
        <v>435196.2</v>
      </c>
      <c r="H204" cm="1">
        <f t="array" ref="H204">INDEX('GMW - Baseline'!$A$2:$MC$200,MATCH(1,('GMW - Baseline'!$MC$2:$MC$200=H$3)*('GMW - Baseline'!$MB$2:$MB$200=H$4),0),$E204-1973)</f>
        <v>150.79570000000001</v>
      </c>
      <c r="I204" cm="1">
        <f t="array" ref="I204">INDEX('GMW - Baseline'!$A$2:$MC$200,MATCH(1,('GMW - Baseline'!$MC$2:$MC$200=I$3)*('GMW - Baseline'!$MB$2:$MB$200=I$4),0),$E204-1973)</f>
        <v>2.5923229999999999</v>
      </c>
      <c r="J204" t="e" cm="1">
        <f t="array" ref="J204">INDEX('GMW - Baseline'!$A$2:$MC$200,MATCH(1,('GMW - Baseline'!$MC$2:$MC$200=J$3)*('GMW - Baseline'!$MB$2:$MB$200=J$4),0),$E204-1973)</f>
        <v>#N/A</v>
      </c>
      <c r="K204" t="e" cm="1">
        <f t="array" ref="K204">INDEX('GMW - Baseline'!$A$2:$MC$200,MATCH(1,('GMW - Baseline'!$MC$2:$MC$200=K$3)*('GMW - Baseline'!$MB$2:$MB$200=K$4),0),$E204-1973)</f>
        <v>#N/A</v>
      </c>
      <c r="L204" t="e" cm="1">
        <f t="array" ref="L204">INDEX('GMW - Baseline'!$A$2:$MC$200,MATCH(1,('GMW - Baseline'!$MC$2:$MC$200=L$3)*('GMW - Baseline'!$MB$2:$MB$200=L$4),0),$E204-1973)</f>
        <v>#N/A</v>
      </c>
      <c r="M204" t="e" cm="1">
        <f t="array" ref="M204">INDEX('GMW - Baseline'!$A$2:$MC$200,MATCH(1,('GMW - Baseline'!$MC$2:$MC$200=M$3)*('GMW - Baseline'!$MB$2:$MB$200=M$4),0),$E204-1973)</f>
        <v>#N/A</v>
      </c>
      <c r="N204" t="e" cm="1">
        <f t="array" ref="N204">INDEX('GMW - Baseline'!$A$2:$MC$200,MATCH(1,('GMW - Baseline'!$MC$2:$MC$200=N$3)*('GMW - Baseline'!$MB$2:$MB$200=N$4),0),$E204-1973)</f>
        <v>#N/A</v>
      </c>
      <c r="O204" t="e" cm="1">
        <f t="array" ref="O204">INDEX('GMW - Baseline'!$A$2:$MC$200,MATCH(1,('GMW - Baseline'!$MC$2:$MC$200=O$3)*('GMW - Baseline'!$MB$2:$MB$200=O$4),0),$E204-1973)</f>
        <v>#N/A</v>
      </c>
      <c r="P204" t="e" cm="1">
        <f t="array" ref="P204">INDEX('GMW - Baseline'!$A$2:$MC$200,MATCH(1,('GMW - Baseline'!$MC$2:$MC$200=P$3)*('GMW - Baseline'!$MB$2:$MB$200=P$4),0),$E204-1973)</f>
        <v>#N/A</v>
      </c>
      <c r="Q204" t="e" cm="1">
        <f t="array" ref="Q204">INDEX('GMW - Baseline'!$A$2:$MC$200,MATCH(1,('GMW - Baseline'!$MC$2:$MC$200=Q$3)*('GMW - Baseline'!$MB$2:$MB$200=Q$4),0),$E204-1973)</f>
        <v>#N/A</v>
      </c>
      <c r="R204" t="e" cm="1">
        <f t="array" ref="R204">INDEX('GMW - Baseline'!$A$2:$MC$200,MATCH(1,('GMW - Baseline'!$MC$2:$MC$200=R$3)*('GMW - Baseline'!$MB$2:$MB$200=R$4),0),$E204-1973)</f>
        <v>#N/A</v>
      </c>
      <c r="S204" t="e" cm="1">
        <f t="array" ref="S204">INDEX('GMW - Baseline'!$A$2:$MC$200,MATCH(1,('GMW - Baseline'!$MC$2:$MC$200=S$3)*('GMW - Baseline'!$MB$2:$MB$200=S$4),0),$E204-1973)</f>
        <v>#N/A</v>
      </c>
      <c r="T204" t="e" cm="1">
        <f t="array" ref="T204">INDEX('GMW - Baseline'!$A$2:$MC$200,MATCH(1,('GMW - Baseline'!$MC$2:$MC$200=T$3)*('GMW - Baseline'!$MB$2:$MB$200=T$4),0),$E204-1973)</f>
        <v>#N/A</v>
      </c>
    </row>
    <row r="205" spans="1:20" x14ac:dyDescent="0.25">
      <c r="B205">
        <f t="shared" si="17"/>
        <v>2029</v>
      </c>
      <c r="C205">
        <f t="shared" si="17"/>
        <v>2029</v>
      </c>
      <c r="E205">
        <f t="shared" si="16"/>
        <v>2178</v>
      </c>
      <c r="F205" cm="1">
        <f t="array" ref="F205">INDEX('GMW - Baseline'!$A$2:$MC$200,MATCH(1,('GMW - Baseline'!$MC$2:$MC$200=F$3)*('GMW - Baseline'!$MB$2:$MB$200=F$4),0),$E205-1973)</f>
        <v>742582.1</v>
      </c>
      <c r="G205" cm="1">
        <f t="array" ref="G205">INDEX('GMW - Baseline'!$A$2:$MC$200,MATCH(1,('GMW - Baseline'!$MC$2:$MC$200=G$3)*('GMW - Baseline'!$MB$2:$MB$200=G$4),0),$E205-1973)</f>
        <v>436722.9</v>
      </c>
      <c r="H205" cm="1">
        <f t="array" ref="H205">INDEX('GMW - Baseline'!$A$2:$MC$200,MATCH(1,('GMW - Baseline'!$MC$2:$MC$200=H$3)*('GMW - Baseline'!$MB$2:$MB$200=H$4),0),$E205-1973)</f>
        <v>151.51589999999999</v>
      </c>
      <c r="I205" cm="1">
        <f t="array" ref="I205">INDEX('GMW - Baseline'!$A$2:$MC$200,MATCH(1,('GMW - Baseline'!$MC$2:$MC$200=I$3)*('GMW - Baseline'!$MB$2:$MB$200=I$4),0),$E205-1973)</f>
        <v>2.5000339999999999</v>
      </c>
      <c r="J205" t="e" cm="1">
        <f t="array" ref="J205">INDEX('GMW - Baseline'!$A$2:$MC$200,MATCH(1,('GMW - Baseline'!$MC$2:$MC$200=J$3)*('GMW - Baseline'!$MB$2:$MB$200=J$4),0),$E205-1973)</f>
        <v>#N/A</v>
      </c>
      <c r="K205" t="e" cm="1">
        <f t="array" ref="K205">INDEX('GMW - Baseline'!$A$2:$MC$200,MATCH(1,('GMW - Baseline'!$MC$2:$MC$200=K$3)*('GMW - Baseline'!$MB$2:$MB$200=K$4),0),$E205-1973)</f>
        <v>#N/A</v>
      </c>
      <c r="L205" t="e" cm="1">
        <f t="array" ref="L205">INDEX('GMW - Baseline'!$A$2:$MC$200,MATCH(1,('GMW - Baseline'!$MC$2:$MC$200=L$3)*('GMW - Baseline'!$MB$2:$MB$200=L$4),0),$E205-1973)</f>
        <v>#N/A</v>
      </c>
      <c r="M205" t="e" cm="1">
        <f t="array" ref="M205">INDEX('GMW - Baseline'!$A$2:$MC$200,MATCH(1,('GMW - Baseline'!$MC$2:$MC$200=M$3)*('GMW - Baseline'!$MB$2:$MB$200=M$4),0),$E205-1973)</f>
        <v>#N/A</v>
      </c>
      <c r="N205" t="e" cm="1">
        <f t="array" ref="N205">INDEX('GMW - Baseline'!$A$2:$MC$200,MATCH(1,('GMW - Baseline'!$MC$2:$MC$200=N$3)*('GMW - Baseline'!$MB$2:$MB$200=N$4),0),$E205-1973)</f>
        <v>#N/A</v>
      </c>
      <c r="O205" t="e" cm="1">
        <f t="array" ref="O205">INDEX('GMW - Baseline'!$A$2:$MC$200,MATCH(1,('GMW - Baseline'!$MC$2:$MC$200=O$3)*('GMW - Baseline'!$MB$2:$MB$200=O$4),0),$E205-1973)</f>
        <v>#N/A</v>
      </c>
      <c r="P205" t="e" cm="1">
        <f t="array" ref="P205">INDEX('GMW - Baseline'!$A$2:$MC$200,MATCH(1,('GMW - Baseline'!$MC$2:$MC$200=P$3)*('GMW - Baseline'!$MB$2:$MB$200=P$4),0),$E205-1973)</f>
        <v>#N/A</v>
      </c>
      <c r="Q205" t="e" cm="1">
        <f t="array" ref="Q205">INDEX('GMW - Baseline'!$A$2:$MC$200,MATCH(1,('GMW - Baseline'!$MC$2:$MC$200=Q$3)*('GMW - Baseline'!$MB$2:$MB$200=Q$4),0),$E205-1973)</f>
        <v>#N/A</v>
      </c>
      <c r="R205" t="e" cm="1">
        <f t="array" ref="R205">INDEX('GMW - Baseline'!$A$2:$MC$200,MATCH(1,('GMW - Baseline'!$MC$2:$MC$200=R$3)*('GMW - Baseline'!$MB$2:$MB$200=R$4),0),$E205-1973)</f>
        <v>#N/A</v>
      </c>
      <c r="S205" t="e" cm="1">
        <f t="array" ref="S205">INDEX('GMW - Baseline'!$A$2:$MC$200,MATCH(1,('GMW - Baseline'!$MC$2:$MC$200=S$3)*('GMW - Baseline'!$MB$2:$MB$200=S$4),0),$E205-1973)</f>
        <v>#N/A</v>
      </c>
      <c r="T205" t="e" cm="1">
        <f t="array" ref="T205">INDEX('GMW - Baseline'!$A$2:$MC$200,MATCH(1,('GMW - Baseline'!$MC$2:$MC$200=T$3)*('GMW - Baseline'!$MB$2:$MB$200=T$4),0),$E205-1973)</f>
        <v>#N/A</v>
      </c>
    </row>
    <row r="206" spans="1:20" x14ac:dyDescent="0.25">
      <c r="B206">
        <f t="shared" si="17"/>
        <v>2029</v>
      </c>
      <c r="C206">
        <f t="shared" si="17"/>
        <v>2029</v>
      </c>
      <c r="E206">
        <f t="shared" si="16"/>
        <v>2179</v>
      </c>
      <c r="F206" cm="1">
        <f t="array" ref="F206">INDEX('GMW - Baseline'!$A$2:$MC$200,MATCH(1,('GMW - Baseline'!$MC$2:$MC$200=F$3)*('GMW - Baseline'!$MB$2:$MB$200=F$4),0),$E206-1973)</f>
        <v>745218.2</v>
      </c>
      <c r="G206" cm="1">
        <f t="array" ref="G206">INDEX('GMW - Baseline'!$A$2:$MC$200,MATCH(1,('GMW - Baseline'!$MC$2:$MC$200=G$3)*('GMW - Baseline'!$MB$2:$MB$200=G$4),0),$E206-1973)</f>
        <v>438184</v>
      </c>
      <c r="H206" cm="1">
        <f t="array" ref="H206">INDEX('GMW - Baseline'!$A$2:$MC$200,MATCH(1,('GMW - Baseline'!$MC$2:$MC$200=H$3)*('GMW - Baseline'!$MB$2:$MB$200=H$4),0),$E206-1973)</f>
        <v>152.1335</v>
      </c>
      <c r="I206" cm="1">
        <f t="array" ref="I206">INDEX('GMW - Baseline'!$A$2:$MC$200,MATCH(1,('GMW - Baseline'!$MC$2:$MC$200=I$3)*('GMW - Baseline'!$MB$2:$MB$200=I$4),0),$E206-1973)</f>
        <v>2.5000499999999999</v>
      </c>
      <c r="J206" t="e" cm="1">
        <f t="array" ref="J206">INDEX('GMW - Baseline'!$A$2:$MC$200,MATCH(1,('GMW - Baseline'!$MC$2:$MC$200=J$3)*('GMW - Baseline'!$MB$2:$MB$200=J$4),0),$E206-1973)</f>
        <v>#N/A</v>
      </c>
      <c r="K206" t="e" cm="1">
        <f t="array" ref="K206">INDEX('GMW - Baseline'!$A$2:$MC$200,MATCH(1,('GMW - Baseline'!$MC$2:$MC$200=K$3)*('GMW - Baseline'!$MB$2:$MB$200=K$4),0),$E206-1973)</f>
        <v>#N/A</v>
      </c>
      <c r="L206" t="e" cm="1">
        <f t="array" ref="L206">INDEX('GMW - Baseline'!$A$2:$MC$200,MATCH(1,('GMW - Baseline'!$MC$2:$MC$200=L$3)*('GMW - Baseline'!$MB$2:$MB$200=L$4),0),$E206-1973)</f>
        <v>#N/A</v>
      </c>
      <c r="M206" t="e" cm="1">
        <f t="array" ref="M206">INDEX('GMW - Baseline'!$A$2:$MC$200,MATCH(1,('GMW - Baseline'!$MC$2:$MC$200=M$3)*('GMW - Baseline'!$MB$2:$MB$200=M$4),0),$E206-1973)</f>
        <v>#N/A</v>
      </c>
      <c r="N206" t="e" cm="1">
        <f t="array" ref="N206">INDEX('GMW - Baseline'!$A$2:$MC$200,MATCH(1,('GMW - Baseline'!$MC$2:$MC$200=N$3)*('GMW - Baseline'!$MB$2:$MB$200=N$4),0),$E206-1973)</f>
        <v>#N/A</v>
      </c>
      <c r="O206" t="e" cm="1">
        <f t="array" ref="O206">INDEX('GMW - Baseline'!$A$2:$MC$200,MATCH(1,('GMW - Baseline'!$MC$2:$MC$200=O$3)*('GMW - Baseline'!$MB$2:$MB$200=O$4),0),$E206-1973)</f>
        <v>#N/A</v>
      </c>
      <c r="P206" t="e" cm="1">
        <f t="array" ref="P206">INDEX('GMW - Baseline'!$A$2:$MC$200,MATCH(1,('GMW - Baseline'!$MC$2:$MC$200=P$3)*('GMW - Baseline'!$MB$2:$MB$200=P$4),0),$E206-1973)</f>
        <v>#N/A</v>
      </c>
      <c r="Q206" t="e" cm="1">
        <f t="array" ref="Q206">INDEX('GMW - Baseline'!$A$2:$MC$200,MATCH(1,('GMW - Baseline'!$MC$2:$MC$200=Q$3)*('GMW - Baseline'!$MB$2:$MB$200=Q$4),0),$E206-1973)</f>
        <v>#N/A</v>
      </c>
      <c r="R206" t="e" cm="1">
        <f t="array" ref="R206">INDEX('GMW - Baseline'!$A$2:$MC$200,MATCH(1,('GMW - Baseline'!$MC$2:$MC$200=R$3)*('GMW - Baseline'!$MB$2:$MB$200=R$4),0),$E206-1973)</f>
        <v>#N/A</v>
      </c>
      <c r="S206" t="e" cm="1">
        <f t="array" ref="S206">INDEX('GMW - Baseline'!$A$2:$MC$200,MATCH(1,('GMW - Baseline'!$MC$2:$MC$200=S$3)*('GMW - Baseline'!$MB$2:$MB$200=S$4),0),$E206-1973)</f>
        <v>#N/A</v>
      </c>
      <c r="T206" t="e" cm="1">
        <f t="array" ref="T206">INDEX('GMW - Baseline'!$A$2:$MC$200,MATCH(1,('GMW - Baseline'!$MC$2:$MC$200=T$3)*('GMW - Baseline'!$MB$2:$MB$200=T$4),0),$E206-1973)</f>
        <v>#N/A</v>
      </c>
    </row>
    <row r="207" spans="1:20" x14ac:dyDescent="0.25">
      <c r="A207">
        <v>2030</v>
      </c>
      <c r="B207">
        <f t="shared" si="17"/>
        <v>2030</v>
      </c>
      <c r="C207">
        <f t="shared" si="17"/>
        <v>2029</v>
      </c>
      <c r="D207">
        <f t="shared" si="17"/>
        <v>2029</v>
      </c>
      <c r="E207">
        <f t="shared" si="16"/>
        <v>2180</v>
      </c>
      <c r="F207" cm="1">
        <f t="array" ref="F207">INDEX('GMW - Baseline'!$A$2:$MC$200,MATCH(1,('GMW - Baseline'!$MC$2:$MC$200=F$3)*('GMW - Baseline'!$MB$2:$MB$200=F$4),0),$E207-1973)</f>
        <v>747975.1</v>
      </c>
      <c r="G207" cm="1">
        <f t="array" ref="G207">INDEX('GMW - Baseline'!$A$2:$MC$200,MATCH(1,('GMW - Baseline'!$MC$2:$MC$200=G$3)*('GMW - Baseline'!$MB$2:$MB$200=G$4),0),$E207-1973)</f>
        <v>439771.6</v>
      </c>
      <c r="H207" cm="1">
        <f t="array" ref="H207">INDEX('GMW - Baseline'!$A$2:$MC$200,MATCH(1,('GMW - Baseline'!$MC$2:$MC$200=H$3)*('GMW - Baseline'!$MB$2:$MB$200=H$4),0),$E207-1973)</f>
        <v>152.32490000000001</v>
      </c>
      <c r="I207" cm="1">
        <f t="array" ref="I207">INDEX('GMW - Baseline'!$A$2:$MC$200,MATCH(1,('GMW - Baseline'!$MC$2:$MC$200=I$3)*('GMW - Baseline'!$MB$2:$MB$200=I$4),0),$E207-1973)</f>
        <v>2.500073</v>
      </c>
      <c r="J207" t="e" cm="1">
        <f t="array" ref="J207">INDEX('GMW - Baseline'!$A$2:$MC$200,MATCH(1,('GMW - Baseline'!$MC$2:$MC$200=J$3)*('GMW - Baseline'!$MB$2:$MB$200=J$4),0),$E207-1973)</f>
        <v>#N/A</v>
      </c>
      <c r="K207" t="e" cm="1">
        <f t="array" ref="K207">INDEX('GMW - Baseline'!$A$2:$MC$200,MATCH(1,('GMW - Baseline'!$MC$2:$MC$200=K$3)*('GMW - Baseline'!$MB$2:$MB$200=K$4),0),$E207-1973)</f>
        <v>#N/A</v>
      </c>
      <c r="L207" t="e" cm="1">
        <f t="array" ref="L207">INDEX('GMW - Baseline'!$A$2:$MC$200,MATCH(1,('GMW - Baseline'!$MC$2:$MC$200=L$3)*('GMW - Baseline'!$MB$2:$MB$200=L$4),0),$E207-1973)</f>
        <v>#N/A</v>
      </c>
      <c r="M207" t="e" cm="1">
        <f t="array" ref="M207">INDEX('GMW - Baseline'!$A$2:$MC$200,MATCH(1,('GMW - Baseline'!$MC$2:$MC$200=M$3)*('GMW - Baseline'!$MB$2:$MB$200=M$4),0),$E207-1973)</f>
        <v>#N/A</v>
      </c>
      <c r="N207" t="e" cm="1">
        <f t="array" ref="N207">INDEX('GMW - Baseline'!$A$2:$MC$200,MATCH(1,('GMW - Baseline'!$MC$2:$MC$200=N$3)*('GMW - Baseline'!$MB$2:$MB$200=N$4),0),$E207-1973)</f>
        <v>#N/A</v>
      </c>
      <c r="O207" t="e" cm="1">
        <f t="array" ref="O207">INDEX('GMW - Baseline'!$A$2:$MC$200,MATCH(1,('GMW - Baseline'!$MC$2:$MC$200=O$3)*('GMW - Baseline'!$MB$2:$MB$200=O$4),0),$E207-1973)</f>
        <v>#N/A</v>
      </c>
      <c r="P207" t="e" cm="1">
        <f t="array" ref="P207">INDEX('GMW - Baseline'!$A$2:$MC$200,MATCH(1,('GMW - Baseline'!$MC$2:$MC$200=P$3)*('GMW - Baseline'!$MB$2:$MB$200=P$4),0),$E207-1973)</f>
        <v>#N/A</v>
      </c>
      <c r="Q207" t="e" cm="1">
        <f t="array" ref="Q207">INDEX('GMW - Baseline'!$A$2:$MC$200,MATCH(1,('GMW - Baseline'!$MC$2:$MC$200=Q$3)*('GMW - Baseline'!$MB$2:$MB$200=Q$4),0),$E207-1973)</f>
        <v>#N/A</v>
      </c>
      <c r="R207" t="e" cm="1">
        <f t="array" ref="R207">INDEX('GMW - Baseline'!$A$2:$MC$200,MATCH(1,('GMW - Baseline'!$MC$2:$MC$200=R$3)*('GMW - Baseline'!$MB$2:$MB$200=R$4),0),$E207-1973)</f>
        <v>#N/A</v>
      </c>
      <c r="S207" t="e" cm="1">
        <f t="array" ref="S207">INDEX('GMW - Baseline'!$A$2:$MC$200,MATCH(1,('GMW - Baseline'!$MC$2:$MC$200=S$3)*('GMW - Baseline'!$MB$2:$MB$200=S$4),0),$E207-1973)</f>
        <v>#N/A</v>
      </c>
      <c r="T207" t="e" cm="1">
        <f t="array" ref="T207">INDEX('GMW - Baseline'!$A$2:$MC$200,MATCH(1,('GMW - Baseline'!$MC$2:$MC$200=T$3)*('GMW - Baseline'!$MB$2:$MB$200=T$4),0),$E207-1973)</f>
        <v>#N/A</v>
      </c>
    </row>
    <row r="208" spans="1:20" x14ac:dyDescent="0.25">
      <c r="B208">
        <f t="shared" si="17"/>
        <v>2030</v>
      </c>
      <c r="C208">
        <f t="shared" si="17"/>
        <v>2030</v>
      </c>
      <c r="E208">
        <f t="shared" si="16"/>
        <v>2181</v>
      </c>
      <c r="F208" cm="1">
        <f t="array" ref="F208">INDEX('GMW - Baseline'!$A$2:$MC$200,MATCH(1,('GMW - Baseline'!$MC$2:$MC$200=F$3)*('GMW - Baseline'!$MB$2:$MB$200=F$4),0),$E208-1973)</f>
        <v>750742.2</v>
      </c>
      <c r="G208" cm="1">
        <f t="array" ref="G208">INDEX('GMW - Baseline'!$A$2:$MC$200,MATCH(1,('GMW - Baseline'!$MC$2:$MC$200=G$3)*('GMW - Baseline'!$MB$2:$MB$200=G$4),0),$E208-1973)</f>
        <v>441292.5</v>
      </c>
      <c r="H208" cm="1">
        <f t="array" ref="H208">INDEX('GMW - Baseline'!$A$2:$MC$200,MATCH(1,('GMW - Baseline'!$MC$2:$MC$200=H$3)*('GMW - Baseline'!$MB$2:$MB$200=H$4),0),$E208-1973)</f>
        <v>153.60849999999999</v>
      </c>
      <c r="I208" cm="1">
        <f t="array" ref="I208">INDEX('GMW - Baseline'!$A$2:$MC$200,MATCH(1,('GMW - Baseline'!$MC$2:$MC$200=I$3)*('GMW - Baseline'!$MB$2:$MB$200=I$4),0),$E208-1973)</f>
        <v>2.5000939999999998</v>
      </c>
      <c r="J208" t="e" cm="1">
        <f t="array" ref="J208">INDEX('GMW - Baseline'!$A$2:$MC$200,MATCH(1,('GMW - Baseline'!$MC$2:$MC$200=J$3)*('GMW - Baseline'!$MB$2:$MB$200=J$4),0),$E208-1973)</f>
        <v>#N/A</v>
      </c>
      <c r="K208" t="e" cm="1">
        <f t="array" ref="K208">INDEX('GMW - Baseline'!$A$2:$MC$200,MATCH(1,('GMW - Baseline'!$MC$2:$MC$200=K$3)*('GMW - Baseline'!$MB$2:$MB$200=K$4),0),$E208-1973)</f>
        <v>#N/A</v>
      </c>
      <c r="L208" t="e" cm="1">
        <f t="array" ref="L208">INDEX('GMW - Baseline'!$A$2:$MC$200,MATCH(1,('GMW - Baseline'!$MC$2:$MC$200=L$3)*('GMW - Baseline'!$MB$2:$MB$200=L$4),0),$E208-1973)</f>
        <v>#N/A</v>
      </c>
      <c r="M208" t="e" cm="1">
        <f t="array" ref="M208">INDEX('GMW - Baseline'!$A$2:$MC$200,MATCH(1,('GMW - Baseline'!$MC$2:$MC$200=M$3)*('GMW - Baseline'!$MB$2:$MB$200=M$4),0),$E208-1973)</f>
        <v>#N/A</v>
      </c>
      <c r="N208" t="e" cm="1">
        <f t="array" ref="N208">INDEX('GMW - Baseline'!$A$2:$MC$200,MATCH(1,('GMW - Baseline'!$MC$2:$MC$200=N$3)*('GMW - Baseline'!$MB$2:$MB$200=N$4),0),$E208-1973)</f>
        <v>#N/A</v>
      </c>
      <c r="O208" t="e" cm="1">
        <f t="array" ref="O208">INDEX('GMW - Baseline'!$A$2:$MC$200,MATCH(1,('GMW - Baseline'!$MC$2:$MC$200=O$3)*('GMW - Baseline'!$MB$2:$MB$200=O$4),0),$E208-1973)</f>
        <v>#N/A</v>
      </c>
      <c r="P208" t="e" cm="1">
        <f t="array" ref="P208">INDEX('GMW - Baseline'!$A$2:$MC$200,MATCH(1,('GMW - Baseline'!$MC$2:$MC$200=P$3)*('GMW - Baseline'!$MB$2:$MB$200=P$4),0),$E208-1973)</f>
        <v>#N/A</v>
      </c>
      <c r="Q208" t="e" cm="1">
        <f t="array" ref="Q208">INDEX('GMW - Baseline'!$A$2:$MC$200,MATCH(1,('GMW - Baseline'!$MC$2:$MC$200=Q$3)*('GMW - Baseline'!$MB$2:$MB$200=Q$4),0),$E208-1973)</f>
        <v>#N/A</v>
      </c>
      <c r="R208" t="e" cm="1">
        <f t="array" ref="R208">INDEX('GMW - Baseline'!$A$2:$MC$200,MATCH(1,('GMW - Baseline'!$MC$2:$MC$200=R$3)*('GMW - Baseline'!$MB$2:$MB$200=R$4),0),$E208-1973)</f>
        <v>#N/A</v>
      </c>
      <c r="S208" t="e" cm="1">
        <f t="array" ref="S208">INDEX('GMW - Baseline'!$A$2:$MC$200,MATCH(1,('GMW - Baseline'!$MC$2:$MC$200=S$3)*('GMW - Baseline'!$MB$2:$MB$200=S$4),0),$E208-1973)</f>
        <v>#N/A</v>
      </c>
      <c r="T208" t="e" cm="1">
        <f t="array" ref="T208">INDEX('GMW - Baseline'!$A$2:$MC$200,MATCH(1,('GMW - Baseline'!$MC$2:$MC$200=T$3)*('GMW - Baseline'!$MB$2:$MB$200=T$4),0),$E208-1973)</f>
        <v>#N/A</v>
      </c>
    </row>
    <row r="209" spans="1:20" x14ac:dyDescent="0.25">
      <c r="B209">
        <f t="shared" si="17"/>
        <v>2030</v>
      </c>
      <c r="C209">
        <f t="shared" si="17"/>
        <v>2030</v>
      </c>
      <c r="E209">
        <f t="shared" si="16"/>
        <v>2182</v>
      </c>
      <c r="F209" cm="1">
        <f t="array" ref="F209">INDEX('GMW - Baseline'!$A$2:$MC$200,MATCH(1,('GMW - Baseline'!$MC$2:$MC$200=F$3)*('GMW - Baseline'!$MB$2:$MB$200=F$4),0),$E209-1973)</f>
        <v>753519.8</v>
      </c>
      <c r="G209" cm="1">
        <f t="array" ref="G209">INDEX('GMW - Baseline'!$A$2:$MC$200,MATCH(1,('GMW - Baseline'!$MC$2:$MC$200=G$3)*('GMW - Baseline'!$MB$2:$MB$200=G$4),0),$E209-1973)</f>
        <v>442797.1</v>
      </c>
      <c r="H209" cm="1">
        <f t="array" ref="H209">INDEX('GMW - Baseline'!$A$2:$MC$200,MATCH(1,('GMW - Baseline'!$MC$2:$MC$200=H$3)*('GMW - Baseline'!$MB$2:$MB$200=H$4),0),$E209-1973)</f>
        <v>154.34399999999999</v>
      </c>
      <c r="I209" cm="1">
        <f t="array" ref="I209">INDEX('GMW - Baseline'!$A$2:$MC$200,MATCH(1,('GMW - Baseline'!$MC$2:$MC$200=I$3)*('GMW - Baseline'!$MB$2:$MB$200=I$4),0),$E209-1973)</f>
        <v>2.5001099999999998</v>
      </c>
      <c r="J209" t="e" cm="1">
        <f t="array" ref="J209">INDEX('GMW - Baseline'!$A$2:$MC$200,MATCH(1,('GMW - Baseline'!$MC$2:$MC$200=J$3)*('GMW - Baseline'!$MB$2:$MB$200=J$4),0),$E209-1973)</f>
        <v>#N/A</v>
      </c>
      <c r="K209" t="e" cm="1">
        <f t="array" ref="K209">INDEX('GMW - Baseline'!$A$2:$MC$200,MATCH(1,('GMW - Baseline'!$MC$2:$MC$200=K$3)*('GMW - Baseline'!$MB$2:$MB$200=K$4),0),$E209-1973)</f>
        <v>#N/A</v>
      </c>
      <c r="L209" t="e" cm="1">
        <f t="array" ref="L209">INDEX('GMW - Baseline'!$A$2:$MC$200,MATCH(1,('GMW - Baseline'!$MC$2:$MC$200=L$3)*('GMW - Baseline'!$MB$2:$MB$200=L$4),0),$E209-1973)</f>
        <v>#N/A</v>
      </c>
      <c r="M209" t="e" cm="1">
        <f t="array" ref="M209">INDEX('GMW - Baseline'!$A$2:$MC$200,MATCH(1,('GMW - Baseline'!$MC$2:$MC$200=M$3)*('GMW - Baseline'!$MB$2:$MB$200=M$4),0),$E209-1973)</f>
        <v>#N/A</v>
      </c>
      <c r="N209" t="e" cm="1">
        <f t="array" ref="N209">INDEX('GMW - Baseline'!$A$2:$MC$200,MATCH(1,('GMW - Baseline'!$MC$2:$MC$200=N$3)*('GMW - Baseline'!$MB$2:$MB$200=N$4),0),$E209-1973)</f>
        <v>#N/A</v>
      </c>
      <c r="O209" t="e" cm="1">
        <f t="array" ref="O209">INDEX('GMW - Baseline'!$A$2:$MC$200,MATCH(1,('GMW - Baseline'!$MC$2:$MC$200=O$3)*('GMW - Baseline'!$MB$2:$MB$200=O$4),0),$E209-1973)</f>
        <v>#N/A</v>
      </c>
      <c r="P209" t="e" cm="1">
        <f t="array" ref="P209">INDEX('GMW - Baseline'!$A$2:$MC$200,MATCH(1,('GMW - Baseline'!$MC$2:$MC$200=P$3)*('GMW - Baseline'!$MB$2:$MB$200=P$4),0),$E209-1973)</f>
        <v>#N/A</v>
      </c>
      <c r="Q209" t="e" cm="1">
        <f t="array" ref="Q209">INDEX('GMW - Baseline'!$A$2:$MC$200,MATCH(1,('GMW - Baseline'!$MC$2:$MC$200=Q$3)*('GMW - Baseline'!$MB$2:$MB$200=Q$4),0),$E209-1973)</f>
        <v>#N/A</v>
      </c>
      <c r="R209" t="e" cm="1">
        <f t="array" ref="R209">INDEX('GMW - Baseline'!$A$2:$MC$200,MATCH(1,('GMW - Baseline'!$MC$2:$MC$200=R$3)*('GMW - Baseline'!$MB$2:$MB$200=R$4),0),$E209-1973)</f>
        <v>#N/A</v>
      </c>
      <c r="S209" t="e" cm="1">
        <f t="array" ref="S209">INDEX('GMW - Baseline'!$A$2:$MC$200,MATCH(1,('GMW - Baseline'!$MC$2:$MC$200=S$3)*('GMW - Baseline'!$MB$2:$MB$200=S$4),0),$E209-1973)</f>
        <v>#N/A</v>
      </c>
      <c r="T209" t="e" cm="1">
        <f t="array" ref="T209">INDEX('GMW - Baseline'!$A$2:$MC$200,MATCH(1,('GMW - Baseline'!$MC$2:$MC$200=T$3)*('GMW - Baseline'!$MB$2:$MB$200=T$4),0),$E209-1973)</f>
        <v>#N/A</v>
      </c>
    </row>
    <row r="210" spans="1:20" x14ac:dyDescent="0.25">
      <c r="B210">
        <f t="shared" si="17"/>
        <v>2030</v>
      </c>
      <c r="C210">
        <f t="shared" si="17"/>
        <v>2030</v>
      </c>
      <c r="E210">
        <f t="shared" si="16"/>
        <v>2183</v>
      </c>
      <c r="F210" cm="1">
        <f t="array" ref="F210">INDEX('GMW - Baseline'!$A$2:$MC$200,MATCH(1,('GMW - Baseline'!$MC$2:$MC$200=F$3)*('GMW - Baseline'!$MB$2:$MB$200=F$4),0),$E210-1973)</f>
        <v>756421</v>
      </c>
      <c r="G210" cm="1">
        <f t="array" ref="G210">INDEX('GMW - Baseline'!$A$2:$MC$200,MATCH(1,('GMW - Baseline'!$MC$2:$MC$200=G$3)*('GMW - Baseline'!$MB$2:$MB$200=G$4),0),$E210-1973)</f>
        <v>444373.1</v>
      </c>
      <c r="H210" cm="1">
        <f t="array" ref="H210">INDEX('GMW - Baseline'!$A$2:$MC$200,MATCH(1,('GMW - Baseline'!$MC$2:$MC$200=H$3)*('GMW - Baseline'!$MB$2:$MB$200=H$4),0),$E210-1973)</f>
        <v>154.9975</v>
      </c>
      <c r="I210" cm="1">
        <f t="array" ref="I210">INDEX('GMW - Baseline'!$A$2:$MC$200,MATCH(1,('GMW - Baseline'!$MC$2:$MC$200=I$3)*('GMW - Baseline'!$MB$2:$MB$200=I$4),0),$E210-1973)</f>
        <v>2.5001139999999999</v>
      </c>
      <c r="J210" t="e" cm="1">
        <f t="array" ref="J210">INDEX('GMW - Baseline'!$A$2:$MC$200,MATCH(1,('GMW - Baseline'!$MC$2:$MC$200=J$3)*('GMW - Baseline'!$MB$2:$MB$200=J$4),0),$E210-1973)</f>
        <v>#N/A</v>
      </c>
      <c r="K210" t="e" cm="1">
        <f t="array" ref="K210">INDEX('GMW - Baseline'!$A$2:$MC$200,MATCH(1,('GMW - Baseline'!$MC$2:$MC$200=K$3)*('GMW - Baseline'!$MB$2:$MB$200=K$4),0),$E210-1973)</f>
        <v>#N/A</v>
      </c>
      <c r="L210" t="e" cm="1">
        <f t="array" ref="L210">INDEX('GMW - Baseline'!$A$2:$MC$200,MATCH(1,('GMW - Baseline'!$MC$2:$MC$200=L$3)*('GMW - Baseline'!$MB$2:$MB$200=L$4),0),$E210-1973)</f>
        <v>#N/A</v>
      </c>
      <c r="M210" t="e" cm="1">
        <f t="array" ref="M210">INDEX('GMW - Baseline'!$A$2:$MC$200,MATCH(1,('GMW - Baseline'!$MC$2:$MC$200=M$3)*('GMW - Baseline'!$MB$2:$MB$200=M$4),0),$E210-1973)</f>
        <v>#N/A</v>
      </c>
      <c r="N210" t="e" cm="1">
        <f t="array" ref="N210">INDEX('GMW - Baseline'!$A$2:$MC$200,MATCH(1,('GMW - Baseline'!$MC$2:$MC$200=N$3)*('GMW - Baseline'!$MB$2:$MB$200=N$4),0),$E210-1973)</f>
        <v>#N/A</v>
      </c>
      <c r="O210" t="e" cm="1">
        <f t="array" ref="O210">INDEX('GMW - Baseline'!$A$2:$MC$200,MATCH(1,('GMW - Baseline'!$MC$2:$MC$200=O$3)*('GMW - Baseline'!$MB$2:$MB$200=O$4),0),$E210-1973)</f>
        <v>#N/A</v>
      </c>
      <c r="P210" t="e" cm="1">
        <f t="array" ref="P210">INDEX('GMW - Baseline'!$A$2:$MC$200,MATCH(1,('GMW - Baseline'!$MC$2:$MC$200=P$3)*('GMW - Baseline'!$MB$2:$MB$200=P$4),0),$E210-1973)</f>
        <v>#N/A</v>
      </c>
      <c r="Q210" t="e" cm="1">
        <f t="array" ref="Q210">INDEX('GMW - Baseline'!$A$2:$MC$200,MATCH(1,('GMW - Baseline'!$MC$2:$MC$200=Q$3)*('GMW - Baseline'!$MB$2:$MB$200=Q$4),0),$E210-1973)</f>
        <v>#N/A</v>
      </c>
      <c r="R210" t="e" cm="1">
        <f t="array" ref="R210">INDEX('GMW - Baseline'!$A$2:$MC$200,MATCH(1,('GMW - Baseline'!$MC$2:$MC$200=R$3)*('GMW - Baseline'!$MB$2:$MB$200=R$4),0),$E210-1973)</f>
        <v>#N/A</v>
      </c>
      <c r="S210" t="e" cm="1">
        <f t="array" ref="S210">INDEX('GMW - Baseline'!$A$2:$MC$200,MATCH(1,('GMW - Baseline'!$MC$2:$MC$200=S$3)*('GMW - Baseline'!$MB$2:$MB$200=S$4),0),$E210-1973)</f>
        <v>#N/A</v>
      </c>
      <c r="T210" t="e" cm="1">
        <f t="array" ref="T210">INDEX('GMW - Baseline'!$A$2:$MC$200,MATCH(1,('GMW - Baseline'!$MC$2:$MC$200=T$3)*('GMW - Baseline'!$MB$2:$MB$200=T$4),0),$E210-1973)</f>
        <v>#N/A</v>
      </c>
    </row>
    <row r="211" spans="1:20" x14ac:dyDescent="0.25">
      <c r="A211">
        <v>2031</v>
      </c>
      <c r="B211">
        <f t="shared" si="17"/>
        <v>2031</v>
      </c>
      <c r="C211">
        <f t="shared" si="17"/>
        <v>2030</v>
      </c>
      <c r="D211">
        <f t="shared" si="17"/>
        <v>2030</v>
      </c>
      <c r="E211">
        <f t="shared" si="16"/>
        <v>2184</v>
      </c>
      <c r="F211" cm="1">
        <f t="array" ref="F211">INDEX('GMW - Baseline'!$A$2:$MC$200,MATCH(1,('GMW - Baseline'!$MC$2:$MC$200=F$3)*('GMW - Baseline'!$MB$2:$MB$200=F$4),0),$E211-1973)</f>
        <v>759333.2</v>
      </c>
      <c r="G211" cm="1">
        <f t="array" ref="G211">INDEX('GMW - Baseline'!$A$2:$MC$200,MATCH(1,('GMW - Baseline'!$MC$2:$MC$200=G$3)*('GMW - Baseline'!$MB$2:$MB$200=G$4),0),$E211-1973)</f>
        <v>445962.5</v>
      </c>
      <c r="H211" cm="1">
        <f t="array" ref="H211">INDEX('GMW - Baseline'!$A$2:$MC$200,MATCH(1,('GMW - Baseline'!$MC$2:$MC$200=H$3)*('GMW - Baseline'!$MB$2:$MB$200=H$4),0),$E211-1973)</f>
        <v>155.2535</v>
      </c>
      <c r="I211" cm="1">
        <f t="array" ref="I211">INDEX('GMW - Baseline'!$A$2:$MC$200,MATCH(1,('GMW - Baseline'!$MC$2:$MC$200=I$3)*('GMW - Baseline'!$MB$2:$MB$200=I$4),0),$E211-1973)</f>
        <v>2.500105</v>
      </c>
      <c r="J211" t="e" cm="1">
        <f t="array" ref="J211">INDEX('GMW - Baseline'!$A$2:$MC$200,MATCH(1,('GMW - Baseline'!$MC$2:$MC$200=J$3)*('GMW - Baseline'!$MB$2:$MB$200=J$4),0),$E211-1973)</f>
        <v>#N/A</v>
      </c>
      <c r="K211" t="e" cm="1">
        <f t="array" ref="K211">INDEX('GMW - Baseline'!$A$2:$MC$200,MATCH(1,('GMW - Baseline'!$MC$2:$MC$200=K$3)*('GMW - Baseline'!$MB$2:$MB$200=K$4),0),$E211-1973)</f>
        <v>#N/A</v>
      </c>
      <c r="L211" t="e" cm="1">
        <f t="array" ref="L211">INDEX('GMW - Baseline'!$A$2:$MC$200,MATCH(1,('GMW - Baseline'!$MC$2:$MC$200=L$3)*('GMW - Baseline'!$MB$2:$MB$200=L$4),0),$E211-1973)</f>
        <v>#N/A</v>
      </c>
      <c r="M211" t="e" cm="1">
        <f t="array" ref="M211">INDEX('GMW - Baseline'!$A$2:$MC$200,MATCH(1,('GMW - Baseline'!$MC$2:$MC$200=M$3)*('GMW - Baseline'!$MB$2:$MB$200=M$4),0),$E211-1973)</f>
        <v>#N/A</v>
      </c>
      <c r="N211" t="e" cm="1">
        <f t="array" ref="N211">INDEX('GMW - Baseline'!$A$2:$MC$200,MATCH(1,('GMW - Baseline'!$MC$2:$MC$200=N$3)*('GMW - Baseline'!$MB$2:$MB$200=N$4),0),$E211-1973)</f>
        <v>#N/A</v>
      </c>
      <c r="O211" t="e" cm="1">
        <f t="array" ref="O211">INDEX('GMW - Baseline'!$A$2:$MC$200,MATCH(1,('GMW - Baseline'!$MC$2:$MC$200=O$3)*('GMW - Baseline'!$MB$2:$MB$200=O$4),0),$E211-1973)</f>
        <v>#N/A</v>
      </c>
      <c r="P211" t="e" cm="1">
        <f t="array" ref="P211">INDEX('GMW - Baseline'!$A$2:$MC$200,MATCH(1,('GMW - Baseline'!$MC$2:$MC$200=P$3)*('GMW - Baseline'!$MB$2:$MB$200=P$4),0),$E211-1973)</f>
        <v>#N/A</v>
      </c>
      <c r="Q211" t="e" cm="1">
        <f t="array" ref="Q211">INDEX('GMW - Baseline'!$A$2:$MC$200,MATCH(1,('GMW - Baseline'!$MC$2:$MC$200=Q$3)*('GMW - Baseline'!$MB$2:$MB$200=Q$4),0),$E211-1973)</f>
        <v>#N/A</v>
      </c>
      <c r="R211" t="e" cm="1">
        <f t="array" ref="R211">INDEX('GMW - Baseline'!$A$2:$MC$200,MATCH(1,('GMW - Baseline'!$MC$2:$MC$200=R$3)*('GMW - Baseline'!$MB$2:$MB$200=R$4),0),$E211-1973)</f>
        <v>#N/A</v>
      </c>
      <c r="S211" t="e" cm="1">
        <f t="array" ref="S211">INDEX('GMW - Baseline'!$A$2:$MC$200,MATCH(1,('GMW - Baseline'!$MC$2:$MC$200=S$3)*('GMW - Baseline'!$MB$2:$MB$200=S$4),0),$E211-1973)</f>
        <v>#N/A</v>
      </c>
      <c r="T211" t="e" cm="1">
        <f t="array" ref="T211">INDEX('GMW - Baseline'!$A$2:$MC$200,MATCH(1,('GMW - Baseline'!$MC$2:$MC$200=T$3)*('GMW - Baseline'!$MB$2:$MB$200=T$4),0),$E211-1973)</f>
        <v>#N/A</v>
      </c>
    </row>
    <row r="212" spans="1:20" x14ac:dyDescent="0.25">
      <c r="B212">
        <f t="shared" si="17"/>
        <v>2031</v>
      </c>
      <c r="C212">
        <f t="shared" si="17"/>
        <v>2031</v>
      </c>
      <c r="E212">
        <f t="shared" si="16"/>
        <v>2185</v>
      </c>
      <c r="F212" cm="1">
        <f t="array" ref="F212">INDEX('GMW - Baseline'!$A$2:$MC$200,MATCH(1,('GMW - Baseline'!$MC$2:$MC$200=F$3)*('GMW - Baseline'!$MB$2:$MB$200=F$4),0),$E212-1973)</f>
        <v>762180.6</v>
      </c>
      <c r="G212" cm="1">
        <f t="array" ref="G212">INDEX('GMW - Baseline'!$A$2:$MC$200,MATCH(1,('GMW - Baseline'!$MC$2:$MC$200=G$3)*('GMW - Baseline'!$MB$2:$MB$200=G$4),0),$E212-1973)</f>
        <v>447559.2</v>
      </c>
      <c r="H212" cm="1">
        <f t="array" ref="H212">INDEX('GMW - Baseline'!$A$2:$MC$200,MATCH(1,('GMW - Baseline'!$MC$2:$MC$200=H$3)*('GMW - Baseline'!$MB$2:$MB$200=H$4),0),$E212-1973)</f>
        <v>156.62530000000001</v>
      </c>
      <c r="I212" cm="1">
        <f t="array" ref="I212">INDEX('GMW - Baseline'!$A$2:$MC$200,MATCH(1,('GMW - Baseline'!$MC$2:$MC$200=I$3)*('GMW - Baseline'!$MB$2:$MB$200=I$4),0),$E212-1973)</f>
        <v>2.5000779999999998</v>
      </c>
      <c r="J212" t="e" cm="1">
        <f t="array" ref="J212">INDEX('GMW - Baseline'!$A$2:$MC$200,MATCH(1,('GMW - Baseline'!$MC$2:$MC$200=J$3)*('GMW - Baseline'!$MB$2:$MB$200=J$4),0),$E212-1973)</f>
        <v>#N/A</v>
      </c>
      <c r="K212" t="e" cm="1">
        <f t="array" ref="K212">INDEX('GMW - Baseline'!$A$2:$MC$200,MATCH(1,('GMW - Baseline'!$MC$2:$MC$200=K$3)*('GMW - Baseline'!$MB$2:$MB$200=K$4),0),$E212-1973)</f>
        <v>#N/A</v>
      </c>
      <c r="L212" t="e" cm="1">
        <f t="array" ref="L212">INDEX('GMW - Baseline'!$A$2:$MC$200,MATCH(1,('GMW - Baseline'!$MC$2:$MC$200=L$3)*('GMW - Baseline'!$MB$2:$MB$200=L$4),0),$E212-1973)</f>
        <v>#N/A</v>
      </c>
      <c r="M212" t="e" cm="1">
        <f t="array" ref="M212">INDEX('GMW - Baseline'!$A$2:$MC$200,MATCH(1,('GMW - Baseline'!$MC$2:$MC$200=M$3)*('GMW - Baseline'!$MB$2:$MB$200=M$4),0),$E212-1973)</f>
        <v>#N/A</v>
      </c>
      <c r="N212" t="e" cm="1">
        <f t="array" ref="N212">INDEX('GMW - Baseline'!$A$2:$MC$200,MATCH(1,('GMW - Baseline'!$MC$2:$MC$200=N$3)*('GMW - Baseline'!$MB$2:$MB$200=N$4),0),$E212-1973)</f>
        <v>#N/A</v>
      </c>
      <c r="O212" t="e" cm="1">
        <f t="array" ref="O212">INDEX('GMW - Baseline'!$A$2:$MC$200,MATCH(1,('GMW - Baseline'!$MC$2:$MC$200=O$3)*('GMW - Baseline'!$MB$2:$MB$200=O$4),0),$E212-1973)</f>
        <v>#N/A</v>
      </c>
      <c r="P212" t="e" cm="1">
        <f t="array" ref="P212">INDEX('GMW - Baseline'!$A$2:$MC$200,MATCH(1,('GMW - Baseline'!$MC$2:$MC$200=P$3)*('GMW - Baseline'!$MB$2:$MB$200=P$4),0),$E212-1973)</f>
        <v>#N/A</v>
      </c>
      <c r="Q212" t="e" cm="1">
        <f t="array" ref="Q212">INDEX('GMW - Baseline'!$A$2:$MC$200,MATCH(1,('GMW - Baseline'!$MC$2:$MC$200=Q$3)*('GMW - Baseline'!$MB$2:$MB$200=Q$4),0),$E212-1973)</f>
        <v>#N/A</v>
      </c>
      <c r="R212" t="e" cm="1">
        <f t="array" ref="R212">INDEX('GMW - Baseline'!$A$2:$MC$200,MATCH(1,('GMW - Baseline'!$MC$2:$MC$200=R$3)*('GMW - Baseline'!$MB$2:$MB$200=R$4),0),$E212-1973)</f>
        <v>#N/A</v>
      </c>
      <c r="S212" t="e" cm="1">
        <f t="array" ref="S212">INDEX('GMW - Baseline'!$A$2:$MC$200,MATCH(1,('GMW - Baseline'!$MC$2:$MC$200=S$3)*('GMW - Baseline'!$MB$2:$MB$200=S$4),0),$E212-1973)</f>
        <v>#N/A</v>
      </c>
      <c r="T212" t="e" cm="1">
        <f t="array" ref="T212">INDEX('GMW - Baseline'!$A$2:$MC$200,MATCH(1,('GMW - Baseline'!$MC$2:$MC$200=T$3)*('GMW - Baseline'!$MB$2:$MB$200=T$4),0),$E212-1973)</f>
        <v>#N/A</v>
      </c>
    </row>
    <row r="213" spans="1:20" x14ac:dyDescent="0.25">
      <c r="B213">
        <f t="shared" si="17"/>
        <v>2031</v>
      </c>
      <c r="C213">
        <f t="shared" si="17"/>
        <v>2031</v>
      </c>
      <c r="E213">
        <f t="shared" si="16"/>
        <v>2186</v>
      </c>
      <c r="F213" cm="1">
        <f t="array" ref="F213">INDEX('GMW - Baseline'!$A$2:$MC$200,MATCH(1,('GMW - Baseline'!$MC$2:$MC$200=F$3)*('GMW - Baseline'!$MB$2:$MB$200=F$4),0),$E213-1973)</f>
        <v>765000.1</v>
      </c>
      <c r="G213" cm="1">
        <f t="array" ref="G213">INDEX('GMW - Baseline'!$A$2:$MC$200,MATCH(1,('GMW - Baseline'!$MC$2:$MC$200=G$3)*('GMW - Baseline'!$MB$2:$MB$200=G$4),0),$E213-1973)</f>
        <v>449129.8</v>
      </c>
      <c r="H213" cm="1">
        <f t="array" ref="H213">INDEX('GMW - Baseline'!$A$2:$MC$200,MATCH(1,('GMW - Baseline'!$MC$2:$MC$200=H$3)*('GMW - Baseline'!$MB$2:$MB$200=H$4),0),$E213-1973)</f>
        <v>157.43440000000001</v>
      </c>
      <c r="I213" cm="1">
        <f t="array" ref="I213">INDEX('GMW - Baseline'!$A$2:$MC$200,MATCH(1,('GMW - Baseline'!$MC$2:$MC$200=I$3)*('GMW - Baseline'!$MB$2:$MB$200=I$4),0),$E213-1973)</f>
        <v>2.5000439999999999</v>
      </c>
      <c r="J213" t="e" cm="1">
        <f t="array" ref="J213">INDEX('GMW - Baseline'!$A$2:$MC$200,MATCH(1,('GMW - Baseline'!$MC$2:$MC$200=J$3)*('GMW - Baseline'!$MB$2:$MB$200=J$4),0),$E213-1973)</f>
        <v>#N/A</v>
      </c>
      <c r="K213" t="e" cm="1">
        <f t="array" ref="K213">INDEX('GMW - Baseline'!$A$2:$MC$200,MATCH(1,('GMW - Baseline'!$MC$2:$MC$200=K$3)*('GMW - Baseline'!$MB$2:$MB$200=K$4),0),$E213-1973)</f>
        <v>#N/A</v>
      </c>
      <c r="L213" t="e" cm="1">
        <f t="array" ref="L213">INDEX('GMW - Baseline'!$A$2:$MC$200,MATCH(1,('GMW - Baseline'!$MC$2:$MC$200=L$3)*('GMW - Baseline'!$MB$2:$MB$200=L$4),0),$E213-1973)</f>
        <v>#N/A</v>
      </c>
      <c r="M213" t="e" cm="1">
        <f t="array" ref="M213">INDEX('GMW - Baseline'!$A$2:$MC$200,MATCH(1,('GMW - Baseline'!$MC$2:$MC$200=M$3)*('GMW - Baseline'!$MB$2:$MB$200=M$4),0),$E213-1973)</f>
        <v>#N/A</v>
      </c>
      <c r="N213" t="e" cm="1">
        <f t="array" ref="N213">INDEX('GMW - Baseline'!$A$2:$MC$200,MATCH(1,('GMW - Baseline'!$MC$2:$MC$200=N$3)*('GMW - Baseline'!$MB$2:$MB$200=N$4),0),$E213-1973)</f>
        <v>#N/A</v>
      </c>
      <c r="O213" t="e" cm="1">
        <f t="array" ref="O213">INDEX('GMW - Baseline'!$A$2:$MC$200,MATCH(1,('GMW - Baseline'!$MC$2:$MC$200=O$3)*('GMW - Baseline'!$MB$2:$MB$200=O$4),0),$E213-1973)</f>
        <v>#N/A</v>
      </c>
      <c r="P213" t="e" cm="1">
        <f t="array" ref="P213">INDEX('GMW - Baseline'!$A$2:$MC$200,MATCH(1,('GMW - Baseline'!$MC$2:$MC$200=P$3)*('GMW - Baseline'!$MB$2:$MB$200=P$4),0),$E213-1973)</f>
        <v>#N/A</v>
      </c>
      <c r="Q213" t="e" cm="1">
        <f t="array" ref="Q213">INDEX('GMW - Baseline'!$A$2:$MC$200,MATCH(1,('GMW - Baseline'!$MC$2:$MC$200=Q$3)*('GMW - Baseline'!$MB$2:$MB$200=Q$4),0),$E213-1973)</f>
        <v>#N/A</v>
      </c>
      <c r="R213" t="e" cm="1">
        <f t="array" ref="R213">INDEX('GMW - Baseline'!$A$2:$MC$200,MATCH(1,('GMW - Baseline'!$MC$2:$MC$200=R$3)*('GMW - Baseline'!$MB$2:$MB$200=R$4),0),$E213-1973)</f>
        <v>#N/A</v>
      </c>
      <c r="S213" t="e" cm="1">
        <f t="array" ref="S213">INDEX('GMW - Baseline'!$A$2:$MC$200,MATCH(1,('GMW - Baseline'!$MC$2:$MC$200=S$3)*('GMW - Baseline'!$MB$2:$MB$200=S$4),0),$E213-1973)</f>
        <v>#N/A</v>
      </c>
      <c r="T213" t="e" cm="1">
        <f t="array" ref="T213">INDEX('GMW - Baseline'!$A$2:$MC$200,MATCH(1,('GMW - Baseline'!$MC$2:$MC$200=T$3)*('GMW - Baseline'!$MB$2:$MB$200=T$4),0),$E213-1973)</f>
        <v>#N/A</v>
      </c>
    </row>
    <row r="214" spans="1:20" x14ac:dyDescent="0.25">
      <c r="B214">
        <f t="shared" si="17"/>
        <v>2031</v>
      </c>
      <c r="C214">
        <f t="shared" si="17"/>
        <v>2031</v>
      </c>
      <c r="E214">
        <f t="shared" si="16"/>
        <v>2187</v>
      </c>
      <c r="F214" cm="1">
        <f t="array" ref="F214">INDEX('GMW - Baseline'!$A$2:$MC$200,MATCH(1,('GMW - Baseline'!$MC$2:$MC$200=F$3)*('GMW - Baseline'!$MB$2:$MB$200=F$4),0),$E214-1973)</f>
        <v>767869</v>
      </c>
      <c r="G214" cm="1">
        <f t="array" ref="G214">INDEX('GMW - Baseline'!$A$2:$MC$200,MATCH(1,('GMW - Baseline'!$MC$2:$MC$200=G$3)*('GMW - Baseline'!$MB$2:$MB$200=G$4),0),$E214-1973)</f>
        <v>450715.6</v>
      </c>
      <c r="H214" cm="1">
        <f t="array" ref="H214">INDEX('GMW - Baseline'!$A$2:$MC$200,MATCH(1,('GMW - Baseline'!$MC$2:$MC$200=H$3)*('GMW - Baseline'!$MB$2:$MB$200=H$4),0),$E214-1973)</f>
        <v>158.1207</v>
      </c>
      <c r="I214" cm="1">
        <f t="array" ref="I214">INDEX('GMW - Baseline'!$A$2:$MC$200,MATCH(1,('GMW - Baseline'!$MC$2:$MC$200=I$3)*('GMW - Baseline'!$MB$2:$MB$200=I$4),0),$E214-1973)</f>
        <v>2.5000119999999999</v>
      </c>
      <c r="J214" t="e" cm="1">
        <f t="array" ref="J214">INDEX('GMW - Baseline'!$A$2:$MC$200,MATCH(1,('GMW - Baseline'!$MC$2:$MC$200=J$3)*('GMW - Baseline'!$MB$2:$MB$200=J$4),0),$E214-1973)</f>
        <v>#N/A</v>
      </c>
      <c r="K214" t="e" cm="1">
        <f t="array" ref="K214">INDEX('GMW - Baseline'!$A$2:$MC$200,MATCH(1,('GMW - Baseline'!$MC$2:$MC$200=K$3)*('GMW - Baseline'!$MB$2:$MB$200=K$4),0),$E214-1973)</f>
        <v>#N/A</v>
      </c>
      <c r="L214" t="e" cm="1">
        <f t="array" ref="L214">INDEX('GMW - Baseline'!$A$2:$MC$200,MATCH(1,('GMW - Baseline'!$MC$2:$MC$200=L$3)*('GMW - Baseline'!$MB$2:$MB$200=L$4),0),$E214-1973)</f>
        <v>#N/A</v>
      </c>
      <c r="M214" t="e" cm="1">
        <f t="array" ref="M214">INDEX('GMW - Baseline'!$A$2:$MC$200,MATCH(1,('GMW - Baseline'!$MC$2:$MC$200=M$3)*('GMW - Baseline'!$MB$2:$MB$200=M$4),0),$E214-1973)</f>
        <v>#N/A</v>
      </c>
      <c r="N214" t="e" cm="1">
        <f t="array" ref="N214">INDEX('GMW - Baseline'!$A$2:$MC$200,MATCH(1,('GMW - Baseline'!$MC$2:$MC$200=N$3)*('GMW - Baseline'!$MB$2:$MB$200=N$4),0),$E214-1973)</f>
        <v>#N/A</v>
      </c>
      <c r="O214" t="e" cm="1">
        <f t="array" ref="O214">INDEX('GMW - Baseline'!$A$2:$MC$200,MATCH(1,('GMW - Baseline'!$MC$2:$MC$200=O$3)*('GMW - Baseline'!$MB$2:$MB$200=O$4),0),$E214-1973)</f>
        <v>#N/A</v>
      </c>
      <c r="P214" t="e" cm="1">
        <f t="array" ref="P214">INDEX('GMW - Baseline'!$A$2:$MC$200,MATCH(1,('GMW - Baseline'!$MC$2:$MC$200=P$3)*('GMW - Baseline'!$MB$2:$MB$200=P$4),0),$E214-1973)</f>
        <v>#N/A</v>
      </c>
      <c r="Q214" t="e" cm="1">
        <f t="array" ref="Q214">INDEX('GMW - Baseline'!$A$2:$MC$200,MATCH(1,('GMW - Baseline'!$MC$2:$MC$200=Q$3)*('GMW - Baseline'!$MB$2:$MB$200=Q$4),0),$E214-1973)</f>
        <v>#N/A</v>
      </c>
      <c r="R214" t="e" cm="1">
        <f t="array" ref="R214">INDEX('GMW - Baseline'!$A$2:$MC$200,MATCH(1,('GMW - Baseline'!$MC$2:$MC$200=R$3)*('GMW - Baseline'!$MB$2:$MB$200=R$4),0),$E214-1973)</f>
        <v>#N/A</v>
      </c>
      <c r="S214" t="e" cm="1">
        <f t="array" ref="S214">INDEX('GMW - Baseline'!$A$2:$MC$200,MATCH(1,('GMW - Baseline'!$MC$2:$MC$200=S$3)*('GMW - Baseline'!$MB$2:$MB$200=S$4),0),$E214-1973)</f>
        <v>#N/A</v>
      </c>
      <c r="T214" t="e" cm="1">
        <f t="array" ref="T214">INDEX('GMW - Baseline'!$A$2:$MC$200,MATCH(1,('GMW - Baseline'!$MC$2:$MC$200=T$3)*('GMW - Baseline'!$MB$2:$MB$200=T$4),0),$E214-1973)</f>
        <v>#N/A</v>
      </c>
    </row>
    <row r="215" spans="1:20" x14ac:dyDescent="0.25">
      <c r="A215">
        <v>2032</v>
      </c>
      <c r="B215">
        <f t="shared" si="17"/>
        <v>2032</v>
      </c>
      <c r="C215">
        <f t="shared" si="17"/>
        <v>2031</v>
      </c>
      <c r="D215">
        <f t="shared" si="17"/>
        <v>2031</v>
      </c>
      <c r="E215">
        <f t="shared" si="16"/>
        <v>2188</v>
      </c>
      <c r="F215" cm="1">
        <f t="array" ref="F215">INDEX('GMW - Baseline'!$A$2:$MC$200,MATCH(1,('GMW - Baseline'!$MC$2:$MC$200=F$3)*('GMW - Baseline'!$MB$2:$MB$200=F$4),0),$E215-1973)</f>
        <v>770710.4</v>
      </c>
      <c r="G215" cm="1">
        <f t="array" ref="G215">INDEX('GMW - Baseline'!$A$2:$MC$200,MATCH(1,('GMW - Baseline'!$MC$2:$MC$200=G$3)*('GMW - Baseline'!$MB$2:$MB$200=G$4),0),$E215-1973)</f>
        <v>452257.6</v>
      </c>
      <c r="H215" cm="1">
        <f t="array" ref="H215">INDEX('GMW - Baseline'!$A$2:$MC$200,MATCH(1,('GMW - Baseline'!$MC$2:$MC$200=H$3)*('GMW - Baseline'!$MB$2:$MB$200=H$4),0),$E215-1973)</f>
        <v>158.386</v>
      </c>
      <c r="I215" cm="1">
        <f t="array" ref="I215">INDEX('GMW - Baseline'!$A$2:$MC$200,MATCH(1,('GMW - Baseline'!$MC$2:$MC$200=I$3)*('GMW - Baseline'!$MB$2:$MB$200=I$4),0),$E215-1973)</f>
        <v>2.499984</v>
      </c>
      <c r="J215" t="e" cm="1">
        <f t="array" ref="J215">INDEX('GMW - Baseline'!$A$2:$MC$200,MATCH(1,('GMW - Baseline'!$MC$2:$MC$200=J$3)*('GMW - Baseline'!$MB$2:$MB$200=J$4),0),$E215-1973)</f>
        <v>#N/A</v>
      </c>
      <c r="K215" t="e" cm="1">
        <f t="array" ref="K215">INDEX('GMW - Baseline'!$A$2:$MC$200,MATCH(1,('GMW - Baseline'!$MC$2:$MC$200=K$3)*('GMW - Baseline'!$MB$2:$MB$200=K$4),0),$E215-1973)</f>
        <v>#N/A</v>
      </c>
      <c r="L215" t="e" cm="1">
        <f t="array" ref="L215">INDEX('GMW - Baseline'!$A$2:$MC$200,MATCH(1,('GMW - Baseline'!$MC$2:$MC$200=L$3)*('GMW - Baseline'!$MB$2:$MB$200=L$4),0),$E215-1973)</f>
        <v>#N/A</v>
      </c>
      <c r="M215" t="e" cm="1">
        <f t="array" ref="M215">INDEX('GMW - Baseline'!$A$2:$MC$200,MATCH(1,('GMW - Baseline'!$MC$2:$MC$200=M$3)*('GMW - Baseline'!$MB$2:$MB$200=M$4),0),$E215-1973)</f>
        <v>#N/A</v>
      </c>
      <c r="N215" t="e" cm="1">
        <f t="array" ref="N215">INDEX('GMW - Baseline'!$A$2:$MC$200,MATCH(1,('GMW - Baseline'!$MC$2:$MC$200=N$3)*('GMW - Baseline'!$MB$2:$MB$200=N$4),0),$E215-1973)</f>
        <v>#N/A</v>
      </c>
      <c r="O215" t="e" cm="1">
        <f t="array" ref="O215">INDEX('GMW - Baseline'!$A$2:$MC$200,MATCH(1,('GMW - Baseline'!$MC$2:$MC$200=O$3)*('GMW - Baseline'!$MB$2:$MB$200=O$4),0),$E215-1973)</f>
        <v>#N/A</v>
      </c>
      <c r="P215" t="e" cm="1">
        <f t="array" ref="P215">INDEX('GMW - Baseline'!$A$2:$MC$200,MATCH(1,('GMW - Baseline'!$MC$2:$MC$200=P$3)*('GMW - Baseline'!$MB$2:$MB$200=P$4),0),$E215-1973)</f>
        <v>#N/A</v>
      </c>
      <c r="Q215" t="e" cm="1">
        <f t="array" ref="Q215">INDEX('GMW - Baseline'!$A$2:$MC$200,MATCH(1,('GMW - Baseline'!$MC$2:$MC$200=Q$3)*('GMW - Baseline'!$MB$2:$MB$200=Q$4),0),$E215-1973)</f>
        <v>#N/A</v>
      </c>
      <c r="R215" t="e" cm="1">
        <f t="array" ref="R215">INDEX('GMW - Baseline'!$A$2:$MC$200,MATCH(1,('GMW - Baseline'!$MC$2:$MC$200=R$3)*('GMW - Baseline'!$MB$2:$MB$200=R$4),0),$E215-1973)</f>
        <v>#N/A</v>
      </c>
      <c r="S215" t="e" cm="1">
        <f t="array" ref="S215">INDEX('GMW - Baseline'!$A$2:$MC$200,MATCH(1,('GMW - Baseline'!$MC$2:$MC$200=S$3)*('GMW - Baseline'!$MB$2:$MB$200=S$4),0),$E215-1973)</f>
        <v>#N/A</v>
      </c>
      <c r="T215" t="e" cm="1">
        <f t="array" ref="T215">INDEX('GMW - Baseline'!$A$2:$MC$200,MATCH(1,('GMW - Baseline'!$MC$2:$MC$200=T$3)*('GMW - Baseline'!$MB$2:$MB$200=T$4),0),$E215-1973)</f>
        <v>#N/A</v>
      </c>
    </row>
    <row r="216" spans="1:20" x14ac:dyDescent="0.25">
      <c r="B216">
        <f t="shared" si="17"/>
        <v>2032</v>
      </c>
      <c r="C216">
        <f t="shared" si="17"/>
        <v>2032</v>
      </c>
      <c r="E216">
        <f t="shared" si="16"/>
        <v>2189</v>
      </c>
      <c r="F216" cm="1">
        <f t="array" ref="F216">INDEX('GMW - Baseline'!$A$2:$MC$200,MATCH(1,('GMW - Baseline'!$MC$2:$MC$200=F$3)*('GMW - Baseline'!$MB$2:$MB$200=F$4),0),$E216-1973)</f>
        <v>773523.4</v>
      </c>
      <c r="G216" cm="1">
        <f t="array" ref="G216">INDEX('GMW - Baseline'!$A$2:$MC$200,MATCH(1,('GMW - Baseline'!$MC$2:$MC$200=G$3)*('GMW - Baseline'!$MB$2:$MB$200=G$4),0),$E216-1973)</f>
        <v>453782.7</v>
      </c>
      <c r="H216" cm="1">
        <f t="array" ref="H216">INDEX('GMW - Baseline'!$A$2:$MC$200,MATCH(1,('GMW - Baseline'!$MC$2:$MC$200=H$3)*('GMW - Baseline'!$MB$2:$MB$200=H$4),0),$E216-1973)</f>
        <v>159.7963</v>
      </c>
      <c r="I216" cm="1">
        <f t="array" ref="I216">INDEX('GMW - Baseline'!$A$2:$MC$200,MATCH(1,('GMW - Baseline'!$MC$2:$MC$200=I$3)*('GMW - Baseline'!$MB$2:$MB$200=I$4),0),$E216-1973)</f>
        <v>2.4999729999999998</v>
      </c>
      <c r="J216" t="e" cm="1">
        <f t="array" ref="J216">INDEX('GMW - Baseline'!$A$2:$MC$200,MATCH(1,('GMW - Baseline'!$MC$2:$MC$200=J$3)*('GMW - Baseline'!$MB$2:$MB$200=J$4),0),$E216-1973)</f>
        <v>#N/A</v>
      </c>
      <c r="K216" t="e" cm="1">
        <f t="array" ref="K216">INDEX('GMW - Baseline'!$A$2:$MC$200,MATCH(1,('GMW - Baseline'!$MC$2:$MC$200=K$3)*('GMW - Baseline'!$MB$2:$MB$200=K$4),0),$E216-1973)</f>
        <v>#N/A</v>
      </c>
      <c r="L216" t="e" cm="1">
        <f t="array" ref="L216">INDEX('GMW - Baseline'!$A$2:$MC$200,MATCH(1,('GMW - Baseline'!$MC$2:$MC$200=L$3)*('GMW - Baseline'!$MB$2:$MB$200=L$4),0),$E216-1973)</f>
        <v>#N/A</v>
      </c>
      <c r="M216" t="e" cm="1">
        <f t="array" ref="M216">INDEX('GMW - Baseline'!$A$2:$MC$200,MATCH(1,('GMW - Baseline'!$MC$2:$MC$200=M$3)*('GMW - Baseline'!$MB$2:$MB$200=M$4),0),$E216-1973)</f>
        <v>#N/A</v>
      </c>
      <c r="N216" t="e" cm="1">
        <f t="array" ref="N216">INDEX('GMW - Baseline'!$A$2:$MC$200,MATCH(1,('GMW - Baseline'!$MC$2:$MC$200=N$3)*('GMW - Baseline'!$MB$2:$MB$200=N$4),0),$E216-1973)</f>
        <v>#N/A</v>
      </c>
      <c r="O216" t="e" cm="1">
        <f t="array" ref="O216">INDEX('GMW - Baseline'!$A$2:$MC$200,MATCH(1,('GMW - Baseline'!$MC$2:$MC$200=O$3)*('GMW - Baseline'!$MB$2:$MB$200=O$4),0),$E216-1973)</f>
        <v>#N/A</v>
      </c>
      <c r="P216" t="e" cm="1">
        <f t="array" ref="P216">INDEX('GMW - Baseline'!$A$2:$MC$200,MATCH(1,('GMW - Baseline'!$MC$2:$MC$200=P$3)*('GMW - Baseline'!$MB$2:$MB$200=P$4),0),$E216-1973)</f>
        <v>#N/A</v>
      </c>
      <c r="Q216" t="e" cm="1">
        <f t="array" ref="Q216">INDEX('GMW - Baseline'!$A$2:$MC$200,MATCH(1,('GMW - Baseline'!$MC$2:$MC$200=Q$3)*('GMW - Baseline'!$MB$2:$MB$200=Q$4),0),$E216-1973)</f>
        <v>#N/A</v>
      </c>
      <c r="R216" t="e" cm="1">
        <f t="array" ref="R216">INDEX('GMW - Baseline'!$A$2:$MC$200,MATCH(1,('GMW - Baseline'!$MC$2:$MC$200=R$3)*('GMW - Baseline'!$MB$2:$MB$200=R$4),0),$E216-1973)</f>
        <v>#N/A</v>
      </c>
      <c r="S216" t="e" cm="1">
        <f t="array" ref="S216">INDEX('GMW - Baseline'!$A$2:$MC$200,MATCH(1,('GMW - Baseline'!$MC$2:$MC$200=S$3)*('GMW - Baseline'!$MB$2:$MB$200=S$4),0),$E216-1973)</f>
        <v>#N/A</v>
      </c>
      <c r="T216" t="e" cm="1">
        <f t="array" ref="T216">INDEX('GMW - Baseline'!$A$2:$MC$200,MATCH(1,('GMW - Baseline'!$MC$2:$MC$200=T$3)*('GMW - Baseline'!$MB$2:$MB$200=T$4),0),$E216-1973)</f>
        <v>#N/A</v>
      </c>
    </row>
    <row r="217" spans="1:20" x14ac:dyDescent="0.25">
      <c r="B217">
        <f t="shared" si="17"/>
        <v>2032</v>
      </c>
      <c r="C217">
        <f t="shared" si="17"/>
        <v>2032</v>
      </c>
      <c r="E217">
        <f t="shared" si="16"/>
        <v>2190</v>
      </c>
      <c r="F217" cm="1">
        <f t="array" ref="F217">INDEX('GMW - Baseline'!$A$2:$MC$200,MATCH(1,('GMW - Baseline'!$MC$2:$MC$200=F$3)*('GMW - Baseline'!$MB$2:$MB$200=F$4),0),$E217-1973)</f>
        <v>776347.2</v>
      </c>
      <c r="G217" cm="1">
        <f t="array" ref="G217">INDEX('GMW - Baseline'!$A$2:$MC$200,MATCH(1,('GMW - Baseline'!$MC$2:$MC$200=G$3)*('GMW - Baseline'!$MB$2:$MB$200=G$4),0),$E217-1973)</f>
        <v>455274.9</v>
      </c>
      <c r="H217" cm="1">
        <f t="array" ref="H217">INDEX('GMW - Baseline'!$A$2:$MC$200,MATCH(1,('GMW - Baseline'!$MC$2:$MC$200=H$3)*('GMW - Baseline'!$MB$2:$MB$200=H$4),0),$E217-1973)</f>
        <v>160.6353</v>
      </c>
      <c r="I217" cm="1">
        <f t="array" ref="I217">INDEX('GMW - Baseline'!$A$2:$MC$200,MATCH(1,('GMW - Baseline'!$MC$2:$MC$200=I$3)*('GMW - Baseline'!$MB$2:$MB$200=I$4),0),$E217-1973)</f>
        <v>2.4999739999999999</v>
      </c>
      <c r="J217" t="e" cm="1">
        <f t="array" ref="J217">INDEX('GMW - Baseline'!$A$2:$MC$200,MATCH(1,('GMW - Baseline'!$MC$2:$MC$200=J$3)*('GMW - Baseline'!$MB$2:$MB$200=J$4),0),$E217-1973)</f>
        <v>#N/A</v>
      </c>
      <c r="K217" t="e" cm="1">
        <f t="array" ref="K217">INDEX('GMW - Baseline'!$A$2:$MC$200,MATCH(1,('GMW - Baseline'!$MC$2:$MC$200=K$3)*('GMW - Baseline'!$MB$2:$MB$200=K$4),0),$E217-1973)</f>
        <v>#N/A</v>
      </c>
      <c r="L217" t="e" cm="1">
        <f t="array" ref="L217">INDEX('GMW - Baseline'!$A$2:$MC$200,MATCH(1,('GMW - Baseline'!$MC$2:$MC$200=L$3)*('GMW - Baseline'!$MB$2:$MB$200=L$4),0),$E217-1973)</f>
        <v>#N/A</v>
      </c>
      <c r="M217" t="e" cm="1">
        <f t="array" ref="M217">INDEX('GMW - Baseline'!$A$2:$MC$200,MATCH(1,('GMW - Baseline'!$MC$2:$MC$200=M$3)*('GMW - Baseline'!$MB$2:$MB$200=M$4),0),$E217-1973)</f>
        <v>#N/A</v>
      </c>
      <c r="N217" t="e" cm="1">
        <f t="array" ref="N217">INDEX('GMW - Baseline'!$A$2:$MC$200,MATCH(1,('GMW - Baseline'!$MC$2:$MC$200=N$3)*('GMW - Baseline'!$MB$2:$MB$200=N$4),0),$E217-1973)</f>
        <v>#N/A</v>
      </c>
      <c r="O217" t="e" cm="1">
        <f t="array" ref="O217">INDEX('GMW - Baseline'!$A$2:$MC$200,MATCH(1,('GMW - Baseline'!$MC$2:$MC$200=O$3)*('GMW - Baseline'!$MB$2:$MB$200=O$4),0),$E217-1973)</f>
        <v>#N/A</v>
      </c>
      <c r="P217" t="e" cm="1">
        <f t="array" ref="P217">INDEX('GMW - Baseline'!$A$2:$MC$200,MATCH(1,('GMW - Baseline'!$MC$2:$MC$200=P$3)*('GMW - Baseline'!$MB$2:$MB$200=P$4),0),$E217-1973)</f>
        <v>#N/A</v>
      </c>
      <c r="Q217" t="e" cm="1">
        <f t="array" ref="Q217">INDEX('GMW - Baseline'!$A$2:$MC$200,MATCH(1,('GMW - Baseline'!$MC$2:$MC$200=Q$3)*('GMW - Baseline'!$MB$2:$MB$200=Q$4),0),$E217-1973)</f>
        <v>#N/A</v>
      </c>
      <c r="R217" t="e" cm="1">
        <f t="array" ref="R217">INDEX('GMW - Baseline'!$A$2:$MC$200,MATCH(1,('GMW - Baseline'!$MC$2:$MC$200=R$3)*('GMW - Baseline'!$MB$2:$MB$200=R$4),0),$E217-1973)</f>
        <v>#N/A</v>
      </c>
      <c r="S217" t="e" cm="1">
        <f t="array" ref="S217">INDEX('GMW - Baseline'!$A$2:$MC$200,MATCH(1,('GMW - Baseline'!$MC$2:$MC$200=S$3)*('GMW - Baseline'!$MB$2:$MB$200=S$4),0),$E217-1973)</f>
        <v>#N/A</v>
      </c>
      <c r="T217" t="e" cm="1">
        <f t="array" ref="T217">INDEX('GMW - Baseline'!$A$2:$MC$200,MATCH(1,('GMW - Baseline'!$MC$2:$MC$200=T$3)*('GMW - Baseline'!$MB$2:$MB$200=T$4),0),$E217-1973)</f>
        <v>#N/A</v>
      </c>
    </row>
    <row r="218" spans="1:20" x14ac:dyDescent="0.25">
      <c r="B218">
        <f t="shared" si="17"/>
        <v>2032</v>
      </c>
      <c r="C218">
        <f t="shared" si="17"/>
        <v>2032</v>
      </c>
      <c r="E218">
        <f t="shared" si="16"/>
        <v>2191</v>
      </c>
      <c r="F218" cm="1">
        <f t="array" ref="F218">INDEX('GMW - Baseline'!$A$2:$MC$200,MATCH(1,('GMW - Baseline'!$MC$2:$MC$200=F$3)*('GMW - Baseline'!$MB$2:$MB$200=F$4),0),$E218-1973)</f>
        <v>779181.9</v>
      </c>
      <c r="G218" cm="1">
        <f t="array" ref="G218">INDEX('GMW - Baseline'!$A$2:$MC$200,MATCH(1,('GMW - Baseline'!$MC$2:$MC$200=G$3)*('GMW - Baseline'!$MB$2:$MB$200=G$4),0),$E218-1973)</f>
        <v>456751.5</v>
      </c>
      <c r="H218" cm="1">
        <f t="array" ref="H218">INDEX('GMW - Baseline'!$A$2:$MC$200,MATCH(1,('GMW - Baseline'!$MC$2:$MC$200=H$3)*('GMW - Baseline'!$MB$2:$MB$200=H$4),0),$E218-1973)</f>
        <v>161.3339</v>
      </c>
      <c r="I218" cm="1">
        <f t="array" ref="I218">INDEX('GMW - Baseline'!$A$2:$MC$200,MATCH(1,('GMW - Baseline'!$MC$2:$MC$200=I$3)*('GMW - Baseline'!$MB$2:$MB$200=I$4),0),$E218-1973)</f>
        <v>2.4999769999999999</v>
      </c>
      <c r="J218" t="e" cm="1">
        <f t="array" ref="J218">INDEX('GMW - Baseline'!$A$2:$MC$200,MATCH(1,('GMW - Baseline'!$MC$2:$MC$200=J$3)*('GMW - Baseline'!$MB$2:$MB$200=J$4),0),$E218-1973)</f>
        <v>#N/A</v>
      </c>
      <c r="K218" t="e" cm="1">
        <f t="array" ref="K218">INDEX('GMW - Baseline'!$A$2:$MC$200,MATCH(1,('GMW - Baseline'!$MC$2:$MC$200=K$3)*('GMW - Baseline'!$MB$2:$MB$200=K$4),0),$E218-1973)</f>
        <v>#N/A</v>
      </c>
      <c r="L218" t="e" cm="1">
        <f t="array" ref="L218">INDEX('GMW - Baseline'!$A$2:$MC$200,MATCH(1,('GMW - Baseline'!$MC$2:$MC$200=L$3)*('GMW - Baseline'!$MB$2:$MB$200=L$4),0),$E218-1973)</f>
        <v>#N/A</v>
      </c>
      <c r="M218" t="e" cm="1">
        <f t="array" ref="M218">INDEX('GMW - Baseline'!$A$2:$MC$200,MATCH(1,('GMW - Baseline'!$MC$2:$MC$200=M$3)*('GMW - Baseline'!$MB$2:$MB$200=M$4),0),$E218-1973)</f>
        <v>#N/A</v>
      </c>
      <c r="N218" t="e" cm="1">
        <f t="array" ref="N218">INDEX('GMW - Baseline'!$A$2:$MC$200,MATCH(1,('GMW - Baseline'!$MC$2:$MC$200=N$3)*('GMW - Baseline'!$MB$2:$MB$200=N$4),0),$E218-1973)</f>
        <v>#N/A</v>
      </c>
      <c r="O218" t="e" cm="1">
        <f t="array" ref="O218">INDEX('GMW - Baseline'!$A$2:$MC$200,MATCH(1,('GMW - Baseline'!$MC$2:$MC$200=O$3)*('GMW - Baseline'!$MB$2:$MB$200=O$4),0),$E218-1973)</f>
        <v>#N/A</v>
      </c>
      <c r="P218" t="e" cm="1">
        <f t="array" ref="P218">INDEX('GMW - Baseline'!$A$2:$MC$200,MATCH(1,('GMW - Baseline'!$MC$2:$MC$200=P$3)*('GMW - Baseline'!$MB$2:$MB$200=P$4),0),$E218-1973)</f>
        <v>#N/A</v>
      </c>
      <c r="Q218" t="e" cm="1">
        <f t="array" ref="Q218">INDEX('GMW - Baseline'!$A$2:$MC$200,MATCH(1,('GMW - Baseline'!$MC$2:$MC$200=Q$3)*('GMW - Baseline'!$MB$2:$MB$200=Q$4),0),$E218-1973)</f>
        <v>#N/A</v>
      </c>
      <c r="R218" t="e" cm="1">
        <f t="array" ref="R218">INDEX('GMW - Baseline'!$A$2:$MC$200,MATCH(1,('GMW - Baseline'!$MC$2:$MC$200=R$3)*('GMW - Baseline'!$MB$2:$MB$200=R$4),0),$E218-1973)</f>
        <v>#N/A</v>
      </c>
      <c r="S218" t="e" cm="1">
        <f t="array" ref="S218">INDEX('GMW - Baseline'!$A$2:$MC$200,MATCH(1,('GMW - Baseline'!$MC$2:$MC$200=S$3)*('GMW - Baseline'!$MB$2:$MB$200=S$4),0),$E218-1973)</f>
        <v>#N/A</v>
      </c>
      <c r="T218" t="e" cm="1">
        <f t="array" ref="T218">INDEX('GMW - Baseline'!$A$2:$MC$200,MATCH(1,('GMW - Baseline'!$MC$2:$MC$200=T$3)*('GMW - Baseline'!$MB$2:$MB$200=T$4),0),$E218-1973)</f>
        <v>#N/A</v>
      </c>
    </row>
    <row r="219" spans="1:20" x14ac:dyDescent="0.25">
      <c r="A219">
        <v>2033</v>
      </c>
      <c r="B219">
        <f t="shared" si="17"/>
        <v>2033</v>
      </c>
      <c r="C219">
        <f t="shared" si="17"/>
        <v>2032</v>
      </c>
      <c r="D219">
        <f t="shared" si="17"/>
        <v>2032</v>
      </c>
      <c r="E219">
        <f t="shared" si="16"/>
        <v>2192</v>
      </c>
      <c r="F219" cm="1">
        <f t="array" ref="F219">INDEX('GMW - Baseline'!$A$2:$MC$200,MATCH(1,('GMW - Baseline'!$MC$2:$MC$200=F$3)*('GMW - Baseline'!$MB$2:$MB$200=F$4),0),$E219-1973)</f>
        <v>781995.4</v>
      </c>
      <c r="G219" cm="1">
        <f t="array" ref="G219">INDEX('GMW - Baseline'!$A$2:$MC$200,MATCH(1,('GMW - Baseline'!$MC$2:$MC$200=G$3)*('GMW - Baseline'!$MB$2:$MB$200=G$4),0),$E219-1973)</f>
        <v>458341.3</v>
      </c>
      <c r="H219" cm="1">
        <f t="array" ref="H219">INDEX('GMW - Baseline'!$A$2:$MC$200,MATCH(1,('GMW - Baseline'!$MC$2:$MC$200=H$3)*('GMW - Baseline'!$MB$2:$MB$200=H$4),0),$E219-1973)</f>
        <v>161.6096</v>
      </c>
      <c r="I219" cm="1">
        <f t="array" ref="I219">INDEX('GMW - Baseline'!$A$2:$MC$200,MATCH(1,('GMW - Baseline'!$MC$2:$MC$200=I$3)*('GMW - Baseline'!$MB$2:$MB$200=I$4),0),$E219-1973)</f>
        <v>2.4999850000000001</v>
      </c>
      <c r="J219" t="e" cm="1">
        <f t="array" ref="J219">INDEX('GMW - Baseline'!$A$2:$MC$200,MATCH(1,('GMW - Baseline'!$MC$2:$MC$200=J$3)*('GMW - Baseline'!$MB$2:$MB$200=J$4),0),$E219-1973)</f>
        <v>#N/A</v>
      </c>
      <c r="K219" t="e" cm="1">
        <f t="array" ref="K219">INDEX('GMW - Baseline'!$A$2:$MC$200,MATCH(1,('GMW - Baseline'!$MC$2:$MC$200=K$3)*('GMW - Baseline'!$MB$2:$MB$200=K$4),0),$E219-1973)</f>
        <v>#N/A</v>
      </c>
      <c r="L219" t="e" cm="1">
        <f t="array" ref="L219">INDEX('GMW - Baseline'!$A$2:$MC$200,MATCH(1,('GMW - Baseline'!$MC$2:$MC$200=L$3)*('GMW - Baseline'!$MB$2:$MB$200=L$4),0),$E219-1973)</f>
        <v>#N/A</v>
      </c>
      <c r="M219" t="e" cm="1">
        <f t="array" ref="M219">INDEX('GMW - Baseline'!$A$2:$MC$200,MATCH(1,('GMW - Baseline'!$MC$2:$MC$200=M$3)*('GMW - Baseline'!$MB$2:$MB$200=M$4),0),$E219-1973)</f>
        <v>#N/A</v>
      </c>
      <c r="N219" t="e" cm="1">
        <f t="array" ref="N219">INDEX('GMW - Baseline'!$A$2:$MC$200,MATCH(1,('GMW - Baseline'!$MC$2:$MC$200=N$3)*('GMW - Baseline'!$MB$2:$MB$200=N$4),0),$E219-1973)</f>
        <v>#N/A</v>
      </c>
      <c r="O219" t="e" cm="1">
        <f t="array" ref="O219">INDEX('GMW - Baseline'!$A$2:$MC$200,MATCH(1,('GMW - Baseline'!$MC$2:$MC$200=O$3)*('GMW - Baseline'!$MB$2:$MB$200=O$4),0),$E219-1973)</f>
        <v>#N/A</v>
      </c>
      <c r="P219" t="e" cm="1">
        <f t="array" ref="P219">INDEX('GMW - Baseline'!$A$2:$MC$200,MATCH(1,('GMW - Baseline'!$MC$2:$MC$200=P$3)*('GMW - Baseline'!$MB$2:$MB$200=P$4),0),$E219-1973)</f>
        <v>#N/A</v>
      </c>
      <c r="Q219" t="e" cm="1">
        <f t="array" ref="Q219">INDEX('GMW - Baseline'!$A$2:$MC$200,MATCH(1,('GMW - Baseline'!$MC$2:$MC$200=Q$3)*('GMW - Baseline'!$MB$2:$MB$200=Q$4),0),$E219-1973)</f>
        <v>#N/A</v>
      </c>
      <c r="R219" t="e" cm="1">
        <f t="array" ref="R219">INDEX('GMW - Baseline'!$A$2:$MC$200,MATCH(1,('GMW - Baseline'!$MC$2:$MC$200=R$3)*('GMW - Baseline'!$MB$2:$MB$200=R$4),0),$E219-1973)</f>
        <v>#N/A</v>
      </c>
      <c r="S219" t="e" cm="1">
        <f t="array" ref="S219">INDEX('GMW - Baseline'!$A$2:$MC$200,MATCH(1,('GMW - Baseline'!$MC$2:$MC$200=S$3)*('GMW - Baseline'!$MB$2:$MB$200=S$4),0),$E219-1973)</f>
        <v>#N/A</v>
      </c>
      <c r="T219" t="e" cm="1">
        <f t="array" ref="T219">INDEX('GMW - Baseline'!$A$2:$MC$200,MATCH(1,('GMW - Baseline'!$MC$2:$MC$200=T$3)*('GMW - Baseline'!$MB$2:$MB$200=T$4),0),$E219-1973)</f>
        <v>#N/A</v>
      </c>
    </row>
    <row r="220" spans="1:20" x14ac:dyDescent="0.25">
      <c r="B220">
        <f t="shared" ref="B220:D235" si="18">+B216+1</f>
        <v>2033</v>
      </c>
      <c r="C220">
        <f t="shared" si="18"/>
        <v>2033</v>
      </c>
      <c r="E220">
        <f t="shared" si="16"/>
        <v>2193</v>
      </c>
      <c r="F220" cm="1">
        <f t="array" ref="F220">INDEX('GMW - Baseline'!$A$2:$MC$200,MATCH(1,('GMW - Baseline'!$MC$2:$MC$200=F$3)*('GMW - Baseline'!$MB$2:$MB$200=F$4),0),$E220-1973)</f>
        <v>784821.4</v>
      </c>
      <c r="G220" cm="1">
        <f t="array" ref="G220">INDEX('GMW - Baseline'!$A$2:$MC$200,MATCH(1,('GMW - Baseline'!$MC$2:$MC$200=G$3)*('GMW - Baseline'!$MB$2:$MB$200=G$4),0),$E220-1973)</f>
        <v>459938.4</v>
      </c>
      <c r="H220" cm="1">
        <f t="array" ref="H220">INDEX('GMW - Baseline'!$A$2:$MC$200,MATCH(1,('GMW - Baseline'!$MC$2:$MC$200=H$3)*('GMW - Baseline'!$MB$2:$MB$200=H$4),0),$E220-1973)</f>
        <v>163.05799999999999</v>
      </c>
      <c r="I220" cm="1">
        <f t="array" ref="I220">INDEX('GMW - Baseline'!$A$2:$MC$200,MATCH(1,('GMW - Baseline'!$MC$2:$MC$200=I$3)*('GMW - Baseline'!$MB$2:$MB$200=I$4),0),$E220-1973)</f>
        <v>2.499978</v>
      </c>
      <c r="J220" t="e" cm="1">
        <f t="array" ref="J220">INDEX('GMW - Baseline'!$A$2:$MC$200,MATCH(1,('GMW - Baseline'!$MC$2:$MC$200=J$3)*('GMW - Baseline'!$MB$2:$MB$200=J$4),0),$E220-1973)</f>
        <v>#N/A</v>
      </c>
      <c r="K220" t="e" cm="1">
        <f t="array" ref="K220">INDEX('GMW - Baseline'!$A$2:$MC$200,MATCH(1,('GMW - Baseline'!$MC$2:$MC$200=K$3)*('GMW - Baseline'!$MB$2:$MB$200=K$4),0),$E220-1973)</f>
        <v>#N/A</v>
      </c>
      <c r="L220" t="e" cm="1">
        <f t="array" ref="L220">INDEX('GMW - Baseline'!$A$2:$MC$200,MATCH(1,('GMW - Baseline'!$MC$2:$MC$200=L$3)*('GMW - Baseline'!$MB$2:$MB$200=L$4),0),$E220-1973)</f>
        <v>#N/A</v>
      </c>
      <c r="M220" t="e" cm="1">
        <f t="array" ref="M220">INDEX('GMW - Baseline'!$A$2:$MC$200,MATCH(1,('GMW - Baseline'!$MC$2:$MC$200=M$3)*('GMW - Baseline'!$MB$2:$MB$200=M$4),0),$E220-1973)</f>
        <v>#N/A</v>
      </c>
      <c r="N220" t="e" cm="1">
        <f t="array" ref="N220">INDEX('GMW - Baseline'!$A$2:$MC$200,MATCH(1,('GMW - Baseline'!$MC$2:$MC$200=N$3)*('GMW - Baseline'!$MB$2:$MB$200=N$4),0),$E220-1973)</f>
        <v>#N/A</v>
      </c>
      <c r="O220" t="e" cm="1">
        <f t="array" ref="O220">INDEX('GMW - Baseline'!$A$2:$MC$200,MATCH(1,('GMW - Baseline'!$MC$2:$MC$200=O$3)*('GMW - Baseline'!$MB$2:$MB$200=O$4),0),$E220-1973)</f>
        <v>#N/A</v>
      </c>
      <c r="P220" t="e" cm="1">
        <f t="array" ref="P220">INDEX('GMW - Baseline'!$A$2:$MC$200,MATCH(1,('GMW - Baseline'!$MC$2:$MC$200=P$3)*('GMW - Baseline'!$MB$2:$MB$200=P$4),0),$E220-1973)</f>
        <v>#N/A</v>
      </c>
      <c r="Q220" t="e" cm="1">
        <f t="array" ref="Q220">INDEX('GMW - Baseline'!$A$2:$MC$200,MATCH(1,('GMW - Baseline'!$MC$2:$MC$200=Q$3)*('GMW - Baseline'!$MB$2:$MB$200=Q$4),0),$E220-1973)</f>
        <v>#N/A</v>
      </c>
      <c r="R220" t="e" cm="1">
        <f t="array" ref="R220">INDEX('GMW - Baseline'!$A$2:$MC$200,MATCH(1,('GMW - Baseline'!$MC$2:$MC$200=R$3)*('GMW - Baseline'!$MB$2:$MB$200=R$4),0),$E220-1973)</f>
        <v>#N/A</v>
      </c>
      <c r="S220" t="e" cm="1">
        <f t="array" ref="S220">INDEX('GMW - Baseline'!$A$2:$MC$200,MATCH(1,('GMW - Baseline'!$MC$2:$MC$200=S$3)*('GMW - Baseline'!$MB$2:$MB$200=S$4),0),$E220-1973)</f>
        <v>#N/A</v>
      </c>
      <c r="T220" t="e" cm="1">
        <f t="array" ref="T220">INDEX('GMW - Baseline'!$A$2:$MC$200,MATCH(1,('GMW - Baseline'!$MC$2:$MC$200=T$3)*('GMW - Baseline'!$MB$2:$MB$200=T$4),0),$E220-1973)</f>
        <v>#N/A</v>
      </c>
    </row>
    <row r="221" spans="1:20" x14ac:dyDescent="0.25">
      <c r="B221">
        <f t="shared" si="18"/>
        <v>2033</v>
      </c>
      <c r="C221">
        <f t="shared" si="18"/>
        <v>2033</v>
      </c>
      <c r="E221">
        <f t="shared" si="16"/>
        <v>2194</v>
      </c>
      <c r="F221" cm="1">
        <f t="array" ref="F221">INDEX('GMW - Baseline'!$A$2:$MC$200,MATCH(1,('GMW - Baseline'!$MC$2:$MC$200=F$3)*('GMW - Baseline'!$MB$2:$MB$200=F$4),0),$E221-1973)</f>
        <v>787721.8</v>
      </c>
      <c r="G221" cm="1">
        <f t="array" ref="G221">INDEX('GMW - Baseline'!$A$2:$MC$200,MATCH(1,('GMW - Baseline'!$MC$2:$MC$200=G$3)*('GMW - Baseline'!$MB$2:$MB$200=G$4),0),$E221-1973)</f>
        <v>461578.1</v>
      </c>
      <c r="H221" cm="1">
        <f t="array" ref="H221">INDEX('GMW - Baseline'!$A$2:$MC$200,MATCH(1,('GMW - Baseline'!$MC$2:$MC$200=H$3)*('GMW - Baseline'!$MB$2:$MB$200=H$4),0),$E221-1973)</f>
        <v>163.92410000000001</v>
      </c>
      <c r="I221" cm="1">
        <f t="array" ref="I221">INDEX('GMW - Baseline'!$A$2:$MC$200,MATCH(1,('GMW - Baseline'!$MC$2:$MC$200=I$3)*('GMW - Baseline'!$MB$2:$MB$200=I$4),0),$E221-1973)</f>
        <v>2.4999729999999998</v>
      </c>
      <c r="J221" t="e" cm="1">
        <f t="array" ref="J221">INDEX('GMW - Baseline'!$A$2:$MC$200,MATCH(1,('GMW - Baseline'!$MC$2:$MC$200=J$3)*('GMW - Baseline'!$MB$2:$MB$200=J$4),0),$E221-1973)</f>
        <v>#N/A</v>
      </c>
      <c r="K221" t="e" cm="1">
        <f t="array" ref="K221">INDEX('GMW - Baseline'!$A$2:$MC$200,MATCH(1,('GMW - Baseline'!$MC$2:$MC$200=K$3)*('GMW - Baseline'!$MB$2:$MB$200=K$4),0),$E221-1973)</f>
        <v>#N/A</v>
      </c>
      <c r="L221" t="e" cm="1">
        <f t="array" ref="L221">INDEX('GMW - Baseline'!$A$2:$MC$200,MATCH(1,('GMW - Baseline'!$MC$2:$MC$200=L$3)*('GMW - Baseline'!$MB$2:$MB$200=L$4),0),$E221-1973)</f>
        <v>#N/A</v>
      </c>
      <c r="M221" t="e" cm="1">
        <f t="array" ref="M221">INDEX('GMW - Baseline'!$A$2:$MC$200,MATCH(1,('GMW - Baseline'!$MC$2:$MC$200=M$3)*('GMW - Baseline'!$MB$2:$MB$200=M$4),0),$E221-1973)</f>
        <v>#N/A</v>
      </c>
      <c r="N221" t="e" cm="1">
        <f t="array" ref="N221">INDEX('GMW - Baseline'!$A$2:$MC$200,MATCH(1,('GMW - Baseline'!$MC$2:$MC$200=N$3)*('GMW - Baseline'!$MB$2:$MB$200=N$4),0),$E221-1973)</f>
        <v>#N/A</v>
      </c>
      <c r="O221" t="e" cm="1">
        <f t="array" ref="O221">INDEX('GMW - Baseline'!$A$2:$MC$200,MATCH(1,('GMW - Baseline'!$MC$2:$MC$200=O$3)*('GMW - Baseline'!$MB$2:$MB$200=O$4),0),$E221-1973)</f>
        <v>#N/A</v>
      </c>
      <c r="P221" t="e" cm="1">
        <f t="array" ref="P221">INDEX('GMW - Baseline'!$A$2:$MC$200,MATCH(1,('GMW - Baseline'!$MC$2:$MC$200=P$3)*('GMW - Baseline'!$MB$2:$MB$200=P$4),0),$E221-1973)</f>
        <v>#N/A</v>
      </c>
      <c r="Q221" t="e" cm="1">
        <f t="array" ref="Q221">INDEX('GMW - Baseline'!$A$2:$MC$200,MATCH(1,('GMW - Baseline'!$MC$2:$MC$200=Q$3)*('GMW - Baseline'!$MB$2:$MB$200=Q$4),0),$E221-1973)</f>
        <v>#N/A</v>
      </c>
      <c r="R221" t="e" cm="1">
        <f t="array" ref="R221">INDEX('GMW - Baseline'!$A$2:$MC$200,MATCH(1,('GMW - Baseline'!$MC$2:$MC$200=R$3)*('GMW - Baseline'!$MB$2:$MB$200=R$4),0),$E221-1973)</f>
        <v>#N/A</v>
      </c>
      <c r="S221" t="e" cm="1">
        <f t="array" ref="S221">INDEX('GMW - Baseline'!$A$2:$MC$200,MATCH(1,('GMW - Baseline'!$MC$2:$MC$200=S$3)*('GMW - Baseline'!$MB$2:$MB$200=S$4),0),$E221-1973)</f>
        <v>#N/A</v>
      </c>
      <c r="T221" t="e" cm="1">
        <f t="array" ref="T221">INDEX('GMW - Baseline'!$A$2:$MC$200,MATCH(1,('GMW - Baseline'!$MC$2:$MC$200=T$3)*('GMW - Baseline'!$MB$2:$MB$200=T$4),0),$E221-1973)</f>
        <v>#N/A</v>
      </c>
    </row>
    <row r="222" spans="1:20" x14ac:dyDescent="0.25">
      <c r="B222">
        <f t="shared" si="18"/>
        <v>2033</v>
      </c>
      <c r="C222">
        <f t="shared" si="18"/>
        <v>2033</v>
      </c>
      <c r="E222">
        <f t="shared" si="16"/>
        <v>2195</v>
      </c>
      <c r="F222" cm="1">
        <f t="array" ref="F222">INDEX('GMW - Baseline'!$A$2:$MC$200,MATCH(1,('GMW - Baseline'!$MC$2:$MC$200=F$3)*('GMW - Baseline'!$MB$2:$MB$200=F$4),0),$E222-1973)</f>
        <v>790635.1</v>
      </c>
      <c r="G222" cm="1">
        <f t="array" ref="G222">INDEX('GMW - Baseline'!$A$2:$MC$200,MATCH(1,('GMW - Baseline'!$MC$2:$MC$200=G$3)*('GMW - Baseline'!$MB$2:$MB$200=G$4),0),$E222-1973)</f>
        <v>463225.5</v>
      </c>
      <c r="H222" cm="1">
        <f t="array" ref="H222">INDEX('GMW - Baseline'!$A$2:$MC$200,MATCH(1,('GMW - Baseline'!$MC$2:$MC$200=H$3)*('GMW - Baseline'!$MB$2:$MB$200=H$4),0),$E222-1973)</f>
        <v>164.62950000000001</v>
      </c>
      <c r="I222" cm="1">
        <f t="array" ref="I222">INDEX('GMW - Baseline'!$A$2:$MC$200,MATCH(1,('GMW - Baseline'!$MC$2:$MC$200=I$3)*('GMW - Baseline'!$MB$2:$MB$200=I$4),0),$E222-1973)</f>
        <v>2.4999829999999998</v>
      </c>
      <c r="J222" t="e" cm="1">
        <f t="array" ref="J222">INDEX('GMW - Baseline'!$A$2:$MC$200,MATCH(1,('GMW - Baseline'!$MC$2:$MC$200=J$3)*('GMW - Baseline'!$MB$2:$MB$200=J$4),0),$E222-1973)</f>
        <v>#N/A</v>
      </c>
      <c r="K222" t="e" cm="1">
        <f t="array" ref="K222">INDEX('GMW - Baseline'!$A$2:$MC$200,MATCH(1,('GMW - Baseline'!$MC$2:$MC$200=K$3)*('GMW - Baseline'!$MB$2:$MB$200=K$4),0),$E222-1973)</f>
        <v>#N/A</v>
      </c>
      <c r="L222" t="e" cm="1">
        <f t="array" ref="L222">INDEX('GMW - Baseline'!$A$2:$MC$200,MATCH(1,('GMW - Baseline'!$MC$2:$MC$200=L$3)*('GMW - Baseline'!$MB$2:$MB$200=L$4),0),$E222-1973)</f>
        <v>#N/A</v>
      </c>
      <c r="M222" t="e" cm="1">
        <f t="array" ref="M222">INDEX('GMW - Baseline'!$A$2:$MC$200,MATCH(1,('GMW - Baseline'!$MC$2:$MC$200=M$3)*('GMW - Baseline'!$MB$2:$MB$200=M$4),0),$E222-1973)</f>
        <v>#N/A</v>
      </c>
      <c r="N222" t="e" cm="1">
        <f t="array" ref="N222">INDEX('GMW - Baseline'!$A$2:$MC$200,MATCH(1,('GMW - Baseline'!$MC$2:$MC$200=N$3)*('GMW - Baseline'!$MB$2:$MB$200=N$4),0),$E222-1973)</f>
        <v>#N/A</v>
      </c>
      <c r="O222" t="e" cm="1">
        <f t="array" ref="O222">INDEX('GMW - Baseline'!$A$2:$MC$200,MATCH(1,('GMW - Baseline'!$MC$2:$MC$200=O$3)*('GMW - Baseline'!$MB$2:$MB$200=O$4),0),$E222-1973)</f>
        <v>#N/A</v>
      </c>
      <c r="P222" t="e" cm="1">
        <f t="array" ref="P222">INDEX('GMW - Baseline'!$A$2:$MC$200,MATCH(1,('GMW - Baseline'!$MC$2:$MC$200=P$3)*('GMW - Baseline'!$MB$2:$MB$200=P$4),0),$E222-1973)</f>
        <v>#N/A</v>
      </c>
      <c r="Q222" t="e" cm="1">
        <f t="array" ref="Q222">INDEX('GMW - Baseline'!$A$2:$MC$200,MATCH(1,('GMW - Baseline'!$MC$2:$MC$200=Q$3)*('GMW - Baseline'!$MB$2:$MB$200=Q$4),0),$E222-1973)</f>
        <v>#N/A</v>
      </c>
      <c r="R222" t="e" cm="1">
        <f t="array" ref="R222">INDEX('GMW - Baseline'!$A$2:$MC$200,MATCH(1,('GMW - Baseline'!$MC$2:$MC$200=R$3)*('GMW - Baseline'!$MB$2:$MB$200=R$4),0),$E222-1973)</f>
        <v>#N/A</v>
      </c>
      <c r="S222" t="e" cm="1">
        <f t="array" ref="S222">INDEX('GMW - Baseline'!$A$2:$MC$200,MATCH(1,('GMW - Baseline'!$MC$2:$MC$200=S$3)*('GMW - Baseline'!$MB$2:$MB$200=S$4),0),$E222-1973)</f>
        <v>#N/A</v>
      </c>
      <c r="T222" t="e" cm="1">
        <f t="array" ref="T222">INDEX('GMW - Baseline'!$A$2:$MC$200,MATCH(1,('GMW - Baseline'!$MC$2:$MC$200=T$3)*('GMW - Baseline'!$MB$2:$MB$200=T$4),0),$E222-1973)</f>
        <v>#N/A</v>
      </c>
    </row>
    <row r="223" spans="1:20" x14ac:dyDescent="0.25">
      <c r="A223">
        <v>2034</v>
      </c>
      <c r="B223">
        <f t="shared" si="18"/>
        <v>2034</v>
      </c>
      <c r="C223">
        <f t="shared" si="18"/>
        <v>2033</v>
      </c>
      <c r="D223">
        <f t="shared" si="18"/>
        <v>2033</v>
      </c>
      <c r="E223">
        <f t="shared" si="16"/>
        <v>2196</v>
      </c>
      <c r="F223" cm="1">
        <f t="array" ref="F223">INDEX('GMW - Baseline'!$A$2:$MC$200,MATCH(1,('GMW - Baseline'!$MC$2:$MC$200=F$3)*('GMW - Baseline'!$MB$2:$MB$200=F$4),0),$E223-1973)</f>
        <v>793624.5</v>
      </c>
      <c r="G223" cm="1">
        <f t="array" ref="G223">INDEX('GMW - Baseline'!$A$2:$MC$200,MATCH(1,('GMW - Baseline'!$MC$2:$MC$200=G$3)*('GMW - Baseline'!$MB$2:$MB$200=G$4),0),$E223-1973)</f>
        <v>464916.6</v>
      </c>
      <c r="H223" cm="1">
        <f t="array" ref="H223">INDEX('GMW - Baseline'!$A$2:$MC$200,MATCH(1,('GMW - Baseline'!$MC$2:$MC$200=H$3)*('GMW - Baseline'!$MB$2:$MB$200=H$4),0),$E223-1973)</f>
        <v>164.90710000000001</v>
      </c>
      <c r="I223" cm="1">
        <f t="array" ref="I223">INDEX('GMW - Baseline'!$A$2:$MC$200,MATCH(1,('GMW - Baseline'!$MC$2:$MC$200=I$3)*('GMW - Baseline'!$MB$2:$MB$200=I$4),0),$E223-1973)</f>
        <v>2.500003</v>
      </c>
      <c r="J223" t="e" cm="1">
        <f t="array" ref="J223">INDEX('GMW - Baseline'!$A$2:$MC$200,MATCH(1,('GMW - Baseline'!$MC$2:$MC$200=J$3)*('GMW - Baseline'!$MB$2:$MB$200=J$4),0),$E223-1973)</f>
        <v>#N/A</v>
      </c>
      <c r="K223" t="e" cm="1">
        <f t="array" ref="K223">INDEX('GMW - Baseline'!$A$2:$MC$200,MATCH(1,('GMW - Baseline'!$MC$2:$MC$200=K$3)*('GMW - Baseline'!$MB$2:$MB$200=K$4),0),$E223-1973)</f>
        <v>#N/A</v>
      </c>
      <c r="L223" t="e" cm="1">
        <f t="array" ref="L223">INDEX('GMW - Baseline'!$A$2:$MC$200,MATCH(1,('GMW - Baseline'!$MC$2:$MC$200=L$3)*('GMW - Baseline'!$MB$2:$MB$200=L$4),0),$E223-1973)</f>
        <v>#N/A</v>
      </c>
      <c r="M223" t="e" cm="1">
        <f t="array" ref="M223">INDEX('GMW - Baseline'!$A$2:$MC$200,MATCH(1,('GMW - Baseline'!$MC$2:$MC$200=M$3)*('GMW - Baseline'!$MB$2:$MB$200=M$4),0),$E223-1973)</f>
        <v>#N/A</v>
      </c>
      <c r="N223" t="e" cm="1">
        <f t="array" ref="N223">INDEX('GMW - Baseline'!$A$2:$MC$200,MATCH(1,('GMW - Baseline'!$MC$2:$MC$200=N$3)*('GMW - Baseline'!$MB$2:$MB$200=N$4),0),$E223-1973)</f>
        <v>#N/A</v>
      </c>
      <c r="O223" t="e" cm="1">
        <f t="array" ref="O223">INDEX('GMW - Baseline'!$A$2:$MC$200,MATCH(1,('GMW - Baseline'!$MC$2:$MC$200=O$3)*('GMW - Baseline'!$MB$2:$MB$200=O$4),0),$E223-1973)</f>
        <v>#N/A</v>
      </c>
      <c r="P223" t="e" cm="1">
        <f t="array" ref="P223">INDEX('GMW - Baseline'!$A$2:$MC$200,MATCH(1,('GMW - Baseline'!$MC$2:$MC$200=P$3)*('GMW - Baseline'!$MB$2:$MB$200=P$4),0),$E223-1973)</f>
        <v>#N/A</v>
      </c>
      <c r="Q223" t="e" cm="1">
        <f t="array" ref="Q223">INDEX('GMW - Baseline'!$A$2:$MC$200,MATCH(1,('GMW - Baseline'!$MC$2:$MC$200=Q$3)*('GMW - Baseline'!$MB$2:$MB$200=Q$4),0),$E223-1973)</f>
        <v>#N/A</v>
      </c>
      <c r="R223" t="e" cm="1">
        <f t="array" ref="R223">INDEX('GMW - Baseline'!$A$2:$MC$200,MATCH(1,('GMW - Baseline'!$MC$2:$MC$200=R$3)*('GMW - Baseline'!$MB$2:$MB$200=R$4),0),$E223-1973)</f>
        <v>#N/A</v>
      </c>
      <c r="S223" t="e" cm="1">
        <f t="array" ref="S223">INDEX('GMW - Baseline'!$A$2:$MC$200,MATCH(1,('GMW - Baseline'!$MC$2:$MC$200=S$3)*('GMW - Baseline'!$MB$2:$MB$200=S$4),0),$E223-1973)</f>
        <v>#N/A</v>
      </c>
      <c r="T223" t="e" cm="1">
        <f t="array" ref="T223">INDEX('GMW - Baseline'!$A$2:$MC$200,MATCH(1,('GMW - Baseline'!$MC$2:$MC$200=T$3)*('GMW - Baseline'!$MB$2:$MB$200=T$4),0),$E223-1973)</f>
        <v>#N/A</v>
      </c>
    </row>
    <row r="224" spans="1:20" x14ac:dyDescent="0.25">
      <c r="B224">
        <f t="shared" si="18"/>
        <v>2034</v>
      </c>
      <c r="C224">
        <f t="shared" si="18"/>
        <v>2034</v>
      </c>
      <c r="E224">
        <f t="shared" si="16"/>
        <v>2197</v>
      </c>
      <c r="F224" cm="1">
        <f t="array" ref="F224">INDEX('GMW - Baseline'!$A$2:$MC$200,MATCH(1,('GMW - Baseline'!$MC$2:$MC$200=F$3)*('GMW - Baseline'!$MB$2:$MB$200=F$4),0),$E224-1973)</f>
        <v>796627.5</v>
      </c>
      <c r="G224" cm="1">
        <f t="array" ref="G224">INDEX('GMW - Baseline'!$A$2:$MC$200,MATCH(1,('GMW - Baseline'!$MC$2:$MC$200=G$3)*('GMW - Baseline'!$MB$2:$MB$200=G$4),0),$E224-1973)</f>
        <v>466615.9</v>
      </c>
      <c r="H224" cm="1">
        <f t="array" ref="H224">INDEX('GMW - Baseline'!$A$2:$MC$200,MATCH(1,('GMW - Baseline'!$MC$2:$MC$200=H$3)*('GMW - Baseline'!$MB$2:$MB$200=H$4),0),$E224-1973)</f>
        <v>166.38460000000001</v>
      </c>
      <c r="I224" cm="1">
        <f t="array" ref="I224">INDEX('GMW - Baseline'!$A$2:$MC$200,MATCH(1,('GMW - Baseline'!$MC$2:$MC$200=I$3)*('GMW - Baseline'!$MB$2:$MB$200=I$4),0),$E224-1973)</f>
        <v>2.5000460000000002</v>
      </c>
      <c r="J224" t="e" cm="1">
        <f t="array" ref="J224">INDEX('GMW - Baseline'!$A$2:$MC$200,MATCH(1,('GMW - Baseline'!$MC$2:$MC$200=J$3)*('GMW - Baseline'!$MB$2:$MB$200=J$4),0),$E224-1973)</f>
        <v>#N/A</v>
      </c>
      <c r="K224" t="e" cm="1">
        <f t="array" ref="K224">INDEX('GMW - Baseline'!$A$2:$MC$200,MATCH(1,('GMW - Baseline'!$MC$2:$MC$200=K$3)*('GMW - Baseline'!$MB$2:$MB$200=K$4),0),$E224-1973)</f>
        <v>#N/A</v>
      </c>
      <c r="L224" t="e" cm="1">
        <f t="array" ref="L224">INDEX('GMW - Baseline'!$A$2:$MC$200,MATCH(1,('GMW - Baseline'!$MC$2:$MC$200=L$3)*('GMW - Baseline'!$MB$2:$MB$200=L$4),0),$E224-1973)</f>
        <v>#N/A</v>
      </c>
      <c r="M224" t="e" cm="1">
        <f t="array" ref="M224">INDEX('GMW - Baseline'!$A$2:$MC$200,MATCH(1,('GMW - Baseline'!$MC$2:$MC$200=M$3)*('GMW - Baseline'!$MB$2:$MB$200=M$4),0),$E224-1973)</f>
        <v>#N/A</v>
      </c>
      <c r="N224" t="e" cm="1">
        <f t="array" ref="N224">INDEX('GMW - Baseline'!$A$2:$MC$200,MATCH(1,('GMW - Baseline'!$MC$2:$MC$200=N$3)*('GMW - Baseline'!$MB$2:$MB$200=N$4),0),$E224-1973)</f>
        <v>#N/A</v>
      </c>
      <c r="O224" t="e" cm="1">
        <f t="array" ref="O224">INDEX('GMW - Baseline'!$A$2:$MC$200,MATCH(1,('GMW - Baseline'!$MC$2:$MC$200=O$3)*('GMW - Baseline'!$MB$2:$MB$200=O$4),0),$E224-1973)</f>
        <v>#N/A</v>
      </c>
      <c r="P224" t="e" cm="1">
        <f t="array" ref="P224">INDEX('GMW - Baseline'!$A$2:$MC$200,MATCH(1,('GMW - Baseline'!$MC$2:$MC$200=P$3)*('GMW - Baseline'!$MB$2:$MB$200=P$4),0),$E224-1973)</f>
        <v>#N/A</v>
      </c>
      <c r="Q224" t="e" cm="1">
        <f t="array" ref="Q224">INDEX('GMW - Baseline'!$A$2:$MC$200,MATCH(1,('GMW - Baseline'!$MC$2:$MC$200=Q$3)*('GMW - Baseline'!$MB$2:$MB$200=Q$4),0),$E224-1973)</f>
        <v>#N/A</v>
      </c>
      <c r="R224" t="e" cm="1">
        <f t="array" ref="R224">INDEX('GMW - Baseline'!$A$2:$MC$200,MATCH(1,('GMW - Baseline'!$MC$2:$MC$200=R$3)*('GMW - Baseline'!$MB$2:$MB$200=R$4),0),$E224-1973)</f>
        <v>#N/A</v>
      </c>
      <c r="S224" t="e" cm="1">
        <f t="array" ref="S224">INDEX('GMW - Baseline'!$A$2:$MC$200,MATCH(1,('GMW - Baseline'!$MC$2:$MC$200=S$3)*('GMW - Baseline'!$MB$2:$MB$200=S$4),0),$E224-1973)</f>
        <v>#N/A</v>
      </c>
      <c r="T224" t="e" cm="1">
        <f t="array" ref="T224">INDEX('GMW - Baseline'!$A$2:$MC$200,MATCH(1,('GMW - Baseline'!$MC$2:$MC$200=T$3)*('GMW - Baseline'!$MB$2:$MB$200=T$4),0),$E224-1973)</f>
        <v>#N/A</v>
      </c>
    </row>
    <row r="225" spans="1:20" x14ac:dyDescent="0.25">
      <c r="B225">
        <f t="shared" si="18"/>
        <v>2034</v>
      </c>
      <c r="C225">
        <f t="shared" si="18"/>
        <v>2034</v>
      </c>
      <c r="E225">
        <f t="shared" si="16"/>
        <v>2198</v>
      </c>
      <c r="F225" cm="1">
        <f t="array" ref="F225">INDEX('GMW - Baseline'!$A$2:$MC$200,MATCH(1,('GMW - Baseline'!$MC$2:$MC$200=F$3)*('GMW - Baseline'!$MB$2:$MB$200=F$4),0),$E225-1973)</f>
        <v>799618.2</v>
      </c>
      <c r="G225" cm="1">
        <f t="array" ref="G225">INDEX('GMW - Baseline'!$A$2:$MC$200,MATCH(1,('GMW - Baseline'!$MC$2:$MC$200=G$3)*('GMW - Baseline'!$MB$2:$MB$200=G$4),0),$E225-1973)</f>
        <v>468307.20000000001</v>
      </c>
      <c r="H225" cm="1">
        <f t="array" ref="H225">INDEX('GMW - Baseline'!$A$2:$MC$200,MATCH(1,('GMW - Baseline'!$MC$2:$MC$200=H$3)*('GMW - Baseline'!$MB$2:$MB$200=H$4),0),$E225-1973)</f>
        <v>167.26920000000001</v>
      </c>
      <c r="I225" cm="1">
        <f t="array" ref="I225">INDEX('GMW - Baseline'!$A$2:$MC$200,MATCH(1,('GMW - Baseline'!$MC$2:$MC$200=I$3)*('GMW - Baseline'!$MB$2:$MB$200=I$4),0),$E225-1973)</f>
        <v>2.5000979999999999</v>
      </c>
      <c r="J225" t="e" cm="1">
        <f t="array" ref="J225">INDEX('GMW - Baseline'!$A$2:$MC$200,MATCH(1,('GMW - Baseline'!$MC$2:$MC$200=J$3)*('GMW - Baseline'!$MB$2:$MB$200=J$4),0),$E225-1973)</f>
        <v>#N/A</v>
      </c>
      <c r="K225" t="e" cm="1">
        <f t="array" ref="K225">INDEX('GMW - Baseline'!$A$2:$MC$200,MATCH(1,('GMW - Baseline'!$MC$2:$MC$200=K$3)*('GMW - Baseline'!$MB$2:$MB$200=K$4),0),$E225-1973)</f>
        <v>#N/A</v>
      </c>
      <c r="L225" t="e" cm="1">
        <f t="array" ref="L225">INDEX('GMW - Baseline'!$A$2:$MC$200,MATCH(1,('GMW - Baseline'!$MC$2:$MC$200=L$3)*('GMW - Baseline'!$MB$2:$MB$200=L$4),0),$E225-1973)</f>
        <v>#N/A</v>
      </c>
      <c r="M225" t="e" cm="1">
        <f t="array" ref="M225">INDEX('GMW - Baseline'!$A$2:$MC$200,MATCH(1,('GMW - Baseline'!$MC$2:$MC$200=M$3)*('GMW - Baseline'!$MB$2:$MB$200=M$4),0),$E225-1973)</f>
        <v>#N/A</v>
      </c>
      <c r="N225" t="e" cm="1">
        <f t="array" ref="N225">INDEX('GMW - Baseline'!$A$2:$MC$200,MATCH(1,('GMW - Baseline'!$MC$2:$MC$200=N$3)*('GMW - Baseline'!$MB$2:$MB$200=N$4),0),$E225-1973)</f>
        <v>#N/A</v>
      </c>
      <c r="O225" t="e" cm="1">
        <f t="array" ref="O225">INDEX('GMW - Baseline'!$A$2:$MC$200,MATCH(1,('GMW - Baseline'!$MC$2:$MC$200=O$3)*('GMW - Baseline'!$MB$2:$MB$200=O$4),0),$E225-1973)</f>
        <v>#N/A</v>
      </c>
      <c r="P225" t="e" cm="1">
        <f t="array" ref="P225">INDEX('GMW - Baseline'!$A$2:$MC$200,MATCH(1,('GMW - Baseline'!$MC$2:$MC$200=P$3)*('GMW - Baseline'!$MB$2:$MB$200=P$4),0),$E225-1973)</f>
        <v>#N/A</v>
      </c>
      <c r="Q225" t="e" cm="1">
        <f t="array" ref="Q225">INDEX('GMW - Baseline'!$A$2:$MC$200,MATCH(1,('GMW - Baseline'!$MC$2:$MC$200=Q$3)*('GMW - Baseline'!$MB$2:$MB$200=Q$4),0),$E225-1973)</f>
        <v>#N/A</v>
      </c>
      <c r="R225" t="e" cm="1">
        <f t="array" ref="R225">INDEX('GMW - Baseline'!$A$2:$MC$200,MATCH(1,('GMW - Baseline'!$MC$2:$MC$200=R$3)*('GMW - Baseline'!$MB$2:$MB$200=R$4),0),$E225-1973)</f>
        <v>#N/A</v>
      </c>
      <c r="S225" t="e" cm="1">
        <f t="array" ref="S225">INDEX('GMW - Baseline'!$A$2:$MC$200,MATCH(1,('GMW - Baseline'!$MC$2:$MC$200=S$3)*('GMW - Baseline'!$MB$2:$MB$200=S$4),0),$E225-1973)</f>
        <v>#N/A</v>
      </c>
      <c r="T225" t="e" cm="1">
        <f t="array" ref="T225">INDEX('GMW - Baseline'!$A$2:$MC$200,MATCH(1,('GMW - Baseline'!$MC$2:$MC$200=T$3)*('GMW - Baseline'!$MB$2:$MB$200=T$4),0),$E225-1973)</f>
        <v>#N/A</v>
      </c>
    </row>
    <row r="226" spans="1:20" x14ac:dyDescent="0.25">
      <c r="B226">
        <f t="shared" si="18"/>
        <v>2034</v>
      </c>
      <c r="C226">
        <f t="shared" si="18"/>
        <v>2034</v>
      </c>
      <c r="E226">
        <f t="shared" si="16"/>
        <v>2199</v>
      </c>
      <c r="F226" cm="1">
        <f t="array" ref="F226">INDEX('GMW - Baseline'!$A$2:$MC$200,MATCH(1,('GMW - Baseline'!$MC$2:$MC$200=F$3)*('GMW - Baseline'!$MB$2:$MB$200=F$4),0),$E226-1973)</f>
        <v>802556.4</v>
      </c>
      <c r="G226" cm="1">
        <f t="array" ref="G226">INDEX('GMW - Baseline'!$A$2:$MC$200,MATCH(1,('GMW - Baseline'!$MC$2:$MC$200=G$3)*('GMW - Baseline'!$MB$2:$MB$200=G$4),0),$E226-1973)</f>
        <v>469967.4</v>
      </c>
      <c r="H226" cm="1">
        <f t="array" ref="H226">INDEX('GMW - Baseline'!$A$2:$MC$200,MATCH(1,('GMW - Baseline'!$MC$2:$MC$200=H$3)*('GMW - Baseline'!$MB$2:$MB$200=H$4),0),$E226-1973)</f>
        <v>167.97479999999999</v>
      </c>
      <c r="I226" cm="1">
        <f t="array" ref="I226">INDEX('GMW - Baseline'!$A$2:$MC$200,MATCH(1,('GMW - Baseline'!$MC$2:$MC$200=I$3)*('GMW - Baseline'!$MB$2:$MB$200=I$4),0),$E226-1973)</f>
        <v>2.5001449999999998</v>
      </c>
      <c r="J226" t="e" cm="1">
        <f t="array" ref="J226">INDEX('GMW - Baseline'!$A$2:$MC$200,MATCH(1,('GMW - Baseline'!$MC$2:$MC$200=J$3)*('GMW - Baseline'!$MB$2:$MB$200=J$4),0),$E226-1973)</f>
        <v>#N/A</v>
      </c>
      <c r="K226" t="e" cm="1">
        <f t="array" ref="K226">INDEX('GMW - Baseline'!$A$2:$MC$200,MATCH(1,('GMW - Baseline'!$MC$2:$MC$200=K$3)*('GMW - Baseline'!$MB$2:$MB$200=K$4),0),$E226-1973)</f>
        <v>#N/A</v>
      </c>
      <c r="L226" t="e" cm="1">
        <f t="array" ref="L226">INDEX('GMW - Baseline'!$A$2:$MC$200,MATCH(1,('GMW - Baseline'!$MC$2:$MC$200=L$3)*('GMW - Baseline'!$MB$2:$MB$200=L$4),0),$E226-1973)</f>
        <v>#N/A</v>
      </c>
      <c r="M226" t="e" cm="1">
        <f t="array" ref="M226">INDEX('GMW - Baseline'!$A$2:$MC$200,MATCH(1,('GMW - Baseline'!$MC$2:$MC$200=M$3)*('GMW - Baseline'!$MB$2:$MB$200=M$4),0),$E226-1973)</f>
        <v>#N/A</v>
      </c>
      <c r="N226" t="e" cm="1">
        <f t="array" ref="N226">INDEX('GMW - Baseline'!$A$2:$MC$200,MATCH(1,('GMW - Baseline'!$MC$2:$MC$200=N$3)*('GMW - Baseline'!$MB$2:$MB$200=N$4),0),$E226-1973)</f>
        <v>#N/A</v>
      </c>
      <c r="O226" t="e" cm="1">
        <f t="array" ref="O226">INDEX('GMW - Baseline'!$A$2:$MC$200,MATCH(1,('GMW - Baseline'!$MC$2:$MC$200=O$3)*('GMW - Baseline'!$MB$2:$MB$200=O$4),0),$E226-1973)</f>
        <v>#N/A</v>
      </c>
      <c r="P226" t="e" cm="1">
        <f t="array" ref="P226">INDEX('GMW - Baseline'!$A$2:$MC$200,MATCH(1,('GMW - Baseline'!$MC$2:$MC$200=P$3)*('GMW - Baseline'!$MB$2:$MB$200=P$4),0),$E226-1973)</f>
        <v>#N/A</v>
      </c>
      <c r="Q226" t="e" cm="1">
        <f t="array" ref="Q226">INDEX('GMW - Baseline'!$A$2:$MC$200,MATCH(1,('GMW - Baseline'!$MC$2:$MC$200=Q$3)*('GMW - Baseline'!$MB$2:$MB$200=Q$4),0),$E226-1973)</f>
        <v>#N/A</v>
      </c>
      <c r="R226" t="e" cm="1">
        <f t="array" ref="R226">INDEX('GMW - Baseline'!$A$2:$MC$200,MATCH(1,('GMW - Baseline'!$MC$2:$MC$200=R$3)*('GMW - Baseline'!$MB$2:$MB$200=R$4),0),$E226-1973)</f>
        <v>#N/A</v>
      </c>
      <c r="S226" t="e" cm="1">
        <f t="array" ref="S226">INDEX('GMW - Baseline'!$A$2:$MC$200,MATCH(1,('GMW - Baseline'!$MC$2:$MC$200=S$3)*('GMW - Baseline'!$MB$2:$MB$200=S$4),0),$E226-1973)</f>
        <v>#N/A</v>
      </c>
      <c r="T226" t="e" cm="1">
        <f t="array" ref="T226">INDEX('GMW - Baseline'!$A$2:$MC$200,MATCH(1,('GMW - Baseline'!$MC$2:$MC$200=T$3)*('GMW - Baseline'!$MB$2:$MB$200=T$4),0),$E226-1973)</f>
        <v>#N/A</v>
      </c>
    </row>
    <row r="227" spans="1:20" x14ac:dyDescent="0.25">
      <c r="A227">
        <v>2035</v>
      </c>
      <c r="B227">
        <f t="shared" si="18"/>
        <v>2035</v>
      </c>
      <c r="C227">
        <f t="shared" si="18"/>
        <v>2034</v>
      </c>
      <c r="D227">
        <f t="shared" si="18"/>
        <v>2034</v>
      </c>
      <c r="E227">
        <f t="shared" si="16"/>
        <v>2200</v>
      </c>
      <c r="F227" cm="1">
        <f t="array" ref="F227">INDEX('GMW - Baseline'!$A$2:$MC$200,MATCH(1,('GMW - Baseline'!$MC$2:$MC$200=F$3)*('GMW - Baseline'!$MB$2:$MB$200=F$4),0),$E227-1973)</f>
        <v>805576</v>
      </c>
      <c r="G227" cm="1">
        <f t="array" ref="G227">INDEX('GMW - Baseline'!$A$2:$MC$200,MATCH(1,('GMW - Baseline'!$MC$2:$MC$200=G$3)*('GMW - Baseline'!$MB$2:$MB$200=G$4),0),$E227-1973)</f>
        <v>471674.8</v>
      </c>
      <c r="H227" cm="1">
        <f t="array" ref="H227">INDEX('GMW - Baseline'!$A$2:$MC$200,MATCH(1,('GMW - Baseline'!$MC$2:$MC$200=H$3)*('GMW - Baseline'!$MB$2:$MB$200=H$4),0),$E227-1973)</f>
        <v>168.25120000000001</v>
      </c>
      <c r="I227" cm="1">
        <f t="array" ref="I227">INDEX('GMW - Baseline'!$A$2:$MC$200,MATCH(1,('GMW - Baseline'!$MC$2:$MC$200=I$3)*('GMW - Baseline'!$MB$2:$MB$200=I$4),0),$E227-1973)</f>
        <v>2.5001820000000001</v>
      </c>
      <c r="J227" t="e" cm="1">
        <f t="array" ref="J227">INDEX('GMW - Baseline'!$A$2:$MC$200,MATCH(1,('GMW - Baseline'!$MC$2:$MC$200=J$3)*('GMW - Baseline'!$MB$2:$MB$200=J$4),0),$E227-1973)</f>
        <v>#N/A</v>
      </c>
      <c r="K227" t="e" cm="1">
        <f t="array" ref="K227">INDEX('GMW - Baseline'!$A$2:$MC$200,MATCH(1,('GMW - Baseline'!$MC$2:$MC$200=K$3)*('GMW - Baseline'!$MB$2:$MB$200=K$4),0),$E227-1973)</f>
        <v>#N/A</v>
      </c>
      <c r="L227" t="e" cm="1">
        <f t="array" ref="L227">INDEX('GMW - Baseline'!$A$2:$MC$200,MATCH(1,('GMW - Baseline'!$MC$2:$MC$200=L$3)*('GMW - Baseline'!$MB$2:$MB$200=L$4),0),$E227-1973)</f>
        <v>#N/A</v>
      </c>
      <c r="M227" t="e" cm="1">
        <f t="array" ref="M227">INDEX('GMW - Baseline'!$A$2:$MC$200,MATCH(1,('GMW - Baseline'!$MC$2:$MC$200=M$3)*('GMW - Baseline'!$MB$2:$MB$200=M$4),0),$E227-1973)</f>
        <v>#N/A</v>
      </c>
      <c r="N227" t="e" cm="1">
        <f t="array" ref="N227">INDEX('GMW - Baseline'!$A$2:$MC$200,MATCH(1,('GMW - Baseline'!$MC$2:$MC$200=N$3)*('GMW - Baseline'!$MB$2:$MB$200=N$4),0),$E227-1973)</f>
        <v>#N/A</v>
      </c>
      <c r="O227" t="e" cm="1">
        <f t="array" ref="O227">INDEX('GMW - Baseline'!$A$2:$MC$200,MATCH(1,('GMW - Baseline'!$MC$2:$MC$200=O$3)*('GMW - Baseline'!$MB$2:$MB$200=O$4),0),$E227-1973)</f>
        <v>#N/A</v>
      </c>
      <c r="P227" t="e" cm="1">
        <f t="array" ref="P227">INDEX('GMW - Baseline'!$A$2:$MC$200,MATCH(1,('GMW - Baseline'!$MC$2:$MC$200=P$3)*('GMW - Baseline'!$MB$2:$MB$200=P$4),0),$E227-1973)</f>
        <v>#N/A</v>
      </c>
      <c r="Q227" t="e" cm="1">
        <f t="array" ref="Q227">INDEX('GMW - Baseline'!$A$2:$MC$200,MATCH(1,('GMW - Baseline'!$MC$2:$MC$200=Q$3)*('GMW - Baseline'!$MB$2:$MB$200=Q$4),0),$E227-1973)</f>
        <v>#N/A</v>
      </c>
      <c r="R227" t="e" cm="1">
        <f t="array" ref="R227">INDEX('GMW - Baseline'!$A$2:$MC$200,MATCH(1,('GMW - Baseline'!$MC$2:$MC$200=R$3)*('GMW - Baseline'!$MB$2:$MB$200=R$4),0),$E227-1973)</f>
        <v>#N/A</v>
      </c>
      <c r="S227" t="e" cm="1">
        <f t="array" ref="S227">INDEX('GMW - Baseline'!$A$2:$MC$200,MATCH(1,('GMW - Baseline'!$MC$2:$MC$200=S$3)*('GMW - Baseline'!$MB$2:$MB$200=S$4),0),$E227-1973)</f>
        <v>#N/A</v>
      </c>
      <c r="T227" t="e" cm="1">
        <f t="array" ref="T227">INDEX('GMW - Baseline'!$A$2:$MC$200,MATCH(1,('GMW - Baseline'!$MC$2:$MC$200=T$3)*('GMW - Baseline'!$MB$2:$MB$200=T$4),0),$E227-1973)</f>
        <v>#N/A</v>
      </c>
    </row>
    <row r="228" spans="1:20" x14ac:dyDescent="0.25">
      <c r="B228">
        <f t="shared" si="18"/>
        <v>2035</v>
      </c>
      <c r="C228">
        <f t="shared" si="18"/>
        <v>2035</v>
      </c>
      <c r="E228">
        <f t="shared" si="16"/>
        <v>2201</v>
      </c>
      <c r="F228" cm="1">
        <f t="array" ref="F228">INDEX('GMW - Baseline'!$A$2:$MC$200,MATCH(1,('GMW - Baseline'!$MC$2:$MC$200=F$3)*('GMW - Baseline'!$MB$2:$MB$200=F$4),0),$E228-1973)</f>
        <v>808608.9</v>
      </c>
      <c r="G228" cm="1">
        <f t="array" ref="G228">INDEX('GMW - Baseline'!$A$2:$MC$200,MATCH(1,('GMW - Baseline'!$MC$2:$MC$200=G$3)*('GMW - Baseline'!$MB$2:$MB$200=G$4),0),$E228-1973)</f>
        <v>473389.3</v>
      </c>
      <c r="H228" cm="1">
        <f t="array" ref="H228">INDEX('GMW - Baseline'!$A$2:$MC$200,MATCH(1,('GMW - Baseline'!$MC$2:$MC$200=H$3)*('GMW - Baseline'!$MB$2:$MB$200=H$4),0),$E228-1973)</f>
        <v>169.75980000000001</v>
      </c>
      <c r="I228" cm="1">
        <f t="array" ref="I228">INDEX('GMW - Baseline'!$A$2:$MC$200,MATCH(1,('GMW - Baseline'!$MC$2:$MC$200=I$3)*('GMW - Baseline'!$MB$2:$MB$200=I$4),0),$E228-1973)</f>
        <v>2.5002110000000002</v>
      </c>
      <c r="J228" t="e" cm="1">
        <f t="array" ref="J228">INDEX('GMW - Baseline'!$A$2:$MC$200,MATCH(1,('GMW - Baseline'!$MC$2:$MC$200=J$3)*('GMW - Baseline'!$MB$2:$MB$200=J$4),0),$E228-1973)</f>
        <v>#N/A</v>
      </c>
      <c r="K228" t="e" cm="1">
        <f t="array" ref="K228">INDEX('GMW - Baseline'!$A$2:$MC$200,MATCH(1,('GMW - Baseline'!$MC$2:$MC$200=K$3)*('GMW - Baseline'!$MB$2:$MB$200=K$4),0),$E228-1973)</f>
        <v>#N/A</v>
      </c>
      <c r="L228" t="e" cm="1">
        <f t="array" ref="L228">INDEX('GMW - Baseline'!$A$2:$MC$200,MATCH(1,('GMW - Baseline'!$MC$2:$MC$200=L$3)*('GMW - Baseline'!$MB$2:$MB$200=L$4),0),$E228-1973)</f>
        <v>#N/A</v>
      </c>
      <c r="M228" t="e" cm="1">
        <f t="array" ref="M228">INDEX('GMW - Baseline'!$A$2:$MC$200,MATCH(1,('GMW - Baseline'!$MC$2:$MC$200=M$3)*('GMW - Baseline'!$MB$2:$MB$200=M$4),0),$E228-1973)</f>
        <v>#N/A</v>
      </c>
      <c r="N228" t="e" cm="1">
        <f t="array" ref="N228">INDEX('GMW - Baseline'!$A$2:$MC$200,MATCH(1,('GMW - Baseline'!$MC$2:$MC$200=N$3)*('GMW - Baseline'!$MB$2:$MB$200=N$4),0),$E228-1973)</f>
        <v>#N/A</v>
      </c>
      <c r="O228" t="e" cm="1">
        <f t="array" ref="O228">INDEX('GMW - Baseline'!$A$2:$MC$200,MATCH(1,('GMW - Baseline'!$MC$2:$MC$200=O$3)*('GMW - Baseline'!$MB$2:$MB$200=O$4),0),$E228-1973)</f>
        <v>#N/A</v>
      </c>
      <c r="P228" t="e" cm="1">
        <f t="array" ref="P228">INDEX('GMW - Baseline'!$A$2:$MC$200,MATCH(1,('GMW - Baseline'!$MC$2:$MC$200=P$3)*('GMW - Baseline'!$MB$2:$MB$200=P$4),0),$E228-1973)</f>
        <v>#N/A</v>
      </c>
      <c r="Q228" t="e" cm="1">
        <f t="array" ref="Q228">INDEX('GMW - Baseline'!$A$2:$MC$200,MATCH(1,('GMW - Baseline'!$MC$2:$MC$200=Q$3)*('GMW - Baseline'!$MB$2:$MB$200=Q$4),0),$E228-1973)</f>
        <v>#N/A</v>
      </c>
      <c r="R228" t="e" cm="1">
        <f t="array" ref="R228">INDEX('GMW - Baseline'!$A$2:$MC$200,MATCH(1,('GMW - Baseline'!$MC$2:$MC$200=R$3)*('GMW - Baseline'!$MB$2:$MB$200=R$4),0),$E228-1973)</f>
        <v>#N/A</v>
      </c>
      <c r="S228" t="e" cm="1">
        <f t="array" ref="S228">INDEX('GMW - Baseline'!$A$2:$MC$200,MATCH(1,('GMW - Baseline'!$MC$2:$MC$200=S$3)*('GMW - Baseline'!$MB$2:$MB$200=S$4),0),$E228-1973)</f>
        <v>#N/A</v>
      </c>
      <c r="T228" t="e" cm="1">
        <f t="array" ref="T228">INDEX('GMW - Baseline'!$A$2:$MC$200,MATCH(1,('GMW - Baseline'!$MC$2:$MC$200=T$3)*('GMW - Baseline'!$MB$2:$MB$200=T$4),0),$E228-1973)</f>
        <v>#N/A</v>
      </c>
    </row>
    <row r="229" spans="1:20" x14ac:dyDescent="0.25">
      <c r="B229">
        <f t="shared" si="18"/>
        <v>2035</v>
      </c>
      <c r="C229">
        <f t="shared" si="18"/>
        <v>2035</v>
      </c>
      <c r="E229">
        <f t="shared" si="16"/>
        <v>2202</v>
      </c>
      <c r="F229" cm="1">
        <f t="array" ref="F229">INDEX('GMW - Baseline'!$A$2:$MC$200,MATCH(1,('GMW - Baseline'!$MC$2:$MC$200=F$3)*('GMW - Baseline'!$MB$2:$MB$200=F$4),0),$E229-1973)</f>
        <v>811652.9</v>
      </c>
      <c r="G229" cm="1">
        <f t="array" ref="G229">INDEX('GMW - Baseline'!$A$2:$MC$200,MATCH(1,('GMW - Baseline'!$MC$2:$MC$200=G$3)*('GMW - Baseline'!$MB$2:$MB$200=G$4),0),$E229-1973)</f>
        <v>475109.5</v>
      </c>
      <c r="H229" cm="1">
        <f t="array" ref="H229">INDEX('GMW - Baseline'!$A$2:$MC$200,MATCH(1,('GMW - Baseline'!$MC$2:$MC$200=H$3)*('GMW - Baseline'!$MB$2:$MB$200=H$4),0),$E229-1973)</f>
        <v>170.66640000000001</v>
      </c>
      <c r="I229" cm="1">
        <f t="array" ref="I229">INDEX('GMW - Baseline'!$A$2:$MC$200,MATCH(1,('GMW - Baseline'!$MC$2:$MC$200=I$3)*('GMW - Baseline'!$MB$2:$MB$200=I$4),0),$E229-1973)</f>
        <v>2.5002260000000001</v>
      </c>
      <c r="J229" t="e" cm="1">
        <f t="array" ref="J229">INDEX('GMW - Baseline'!$A$2:$MC$200,MATCH(1,('GMW - Baseline'!$MC$2:$MC$200=J$3)*('GMW - Baseline'!$MB$2:$MB$200=J$4),0),$E229-1973)</f>
        <v>#N/A</v>
      </c>
      <c r="K229" t="e" cm="1">
        <f t="array" ref="K229">INDEX('GMW - Baseline'!$A$2:$MC$200,MATCH(1,('GMW - Baseline'!$MC$2:$MC$200=K$3)*('GMW - Baseline'!$MB$2:$MB$200=K$4),0),$E229-1973)</f>
        <v>#N/A</v>
      </c>
      <c r="L229" t="e" cm="1">
        <f t="array" ref="L229">INDEX('GMW - Baseline'!$A$2:$MC$200,MATCH(1,('GMW - Baseline'!$MC$2:$MC$200=L$3)*('GMW - Baseline'!$MB$2:$MB$200=L$4),0),$E229-1973)</f>
        <v>#N/A</v>
      </c>
      <c r="M229" t="e" cm="1">
        <f t="array" ref="M229">INDEX('GMW - Baseline'!$A$2:$MC$200,MATCH(1,('GMW - Baseline'!$MC$2:$MC$200=M$3)*('GMW - Baseline'!$MB$2:$MB$200=M$4),0),$E229-1973)</f>
        <v>#N/A</v>
      </c>
      <c r="N229" t="e" cm="1">
        <f t="array" ref="N229">INDEX('GMW - Baseline'!$A$2:$MC$200,MATCH(1,('GMW - Baseline'!$MC$2:$MC$200=N$3)*('GMW - Baseline'!$MB$2:$MB$200=N$4),0),$E229-1973)</f>
        <v>#N/A</v>
      </c>
      <c r="O229" t="e" cm="1">
        <f t="array" ref="O229">INDEX('GMW - Baseline'!$A$2:$MC$200,MATCH(1,('GMW - Baseline'!$MC$2:$MC$200=O$3)*('GMW - Baseline'!$MB$2:$MB$200=O$4),0),$E229-1973)</f>
        <v>#N/A</v>
      </c>
      <c r="P229" t="e" cm="1">
        <f t="array" ref="P229">INDEX('GMW - Baseline'!$A$2:$MC$200,MATCH(1,('GMW - Baseline'!$MC$2:$MC$200=P$3)*('GMW - Baseline'!$MB$2:$MB$200=P$4),0),$E229-1973)</f>
        <v>#N/A</v>
      </c>
      <c r="Q229" t="e" cm="1">
        <f t="array" ref="Q229">INDEX('GMW - Baseline'!$A$2:$MC$200,MATCH(1,('GMW - Baseline'!$MC$2:$MC$200=Q$3)*('GMW - Baseline'!$MB$2:$MB$200=Q$4),0),$E229-1973)</f>
        <v>#N/A</v>
      </c>
      <c r="R229" t="e" cm="1">
        <f t="array" ref="R229">INDEX('GMW - Baseline'!$A$2:$MC$200,MATCH(1,('GMW - Baseline'!$MC$2:$MC$200=R$3)*('GMW - Baseline'!$MB$2:$MB$200=R$4),0),$E229-1973)</f>
        <v>#N/A</v>
      </c>
      <c r="S229" t="e" cm="1">
        <f t="array" ref="S229">INDEX('GMW - Baseline'!$A$2:$MC$200,MATCH(1,('GMW - Baseline'!$MC$2:$MC$200=S$3)*('GMW - Baseline'!$MB$2:$MB$200=S$4),0),$E229-1973)</f>
        <v>#N/A</v>
      </c>
      <c r="T229" t="e" cm="1">
        <f t="array" ref="T229">INDEX('GMW - Baseline'!$A$2:$MC$200,MATCH(1,('GMW - Baseline'!$MC$2:$MC$200=T$3)*('GMW - Baseline'!$MB$2:$MB$200=T$4),0),$E229-1973)</f>
        <v>#N/A</v>
      </c>
    </row>
    <row r="230" spans="1:20" x14ac:dyDescent="0.25">
      <c r="B230">
        <f t="shared" si="18"/>
        <v>2035</v>
      </c>
      <c r="C230">
        <f t="shared" si="18"/>
        <v>2035</v>
      </c>
      <c r="E230">
        <f t="shared" si="16"/>
        <v>2203</v>
      </c>
      <c r="F230" cm="1">
        <f t="array" ref="F230">INDEX('GMW - Baseline'!$A$2:$MC$200,MATCH(1,('GMW - Baseline'!$MC$2:$MC$200=F$3)*('GMW - Baseline'!$MB$2:$MB$200=F$4),0),$E230-1973)</f>
        <v>814708.6</v>
      </c>
      <c r="G230" cm="1">
        <f t="array" ref="G230">INDEX('GMW - Baseline'!$A$2:$MC$200,MATCH(1,('GMW - Baseline'!$MC$2:$MC$200=G$3)*('GMW - Baseline'!$MB$2:$MB$200=G$4),0),$E230-1973)</f>
        <v>476836.9</v>
      </c>
      <c r="H230" cm="1">
        <f t="array" ref="H230">INDEX('GMW - Baseline'!$A$2:$MC$200,MATCH(1,('GMW - Baseline'!$MC$2:$MC$200=H$3)*('GMW - Baseline'!$MB$2:$MB$200=H$4),0),$E230-1973)</f>
        <v>171.37260000000001</v>
      </c>
      <c r="I230" cm="1">
        <f t="array" ref="I230">INDEX('GMW - Baseline'!$A$2:$MC$200,MATCH(1,('GMW - Baseline'!$MC$2:$MC$200=I$3)*('GMW - Baseline'!$MB$2:$MB$200=I$4),0),$E230-1973)</f>
        <v>2.5002209999999998</v>
      </c>
      <c r="J230" t="e" cm="1">
        <f t="array" ref="J230">INDEX('GMW - Baseline'!$A$2:$MC$200,MATCH(1,('GMW - Baseline'!$MC$2:$MC$200=J$3)*('GMW - Baseline'!$MB$2:$MB$200=J$4),0),$E230-1973)</f>
        <v>#N/A</v>
      </c>
      <c r="K230" t="e" cm="1">
        <f t="array" ref="K230">INDEX('GMW - Baseline'!$A$2:$MC$200,MATCH(1,('GMW - Baseline'!$MC$2:$MC$200=K$3)*('GMW - Baseline'!$MB$2:$MB$200=K$4),0),$E230-1973)</f>
        <v>#N/A</v>
      </c>
      <c r="L230" t="e" cm="1">
        <f t="array" ref="L230">INDEX('GMW - Baseline'!$A$2:$MC$200,MATCH(1,('GMW - Baseline'!$MC$2:$MC$200=L$3)*('GMW - Baseline'!$MB$2:$MB$200=L$4),0),$E230-1973)</f>
        <v>#N/A</v>
      </c>
      <c r="M230" t="e" cm="1">
        <f t="array" ref="M230">INDEX('GMW - Baseline'!$A$2:$MC$200,MATCH(1,('GMW - Baseline'!$MC$2:$MC$200=M$3)*('GMW - Baseline'!$MB$2:$MB$200=M$4),0),$E230-1973)</f>
        <v>#N/A</v>
      </c>
      <c r="N230" t="e" cm="1">
        <f t="array" ref="N230">INDEX('GMW - Baseline'!$A$2:$MC$200,MATCH(1,('GMW - Baseline'!$MC$2:$MC$200=N$3)*('GMW - Baseline'!$MB$2:$MB$200=N$4),0),$E230-1973)</f>
        <v>#N/A</v>
      </c>
      <c r="O230" t="e" cm="1">
        <f t="array" ref="O230">INDEX('GMW - Baseline'!$A$2:$MC$200,MATCH(1,('GMW - Baseline'!$MC$2:$MC$200=O$3)*('GMW - Baseline'!$MB$2:$MB$200=O$4),0),$E230-1973)</f>
        <v>#N/A</v>
      </c>
      <c r="P230" t="e" cm="1">
        <f t="array" ref="P230">INDEX('GMW - Baseline'!$A$2:$MC$200,MATCH(1,('GMW - Baseline'!$MC$2:$MC$200=P$3)*('GMW - Baseline'!$MB$2:$MB$200=P$4),0),$E230-1973)</f>
        <v>#N/A</v>
      </c>
      <c r="Q230" t="e" cm="1">
        <f t="array" ref="Q230">INDEX('GMW - Baseline'!$A$2:$MC$200,MATCH(1,('GMW - Baseline'!$MC$2:$MC$200=Q$3)*('GMW - Baseline'!$MB$2:$MB$200=Q$4),0),$E230-1973)</f>
        <v>#N/A</v>
      </c>
      <c r="R230" t="e" cm="1">
        <f t="array" ref="R230">INDEX('GMW - Baseline'!$A$2:$MC$200,MATCH(1,('GMW - Baseline'!$MC$2:$MC$200=R$3)*('GMW - Baseline'!$MB$2:$MB$200=R$4),0),$E230-1973)</f>
        <v>#N/A</v>
      </c>
      <c r="S230" t="e" cm="1">
        <f t="array" ref="S230">INDEX('GMW - Baseline'!$A$2:$MC$200,MATCH(1,('GMW - Baseline'!$MC$2:$MC$200=S$3)*('GMW - Baseline'!$MB$2:$MB$200=S$4),0),$E230-1973)</f>
        <v>#N/A</v>
      </c>
      <c r="T230" t="e" cm="1">
        <f t="array" ref="T230">INDEX('GMW - Baseline'!$A$2:$MC$200,MATCH(1,('GMW - Baseline'!$MC$2:$MC$200=T$3)*('GMW - Baseline'!$MB$2:$MB$200=T$4),0),$E230-1973)</f>
        <v>#N/A</v>
      </c>
    </row>
    <row r="231" spans="1:20" x14ac:dyDescent="0.25">
      <c r="A231">
        <v>2036</v>
      </c>
      <c r="B231">
        <f t="shared" si="18"/>
        <v>2036</v>
      </c>
      <c r="C231">
        <f t="shared" si="18"/>
        <v>2035</v>
      </c>
      <c r="D231">
        <f t="shared" si="18"/>
        <v>2035</v>
      </c>
      <c r="E231">
        <f t="shared" si="16"/>
        <v>2204</v>
      </c>
      <c r="F231" t="str" cm="1">
        <f t="array" ref="F231">INDEX('GMW - Baseline'!$A$2:$MC$200,MATCH(1,('GMW - Baseline'!$MC$2:$MC$200=F$3)*('GMW - Baseline'!$MB$2:$MB$200=F$4),0),$E231-1973)</f>
        <v>NA</v>
      </c>
      <c r="G231" t="str" cm="1">
        <f t="array" ref="G231">INDEX('GMW - Baseline'!$A$2:$MC$200,MATCH(1,('GMW - Baseline'!$MC$2:$MC$200=G$3)*('GMW - Baseline'!$MB$2:$MB$200=G$4),0),$E231-1973)</f>
        <v>NA</v>
      </c>
      <c r="H231" t="str" cm="1">
        <f t="array" ref="H231">INDEX('GMW - Baseline'!$A$2:$MC$200,MATCH(1,('GMW - Baseline'!$MC$2:$MC$200=H$3)*('GMW - Baseline'!$MB$2:$MB$200=H$4),0),$E231-1973)</f>
        <v>NA</v>
      </c>
      <c r="I231" t="str" cm="1">
        <f t="array" ref="I231">INDEX('GMW - Baseline'!$A$2:$MC$200,MATCH(1,('GMW - Baseline'!$MC$2:$MC$200=I$3)*('GMW - Baseline'!$MB$2:$MB$200=I$4),0),$E231-1973)</f>
        <v>NA</v>
      </c>
      <c r="J231" t="e" cm="1">
        <f t="array" ref="J231">INDEX('GMW - Baseline'!$A$2:$MC$200,MATCH(1,('GMW - Baseline'!$MC$2:$MC$200=J$3)*('GMW - Baseline'!$MB$2:$MB$200=J$4),0),$E231-1973)</f>
        <v>#N/A</v>
      </c>
      <c r="K231" t="e" cm="1">
        <f t="array" ref="K231">INDEX('GMW - Baseline'!$A$2:$MC$200,MATCH(1,('GMW - Baseline'!$MC$2:$MC$200=K$3)*('GMW - Baseline'!$MB$2:$MB$200=K$4),0),$E231-1973)</f>
        <v>#N/A</v>
      </c>
      <c r="L231" t="e" cm="1">
        <f t="array" ref="L231">INDEX('GMW - Baseline'!$A$2:$MC$200,MATCH(1,('GMW - Baseline'!$MC$2:$MC$200=L$3)*('GMW - Baseline'!$MB$2:$MB$200=L$4),0),$E231-1973)</f>
        <v>#N/A</v>
      </c>
      <c r="M231" t="e" cm="1">
        <f t="array" ref="M231">INDEX('GMW - Baseline'!$A$2:$MC$200,MATCH(1,('GMW - Baseline'!$MC$2:$MC$200=M$3)*('GMW - Baseline'!$MB$2:$MB$200=M$4),0),$E231-1973)</f>
        <v>#N/A</v>
      </c>
      <c r="N231" t="e" cm="1">
        <f t="array" ref="N231">INDEX('GMW - Baseline'!$A$2:$MC$200,MATCH(1,('GMW - Baseline'!$MC$2:$MC$200=N$3)*('GMW - Baseline'!$MB$2:$MB$200=N$4),0),$E231-1973)</f>
        <v>#N/A</v>
      </c>
      <c r="O231" t="e" cm="1">
        <f t="array" ref="O231">INDEX('GMW - Baseline'!$A$2:$MC$200,MATCH(1,('GMW - Baseline'!$MC$2:$MC$200=O$3)*('GMW - Baseline'!$MB$2:$MB$200=O$4),0),$E231-1973)</f>
        <v>#N/A</v>
      </c>
      <c r="P231" t="e" cm="1">
        <f t="array" ref="P231">INDEX('GMW - Baseline'!$A$2:$MC$200,MATCH(1,('GMW - Baseline'!$MC$2:$MC$200=P$3)*('GMW - Baseline'!$MB$2:$MB$200=P$4),0),$E231-1973)</f>
        <v>#N/A</v>
      </c>
      <c r="Q231" t="e" cm="1">
        <f t="array" ref="Q231">INDEX('GMW - Baseline'!$A$2:$MC$200,MATCH(1,('GMW - Baseline'!$MC$2:$MC$200=Q$3)*('GMW - Baseline'!$MB$2:$MB$200=Q$4),0),$E231-1973)</f>
        <v>#N/A</v>
      </c>
      <c r="R231" t="e" cm="1">
        <f t="array" ref="R231">INDEX('GMW - Baseline'!$A$2:$MC$200,MATCH(1,('GMW - Baseline'!$MC$2:$MC$200=R$3)*('GMW - Baseline'!$MB$2:$MB$200=R$4),0),$E231-1973)</f>
        <v>#N/A</v>
      </c>
      <c r="S231" t="e" cm="1">
        <f t="array" ref="S231">INDEX('GMW - Baseline'!$A$2:$MC$200,MATCH(1,('GMW - Baseline'!$MC$2:$MC$200=S$3)*('GMW - Baseline'!$MB$2:$MB$200=S$4),0),$E231-1973)</f>
        <v>#N/A</v>
      </c>
      <c r="T231" t="e" cm="1">
        <f t="array" ref="T231">INDEX('GMW - Baseline'!$A$2:$MC$200,MATCH(1,('GMW - Baseline'!$MC$2:$MC$200=T$3)*('GMW - Baseline'!$MB$2:$MB$200=T$4),0),$E231-1973)</f>
        <v>#N/A</v>
      </c>
    </row>
    <row r="232" spans="1:20" x14ac:dyDescent="0.25">
      <c r="B232">
        <f t="shared" si="18"/>
        <v>2036</v>
      </c>
      <c r="C232">
        <f t="shared" si="18"/>
        <v>2036</v>
      </c>
      <c r="E232">
        <f t="shared" si="16"/>
        <v>2205</v>
      </c>
      <c r="F232" t="str" cm="1">
        <f t="array" ref="F232">INDEX('GMW - Baseline'!$A$2:$MC$200,MATCH(1,('GMW - Baseline'!$MC$2:$MC$200=F$3)*('GMW - Baseline'!$MB$2:$MB$200=F$4),0),$E232-1973)</f>
        <v>NA</v>
      </c>
      <c r="G232" t="str" cm="1">
        <f t="array" ref="G232">INDEX('GMW - Baseline'!$A$2:$MC$200,MATCH(1,('GMW - Baseline'!$MC$2:$MC$200=G$3)*('GMW - Baseline'!$MB$2:$MB$200=G$4),0),$E232-1973)</f>
        <v>NA</v>
      </c>
      <c r="H232" t="str" cm="1">
        <f t="array" ref="H232">INDEX('GMW - Baseline'!$A$2:$MC$200,MATCH(1,('GMW - Baseline'!$MC$2:$MC$200=H$3)*('GMW - Baseline'!$MB$2:$MB$200=H$4),0),$E232-1973)</f>
        <v>NA</v>
      </c>
      <c r="I232" t="str" cm="1">
        <f t="array" ref="I232">INDEX('GMW - Baseline'!$A$2:$MC$200,MATCH(1,('GMW - Baseline'!$MC$2:$MC$200=I$3)*('GMW - Baseline'!$MB$2:$MB$200=I$4),0),$E232-1973)</f>
        <v>NA</v>
      </c>
      <c r="J232" t="e" cm="1">
        <f t="array" ref="J232">INDEX('GMW - Baseline'!$A$2:$MC$200,MATCH(1,('GMW - Baseline'!$MC$2:$MC$200=J$3)*('GMW - Baseline'!$MB$2:$MB$200=J$4),0),$E232-1973)</f>
        <v>#N/A</v>
      </c>
      <c r="K232" t="e" cm="1">
        <f t="array" ref="K232">INDEX('GMW - Baseline'!$A$2:$MC$200,MATCH(1,('GMW - Baseline'!$MC$2:$MC$200=K$3)*('GMW - Baseline'!$MB$2:$MB$200=K$4),0),$E232-1973)</f>
        <v>#N/A</v>
      </c>
      <c r="L232" t="e" cm="1">
        <f t="array" ref="L232">INDEX('GMW - Baseline'!$A$2:$MC$200,MATCH(1,('GMW - Baseline'!$MC$2:$MC$200=L$3)*('GMW - Baseline'!$MB$2:$MB$200=L$4),0),$E232-1973)</f>
        <v>#N/A</v>
      </c>
      <c r="M232" t="e" cm="1">
        <f t="array" ref="M232">INDEX('GMW - Baseline'!$A$2:$MC$200,MATCH(1,('GMW - Baseline'!$MC$2:$MC$200=M$3)*('GMW - Baseline'!$MB$2:$MB$200=M$4),0),$E232-1973)</f>
        <v>#N/A</v>
      </c>
      <c r="N232" t="e" cm="1">
        <f t="array" ref="N232">INDEX('GMW - Baseline'!$A$2:$MC$200,MATCH(1,('GMW - Baseline'!$MC$2:$MC$200=N$3)*('GMW - Baseline'!$MB$2:$MB$200=N$4),0),$E232-1973)</f>
        <v>#N/A</v>
      </c>
      <c r="O232" t="e" cm="1">
        <f t="array" ref="O232">INDEX('GMW - Baseline'!$A$2:$MC$200,MATCH(1,('GMW - Baseline'!$MC$2:$MC$200=O$3)*('GMW - Baseline'!$MB$2:$MB$200=O$4),0),$E232-1973)</f>
        <v>#N/A</v>
      </c>
      <c r="P232" t="e" cm="1">
        <f t="array" ref="P232">INDEX('GMW - Baseline'!$A$2:$MC$200,MATCH(1,('GMW - Baseline'!$MC$2:$MC$200=P$3)*('GMW - Baseline'!$MB$2:$MB$200=P$4),0),$E232-1973)</f>
        <v>#N/A</v>
      </c>
      <c r="Q232" t="e" cm="1">
        <f t="array" ref="Q232">INDEX('GMW - Baseline'!$A$2:$MC$200,MATCH(1,('GMW - Baseline'!$MC$2:$MC$200=Q$3)*('GMW - Baseline'!$MB$2:$MB$200=Q$4),0),$E232-1973)</f>
        <v>#N/A</v>
      </c>
      <c r="R232" t="e" cm="1">
        <f t="array" ref="R232">INDEX('GMW - Baseline'!$A$2:$MC$200,MATCH(1,('GMW - Baseline'!$MC$2:$MC$200=R$3)*('GMW - Baseline'!$MB$2:$MB$200=R$4),0),$E232-1973)</f>
        <v>#N/A</v>
      </c>
      <c r="S232" t="e" cm="1">
        <f t="array" ref="S232">INDEX('GMW - Baseline'!$A$2:$MC$200,MATCH(1,('GMW - Baseline'!$MC$2:$MC$200=S$3)*('GMW - Baseline'!$MB$2:$MB$200=S$4),0),$E232-1973)</f>
        <v>#N/A</v>
      </c>
      <c r="T232" t="e" cm="1">
        <f t="array" ref="T232">INDEX('GMW - Baseline'!$A$2:$MC$200,MATCH(1,('GMW - Baseline'!$MC$2:$MC$200=T$3)*('GMW - Baseline'!$MB$2:$MB$200=T$4),0),$E232-1973)</f>
        <v>#N/A</v>
      </c>
    </row>
    <row r="233" spans="1:20" x14ac:dyDescent="0.25">
      <c r="B233">
        <f t="shared" si="18"/>
        <v>2036</v>
      </c>
      <c r="C233">
        <f t="shared" si="18"/>
        <v>2036</v>
      </c>
      <c r="E233">
        <f t="shared" si="16"/>
        <v>2206</v>
      </c>
      <c r="F233" t="str" cm="1">
        <f t="array" ref="F233">INDEX('GMW - Baseline'!$A$2:$MC$200,MATCH(1,('GMW - Baseline'!$MC$2:$MC$200=F$3)*('GMW - Baseline'!$MB$2:$MB$200=F$4),0),$E233-1973)</f>
        <v>NA</v>
      </c>
      <c r="G233" t="str" cm="1">
        <f t="array" ref="G233">INDEX('GMW - Baseline'!$A$2:$MC$200,MATCH(1,('GMW - Baseline'!$MC$2:$MC$200=G$3)*('GMW - Baseline'!$MB$2:$MB$200=G$4),0),$E233-1973)</f>
        <v>NA</v>
      </c>
      <c r="H233" t="str" cm="1">
        <f t="array" ref="H233">INDEX('GMW - Baseline'!$A$2:$MC$200,MATCH(1,('GMW - Baseline'!$MC$2:$MC$200=H$3)*('GMW - Baseline'!$MB$2:$MB$200=H$4),0),$E233-1973)</f>
        <v>NA</v>
      </c>
      <c r="I233" t="str" cm="1">
        <f t="array" ref="I233">INDEX('GMW - Baseline'!$A$2:$MC$200,MATCH(1,('GMW - Baseline'!$MC$2:$MC$200=I$3)*('GMW - Baseline'!$MB$2:$MB$200=I$4),0),$E233-1973)</f>
        <v>NA</v>
      </c>
      <c r="J233" t="e" cm="1">
        <f t="array" ref="J233">INDEX('GMW - Baseline'!$A$2:$MC$200,MATCH(1,('GMW - Baseline'!$MC$2:$MC$200=J$3)*('GMW - Baseline'!$MB$2:$MB$200=J$4),0),$E233-1973)</f>
        <v>#N/A</v>
      </c>
      <c r="K233" t="e" cm="1">
        <f t="array" ref="K233">INDEX('GMW - Baseline'!$A$2:$MC$200,MATCH(1,('GMW - Baseline'!$MC$2:$MC$200=K$3)*('GMW - Baseline'!$MB$2:$MB$200=K$4),0),$E233-1973)</f>
        <v>#N/A</v>
      </c>
      <c r="L233" t="e" cm="1">
        <f t="array" ref="L233">INDEX('GMW - Baseline'!$A$2:$MC$200,MATCH(1,('GMW - Baseline'!$MC$2:$MC$200=L$3)*('GMW - Baseline'!$MB$2:$MB$200=L$4),0),$E233-1973)</f>
        <v>#N/A</v>
      </c>
      <c r="M233" t="e" cm="1">
        <f t="array" ref="M233">INDEX('GMW - Baseline'!$A$2:$MC$200,MATCH(1,('GMW - Baseline'!$MC$2:$MC$200=M$3)*('GMW - Baseline'!$MB$2:$MB$200=M$4),0),$E233-1973)</f>
        <v>#N/A</v>
      </c>
      <c r="N233" t="e" cm="1">
        <f t="array" ref="N233">INDEX('GMW - Baseline'!$A$2:$MC$200,MATCH(1,('GMW - Baseline'!$MC$2:$MC$200=N$3)*('GMW - Baseline'!$MB$2:$MB$200=N$4),0),$E233-1973)</f>
        <v>#N/A</v>
      </c>
      <c r="O233" t="e" cm="1">
        <f t="array" ref="O233">INDEX('GMW - Baseline'!$A$2:$MC$200,MATCH(1,('GMW - Baseline'!$MC$2:$MC$200=O$3)*('GMW - Baseline'!$MB$2:$MB$200=O$4),0),$E233-1973)</f>
        <v>#N/A</v>
      </c>
      <c r="P233" t="e" cm="1">
        <f t="array" ref="P233">INDEX('GMW - Baseline'!$A$2:$MC$200,MATCH(1,('GMW - Baseline'!$MC$2:$MC$200=P$3)*('GMW - Baseline'!$MB$2:$MB$200=P$4),0),$E233-1973)</f>
        <v>#N/A</v>
      </c>
      <c r="Q233" t="e" cm="1">
        <f t="array" ref="Q233">INDEX('GMW - Baseline'!$A$2:$MC$200,MATCH(1,('GMW - Baseline'!$MC$2:$MC$200=Q$3)*('GMW - Baseline'!$MB$2:$MB$200=Q$4),0),$E233-1973)</f>
        <v>#N/A</v>
      </c>
      <c r="R233" t="e" cm="1">
        <f t="array" ref="R233">INDEX('GMW - Baseline'!$A$2:$MC$200,MATCH(1,('GMW - Baseline'!$MC$2:$MC$200=R$3)*('GMW - Baseline'!$MB$2:$MB$200=R$4),0),$E233-1973)</f>
        <v>#N/A</v>
      </c>
      <c r="S233" t="e" cm="1">
        <f t="array" ref="S233">INDEX('GMW - Baseline'!$A$2:$MC$200,MATCH(1,('GMW - Baseline'!$MC$2:$MC$200=S$3)*('GMW - Baseline'!$MB$2:$MB$200=S$4),0),$E233-1973)</f>
        <v>#N/A</v>
      </c>
      <c r="T233" t="e" cm="1">
        <f t="array" ref="T233">INDEX('GMW - Baseline'!$A$2:$MC$200,MATCH(1,('GMW - Baseline'!$MC$2:$MC$200=T$3)*('GMW - Baseline'!$MB$2:$MB$200=T$4),0),$E233-1973)</f>
        <v>#N/A</v>
      </c>
    </row>
    <row r="234" spans="1:20" x14ac:dyDescent="0.25">
      <c r="B234">
        <f t="shared" si="18"/>
        <v>2036</v>
      </c>
      <c r="C234">
        <f t="shared" si="18"/>
        <v>2036</v>
      </c>
      <c r="E234">
        <f t="shared" si="16"/>
        <v>2207</v>
      </c>
      <c r="F234" t="str" cm="1">
        <f t="array" ref="F234">INDEX('GMW - Baseline'!$A$2:$MC$200,MATCH(1,('GMW - Baseline'!$MC$2:$MC$200=F$3)*('GMW - Baseline'!$MB$2:$MB$200=F$4),0),$E234-1973)</f>
        <v>NA</v>
      </c>
      <c r="G234" t="str" cm="1">
        <f t="array" ref="G234">INDEX('GMW - Baseline'!$A$2:$MC$200,MATCH(1,('GMW - Baseline'!$MC$2:$MC$200=G$3)*('GMW - Baseline'!$MB$2:$MB$200=G$4),0),$E234-1973)</f>
        <v>NA</v>
      </c>
      <c r="H234" t="str" cm="1">
        <f t="array" ref="H234">INDEX('GMW - Baseline'!$A$2:$MC$200,MATCH(1,('GMW - Baseline'!$MC$2:$MC$200=H$3)*('GMW - Baseline'!$MB$2:$MB$200=H$4),0),$E234-1973)</f>
        <v>NA</v>
      </c>
      <c r="I234" t="str" cm="1">
        <f t="array" ref="I234">INDEX('GMW - Baseline'!$A$2:$MC$200,MATCH(1,('GMW - Baseline'!$MC$2:$MC$200=I$3)*('GMW - Baseline'!$MB$2:$MB$200=I$4),0),$E234-1973)</f>
        <v>NA</v>
      </c>
      <c r="J234" t="e" cm="1">
        <f t="array" ref="J234">INDEX('GMW - Baseline'!$A$2:$MC$200,MATCH(1,('GMW - Baseline'!$MC$2:$MC$200=J$3)*('GMW - Baseline'!$MB$2:$MB$200=J$4),0),$E234-1973)</f>
        <v>#N/A</v>
      </c>
      <c r="K234" t="e" cm="1">
        <f t="array" ref="K234">INDEX('GMW - Baseline'!$A$2:$MC$200,MATCH(1,('GMW - Baseline'!$MC$2:$MC$200=K$3)*('GMW - Baseline'!$MB$2:$MB$200=K$4),0),$E234-1973)</f>
        <v>#N/A</v>
      </c>
      <c r="L234" t="e" cm="1">
        <f t="array" ref="L234">INDEX('GMW - Baseline'!$A$2:$MC$200,MATCH(1,('GMW - Baseline'!$MC$2:$MC$200=L$3)*('GMW - Baseline'!$MB$2:$MB$200=L$4),0),$E234-1973)</f>
        <v>#N/A</v>
      </c>
      <c r="M234" t="e" cm="1">
        <f t="array" ref="M234">INDEX('GMW - Baseline'!$A$2:$MC$200,MATCH(1,('GMW - Baseline'!$MC$2:$MC$200=M$3)*('GMW - Baseline'!$MB$2:$MB$200=M$4),0),$E234-1973)</f>
        <v>#N/A</v>
      </c>
      <c r="N234" t="e" cm="1">
        <f t="array" ref="N234">INDEX('GMW - Baseline'!$A$2:$MC$200,MATCH(1,('GMW - Baseline'!$MC$2:$MC$200=N$3)*('GMW - Baseline'!$MB$2:$MB$200=N$4),0),$E234-1973)</f>
        <v>#N/A</v>
      </c>
      <c r="O234" t="e" cm="1">
        <f t="array" ref="O234">INDEX('GMW - Baseline'!$A$2:$MC$200,MATCH(1,('GMW - Baseline'!$MC$2:$MC$200=O$3)*('GMW - Baseline'!$MB$2:$MB$200=O$4),0),$E234-1973)</f>
        <v>#N/A</v>
      </c>
      <c r="P234" t="e" cm="1">
        <f t="array" ref="P234">INDEX('GMW - Baseline'!$A$2:$MC$200,MATCH(1,('GMW - Baseline'!$MC$2:$MC$200=P$3)*('GMW - Baseline'!$MB$2:$MB$200=P$4),0),$E234-1973)</f>
        <v>#N/A</v>
      </c>
      <c r="Q234" t="e" cm="1">
        <f t="array" ref="Q234">INDEX('GMW - Baseline'!$A$2:$MC$200,MATCH(1,('GMW - Baseline'!$MC$2:$MC$200=Q$3)*('GMW - Baseline'!$MB$2:$MB$200=Q$4),0),$E234-1973)</f>
        <v>#N/A</v>
      </c>
      <c r="R234" t="e" cm="1">
        <f t="array" ref="R234">INDEX('GMW - Baseline'!$A$2:$MC$200,MATCH(1,('GMW - Baseline'!$MC$2:$MC$200=R$3)*('GMW - Baseline'!$MB$2:$MB$200=R$4),0),$E234-1973)</f>
        <v>#N/A</v>
      </c>
      <c r="S234" t="e" cm="1">
        <f t="array" ref="S234">INDEX('GMW - Baseline'!$A$2:$MC$200,MATCH(1,('GMW - Baseline'!$MC$2:$MC$200=S$3)*('GMW - Baseline'!$MB$2:$MB$200=S$4),0),$E234-1973)</f>
        <v>#N/A</v>
      </c>
      <c r="T234" t="e" cm="1">
        <f t="array" ref="T234">INDEX('GMW - Baseline'!$A$2:$MC$200,MATCH(1,('GMW - Baseline'!$MC$2:$MC$200=T$3)*('GMW - Baseline'!$MB$2:$MB$200=T$4),0),$E234-1973)</f>
        <v>#N/A</v>
      </c>
    </row>
    <row r="235" spans="1:20" x14ac:dyDescent="0.25">
      <c r="A235">
        <v>2037</v>
      </c>
      <c r="B235">
        <f t="shared" si="18"/>
        <v>2037</v>
      </c>
      <c r="C235">
        <f t="shared" si="18"/>
        <v>2036</v>
      </c>
      <c r="D235">
        <f t="shared" si="18"/>
        <v>2036</v>
      </c>
      <c r="E235">
        <f t="shared" si="16"/>
        <v>2208</v>
      </c>
      <c r="F235" t="str" cm="1">
        <f t="array" ref="F235">INDEX('GMW - Baseline'!$A$2:$MC$200,MATCH(1,('GMW - Baseline'!$MC$2:$MC$200=F$3)*('GMW - Baseline'!$MB$2:$MB$200=F$4),0),$E235-1973)</f>
        <v>NA</v>
      </c>
      <c r="G235" t="str" cm="1">
        <f t="array" ref="G235">INDEX('GMW - Baseline'!$A$2:$MC$200,MATCH(1,('GMW - Baseline'!$MC$2:$MC$200=G$3)*('GMW - Baseline'!$MB$2:$MB$200=G$4),0),$E235-1973)</f>
        <v>NA</v>
      </c>
      <c r="H235" t="str" cm="1">
        <f t="array" ref="H235">INDEX('GMW - Baseline'!$A$2:$MC$200,MATCH(1,('GMW - Baseline'!$MC$2:$MC$200=H$3)*('GMW - Baseline'!$MB$2:$MB$200=H$4),0),$E235-1973)</f>
        <v>NA</v>
      </c>
      <c r="I235" t="str" cm="1">
        <f t="array" ref="I235">INDEX('GMW - Baseline'!$A$2:$MC$200,MATCH(1,('GMW - Baseline'!$MC$2:$MC$200=I$3)*('GMW - Baseline'!$MB$2:$MB$200=I$4),0),$E235-1973)</f>
        <v>NA</v>
      </c>
      <c r="J235" t="e" cm="1">
        <f t="array" ref="J235">INDEX('GMW - Baseline'!$A$2:$MC$200,MATCH(1,('GMW - Baseline'!$MC$2:$MC$200=J$3)*('GMW - Baseline'!$MB$2:$MB$200=J$4),0),$E235-1973)</f>
        <v>#N/A</v>
      </c>
      <c r="K235" t="e" cm="1">
        <f t="array" ref="K235">INDEX('GMW - Baseline'!$A$2:$MC$200,MATCH(1,('GMW - Baseline'!$MC$2:$MC$200=K$3)*('GMW - Baseline'!$MB$2:$MB$200=K$4),0),$E235-1973)</f>
        <v>#N/A</v>
      </c>
      <c r="L235" t="e" cm="1">
        <f t="array" ref="L235">INDEX('GMW - Baseline'!$A$2:$MC$200,MATCH(1,('GMW - Baseline'!$MC$2:$MC$200=L$3)*('GMW - Baseline'!$MB$2:$MB$200=L$4),0),$E235-1973)</f>
        <v>#N/A</v>
      </c>
      <c r="M235" t="e" cm="1">
        <f t="array" ref="M235">INDEX('GMW - Baseline'!$A$2:$MC$200,MATCH(1,('GMW - Baseline'!$MC$2:$MC$200=M$3)*('GMW - Baseline'!$MB$2:$MB$200=M$4),0),$E235-1973)</f>
        <v>#N/A</v>
      </c>
      <c r="N235" t="e" cm="1">
        <f t="array" ref="N235">INDEX('GMW - Baseline'!$A$2:$MC$200,MATCH(1,('GMW - Baseline'!$MC$2:$MC$200=N$3)*('GMW - Baseline'!$MB$2:$MB$200=N$4),0),$E235-1973)</f>
        <v>#N/A</v>
      </c>
      <c r="O235" t="e" cm="1">
        <f t="array" ref="O235">INDEX('GMW - Baseline'!$A$2:$MC$200,MATCH(1,('GMW - Baseline'!$MC$2:$MC$200=O$3)*('GMW - Baseline'!$MB$2:$MB$200=O$4),0),$E235-1973)</f>
        <v>#N/A</v>
      </c>
      <c r="P235" t="e" cm="1">
        <f t="array" ref="P235">INDEX('GMW - Baseline'!$A$2:$MC$200,MATCH(1,('GMW - Baseline'!$MC$2:$MC$200=P$3)*('GMW - Baseline'!$MB$2:$MB$200=P$4),0),$E235-1973)</f>
        <v>#N/A</v>
      </c>
      <c r="Q235" t="e" cm="1">
        <f t="array" ref="Q235">INDEX('GMW - Baseline'!$A$2:$MC$200,MATCH(1,('GMW - Baseline'!$MC$2:$MC$200=Q$3)*('GMW - Baseline'!$MB$2:$MB$200=Q$4),0),$E235-1973)</f>
        <v>#N/A</v>
      </c>
      <c r="R235" t="e" cm="1">
        <f t="array" ref="R235">INDEX('GMW - Baseline'!$A$2:$MC$200,MATCH(1,('GMW - Baseline'!$MC$2:$MC$200=R$3)*('GMW - Baseline'!$MB$2:$MB$200=R$4),0),$E235-1973)</f>
        <v>#N/A</v>
      </c>
      <c r="S235" t="e" cm="1">
        <f t="array" ref="S235">INDEX('GMW - Baseline'!$A$2:$MC$200,MATCH(1,('GMW - Baseline'!$MC$2:$MC$200=S$3)*('GMW - Baseline'!$MB$2:$MB$200=S$4),0),$E235-1973)</f>
        <v>#N/A</v>
      </c>
      <c r="T235" t="e" cm="1">
        <f t="array" ref="T235">INDEX('GMW - Baseline'!$A$2:$MC$200,MATCH(1,('GMW - Baseline'!$MC$2:$MC$200=T$3)*('GMW - Baseline'!$MB$2:$MB$200=T$4),0),$E235-1973)</f>
        <v>#N/A</v>
      </c>
    </row>
    <row r="236" spans="1:20" x14ac:dyDescent="0.25">
      <c r="B236">
        <f t="shared" ref="B236:D251" si="19">+B232+1</f>
        <v>2037</v>
      </c>
      <c r="C236">
        <f t="shared" si="19"/>
        <v>2037</v>
      </c>
      <c r="E236">
        <f t="shared" si="16"/>
        <v>2209</v>
      </c>
      <c r="F236" t="str" cm="1">
        <f t="array" ref="F236">INDEX('GMW - Baseline'!$A$2:$MC$200,MATCH(1,('GMW - Baseline'!$MC$2:$MC$200=F$3)*('GMW - Baseline'!$MB$2:$MB$200=F$4),0),$E236-1973)</f>
        <v>NA</v>
      </c>
      <c r="G236" t="str" cm="1">
        <f t="array" ref="G236">INDEX('GMW - Baseline'!$A$2:$MC$200,MATCH(1,('GMW - Baseline'!$MC$2:$MC$200=G$3)*('GMW - Baseline'!$MB$2:$MB$200=G$4),0),$E236-1973)</f>
        <v>NA</v>
      </c>
      <c r="H236" t="str" cm="1">
        <f t="array" ref="H236">INDEX('GMW - Baseline'!$A$2:$MC$200,MATCH(1,('GMW - Baseline'!$MC$2:$MC$200=H$3)*('GMW - Baseline'!$MB$2:$MB$200=H$4),0),$E236-1973)</f>
        <v>NA</v>
      </c>
      <c r="I236" t="str" cm="1">
        <f t="array" ref="I236">INDEX('GMW - Baseline'!$A$2:$MC$200,MATCH(1,('GMW - Baseline'!$MC$2:$MC$200=I$3)*('GMW - Baseline'!$MB$2:$MB$200=I$4),0),$E236-1973)</f>
        <v>NA</v>
      </c>
      <c r="J236" t="e" cm="1">
        <f t="array" ref="J236">INDEX('GMW - Baseline'!$A$2:$MC$200,MATCH(1,('GMW - Baseline'!$MC$2:$MC$200=J$3)*('GMW - Baseline'!$MB$2:$MB$200=J$4),0),$E236-1973)</f>
        <v>#N/A</v>
      </c>
      <c r="K236" t="e" cm="1">
        <f t="array" ref="K236">INDEX('GMW - Baseline'!$A$2:$MC$200,MATCH(1,('GMW - Baseline'!$MC$2:$MC$200=K$3)*('GMW - Baseline'!$MB$2:$MB$200=K$4),0),$E236-1973)</f>
        <v>#N/A</v>
      </c>
      <c r="L236" t="e" cm="1">
        <f t="array" ref="L236">INDEX('GMW - Baseline'!$A$2:$MC$200,MATCH(1,('GMW - Baseline'!$MC$2:$MC$200=L$3)*('GMW - Baseline'!$MB$2:$MB$200=L$4),0),$E236-1973)</f>
        <v>#N/A</v>
      </c>
      <c r="M236" t="e" cm="1">
        <f t="array" ref="M236">INDEX('GMW - Baseline'!$A$2:$MC$200,MATCH(1,('GMW - Baseline'!$MC$2:$MC$200=M$3)*('GMW - Baseline'!$MB$2:$MB$200=M$4),0),$E236-1973)</f>
        <v>#N/A</v>
      </c>
      <c r="N236" t="e" cm="1">
        <f t="array" ref="N236">INDEX('GMW - Baseline'!$A$2:$MC$200,MATCH(1,('GMW - Baseline'!$MC$2:$MC$200=N$3)*('GMW - Baseline'!$MB$2:$MB$200=N$4),0),$E236-1973)</f>
        <v>#N/A</v>
      </c>
      <c r="O236" t="e" cm="1">
        <f t="array" ref="O236">INDEX('GMW - Baseline'!$A$2:$MC$200,MATCH(1,('GMW - Baseline'!$MC$2:$MC$200=O$3)*('GMW - Baseline'!$MB$2:$MB$200=O$4),0),$E236-1973)</f>
        <v>#N/A</v>
      </c>
      <c r="P236" t="e" cm="1">
        <f t="array" ref="P236">INDEX('GMW - Baseline'!$A$2:$MC$200,MATCH(1,('GMW - Baseline'!$MC$2:$MC$200=P$3)*('GMW - Baseline'!$MB$2:$MB$200=P$4),0),$E236-1973)</f>
        <v>#N/A</v>
      </c>
      <c r="Q236" t="e" cm="1">
        <f t="array" ref="Q236">INDEX('GMW - Baseline'!$A$2:$MC$200,MATCH(1,('GMW - Baseline'!$MC$2:$MC$200=Q$3)*('GMW - Baseline'!$MB$2:$MB$200=Q$4),0),$E236-1973)</f>
        <v>#N/A</v>
      </c>
      <c r="R236" t="e" cm="1">
        <f t="array" ref="R236">INDEX('GMW - Baseline'!$A$2:$MC$200,MATCH(1,('GMW - Baseline'!$MC$2:$MC$200=R$3)*('GMW - Baseline'!$MB$2:$MB$200=R$4),0),$E236-1973)</f>
        <v>#N/A</v>
      </c>
      <c r="S236" t="e" cm="1">
        <f t="array" ref="S236">INDEX('GMW - Baseline'!$A$2:$MC$200,MATCH(1,('GMW - Baseline'!$MC$2:$MC$200=S$3)*('GMW - Baseline'!$MB$2:$MB$200=S$4),0),$E236-1973)</f>
        <v>#N/A</v>
      </c>
      <c r="T236" t="e" cm="1">
        <f t="array" ref="T236">INDEX('GMW - Baseline'!$A$2:$MC$200,MATCH(1,('GMW - Baseline'!$MC$2:$MC$200=T$3)*('GMW - Baseline'!$MB$2:$MB$200=T$4),0),$E236-1973)</f>
        <v>#N/A</v>
      </c>
    </row>
    <row r="237" spans="1:20" x14ac:dyDescent="0.25">
      <c r="B237">
        <f t="shared" si="19"/>
        <v>2037</v>
      </c>
      <c r="C237">
        <f t="shared" si="19"/>
        <v>2037</v>
      </c>
      <c r="E237">
        <f t="shared" si="16"/>
        <v>2210</v>
      </c>
      <c r="F237" t="str" cm="1">
        <f t="array" ref="F237">INDEX('GMW - Baseline'!$A$2:$MC$200,MATCH(1,('GMW - Baseline'!$MC$2:$MC$200=F$3)*('GMW - Baseline'!$MB$2:$MB$200=F$4),0),$E237-1973)</f>
        <v>NA</v>
      </c>
      <c r="G237" t="str" cm="1">
        <f t="array" ref="G237">INDEX('GMW - Baseline'!$A$2:$MC$200,MATCH(1,('GMW - Baseline'!$MC$2:$MC$200=G$3)*('GMW - Baseline'!$MB$2:$MB$200=G$4),0),$E237-1973)</f>
        <v>NA</v>
      </c>
      <c r="H237" t="str" cm="1">
        <f t="array" ref="H237">INDEX('GMW - Baseline'!$A$2:$MC$200,MATCH(1,('GMW - Baseline'!$MC$2:$MC$200=H$3)*('GMW - Baseline'!$MB$2:$MB$200=H$4),0),$E237-1973)</f>
        <v>NA</v>
      </c>
      <c r="I237" t="str" cm="1">
        <f t="array" ref="I237">INDEX('GMW - Baseline'!$A$2:$MC$200,MATCH(1,('GMW - Baseline'!$MC$2:$MC$200=I$3)*('GMW - Baseline'!$MB$2:$MB$200=I$4),0),$E237-1973)</f>
        <v>NA</v>
      </c>
      <c r="J237" t="e" cm="1">
        <f t="array" ref="J237">INDEX('GMW - Baseline'!$A$2:$MC$200,MATCH(1,('GMW - Baseline'!$MC$2:$MC$200=J$3)*('GMW - Baseline'!$MB$2:$MB$200=J$4),0),$E237-1973)</f>
        <v>#N/A</v>
      </c>
      <c r="K237" t="e" cm="1">
        <f t="array" ref="K237">INDEX('GMW - Baseline'!$A$2:$MC$200,MATCH(1,('GMW - Baseline'!$MC$2:$MC$200=K$3)*('GMW - Baseline'!$MB$2:$MB$200=K$4),0),$E237-1973)</f>
        <v>#N/A</v>
      </c>
      <c r="L237" t="e" cm="1">
        <f t="array" ref="L237">INDEX('GMW - Baseline'!$A$2:$MC$200,MATCH(1,('GMW - Baseline'!$MC$2:$MC$200=L$3)*('GMW - Baseline'!$MB$2:$MB$200=L$4),0),$E237-1973)</f>
        <v>#N/A</v>
      </c>
      <c r="M237" t="e" cm="1">
        <f t="array" ref="M237">INDEX('GMW - Baseline'!$A$2:$MC$200,MATCH(1,('GMW - Baseline'!$MC$2:$MC$200=M$3)*('GMW - Baseline'!$MB$2:$MB$200=M$4),0),$E237-1973)</f>
        <v>#N/A</v>
      </c>
      <c r="N237" t="e" cm="1">
        <f t="array" ref="N237">INDEX('GMW - Baseline'!$A$2:$MC$200,MATCH(1,('GMW - Baseline'!$MC$2:$MC$200=N$3)*('GMW - Baseline'!$MB$2:$MB$200=N$4),0),$E237-1973)</f>
        <v>#N/A</v>
      </c>
      <c r="O237" t="e" cm="1">
        <f t="array" ref="O237">INDEX('GMW - Baseline'!$A$2:$MC$200,MATCH(1,('GMW - Baseline'!$MC$2:$MC$200=O$3)*('GMW - Baseline'!$MB$2:$MB$200=O$4),0),$E237-1973)</f>
        <v>#N/A</v>
      </c>
      <c r="P237" t="e" cm="1">
        <f t="array" ref="P237">INDEX('GMW - Baseline'!$A$2:$MC$200,MATCH(1,('GMW - Baseline'!$MC$2:$MC$200=P$3)*('GMW - Baseline'!$MB$2:$MB$200=P$4),0),$E237-1973)</f>
        <v>#N/A</v>
      </c>
      <c r="Q237" t="e" cm="1">
        <f t="array" ref="Q237">INDEX('GMW - Baseline'!$A$2:$MC$200,MATCH(1,('GMW - Baseline'!$MC$2:$MC$200=Q$3)*('GMW - Baseline'!$MB$2:$MB$200=Q$4),0),$E237-1973)</f>
        <v>#N/A</v>
      </c>
      <c r="R237" t="e" cm="1">
        <f t="array" ref="R237">INDEX('GMW - Baseline'!$A$2:$MC$200,MATCH(1,('GMW - Baseline'!$MC$2:$MC$200=R$3)*('GMW - Baseline'!$MB$2:$MB$200=R$4),0),$E237-1973)</f>
        <v>#N/A</v>
      </c>
      <c r="S237" t="e" cm="1">
        <f t="array" ref="S237">INDEX('GMW - Baseline'!$A$2:$MC$200,MATCH(1,('GMW - Baseline'!$MC$2:$MC$200=S$3)*('GMW - Baseline'!$MB$2:$MB$200=S$4),0),$E237-1973)</f>
        <v>#N/A</v>
      </c>
      <c r="T237" t="e" cm="1">
        <f t="array" ref="T237">INDEX('GMW - Baseline'!$A$2:$MC$200,MATCH(1,('GMW - Baseline'!$MC$2:$MC$200=T$3)*('GMW - Baseline'!$MB$2:$MB$200=T$4),0),$E237-1973)</f>
        <v>#N/A</v>
      </c>
    </row>
    <row r="238" spans="1:20" x14ac:dyDescent="0.25">
      <c r="B238">
        <f t="shared" si="19"/>
        <v>2037</v>
      </c>
      <c r="C238">
        <f t="shared" si="19"/>
        <v>2037</v>
      </c>
      <c r="E238">
        <f t="shared" si="16"/>
        <v>2211</v>
      </c>
      <c r="F238" t="str" cm="1">
        <f t="array" ref="F238">INDEX('GMW - Baseline'!$A$2:$MC$200,MATCH(1,('GMW - Baseline'!$MC$2:$MC$200=F$3)*('GMW - Baseline'!$MB$2:$MB$200=F$4),0),$E238-1973)</f>
        <v>NA</v>
      </c>
      <c r="G238" t="str" cm="1">
        <f t="array" ref="G238">INDEX('GMW - Baseline'!$A$2:$MC$200,MATCH(1,('GMW - Baseline'!$MC$2:$MC$200=G$3)*('GMW - Baseline'!$MB$2:$MB$200=G$4),0),$E238-1973)</f>
        <v>NA</v>
      </c>
      <c r="H238" t="str" cm="1">
        <f t="array" ref="H238">INDEX('GMW - Baseline'!$A$2:$MC$200,MATCH(1,('GMW - Baseline'!$MC$2:$MC$200=H$3)*('GMW - Baseline'!$MB$2:$MB$200=H$4),0),$E238-1973)</f>
        <v>NA</v>
      </c>
      <c r="I238" t="str" cm="1">
        <f t="array" ref="I238">INDEX('GMW - Baseline'!$A$2:$MC$200,MATCH(1,('GMW - Baseline'!$MC$2:$MC$200=I$3)*('GMW - Baseline'!$MB$2:$MB$200=I$4),0),$E238-1973)</f>
        <v>NA</v>
      </c>
      <c r="J238" t="e" cm="1">
        <f t="array" ref="J238">INDEX('GMW - Baseline'!$A$2:$MC$200,MATCH(1,('GMW - Baseline'!$MC$2:$MC$200=J$3)*('GMW - Baseline'!$MB$2:$MB$200=J$4),0),$E238-1973)</f>
        <v>#N/A</v>
      </c>
      <c r="K238" t="e" cm="1">
        <f t="array" ref="K238">INDEX('GMW - Baseline'!$A$2:$MC$200,MATCH(1,('GMW - Baseline'!$MC$2:$MC$200=K$3)*('GMW - Baseline'!$MB$2:$MB$200=K$4),0),$E238-1973)</f>
        <v>#N/A</v>
      </c>
      <c r="L238" t="e" cm="1">
        <f t="array" ref="L238">INDEX('GMW - Baseline'!$A$2:$MC$200,MATCH(1,('GMW - Baseline'!$MC$2:$MC$200=L$3)*('GMW - Baseline'!$MB$2:$MB$200=L$4),0),$E238-1973)</f>
        <v>#N/A</v>
      </c>
      <c r="M238" t="e" cm="1">
        <f t="array" ref="M238">INDEX('GMW - Baseline'!$A$2:$MC$200,MATCH(1,('GMW - Baseline'!$MC$2:$MC$200=M$3)*('GMW - Baseline'!$MB$2:$MB$200=M$4),0),$E238-1973)</f>
        <v>#N/A</v>
      </c>
      <c r="N238" t="e" cm="1">
        <f t="array" ref="N238">INDEX('GMW - Baseline'!$A$2:$MC$200,MATCH(1,('GMW - Baseline'!$MC$2:$MC$200=N$3)*('GMW - Baseline'!$MB$2:$MB$200=N$4),0),$E238-1973)</f>
        <v>#N/A</v>
      </c>
      <c r="O238" t="e" cm="1">
        <f t="array" ref="O238">INDEX('GMW - Baseline'!$A$2:$MC$200,MATCH(1,('GMW - Baseline'!$MC$2:$MC$200=O$3)*('GMW - Baseline'!$MB$2:$MB$200=O$4),0),$E238-1973)</f>
        <v>#N/A</v>
      </c>
      <c r="P238" t="e" cm="1">
        <f t="array" ref="P238">INDEX('GMW - Baseline'!$A$2:$MC$200,MATCH(1,('GMW - Baseline'!$MC$2:$MC$200=P$3)*('GMW - Baseline'!$MB$2:$MB$200=P$4),0),$E238-1973)</f>
        <v>#N/A</v>
      </c>
      <c r="Q238" t="e" cm="1">
        <f t="array" ref="Q238">INDEX('GMW - Baseline'!$A$2:$MC$200,MATCH(1,('GMW - Baseline'!$MC$2:$MC$200=Q$3)*('GMW - Baseline'!$MB$2:$MB$200=Q$4),0),$E238-1973)</f>
        <v>#N/A</v>
      </c>
      <c r="R238" t="e" cm="1">
        <f t="array" ref="R238">INDEX('GMW - Baseline'!$A$2:$MC$200,MATCH(1,('GMW - Baseline'!$MC$2:$MC$200=R$3)*('GMW - Baseline'!$MB$2:$MB$200=R$4),0),$E238-1973)</f>
        <v>#N/A</v>
      </c>
      <c r="S238" t="e" cm="1">
        <f t="array" ref="S238">INDEX('GMW - Baseline'!$A$2:$MC$200,MATCH(1,('GMW - Baseline'!$MC$2:$MC$200=S$3)*('GMW - Baseline'!$MB$2:$MB$200=S$4),0),$E238-1973)</f>
        <v>#N/A</v>
      </c>
      <c r="T238" t="e" cm="1">
        <f t="array" ref="T238">INDEX('GMW - Baseline'!$A$2:$MC$200,MATCH(1,('GMW - Baseline'!$MC$2:$MC$200=T$3)*('GMW - Baseline'!$MB$2:$MB$200=T$4),0),$E238-1973)</f>
        <v>#N/A</v>
      </c>
    </row>
    <row r="239" spans="1:20" x14ac:dyDescent="0.25">
      <c r="A239">
        <v>2038</v>
      </c>
      <c r="B239">
        <f t="shared" si="19"/>
        <v>2038</v>
      </c>
      <c r="C239">
        <f t="shared" si="19"/>
        <v>2037</v>
      </c>
      <c r="D239">
        <f t="shared" si="19"/>
        <v>2037</v>
      </c>
      <c r="E239">
        <f t="shared" si="16"/>
        <v>2212</v>
      </c>
      <c r="F239" t="str" cm="1">
        <f t="array" ref="F239">INDEX('GMW - Baseline'!$A$2:$MC$200,MATCH(1,('GMW - Baseline'!$MC$2:$MC$200=F$3)*('GMW - Baseline'!$MB$2:$MB$200=F$4),0),$E239-1973)</f>
        <v>NA</v>
      </c>
      <c r="G239" t="str" cm="1">
        <f t="array" ref="G239">INDEX('GMW - Baseline'!$A$2:$MC$200,MATCH(1,('GMW - Baseline'!$MC$2:$MC$200=G$3)*('GMW - Baseline'!$MB$2:$MB$200=G$4),0),$E239-1973)</f>
        <v>NA</v>
      </c>
      <c r="H239" t="str" cm="1">
        <f t="array" ref="H239">INDEX('GMW - Baseline'!$A$2:$MC$200,MATCH(1,('GMW - Baseline'!$MC$2:$MC$200=H$3)*('GMW - Baseline'!$MB$2:$MB$200=H$4),0),$E239-1973)</f>
        <v>NA</v>
      </c>
      <c r="I239" t="str" cm="1">
        <f t="array" ref="I239">INDEX('GMW - Baseline'!$A$2:$MC$200,MATCH(1,('GMW - Baseline'!$MC$2:$MC$200=I$3)*('GMW - Baseline'!$MB$2:$MB$200=I$4),0),$E239-1973)</f>
        <v>NA</v>
      </c>
      <c r="J239" t="e" cm="1">
        <f t="array" ref="J239">INDEX('GMW - Baseline'!$A$2:$MC$200,MATCH(1,('GMW - Baseline'!$MC$2:$MC$200=J$3)*('GMW - Baseline'!$MB$2:$MB$200=J$4),0),$E239-1973)</f>
        <v>#N/A</v>
      </c>
      <c r="K239" t="e" cm="1">
        <f t="array" ref="K239">INDEX('GMW - Baseline'!$A$2:$MC$200,MATCH(1,('GMW - Baseline'!$MC$2:$MC$200=K$3)*('GMW - Baseline'!$MB$2:$MB$200=K$4),0),$E239-1973)</f>
        <v>#N/A</v>
      </c>
      <c r="L239" t="e" cm="1">
        <f t="array" ref="L239">INDEX('GMW - Baseline'!$A$2:$MC$200,MATCH(1,('GMW - Baseline'!$MC$2:$MC$200=L$3)*('GMW - Baseline'!$MB$2:$MB$200=L$4),0),$E239-1973)</f>
        <v>#N/A</v>
      </c>
      <c r="M239" t="e" cm="1">
        <f t="array" ref="M239">INDEX('GMW - Baseline'!$A$2:$MC$200,MATCH(1,('GMW - Baseline'!$MC$2:$MC$200=M$3)*('GMW - Baseline'!$MB$2:$MB$200=M$4),0),$E239-1973)</f>
        <v>#N/A</v>
      </c>
      <c r="N239" t="e" cm="1">
        <f t="array" ref="N239">INDEX('GMW - Baseline'!$A$2:$MC$200,MATCH(1,('GMW - Baseline'!$MC$2:$MC$200=N$3)*('GMW - Baseline'!$MB$2:$MB$200=N$4),0),$E239-1973)</f>
        <v>#N/A</v>
      </c>
      <c r="O239" t="e" cm="1">
        <f t="array" ref="O239">INDEX('GMW - Baseline'!$A$2:$MC$200,MATCH(1,('GMW - Baseline'!$MC$2:$MC$200=O$3)*('GMW - Baseline'!$MB$2:$MB$200=O$4),0),$E239-1973)</f>
        <v>#N/A</v>
      </c>
      <c r="P239" t="e" cm="1">
        <f t="array" ref="P239">INDEX('GMW - Baseline'!$A$2:$MC$200,MATCH(1,('GMW - Baseline'!$MC$2:$MC$200=P$3)*('GMW - Baseline'!$MB$2:$MB$200=P$4),0),$E239-1973)</f>
        <v>#N/A</v>
      </c>
      <c r="Q239" t="e" cm="1">
        <f t="array" ref="Q239">INDEX('GMW - Baseline'!$A$2:$MC$200,MATCH(1,('GMW - Baseline'!$MC$2:$MC$200=Q$3)*('GMW - Baseline'!$MB$2:$MB$200=Q$4),0),$E239-1973)</f>
        <v>#N/A</v>
      </c>
      <c r="R239" t="e" cm="1">
        <f t="array" ref="R239">INDEX('GMW - Baseline'!$A$2:$MC$200,MATCH(1,('GMW - Baseline'!$MC$2:$MC$200=R$3)*('GMW - Baseline'!$MB$2:$MB$200=R$4),0),$E239-1973)</f>
        <v>#N/A</v>
      </c>
      <c r="S239" t="e" cm="1">
        <f t="array" ref="S239">INDEX('GMW - Baseline'!$A$2:$MC$200,MATCH(1,('GMW - Baseline'!$MC$2:$MC$200=S$3)*('GMW - Baseline'!$MB$2:$MB$200=S$4),0),$E239-1973)</f>
        <v>#N/A</v>
      </c>
      <c r="T239" t="e" cm="1">
        <f t="array" ref="T239">INDEX('GMW - Baseline'!$A$2:$MC$200,MATCH(1,('GMW - Baseline'!$MC$2:$MC$200=T$3)*('GMW - Baseline'!$MB$2:$MB$200=T$4),0),$E239-1973)</f>
        <v>#N/A</v>
      </c>
    </row>
    <row r="240" spans="1:20" x14ac:dyDescent="0.25">
      <c r="B240">
        <f t="shared" si="19"/>
        <v>2038</v>
      </c>
      <c r="C240">
        <f t="shared" si="19"/>
        <v>2038</v>
      </c>
      <c r="E240">
        <f t="shared" si="16"/>
        <v>2213</v>
      </c>
      <c r="F240" t="str" cm="1">
        <f t="array" ref="F240">INDEX('GMW - Baseline'!$A$2:$MC$200,MATCH(1,('GMW - Baseline'!$MC$2:$MC$200=F$3)*('GMW - Baseline'!$MB$2:$MB$200=F$4),0),$E240-1973)</f>
        <v>NA</v>
      </c>
      <c r="G240" t="str" cm="1">
        <f t="array" ref="G240">INDEX('GMW - Baseline'!$A$2:$MC$200,MATCH(1,('GMW - Baseline'!$MC$2:$MC$200=G$3)*('GMW - Baseline'!$MB$2:$MB$200=G$4),0),$E240-1973)</f>
        <v>NA</v>
      </c>
      <c r="H240" t="str" cm="1">
        <f t="array" ref="H240">INDEX('GMW - Baseline'!$A$2:$MC$200,MATCH(1,('GMW - Baseline'!$MC$2:$MC$200=H$3)*('GMW - Baseline'!$MB$2:$MB$200=H$4),0),$E240-1973)</f>
        <v>NA</v>
      </c>
      <c r="I240" t="str" cm="1">
        <f t="array" ref="I240">INDEX('GMW - Baseline'!$A$2:$MC$200,MATCH(1,('GMW - Baseline'!$MC$2:$MC$200=I$3)*('GMW - Baseline'!$MB$2:$MB$200=I$4),0),$E240-1973)</f>
        <v>NA</v>
      </c>
      <c r="J240" t="e" cm="1">
        <f t="array" ref="J240">INDEX('GMW - Baseline'!$A$2:$MC$200,MATCH(1,('GMW - Baseline'!$MC$2:$MC$200=J$3)*('GMW - Baseline'!$MB$2:$MB$200=J$4),0),$E240-1973)</f>
        <v>#N/A</v>
      </c>
      <c r="K240" t="e" cm="1">
        <f t="array" ref="K240">INDEX('GMW - Baseline'!$A$2:$MC$200,MATCH(1,('GMW - Baseline'!$MC$2:$MC$200=K$3)*('GMW - Baseline'!$MB$2:$MB$200=K$4),0),$E240-1973)</f>
        <v>#N/A</v>
      </c>
      <c r="L240" t="e" cm="1">
        <f t="array" ref="L240">INDEX('GMW - Baseline'!$A$2:$MC$200,MATCH(1,('GMW - Baseline'!$MC$2:$MC$200=L$3)*('GMW - Baseline'!$MB$2:$MB$200=L$4),0),$E240-1973)</f>
        <v>#N/A</v>
      </c>
      <c r="M240" t="e" cm="1">
        <f t="array" ref="M240">INDEX('GMW - Baseline'!$A$2:$MC$200,MATCH(1,('GMW - Baseline'!$MC$2:$MC$200=M$3)*('GMW - Baseline'!$MB$2:$MB$200=M$4),0),$E240-1973)</f>
        <v>#N/A</v>
      </c>
      <c r="N240" t="e" cm="1">
        <f t="array" ref="N240">INDEX('GMW - Baseline'!$A$2:$MC$200,MATCH(1,('GMW - Baseline'!$MC$2:$MC$200=N$3)*('GMW - Baseline'!$MB$2:$MB$200=N$4),0),$E240-1973)</f>
        <v>#N/A</v>
      </c>
      <c r="O240" t="e" cm="1">
        <f t="array" ref="O240">INDEX('GMW - Baseline'!$A$2:$MC$200,MATCH(1,('GMW - Baseline'!$MC$2:$MC$200=O$3)*('GMW - Baseline'!$MB$2:$MB$200=O$4),0),$E240-1973)</f>
        <v>#N/A</v>
      </c>
      <c r="P240" t="e" cm="1">
        <f t="array" ref="P240">INDEX('GMW - Baseline'!$A$2:$MC$200,MATCH(1,('GMW - Baseline'!$MC$2:$MC$200=P$3)*('GMW - Baseline'!$MB$2:$MB$200=P$4),0),$E240-1973)</f>
        <v>#N/A</v>
      </c>
      <c r="Q240" t="e" cm="1">
        <f t="array" ref="Q240">INDEX('GMW - Baseline'!$A$2:$MC$200,MATCH(1,('GMW - Baseline'!$MC$2:$MC$200=Q$3)*('GMW - Baseline'!$MB$2:$MB$200=Q$4),0),$E240-1973)</f>
        <v>#N/A</v>
      </c>
      <c r="R240" t="e" cm="1">
        <f t="array" ref="R240">INDEX('GMW - Baseline'!$A$2:$MC$200,MATCH(1,('GMW - Baseline'!$MC$2:$MC$200=R$3)*('GMW - Baseline'!$MB$2:$MB$200=R$4),0),$E240-1973)</f>
        <v>#N/A</v>
      </c>
      <c r="S240" t="e" cm="1">
        <f t="array" ref="S240">INDEX('GMW - Baseline'!$A$2:$MC$200,MATCH(1,('GMW - Baseline'!$MC$2:$MC$200=S$3)*('GMW - Baseline'!$MB$2:$MB$200=S$4),0),$E240-1973)</f>
        <v>#N/A</v>
      </c>
      <c r="T240" t="e" cm="1">
        <f t="array" ref="T240">INDEX('GMW - Baseline'!$A$2:$MC$200,MATCH(1,('GMW - Baseline'!$MC$2:$MC$200=T$3)*('GMW - Baseline'!$MB$2:$MB$200=T$4),0),$E240-1973)</f>
        <v>#N/A</v>
      </c>
    </row>
    <row r="241" spans="1:20" x14ac:dyDescent="0.25">
      <c r="B241">
        <f t="shared" si="19"/>
        <v>2038</v>
      </c>
      <c r="C241">
        <f t="shared" si="19"/>
        <v>2038</v>
      </c>
      <c r="E241">
        <f t="shared" si="16"/>
        <v>2214</v>
      </c>
      <c r="F241" t="str" cm="1">
        <f t="array" ref="F241">INDEX('GMW - Baseline'!$A$2:$MC$200,MATCH(1,('GMW - Baseline'!$MC$2:$MC$200=F$3)*('GMW - Baseline'!$MB$2:$MB$200=F$4),0),$E241-1973)</f>
        <v>NA</v>
      </c>
      <c r="G241" t="str" cm="1">
        <f t="array" ref="G241">INDEX('GMW - Baseline'!$A$2:$MC$200,MATCH(1,('GMW - Baseline'!$MC$2:$MC$200=G$3)*('GMW - Baseline'!$MB$2:$MB$200=G$4),0),$E241-1973)</f>
        <v>NA</v>
      </c>
      <c r="H241" t="str" cm="1">
        <f t="array" ref="H241">INDEX('GMW - Baseline'!$A$2:$MC$200,MATCH(1,('GMW - Baseline'!$MC$2:$MC$200=H$3)*('GMW - Baseline'!$MB$2:$MB$200=H$4),0),$E241-1973)</f>
        <v>NA</v>
      </c>
      <c r="I241" t="str" cm="1">
        <f t="array" ref="I241">INDEX('GMW - Baseline'!$A$2:$MC$200,MATCH(1,('GMW - Baseline'!$MC$2:$MC$200=I$3)*('GMW - Baseline'!$MB$2:$MB$200=I$4),0),$E241-1973)</f>
        <v>NA</v>
      </c>
      <c r="J241" t="e" cm="1">
        <f t="array" ref="J241">INDEX('GMW - Baseline'!$A$2:$MC$200,MATCH(1,('GMW - Baseline'!$MC$2:$MC$200=J$3)*('GMW - Baseline'!$MB$2:$MB$200=J$4),0),$E241-1973)</f>
        <v>#N/A</v>
      </c>
      <c r="K241" t="e" cm="1">
        <f t="array" ref="K241">INDEX('GMW - Baseline'!$A$2:$MC$200,MATCH(1,('GMW - Baseline'!$MC$2:$MC$200=K$3)*('GMW - Baseline'!$MB$2:$MB$200=K$4),0),$E241-1973)</f>
        <v>#N/A</v>
      </c>
      <c r="L241" t="e" cm="1">
        <f t="array" ref="L241">INDEX('GMW - Baseline'!$A$2:$MC$200,MATCH(1,('GMW - Baseline'!$MC$2:$MC$200=L$3)*('GMW - Baseline'!$MB$2:$MB$200=L$4),0),$E241-1973)</f>
        <v>#N/A</v>
      </c>
      <c r="M241" t="e" cm="1">
        <f t="array" ref="M241">INDEX('GMW - Baseline'!$A$2:$MC$200,MATCH(1,('GMW - Baseline'!$MC$2:$MC$200=M$3)*('GMW - Baseline'!$MB$2:$MB$200=M$4),0),$E241-1973)</f>
        <v>#N/A</v>
      </c>
      <c r="N241" t="e" cm="1">
        <f t="array" ref="N241">INDEX('GMW - Baseline'!$A$2:$MC$200,MATCH(1,('GMW - Baseline'!$MC$2:$MC$200=N$3)*('GMW - Baseline'!$MB$2:$MB$200=N$4),0),$E241-1973)</f>
        <v>#N/A</v>
      </c>
      <c r="O241" t="e" cm="1">
        <f t="array" ref="O241">INDEX('GMW - Baseline'!$A$2:$MC$200,MATCH(1,('GMW - Baseline'!$MC$2:$MC$200=O$3)*('GMW - Baseline'!$MB$2:$MB$200=O$4),0),$E241-1973)</f>
        <v>#N/A</v>
      </c>
      <c r="P241" t="e" cm="1">
        <f t="array" ref="P241">INDEX('GMW - Baseline'!$A$2:$MC$200,MATCH(1,('GMW - Baseline'!$MC$2:$MC$200=P$3)*('GMW - Baseline'!$MB$2:$MB$200=P$4),0),$E241-1973)</f>
        <v>#N/A</v>
      </c>
      <c r="Q241" t="e" cm="1">
        <f t="array" ref="Q241">INDEX('GMW - Baseline'!$A$2:$MC$200,MATCH(1,('GMW - Baseline'!$MC$2:$MC$200=Q$3)*('GMW - Baseline'!$MB$2:$MB$200=Q$4),0),$E241-1973)</f>
        <v>#N/A</v>
      </c>
      <c r="R241" t="e" cm="1">
        <f t="array" ref="R241">INDEX('GMW - Baseline'!$A$2:$MC$200,MATCH(1,('GMW - Baseline'!$MC$2:$MC$200=R$3)*('GMW - Baseline'!$MB$2:$MB$200=R$4),0),$E241-1973)</f>
        <v>#N/A</v>
      </c>
      <c r="S241" t="e" cm="1">
        <f t="array" ref="S241">INDEX('GMW - Baseline'!$A$2:$MC$200,MATCH(1,('GMW - Baseline'!$MC$2:$MC$200=S$3)*('GMW - Baseline'!$MB$2:$MB$200=S$4),0),$E241-1973)</f>
        <v>#N/A</v>
      </c>
      <c r="T241" t="e" cm="1">
        <f t="array" ref="T241">INDEX('GMW - Baseline'!$A$2:$MC$200,MATCH(1,('GMW - Baseline'!$MC$2:$MC$200=T$3)*('GMW - Baseline'!$MB$2:$MB$200=T$4),0),$E241-1973)</f>
        <v>#N/A</v>
      </c>
    </row>
    <row r="242" spans="1:20" x14ac:dyDescent="0.25">
      <c r="B242">
        <f t="shared" si="19"/>
        <v>2038</v>
      </c>
      <c r="C242">
        <f t="shared" si="19"/>
        <v>2038</v>
      </c>
      <c r="E242">
        <f t="shared" si="16"/>
        <v>2215</v>
      </c>
      <c r="F242" t="str" cm="1">
        <f t="array" ref="F242">INDEX('GMW - Baseline'!$A$2:$MC$200,MATCH(1,('GMW - Baseline'!$MC$2:$MC$200=F$3)*('GMW - Baseline'!$MB$2:$MB$200=F$4),0),$E242-1973)</f>
        <v>NA</v>
      </c>
      <c r="G242" t="str" cm="1">
        <f t="array" ref="G242">INDEX('GMW - Baseline'!$A$2:$MC$200,MATCH(1,('GMW - Baseline'!$MC$2:$MC$200=G$3)*('GMW - Baseline'!$MB$2:$MB$200=G$4),0),$E242-1973)</f>
        <v>NA</v>
      </c>
      <c r="H242" t="str" cm="1">
        <f t="array" ref="H242">INDEX('GMW - Baseline'!$A$2:$MC$200,MATCH(1,('GMW - Baseline'!$MC$2:$MC$200=H$3)*('GMW - Baseline'!$MB$2:$MB$200=H$4),0),$E242-1973)</f>
        <v>NA</v>
      </c>
      <c r="I242" t="str" cm="1">
        <f t="array" ref="I242">INDEX('GMW - Baseline'!$A$2:$MC$200,MATCH(1,('GMW - Baseline'!$MC$2:$MC$200=I$3)*('GMW - Baseline'!$MB$2:$MB$200=I$4),0),$E242-1973)</f>
        <v>NA</v>
      </c>
      <c r="J242" t="e" cm="1">
        <f t="array" ref="J242">INDEX('GMW - Baseline'!$A$2:$MC$200,MATCH(1,('GMW - Baseline'!$MC$2:$MC$200=J$3)*('GMW - Baseline'!$MB$2:$MB$200=J$4),0),$E242-1973)</f>
        <v>#N/A</v>
      </c>
      <c r="K242" t="e" cm="1">
        <f t="array" ref="K242">INDEX('GMW - Baseline'!$A$2:$MC$200,MATCH(1,('GMW - Baseline'!$MC$2:$MC$200=K$3)*('GMW - Baseline'!$MB$2:$MB$200=K$4),0),$E242-1973)</f>
        <v>#N/A</v>
      </c>
      <c r="L242" t="e" cm="1">
        <f t="array" ref="L242">INDEX('GMW - Baseline'!$A$2:$MC$200,MATCH(1,('GMW - Baseline'!$MC$2:$MC$200=L$3)*('GMW - Baseline'!$MB$2:$MB$200=L$4),0),$E242-1973)</f>
        <v>#N/A</v>
      </c>
      <c r="M242" t="e" cm="1">
        <f t="array" ref="M242">INDEX('GMW - Baseline'!$A$2:$MC$200,MATCH(1,('GMW - Baseline'!$MC$2:$MC$200=M$3)*('GMW - Baseline'!$MB$2:$MB$200=M$4),0),$E242-1973)</f>
        <v>#N/A</v>
      </c>
      <c r="N242" t="e" cm="1">
        <f t="array" ref="N242">INDEX('GMW - Baseline'!$A$2:$MC$200,MATCH(1,('GMW - Baseline'!$MC$2:$MC$200=N$3)*('GMW - Baseline'!$MB$2:$MB$200=N$4),0),$E242-1973)</f>
        <v>#N/A</v>
      </c>
      <c r="O242" t="e" cm="1">
        <f t="array" ref="O242">INDEX('GMW - Baseline'!$A$2:$MC$200,MATCH(1,('GMW - Baseline'!$MC$2:$MC$200=O$3)*('GMW - Baseline'!$MB$2:$MB$200=O$4),0),$E242-1973)</f>
        <v>#N/A</v>
      </c>
      <c r="P242" t="e" cm="1">
        <f t="array" ref="P242">INDEX('GMW - Baseline'!$A$2:$MC$200,MATCH(1,('GMW - Baseline'!$MC$2:$MC$200=P$3)*('GMW - Baseline'!$MB$2:$MB$200=P$4),0),$E242-1973)</f>
        <v>#N/A</v>
      </c>
      <c r="Q242" t="e" cm="1">
        <f t="array" ref="Q242">INDEX('GMW - Baseline'!$A$2:$MC$200,MATCH(1,('GMW - Baseline'!$MC$2:$MC$200=Q$3)*('GMW - Baseline'!$MB$2:$MB$200=Q$4),0),$E242-1973)</f>
        <v>#N/A</v>
      </c>
      <c r="R242" t="e" cm="1">
        <f t="array" ref="R242">INDEX('GMW - Baseline'!$A$2:$MC$200,MATCH(1,('GMW - Baseline'!$MC$2:$MC$200=R$3)*('GMW - Baseline'!$MB$2:$MB$200=R$4),0),$E242-1973)</f>
        <v>#N/A</v>
      </c>
      <c r="S242" t="e" cm="1">
        <f t="array" ref="S242">INDEX('GMW - Baseline'!$A$2:$MC$200,MATCH(1,('GMW - Baseline'!$MC$2:$MC$200=S$3)*('GMW - Baseline'!$MB$2:$MB$200=S$4),0),$E242-1973)</f>
        <v>#N/A</v>
      </c>
      <c r="T242" t="e" cm="1">
        <f t="array" ref="T242">INDEX('GMW - Baseline'!$A$2:$MC$200,MATCH(1,('GMW - Baseline'!$MC$2:$MC$200=T$3)*('GMW - Baseline'!$MB$2:$MB$200=T$4),0),$E242-1973)</f>
        <v>#N/A</v>
      </c>
    </row>
    <row r="243" spans="1:20" x14ac:dyDescent="0.25">
      <c r="A243">
        <v>2039</v>
      </c>
      <c r="B243">
        <f t="shared" si="19"/>
        <v>2039</v>
      </c>
      <c r="C243">
        <f t="shared" si="19"/>
        <v>2038</v>
      </c>
      <c r="D243">
        <f t="shared" si="19"/>
        <v>2038</v>
      </c>
      <c r="E243">
        <f t="shared" si="16"/>
        <v>2216</v>
      </c>
      <c r="F243" t="str" cm="1">
        <f t="array" ref="F243">INDEX('GMW - Baseline'!$A$2:$MC$200,MATCH(1,('GMW - Baseline'!$MC$2:$MC$200=F$3)*('GMW - Baseline'!$MB$2:$MB$200=F$4),0),$E243-1973)</f>
        <v>NA</v>
      </c>
      <c r="G243" t="str" cm="1">
        <f t="array" ref="G243">INDEX('GMW - Baseline'!$A$2:$MC$200,MATCH(1,('GMW - Baseline'!$MC$2:$MC$200=G$3)*('GMW - Baseline'!$MB$2:$MB$200=G$4),0),$E243-1973)</f>
        <v>NA</v>
      </c>
      <c r="H243" t="str" cm="1">
        <f t="array" ref="H243">INDEX('GMW - Baseline'!$A$2:$MC$200,MATCH(1,('GMW - Baseline'!$MC$2:$MC$200=H$3)*('GMW - Baseline'!$MB$2:$MB$200=H$4),0),$E243-1973)</f>
        <v>NA</v>
      </c>
      <c r="I243" t="str" cm="1">
        <f t="array" ref="I243">INDEX('GMW - Baseline'!$A$2:$MC$200,MATCH(1,('GMW - Baseline'!$MC$2:$MC$200=I$3)*('GMW - Baseline'!$MB$2:$MB$200=I$4),0),$E243-1973)</f>
        <v>NA</v>
      </c>
      <c r="J243" t="e" cm="1">
        <f t="array" ref="J243">INDEX('GMW - Baseline'!$A$2:$MC$200,MATCH(1,('GMW - Baseline'!$MC$2:$MC$200=J$3)*('GMW - Baseline'!$MB$2:$MB$200=J$4),0),$E243-1973)</f>
        <v>#N/A</v>
      </c>
      <c r="K243" t="e" cm="1">
        <f t="array" ref="K243">INDEX('GMW - Baseline'!$A$2:$MC$200,MATCH(1,('GMW - Baseline'!$MC$2:$MC$200=K$3)*('GMW - Baseline'!$MB$2:$MB$200=K$4),0),$E243-1973)</f>
        <v>#N/A</v>
      </c>
      <c r="L243" t="e" cm="1">
        <f t="array" ref="L243">INDEX('GMW - Baseline'!$A$2:$MC$200,MATCH(1,('GMW - Baseline'!$MC$2:$MC$200=L$3)*('GMW - Baseline'!$MB$2:$MB$200=L$4),0),$E243-1973)</f>
        <v>#N/A</v>
      </c>
      <c r="M243" t="e" cm="1">
        <f t="array" ref="M243">INDEX('GMW - Baseline'!$A$2:$MC$200,MATCH(1,('GMW - Baseline'!$MC$2:$MC$200=M$3)*('GMW - Baseline'!$MB$2:$MB$200=M$4),0),$E243-1973)</f>
        <v>#N/A</v>
      </c>
      <c r="N243" t="e" cm="1">
        <f t="array" ref="N243">INDEX('GMW - Baseline'!$A$2:$MC$200,MATCH(1,('GMW - Baseline'!$MC$2:$MC$200=N$3)*('GMW - Baseline'!$MB$2:$MB$200=N$4),0),$E243-1973)</f>
        <v>#N/A</v>
      </c>
      <c r="O243" t="e" cm="1">
        <f t="array" ref="O243">INDEX('GMW - Baseline'!$A$2:$MC$200,MATCH(1,('GMW - Baseline'!$MC$2:$MC$200=O$3)*('GMW - Baseline'!$MB$2:$MB$200=O$4),0),$E243-1973)</f>
        <v>#N/A</v>
      </c>
      <c r="P243" t="e" cm="1">
        <f t="array" ref="P243">INDEX('GMW - Baseline'!$A$2:$MC$200,MATCH(1,('GMW - Baseline'!$MC$2:$MC$200=P$3)*('GMW - Baseline'!$MB$2:$MB$200=P$4),0),$E243-1973)</f>
        <v>#N/A</v>
      </c>
      <c r="Q243" t="e" cm="1">
        <f t="array" ref="Q243">INDEX('GMW - Baseline'!$A$2:$MC$200,MATCH(1,('GMW - Baseline'!$MC$2:$MC$200=Q$3)*('GMW - Baseline'!$MB$2:$MB$200=Q$4),0),$E243-1973)</f>
        <v>#N/A</v>
      </c>
      <c r="R243" t="e" cm="1">
        <f t="array" ref="R243">INDEX('GMW - Baseline'!$A$2:$MC$200,MATCH(1,('GMW - Baseline'!$MC$2:$MC$200=R$3)*('GMW - Baseline'!$MB$2:$MB$200=R$4),0),$E243-1973)</f>
        <v>#N/A</v>
      </c>
      <c r="S243" t="e" cm="1">
        <f t="array" ref="S243">INDEX('GMW - Baseline'!$A$2:$MC$200,MATCH(1,('GMW - Baseline'!$MC$2:$MC$200=S$3)*('GMW - Baseline'!$MB$2:$MB$200=S$4),0),$E243-1973)</f>
        <v>#N/A</v>
      </c>
      <c r="T243" t="e" cm="1">
        <f t="array" ref="T243">INDEX('GMW - Baseline'!$A$2:$MC$200,MATCH(1,('GMW - Baseline'!$MC$2:$MC$200=T$3)*('GMW - Baseline'!$MB$2:$MB$200=T$4),0),$E243-1973)</f>
        <v>#N/A</v>
      </c>
    </row>
    <row r="244" spans="1:20" x14ac:dyDescent="0.25">
      <c r="B244">
        <f t="shared" si="19"/>
        <v>2039</v>
      </c>
      <c r="C244">
        <f t="shared" si="19"/>
        <v>2039</v>
      </c>
      <c r="E244">
        <f t="shared" si="16"/>
        <v>2217</v>
      </c>
      <c r="F244" t="str" cm="1">
        <f t="array" ref="F244">INDEX('GMW - Baseline'!$A$2:$MC$200,MATCH(1,('GMW - Baseline'!$MC$2:$MC$200=F$3)*('GMW - Baseline'!$MB$2:$MB$200=F$4),0),$E244-1973)</f>
        <v>NA</v>
      </c>
      <c r="G244" t="str" cm="1">
        <f t="array" ref="G244">INDEX('GMW - Baseline'!$A$2:$MC$200,MATCH(1,('GMW - Baseline'!$MC$2:$MC$200=G$3)*('GMW - Baseline'!$MB$2:$MB$200=G$4),0),$E244-1973)</f>
        <v>NA</v>
      </c>
      <c r="H244" t="str" cm="1">
        <f t="array" ref="H244">INDEX('GMW - Baseline'!$A$2:$MC$200,MATCH(1,('GMW - Baseline'!$MC$2:$MC$200=H$3)*('GMW - Baseline'!$MB$2:$MB$200=H$4),0),$E244-1973)</f>
        <v>NA</v>
      </c>
      <c r="I244" t="str" cm="1">
        <f t="array" ref="I244">INDEX('GMW - Baseline'!$A$2:$MC$200,MATCH(1,('GMW - Baseline'!$MC$2:$MC$200=I$3)*('GMW - Baseline'!$MB$2:$MB$200=I$4),0),$E244-1973)</f>
        <v>NA</v>
      </c>
      <c r="J244" t="e" cm="1">
        <f t="array" ref="J244">INDEX('GMW - Baseline'!$A$2:$MC$200,MATCH(1,('GMW - Baseline'!$MC$2:$MC$200=J$3)*('GMW - Baseline'!$MB$2:$MB$200=J$4),0),$E244-1973)</f>
        <v>#N/A</v>
      </c>
      <c r="K244" t="e" cm="1">
        <f t="array" ref="K244">INDEX('GMW - Baseline'!$A$2:$MC$200,MATCH(1,('GMW - Baseline'!$MC$2:$MC$200=K$3)*('GMW - Baseline'!$MB$2:$MB$200=K$4),0),$E244-1973)</f>
        <v>#N/A</v>
      </c>
      <c r="L244" t="e" cm="1">
        <f t="array" ref="L244">INDEX('GMW - Baseline'!$A$2:$MC$200,MATCH(1,('GMW - Baseline'!$MC$2:$MC$200=L$3)*('GMW - Baseline'!$MB$2:$MB$200=L$4),0),$E244-1973)</f>
        <v>#N/A</v>
      </c>
      <c r="M244" t="e" cm="1">
        <f t="array" ref="M244">INDEX('GMW - Baseline'!$A$2:$MC$200,MATCH(1,('GMW - Baseline'!$MC$2:$MC$200=M$3)*('GMW - Baseline'!$MB$2:$MB$200=M$4),0),$E244-1973)</f>
        <v>#N/A</v>
      </c>
      <c r="N244" t="e" cm="1">
        <f t="array" ref="N244">INDEX('GMW - Baseline'!$A$2:$MC$200,MATCH(1,('GMW - Baseline'!$MC$2:$MC$200=N$3)*('GMW - Baseline'!$MB$2:$MB$200=N$4),0),$E244-1973)</f>
        <v>#N/A</v>
      </c>
      <c r="O244" t="e" cm="1">
        <f t="array" ref="O244">INDEX('GMW - Baseline'!$A$2:$MC$200,MATCH(1,('GMW - Baseline'!$MC$2:$MC$200=O$3)*('GMW - Baseline'!$MB$2:$MB$200=O$4),0),$E244-1973)</f>
        <v>#N/A</v>
      </c>
      <c r="P244" t="e" cm="1">
        <f t="array" ref="P244">INDEX('GMW - Baseline'!$A$2:$MC$200,MATCH(1,('GMW - Baseline'!$MC$2:$MC$200=P$3)*('GMW - Baseline'!$MB$2:$MB$200=P$4),0),$E244-1973)</f>
        <v>#N/A</v>
      </c>
      <c r="Q244" t="e" cm="1">
        <f t="array" ref="Q244">INDEX('GMW - Baseline'!$A$2:$MC$200,MATCH(1,('GMW - Baseline'!$MC$2:$MC$200=Q$3)*('GMW - Baseline'!$MB$2:$MB$200=Q$4),0),$E244-1973)</f>
        <v>#N/A</v>
      </c>
      <c r="R244" t="e" cm="1">
        <f t="array" ref="R244">INDEX('GMW - Baseline'!$A$2:$MC$200,MATCH(1,('GMW - Baseline'!$MC$2:$MC$200=R$3)*('GMW - Baseline'!$MB$2:$MB$200=R$4),0),$E244-1973)</f>
        <v>#N/A</v>
      </c>
      <c r="S244" t="e" cm="1">
        <f t="array" ref="S244">INDEX('GMW - Baseline'!$A$2:$MC$200,MATCH(1,('GMW - Baseline'!$MC$2:$MC$200=S$3)*('GMW - Baseline'!$MB$2:$MB$200=S$4),0),$E244-1973)</f>
        <v>#N/A</v>
      </c>
      <c r="T244" t="e" cm="1">
        <f t="array" ref="T244">INDEX('GMW - Baseline'!$A$2:$MC$200,MATCH(1,('GMW - Baseline'!$MC$2:$MC$200=T$3)*('GMW - Baseline'!$MB$2:$MB$200=T$4),0),$E244-1973)</f>
        <v>#N/A</v>
      </c>
    </row>
    <row r="245" spans="1:20" x14ac:dyDescent="0.25">
      <c r="B245">
        <f t="shared" si="19"/>
        <v>2039</v>
      </c>
      <c r="C245">
        <f t="shared" si="19"/>
        <v>2039</v>
      </c>
      <c r="E245">
        <f t="shared" si="16"/>
        <v>2218</v>
      </c>
      <c r="F245" t="str" cm="1">
        <f t="array" ref="F245">INDEX('GMW - Baseline'!$A$2:$MC$200,MATCH(1,('GMW - Baseline'!$MC$2:$MC$200=F$3)*('GMW - Baseline'!$MB$2:$MB$200=F$4),0),$E245-1973)</f>
        <v>NA</v>
      </c>
      <c r="G245" t="str" cm="1">
        <f t="array" ref="G245">INDEX('GMW - Baseline'!$A$2:$MC$200,MATCH(1,('GMW - Baseline'!$MC$2:$MC$200=G$3)*('GMW - Baseline'!$MB$2:$MB$200=G$4),0),$E245-1973)</f>
        <v>NA</v>
      </c>
      <c r="H245" t="str" cm="1">
        <f t="array" ref="H245">INDEX('GMW - Baseline'!$A$2:$MC$200,MATCH(1,('GMW - Baseline'!$MC$2:$MC$200=H$3)*('GMW - Baseline'!$MB$2:$MB$200=H$4),0),$E245-1973)</f>
        <v>NA</v>
      </c>
      <c r="I245" t="str" cm="1">
        <f t="array" ref="I245">INDEX('GMW - Baseline'!$A$2:$MC$200,MATCH(1,('GMW - Baseline'!$MC$2:$MC$200=I$3)*('GMW - Baseline'!$MB$2:$MB$200=I$4),0),$E245-1973)</f>
        <v>NA</v>
      </c>
      <c r="J245" t="e" cm="1">
        <f t="array" ref="J245">INDEX('GMW - Baseline'!$A$2:$MC$200,MATCH(1,('GMW - Baseline'!$MC$2:$MC$200=J$3)*('GMW - Baseline'!$MB$2:$MB$200=J$4),0),$E245-1973)</f>
        <v>#N/A</v>
      </c>
      <c r="K245" t="e" cm="1">
        <f t="array" ref="K245">INDEX('GMW - Baseline'!$A$2:$MC$200,MATCH(1,('GMW - Baseline'!$MC$2:$MC$200=K$3)*('GMW - Baseline'!$MB$2:$MB$200=K$4),0),$E245-1973)</f>
        <v>#N/A</v>
      </c>
      <c r="L245" t="e" cm="1">
        <f t="array" ref="L245">INDEX('GMW - Baseline'!$A$2:$MC$200,MATCH(1,('GMW - Baseline'!$MC$2:$MC$200=L$3)*('GMW - Baseline'!$MB$2:$MB$200=L$4),0),$E245-1973)</f>
        <v>#N/A</v>
      </c>
      <c r="M245" t="e" cm="1">
        <f t="array" ref="M245">INDEX('GMW - Baseline'!$A$2:$MC$200,MATCH(1,('GMW - Baseline'!$MC$2:$MC$200=M$3)*('GMW - Baseline'!$MB$2:$MB$200=M$4),0),$E245-1973)</f>
        <v>#N/A</v>
      </c>
      <c r="N245" t="e" cm="1">
        <f t="array" ref="N245">INDEX('GMW - Baseline'!$A$2:$MC$200,MATCH(1,('GMW - Baseline'!$MC$2:$MC$200=N$3)*('GMW - Baseline'!$MB$2:$MB$200=N$4),0),$E245-1973)</f>
        <v>#N/A</v>
      </c>
      <c r="O245" t="e" cm="1">
        <f t="array" ref="O245">INDEX('GMW - Baseline'!$A$2:$MC$200,MATCH(1,('GMW - Baseline'!$MC$2:$MC$200=O$3)*('GMW - Baseline'!$MB$2:$MB$200=O$4),0),$E245-1973)</f>
        <v>#N/A</v>
      </c>
      <c r="P245" t="e" cm="1">
        <f t="array" ref="P245">INDEX('GMW - Baseline'!$A$2:$MC$200,MATCH(1,('GMW - Baseline'!$MC$2:$MC$200=P$3)*('GMW - Baseline'!$MB$2:$MB$200=P$4),0),$E245-1973)</f>
        <v>#N/A</v>
      </c>
      <c r="Q245" t="e" cm="1">
        <f t="array" ref="Q245">INDEX('GMW - Baseline'!$A$2:$MC$200,MATCH(1,('GMW - Baseline'!$MC$2:$MC$200=Q$3)*('GMW - Baseline'!$MB$2:$MB$200=Q$4),0),$E245-1973)</f>
        <v>#N/A</v>
      </c>
      <c r="R245" t="e" cm="1">
        <f t="array" ref="R245">INDEX('GMW - Baseline'!$A$2:$MC$200,MATCH(1,('GMW - Baseline'!$MC$2:$MC$200=R$3)*('GMW - Baseline'!$MB$2:$MB$200=R$4),0),$E245-1973)</f>
        <v>#N/A</v>
      </c>
      <c r="S245" t="e" cm="1">
        <f t="array" ref="S245">INDEX('GMW - Baseline'!$A$2:$MC$200,MATCH(1,('GMW - Baseline'!$MC$2:$MC$200=S$3)*('GMW - Baseline'!$MB$2:$MB$200=S$4),0),$E245-1973)</f>
        <v>#N/A</v>
      </c>
      <c r="T245" t="e" cm="1">
        <f t="array" ref="T245">INDEX('GMW - Baseline'!$A$2:$MC$200,MATCH(1,('GMW - Baseline'!$MC$2:$MC$200=T$3)*('GMW - Baseline'!$MB$2:$MB$200=T$4),0),$E245-1973)</f>
        <v>#N/A</v>
      </c>
    </row>
    <row r="246" spans="1:20" x14ac:dyDescent="0.25">
      <c r="B246">
        <f t="shared" si="19"/>
        <v>2039</v>
      </c>
      <c r="C246">
        <f t="shared" si="19"/>
        <v>2039</v>
      </c>
      <c r="E246">
        <f t="shared" si="16"/>
        <v>2219</v>
      </c>
      <c r="F246" t="str" cm="1">
        <f t="array" ref="F246">INDEX('GMW - Baseline'!$A$2:$MC$200,MATCH(1,('GMW - Baseline'!$MC$2:$MC$200=F$3)*('GMW - Baseline'!$MB$2:$MB$200=F$4),0),$E246-1973)</f>
        <v>NA</v>
      </c>
      <c r="G246" t="str" cm="1">
        <f t="array" ref="G246">INDEX('GMW - Baseline'!$A$2:$MC$200,MATCH(1,('GMW - Baseline'!$MC$2:$MC$200=G$3)*('GMW - Baseline'!$MB$2:$MB$200=G$4),0),$E246-1973)</f>
        <v>NA</v>
      </c>
      <c r="H246" t="str" cm="1">
        <f t="array" ref="H246">INDEX('GMW - Baseline'!$A$2:$MC$200,MATCH(1,('GMW - Baseline'!$MC$2:$MC$200=H$3)*('GMW - Baseline'!$MB$2:$MB$200=H$4),0),$E246-1973)</f>
        <v>NA</v>
      </c>
      <c r="I246" t="str" cm="1">
        <f t="array" ref="I246">INDEX('GMW - Baseline'!$A$2:$MC$200,MATCH(1,('GMW - Baseline'!$MC$2:$MC$200=I$3)*('GMW - Baseline'!$MB$2:$MB$200=I$4),0),$E246-1973)</f>
        <v>NA</v>
      </c>
      <c r="J246" t="e" cm="1">
        <f t="array" ref="J246">INDEX('GMW - Baseline'!$A$2:$MC$200,MATCH(1,('GMW - Baseline'!$MC$2:$MC$200=J$3)*('GMW - Baseline'!$MB$2:$MB$200=J$4),0),$E246-1973)</f>
        <v>#N/A</v>
      </c>
      <c r="K246" t="e" cm="1">
        <f t="array" ref="K246">INDEX('GMW - Baseline'!$A$2:$MC$200,MATCH(1,('GMW - Baseline'!$MC$2:$MC$200=K$3)*('GMW - Baseline'!$MB$2:$MB$200=K$4),0),$E246-1973)</f>
        <v>#N/A</v>
      </c>
      <c r="L246" t="e" cm="1">
        <f t="array" ref="L246">INDEX('GMW - Baseline'!$A$2:$MC$200,MATCH(1,('GMW - Baseline'!$MC$2:$MC$200=L$3)*('GMW - Baseline'!$MB$2:$MB$200=L$4),0),$E246-1973)</f>
        <v>#N/A</v>
      </c>
      <c r="M246" t="e" cm="1">
        <f t="array" ref="M246">INDEX('GMW - Baseline'!$A$2:$MC$200,MATCH(1,('GMW - Baseline'!$MC$2:$MC$200=M$3)*('GMW - Baseline'!$MB$2:$MB$200=M$4),0),$E246-1973)</f>
        <v>#N/A</v>
      </c>
      <c r="N246" t="e" cm="1">
        <f t="array" ref="N246">INDEX('GMW - Baseline'!$A$2:$MC$200,MATCH(1,('GMW - Baseline'!$MC$2:$MC$200=N$3)*('GMW - Baseline'!$MB$2:$MB$200=N$4),0),$E246-1973)</f>
        <v>#N/A</v>
      </c>
      <c r="O246" t="e" cm="1">
        <f t="array" ref="O246">INDEX('GMW - Baseline'!$A$2:$MC$200,MATCH(1,('GMW - Baseline'!$MC$2:$MC$200=O$3)*('GMW - Baseline'!$MB$2:$MB$200=O$4),0),$E246-1973)</f>
        <v>#N/A</v>
      </c>
      <c r="P246" t="e" cm="1">
        <f t="array" ref="P246">INDEX('GMW - Baseline'!$A$2:$MC$200,MATCH(1,('GMW - Baseline'!$MC$2:$MC$200=P$3)*('GMW - Baseline'!$MB$2:$MB$200=P$4),0),$E246-1973)</f>
        <v>#N/A</v>
      </c>
      <c r="Q246" t="e" cm="1">
        <f t="array" ref="Q246">INDEX('GMW - Baseline'!$A$2:$MC$200,MATCH(1,('GMW - Baseline'!$MC$2:$MC$200=Q$3)*('GMW - Baseline'!$MB$2:$MB$200=Q$4),0),$E246-1973)</f>
        <v>#N/A</v>
      </c>
      <c r="R246" t="e" cm="1">
        <f t="array" ref="R246">INDEX('GMW - Baseline'!$A$2:$MC$200,MATCH(1,('GMW - Baseline'!$MC$2:$MC$200=R$3)*('GMW - Baseline'!$MB$2:$MB$200=R$4),0),$E246-1973)</f>
        <v>#N/A</v>
      </c>
      <c r="S246" t="e" cm="1">
        <f t="array" ref="S246">INDEX('GMW - Baseline'!$A$2:$MC$200,MATCH(1,('GMW - Baseline'!$MC$2:$MC$200=S$3)*('GMW - Baseline'!$MB$2:$MB$200=S$4),0),$E246-1973)</f>
        <v>#N/A</v>
      </c>
      <c r="T246" t="e" cm="1">
        <f t="array" ref="T246">INDEX('GMW - Baseline'!$A$2:$MC$200,MATCH(1,('GMW - Baseline'!$MC$2:$MC$200=T$3)*('GMW - Baseline'!$MB$2:$MB$200=T$4),0),$E246-1973)</f>
        <v>#N/A</v>
      </c>
    </row>
    <row r="247" spans="1:20" x14ac:dyDescent="0.25">
      <c r="A247">
        <v>2040</v>
      </c>
      <c r="B247">
        <f t="shared" si="19"/>
        <v>2040</v>
      </c>
      <c r="C247">
        <f t="shared" si="19"/>
        <v>2039</v>
      </c>
      <c r="D247">
        <f t="shared" si="19"/>
        <v>2039</v>
      </c>
      <c r="E247">
        <f t="shared" si="16"/>
        <v>2220</v>
      </c>
      <c r="F247" t="str" cm="1">
        <f t="array" ref="F247">INDEX('GMW - Baseline'!$A$2:$MC$200,MATCH(1,('GMW - Baseline'!$MC$2:$MC$200=F$3)*('GMW - Baseline'!$MB$2:$MB$200=F$4),0),$E247-1973)</f>
        <v>NA</v>
      </c>
      <c r="G247" t="str" cm="1">
        <f t="array" ref="G247">INDEX('GMW - Baseline'!$A$2:$MC$200,MATCH(1,('GMW - Baseline'!$MC$2:$MC$200=G$3)*('GMW - Baseline'!$MB$2:$MB$200=G$4),0),$E247-1973)</f>
        <v>NA</v>
      </c>
      <c r="H247" t="str" cm="1">
        <f t="array" ref="H247">INDEX('GMW - Baseline'!$A$2:$MC$200,MATCH(1,('GMW - Baseline'!$MC$2:$MC$200=H$3)*('GMW - Baseline'!$MB$2:$MB$200=H$4),0),$E247-1973)</f>
        <v>NA</v>
      </c>
      <c r="I247" t="str" cm="1">
        <f t="array" ref="I247">INDEX('GMW - Baseline'!$A$2:$MC$200,MATCH(1,('GMW - Baseline'!$MC$2:$MC$200=I$3)*('GMW - Baseline'!$MB$2:$MB$200=I$4),0),$E247-1973)</f>
        <v>NA</v>
      </c>
      <c r="J247" t="e" cm="1">
        <f t="array" ref="J247">INDEX('GMW - Baseline'!$A$2:$MC$200,MATCH(1,('GMW - Baseline'!$MC$2:$MC$200=J$3)*('GMW - Baseline'!$MB$2:$MB$200=J$4),0),$E247-1973)</f>
        <v>#N/A</v>
      </c>
      <c r="K247" t="e" cm="1">
        <f t="array" ref="K247">INDEX('GMW - Baseline'!$A$2:$MC$200,MATCH(1,('GMW - Baseline'!$MC$2:$MC$200=K$3)*('GMW - Baseline'!$MB$2:$MB$200=K$4),0),$E247-1973)</f>
        <v>#N/A</v>
      </c>
      <c r="L247" t="e" cm="1">
        <f t="array" ref="L247">INDEX('GMW - Baseline'!$A$2:$MC$200,MATCH(1,('GMW - Baseline'!$MC$2:$MC$200=L$3)*('GMW - Baseline'!$MB$2:$MB$200=L$4),0),$E247-1973)</f>
        <v>#N/A</v>
      </c>
      <c r="M247" t="e" cm="1">
        <f t="array" ref="M247">INDEX('GMW - Baseline'!$A$2:$MC$200,MATCH(1,('GMW - Baseline'!$MC$2:$MC$200=M$3)*('GMW - Baseline'!$MB$2:$MB$200=M$4),0),$E247-1973)</f>
        <v>#N/A</v>
      </c>
      <c r="N247" t="e" cm="1">
        <f t="array" ref="N247">INDEX('GMW - Baseline'!$A$2:$MC$200,MATCH(1,('GMW - Baseline'!$MC$2:$MC$200=N$3)*('GMW - Baseline'!$MB$2:$MB$200=N$4),0),$E247-1973)</f>
        <v>#N/A</v>
      </c>
      <c r="O247" t="e" cm="1">
        <f t="array" ref="O247">INDEX('GMW - Baseline'!$A$2:$MC$200,MATCH(1,('GMW - Baseline'!$MC$2:$MC$200=O$3)*('GMW - Baseline'!$MB$2:$MB$200=O$4),0),$E247-1973)</f>
        <v>#N/A</v>
      </c>
      <c r="P247" t="e" cm="1">
        <f t="array" ref="P247">INDEX('GMW - Baseline'!$A$2:$MC$200,MATCH(1,('GMW - Baseline'!$MC$2:$MC$200=P$3)*('GMW - Baseline'!$MB$2:$MB$200=P$4),0),$E247-1973)</f>
        <v>#N/A</v>
      </c>
      <c r="Q247" t="e" cm="1">
        <f t="array" ref="Q247">INDEX('GMW - Baseline'!$A$2:$MC$200,MATCH(1,('GMW - Baseline'!$MC$2:$MC$200=Q$3)*('GMW - Baseline'!$MB$2:$MB$200=Q$4),0),$E247-1973)</f>
        <v>#N/A</v>
      </c>
      <c r="R247" t="e" cm="1">
        <f t="array" ref="R247">INDEX('GMW - Baseline'!$A$2:$MC$200,MATCH(1,('GMW - Baseline'!$MC$2:$MC$200=R$3)*('GMW - Baseline'!$MB$2:$MB$200=R$4),0),$E247-1973)</f>
        <v>#N/A</v>
      </c>
      <c r="S247" t="e" cm="1">
        <f t="array" ref="S247">INDEX('GMW - Baseline'!$A$2:$MC$200,MATCH(1,('GMW - Baseline'!$MC$2:$MC$200=S$3)*('GMW - Baseline'!$MB$2:$MB$200=S$4),0),$E247-1973)</f>
        <v>#N/A</v>
      </c>
      <c r="T247" t="e" cm="1">
        <f t="array" ref="T247">INDEX('GMW - Baseline'!$A$2:$MC$200,MATCH(1,('GMW - Baseline'!$MC$2:$MC$200=T$3)*('GMW - Baseline'!$MB$2:$MB$200=T$4),0),$E247-1973)</f>
        <v>#N/A</v>
      </c>
    </row>
    <row r="248" spans="1:20" x14ac:dyDescent="0.25">
      <c r="B248">
        <f t="shared" si="19"/>
        <v>2040</v>
      </c>
      <c r="C248">
        <f t="shared" si="19"/>
        <v>2040</v>
      </c>
      <c r="E248">
        <f t="shared" si="16"/>
        <v>2221</v>
      </c>
      <c r="F248" t="str" cm="1">
        <f t="array" ref="F248">INDEX('GMW - Baseline'!$A$2:$MC$200,MATCH(1,('GMW - Baseline'!$MC$2:$MC$200=F$3)*('GMW - Baseline'!$MB$2:$MB$200=F$4),0),$E248-1973)</f>
        <v>NA</v>
      </c>
      <c r="G248" t="str" cm="1">
        <f t="array" ref="G248">INDEX('GMW - Baseline'!$A$2:$MC$200,MATCH(1,('GMW - Baseline'!$MC$2:$MC$200=G$3)*('GMW - Baseline'!$MB$2:$MB$200=G$4),0),$E248-1973)</f>
        <v>NA</v>
      </c>
      <c r="H248" t="str" cm="1">
        <f t="array" ref="H248">INDEX('GMW - Baseline'!$A$2:$MC$200,MATCH(1,('GMW - Baseline'!$MC$2:$MC$200=H$3)*('GMW - Baseline'!$MB$2:$MB$200=H$4),0),$E248-1973)</f>
        <v>NA</v>
      </c>
      <c r="I248" t="str" cm="1">
        <f t="array" ref="I248">INDEX('GMW - Baseline'!$A$2:$MC$200,MATCH(1,('GMW - Baseline'!$MC$2:$MC$200=I$3)*('GMW - Baseline'!$MB$2:$MB$200=I$4),0),$E248-1973)</f>
        <v>NA</v>
      </c>
      <c r="J248" t="e" cm="1">
        <f t="array" ref="J248">INDEX('GMW - Baseline'!$A$2:$MC$200,MATCH(1,('GMW - Baseline'!$MC$2:$MC$200=J$3)*('GMW - Baseline'!$MB$2:$MB$200=J$4),0),$E248-1973)</f>
        <v>#N/A</v>
      </c>
      <c r="K248" t="e" cm="1">
        <f t="array" ref="K248">INDEX('GMW - Baseline'!$A$2:$MC$200,MATCH(1,('GMW - Baseline'!$MC$2:$MC$200=K$3)*('GMW - Baseline'!$MB$2:$MB$200=K$4),0),$E248-1973)</f>
        <v>#N/A</v>
      </c>
      <c r="L248" t="e" cm="1">
        <f t="array" ref="L248">INDEX('GMW - Baseline'!$A$2:$MC$200,MATCH(1,('GMW - Baseline'!$MC$2:$MC$200=L$3)*('GMW - Baseline'!$MB$2:$MB$200=L$4),0),$E248-1973)</f>
        <v>#N/A</v>
      </c>
      <c r="M248" t="e" cm="1">
        <f t="array" ref="M248">INDEX('GMW - Baseline'!$A$2:$MC$200,MATCH(1,('GMW - Baseline'!$MC$2:$MC$200=M$3)*('GMW - Baseline'!$MB$2:$MB$200=M$4),0),$E248-1973)</f>
        <v>#N/A</v>
      </c>
      <c r="N248" t="e" cm="1">
        <f t="array" ref="N248">INDEX('GMW - Baseline'!$A$2:$MC$200,MATCH(1,('GMW - Baseline'!$MC$2:$MC$200=N$3)*('GMW - Baseline'!$MB$2:$MB$200=N$4),0),$E248-1973)</f>
        <v>#N/A</v>
      </c>
      <c r="O248" t="e" cm="1">
        <f t="array" ref="O248">INDEX('GMW - Baseline'!$A$2:$MC$200,MATCH(1,('GMW - Baseline'!$MC$2:$MC$200=O$3)*('GMW - Baseline'!$MB$2:$MB$200=O$4),0),$E248-1973)</f>
        <v>#N/A</v>
      </c>
      <c r="P248" t="e" cm="1">
        <f t="array" ref="P248">INDEX('GMW - Baseline'!$A$2:$MC$200,MATCH(1,('GMW - Baseline'!$MC$2:$MC$200=P$3)*('GMW - Baseline'!$MB$2:$MB$200=P$4),0),$E248-1973)</f>
        <v>#N/A</v>
      </c>
      <c r="Q248" t="e" cm="1">
        <f t="array" ref="Q248">INDEX('GMW - Baseline'!$A$2:$MC$200,MATCH(1,('GMW - Baseline'!$MC$2:$MC$200=Q$3)*('GMW - Baseline'!$MB$2:$MB$200=Q$4),0),$E248-1973)</f>
        <v>#N/A</v>
      </c>
      <c r="R248" t="e" cm="1">
        <f t="array" ref="R248">INDEX('GMW - Baseline'!$A$2:$MC$200,MATCH(1,('GMW - Baseline'!$MC$2:$MC$200=R$3)*('GMW - Baseline'!$MB$2:$MB$200=R$4),0),$E248-1973)</f>
        <v>#N/A</v>
      </c>
      <c r="S248" t="e" cm="1">
        <f t="array" ref="S248">INDEX('GMW - Baseline'!$A$2:$MC$200,MATCH(1,('GMW - Baseline'!$MC$2:$MC$200=S$3)*('GMW - Baseline'!$MB$2:$MB$200=S$4),0),$E248-1973)</f>
        <v>#N/A</v>
      </c>
      <c r="T248" t="e" cm="1">
        <f t="array" ref="T248">INDEX('GMW - Baseline'!$A$2:$MC$200,MATCH(1,('GMW - Baseline'!$MC$2:$MC$200=T$3)*('GMW - Baseline'!$MB$2:$MB$200=T$4),0),$E248-1973)</f>
        <v>#N/A</v>
      </c>
    </row>
    <row r="249" spans="1:20" x14ac:dyDescent="0.25">
      <c r="B249">
        <f t="shared" si="19"/>
        <v>2040</v>
      </c>
      <c r="C249">
        <f t="shared" si="19"/>
        <v>2040</v>
      </c>
      <c r="E249">
        <f t="shared" si="16"/>
        <v>2222</v>
      </c>
      <c r="F249" t="str" cm="1">
        <f t="array" ref="F249">INDEX('GMW - Baseline'!$A$2:$MC$200,MATCH(1,('GMW - Baseline'!$MC$2:$MC$200=F$3)*('GMW - Baseline'!$MB$2:$MB$200=F$4),0),$E249-1973)</f>
        <v>NA</v>
      </c>
      <c r="G249" t="str" cm="1">
        <f t="array" ref="G249">INDEX('GMW - Baseline'!$A$2:$MC$200,MATCH(1,('GMW - Baseline'!$MC$2:$MC$200=G$3)*('GMW - Baseline'!$MB$2:$MB$200=G$4),0),$E249-1973)</f>
        <v>NA</v>
      </c>
      <c r="H249" t="str" cm="1">
        <f t="array" ref="H249">INDEX('GMW - Baseline'!$A$2:$MC$200,MATCH(1,('GMW - Baseline'!$MC$2:$MC$200=H$3)*('GMW - Baseline'!$MB$2:$MB$200=H$4),0),$E249-1973)</f>
        <v>NA</v>
      </c>
      <c r="I249" t="str" cm="1">
        <f t="array" ref="I249">INDEX('GMW - Baseline'!$A$2:$MC$200,MATCH(1,('GMW - Baseline'!$MC$2:$MC$200=I$3)*('GMW - Baseline'!$MB$2:$MB$200=I$4),0),$E249-1973)</f>
        <v>NA</v>
      </c>
      <c r="J249" t="e" cm="1">
        <f t="array" ref="J249">INDEX('GMW - Baseline'!$A$2:$MC$200,MATCH(1,('GMW - Baseline'!$MC$2:$MC$200=J$3)*('GMW - Baseline'!$MB$2:$MB$200=J$4),0),$E249-1973)</f>
        <v>#N/A</v>
      </c>
      <c r="K249" t="e" cm="1">
        <f t="array" ref="K249">INDEX('GMW - Baseline'!$A$2:$MC$200,MATCH(1,('GMW - Baseline'!$MC$2:$MC$200=K$3)*('GMW - Baseline'!$MB$2:$MB$200=K$4),0),$E249-1973)</f>
        <v>#N/A</v>
      </c>
      <c r="L249" t="e" cm="1">
        <f t="array" ref="L249">INDEX('GMW - Baseline'!$A$2:$MC$200,MATCH(1,('GMW - Baseline'!$MC$2:$MC$200=L$3)*('GMW - Baseline'!$MB$2:$MB$200=L$4),0),$E249-1973)</f>
        <v>#N/A</v>
      </c>
      <c r="M249" t="e" cm="1">
        <f t="array" ref="M249">INDEX('GMW - Baseline'!$A$2:$MC$200,MATCH(1,('GMW - Baseline'!$MC$2:$MC$200=M$3)*('GMW - Baseline'!$MB$2:$MB$200=M$4),0),$E249-1973)</f>
        <v>#N/A</v>
      </c>
      <c r="N249" t="e" cm="1">
        <f t="array" ref="N249">INDEX('GMW - Baseline'!$A$2:$MC$200,MATCH(1,('GMW - Baseline'!$MC$2:$MC$200=N$3)*('GMW - Baseline'!$MB$2:$MB$200=N$4),0),$E249-1973)</f>
        <v>#N/A</v>
      </c>
      <c r="O249" t="e" cm="1">
        <f t="array" ref="O249">INDEX('GMW - Baseline'!$A$2:$MC$200,MATCH(1,('GMW - Baseline'!$MC$2:$MC$200=O$3)*('GMW - Baseline'!$MB$2:$MB$200=O$4),0),$E249-1973)</f>
        <v>#N/A</v>
      </c>
      <c r="P249" t="e" cm="1">
        <f t="array" ref="P249">INDEX('GMW - Baseline'!$A$2:$MC$200,MATCH(1,('GMW - Baseline'!$MC$2:$MC$200=P$3)*('GMW - Baseline'!$MB$2:$MB$200=P$4),0),$E249-1973)</f>
        <v>#N/A</v>
      </c>
      <c r="Q249" t="e" cm="1">
        <f t="array" ref="Q249">INDEX('GMW - Baseline'!$A$2:$MC$200,MATCH(1,('GMW - Baseline'!$MC$2:$MC$200=Q$3)*('GMW - Baseline'!$MB$2:$MB$200=Q$4),0),$E249-1973)</f>
        <v>#N/A</v>
      </c>
      <c r="R249" t="e" cm="1">
        <f t="array" ref="R249">INDEX('GMW - Baseline'!$A$2:$MC$200,MATCH(1,('GMW - Baseline'!$MC$2:$MC$200=R$3)*('GMW - Baseline'!$MB$2:$MB$200=R$4),0),$E249-1973)</f>
        <v>#N/A</v>
      </c>
      <c r="S249" t="e" cm="1">
        <f t="array" ref="S249">INDEX('GMW - Baseline'!$A$2:$MC$200,MATCH(1,('GMW - Baseline'!$MC$2:$MC$200=S$3)*('GMW - Baseline'!$MB$2:$MB$200=S$4),0),$E249-1973)</f>
        <v>#N/A</v>
      </c>
      <c r="T249" t="e" cm="1">
        <f t="array" ref="T249">INDEX('GMW - Baseline'!$A$2:$MC$200,MATCH(1,('GMW - Baseline'!$MC$2:$MC$200=T$3)*('GMW - Baseline'!$MB$2:$MB$200=T$4),0),$E249-1973)</f>
        <v>#N/A</v>
      </c>
    </row>
    <row r="250" spans="1:20" x14ac:dyDescent="0.25">
      <c r="B250">
        <f t="shared" si="19"/>
        <v>2040</v>
      </c>
      <c r="C250">
        <f t="shared" si="19"/>
        <v>2040</v>
      </c>
      <c r="E250">
        <f t="shared" si="16"/>
        <v>2223</v>
      </c>
      <c r="F250" t="str" cm="1">
        <f t="array" ref="F250">INDEX('GMW - Baseline'!$A$2:$MC$200,MATCH(1,('GMW - Baseline'!$MC$2:$MC$200=F$3)*('GMW - Baseline'!$MB$2:$MB$200=F$4),0),$E250-1973)</f>
        <v>NA</v>
      </c>
      <c r="G250" t="str" cm="1">
        <f t="array" ref="G250">INDEX('GMW - Baseline'!$A$2:$MC$200,MATCH(1,('GMW - Baseline'!$MC$2:$MC$200=G$3)*('GMW - Baseline'!$MB$2:$MB$200=G$4),0),$E250-1973)</f>
        <v>NA</v>
      </c>
      <c r="H250" t="str" cm="1">
        <f t="array" ref="H250">INDEX('GMW - Baseline'!$A$2:$MC$200,MATCH(1,('GMW - Baseline'!$MC$2:$MC$200=H$3)*('GMW - Baseline'!$MB$2:$MB$200=H$4),0),$E250-1973)</f>
        <v>NA</v>
      </c>
      <c r="I250" t="str" cm="1">
        <f t="array" ref="I250">INDEX('GMW - Baseline'!$A$2:$MC$200,MATCH(1,('GMW - Baseline'!$MC$2:$MC$200=I$3)*('GMW - Baseline'!$MB$2:$MB$200=I$4),0),$E250-1973)</f>
        <v>NA</v>
      </c>
      <c r="J250" t="e" cm="1">
        <f t="array" ref="J250">INDEX('GMW - Baseline'!$A$2:$MC$200,MATCH(1,('GMW - Baseline'!$MC$2:$MC$200=J$3)*('GMW - Baseline'!$MB$2:$MB$200=J$4),0),$E250-1973)</f>
        <v>#N/A</v>
      </c>
      <c r="K250" t="e" cm="1">
        <f t="array" ref="K250">INDEX('GMW - Baseline'!$A$2:$MC$200,MATCH(1,('GMW - Baseline'!$MC$2:$MC$200=K$3)*('GMW - Baseline'!$MB$2:$MB$200=K$4),0),$E250-1973)</f>
        <v>#N/A</v>
      </c>
      <c r="L250" t="e" cm="1">
        <f t="array" ref="L250">INDEX('GMW - Baseline'!$A$2:$MC$200,MATCH(1,('GMW - Baseline'!$MC$2:$MC$200=L$3)*('GMW - Baseline'!$MB$2:$MB$200=L$4),0),$E250-1973)</f>
        <v>#N/A</v>
      </c>
      <c r="M250" t="e" cm="1">
        <f t="array" ref="M250">INDEX('GMW - Baseline'!$A$2:$MC$200,MATCH(1,('GMW - Baseline'!$MC$2:$MC$200=M$3)*('GMW - Baseline'!$MB$2:$MB$200=M$4),0),$E250-1973)</f>
        <v>#N/A</v>
      </c>
      <c r="N250" t="e" cm="1">
        <f t="array" ref="N250">INDEX('GMW - Baseline'!$A$2:$MC$200,MATCH(1,('GMW - Baseline'!$MC$2:$MC$200=N$3)*('GMW - Baseline'!$MB$2:$MB$200=N$4),0),$E250-1973)</f>
        <v>#N/A</v>
      </c>
      <c r="O250" t="e" cm="1">
        <f t="array" ref="O250">INDEX('GMW - Baseline'!$A$2:$MC$200,MATCH(1,('GMW - Baseline'!$MC$2:$MC$200=O$3)*('GMW - Baseline'!$MB$2:$MB$200=O$4),0),$E250-1973)</f>
        <v>#N/A</v>
      </c>
      <c r="P250" t="e" cm="1">
        <f t="array" ref="P250">INDEX('GMW - Baseline'!$A$2:$MC$200,MATCH(1,('GMW - Baseline'!$MC$2:$MC$200=P$3)*('GMW - Baseline'!$MB$2:$MB$200=P$4),0),$E250-1973)</f>
        <v>#N/A</v>
      </c>
      <c r="Q250" t="e" cm="1">
        <f t="array" ref="Q250">INDEX('GMW - Baseline'!$A$2:$MC$200,MATCH(1,('GMW - Baseline'!$MC$2:$MC$200=Q$3)*('GMW - Baseline'!$MB$2:$MB$200=Q$4),0),$E250-1973)</f>
        <v>#N/A</v>
      </c>
      <c r="R250" t="e" cm="1">
        <f t="array" ref="R250">INDEX('GMW - Baseline'!$A$2:$MC$200,MATCH(1,('GMW - Baseline'!$MC$2:$MC$200=R$3)*('GMW - Baseline'!$MB$2:$MB$200=R$4),0),$E250-1973)</f>
        <v>#N/A</v>
      </c>
      <c r="S250" t="e" cm="1">
        <f t="array" ref="S250">INDEX('GMW - Baseline'!$A$2:$MC$200,MATCH(1,('GMW - Baseline'!$MC$2:$MC$200=S$3)*('GMW - Baseline'!$MB$2:$MB$200=S$4),0),$E250-1973)</f>
        <v>#N/A</v>
      </c>
      <c r="T250" t="e" cm="1">
        <f t="array" ref="T250">INDEX('GMW - Baseline'!$A$2:$MC$200,MATCH(1,('GMW - Baseline'!$MC$2:$MC$200=T$3)*('GMW - Baseline'!$MB$2:$MB$200=T$4),0),$E250-1973)</f>
        <v>#N/A</v>
      </c>
    </row>
    <row r="251" spans="1:20" x14ac:dyDescent="0.25">
      <c r="A251">
        <v>2041</v>
      </c>
      <c r="B251">
        <f t="shared" si="19"/>
        <v>2041</v>
      </c>
      <c r="C251">
        <f t="shared" si="19"/>
        <v>2040</v>
      </c>
      <c r="D251">
        <f t="shared" si="19"/>
        <v>2040</v>
      </c>
      <c r="E251">
        <f t="shared" si="16"/>
        <v>2224</v>
      </c>
      <c r="F251" t="str" cm="1">
        <f t="array" ref="F251">INDEX('GMW - Baseline'!$A$2:$MC$200,MATCH(1,('GMW - Baseline'!$MC$2:$MC$200=F$3)*('GMW - Baseline'!$MB$2:$MB$200=F$4),0),$E251-1973)</f>
        <v>NA</v>
      </c>
      <c r="G251" t="str" cm="1">
        <f t="array" ref="G251">INDEX('GMW - Baseline'!$A$2:$MC$200,MATCH(1,('GMW - Baseline'!$MC$2:$MC$200=G$3)*('GMW - Baseline'!$MB$2:$MB$200=G$4),0),$E251-1973)</f>
        <v>NA</v>
      </c>
      <c r="H251" t="str" cm="1">
        <f t="array" ref="H251">INDEX('GMW - Baseline'!$A$2:$MC$200,MATCH(1,('GMW - Baseline'!$MC$2:$MC$200=H$3)*('GMW - Baseline'!$MB$2:$MB$200=H$4),0),$E251-1973)</f>
        <v>NA</v>
      </c>
      <c r="I251" t="str" cm="1">
        <f t="array" ref="I251">INDEX('GMW - Baseline'!$A$2:$MC$200,MATCH(1,('GMW - Baseline'!$MC$2:$MC$200=I$3)*('GMW - Baseline'!$MB$2:$MB$200=I$4),0),$E251-1973)</f>
        <v>NA</v>
      </c>
      <c r="J251" t="e" cm="1">
        <f t="array" ref="J251">INDEX('GMW - Baseline'!$A$2:$MC$200,MATCH(1,('GMW - Baseline'!$MC$2:$MC$200=J$3)*('GMW - Baseline'!$MB$2:$MB$200=J$4),0),$E251-1973)</f>
        <v>#N/A</v>
      </c>
      <c r="K251" t="e" cm="1">
        <f t="array" ref="K251">INDEX('GMW - Baseline'!$A$2:$MC$200,MATCH(1,('GMW - Baseline'!$MC$2:$MC$200=K$3)*('GMW - Baseline'!$MB$2:$MB$200=K$4),0),$E251-1973)</f>
        <v>#N/A</v>
      </c>
      <c r="L251" t="e" cm="1">
        <f t="array" ref="L251">INDEX('GMW - Baseline'!$A$2:$MC$200,MATCH(1,('GMW - Baseline'!$MC$2:$MC$200=L$3)*('GMW - Baseline'!$MB$2:$MB$200=L$4),0),$E251-1973)</f>
        <v>#N/A</v>
      </c>
      <c r="M251" t="e" cm="1">
        <f t="array" ref="M251">INDEX('GMW - Baseline'!$A$2:$MC$200,MATCH(1,('GMW - Baseline'!$MC$2:$MC$200=M$3)*('GMW - Baseline'!$MB$2:$MB$200=M$4),0),$E251-1973)</f>
        <v>#N/A</v>
      </c>
      <c r="N251" t="e" cm="1">
        <f t="array" ref="N251">INDEX('GMW - Baseline'!$A$2:$MC$200,MATCH(1,('GMW - Baseline'!$MC$2:$MC$200=N$3)*('GMW - Baseline'!$MB$2:$MB$200=N$4),0),$E251-1973)</f>
        <v>#N/A</v>
      </c>
      <c r="O251" t="e" cm="1">
        <f t="array" ref="O251">INDEX('GMW - Baseline'!$A$2:$MC$200,MATCH(1,('GMW - Baseline'!$MC$2:$MC$200=O$3)*('GMW - Baseline'!$MB$2:$MB$200=O$4),0),$E251-1973)</f>
        <v>#N/A</v>
      </c>
      <c r="P251" t="e" cm="1">
        <f t="array" ref="P251">INDEX('GMW - Baseline'!$A$2:$MC$200,MATCH(1,('GMW - Baseline'!$MC$2:$MC$200=P$3)*('GMW - Baseline'!$MB$2:$MB$200=P$4),0),$E251-1973)</f>
        <v>#N/A</v>
      </c>
      <c r="Q251" t="e" cm="1">
        <f t="array" ref="Q251">INDEX('GMW - Baseline'!$A$2:$MC$200,MATCH(1,('GMW - Baseline'!$MC$2:$MC$200=Q$3)*('GMW - Baseline'!$MB$2:$MB$200=Q$4),0),$E251-1973)</f>
        <v>#N/A</v>
      </c>
      <c r="R251" t="e" cm="1">
        <f t="array" ref="R251">INDEX('GMW - Baseline'!$A$2:$MC$200,MATCH(1,('GMW - Baseline'!$MC$2:$MC$200=R$3)*('GMW - Baseline'!$MB$2:$MB$200=R$4),0),$E251-1973)</f>
        <v>#N/A</v>
      </c>
      <c r="S251" t="e" cm="1">
        <f t="array" ref="S251">INDEX('GMW - Baseline'!$A$2:$MC$200,MATCH(1,('GMW - Baseline'!$MC$2:$MC$200=S$3)*('GMW - Baseline'!$MB$2:$MB$200=S$4),0),$E251-1973)</f>
        <v>#N/A</v>
      </c>
      <c r="T251" t="e" cm="1">
        <f t="array" ref="T251">INDEX('GMW - Baseline'!$A$2:$MC$200,MATCH(1,('GMW - Baseline'!$MC$2:$MC$200=T$3)*('GMW - Baseline'!$MB$2:$MB$200=T$4),0),$E251-1973)</f>
        <v>#N/A</v>
      </c>
    </row>
    <row r="252" spans="1:20" x14ac:dyDescent="0.25">
      <c r="B252">
        <f t="shared" ref="B252:D267" si="20">+B248+1</f>
        <v>2041</v>
      </c>
      <c r="C252">
        <f t="shared" si="20"/>
        <v>2041</v>
      </c>
      <c r="E252">
        <f t="shared" si="16"/>
        <v>2225</v>
      </c>
      <c r="F252" t="str" cm="1">
        <f t="array" ref="F252">INDEX('GMW - Baseline'!$A$2:$MC$200,MATCH(1,('GMW - Baseline'!$MC$2:$MC$200=F$3)*('GMW - Baseline'!$MB$2:$MB$200=F$4),0),$E252-1973)</f>
        <v>NA</v>
      </c>
      <c r="G252" t="str" cm="1">
        <f t="array" ref="G252">INDEX('GMW - Baseline'!$A$2:$MC$200,MATCH(1,('GMW - Baseline'!$MC$2:$MC$200=G$3)*('GMW - Baseline'!$MB$2:$MB$200=G$4),0),$E252-1973)</f>
        <v>NA</v>
      </c>
      <c r="H252" t="str" cm="1">
        <f t="array" ref="H252">INDEX('GMW - Baseline'!$A$2:$MC$200,MATCH(1,('GMW - Baseline'!$MC$2:$MC$200=H$3)*('GMW - Baseline'!$MB$2:$MB$200=H$4),0),$E252-1973)</f>
        <v>NA</v>
      </c>
      <c r="I252" t="str" cm="1">
        <f t="array" ref="I252">INDEX('GMW - Baseline'!$A$2:$MC$200,MATCH(1,('GMW - Baseline'!$MC$2:$MC$200=I$3)*('GMW - Baseline'!$MB$2:$MB$200=I$4),0),$E252-1973)</f>
        <v>NA</v>
      </c>
      <c r="J252" t="e" cm="1">
        <f t="array" ref="J252">INDEX('GMW - Baseline'!$A$2:$MC$200,MATCH(1,('GMW - Baseline'!$MC$2:$MC$200=J$3)*('GMW - Baseline'!$MB$2:$MB$200=J$4),0),$E252-1973)</f>
        <v>#N/A</v>
      </c>
      <c r="K252" t="e" cm="1">
        <f t="array" ref="K252">INDEX('GMW - Baseline'!$A$2:$MC$200,MATCH(1,('GMW - Baseline'!$MC$2:$MC$200=K$3)*('GMW - Baseline'!$MB$2:$MB$200=K$4),0),$E252-1973)</f>
        <v>#N/A</v>
      </c>
      <c r="L252" t="e" cm="1">
        <f t="array" ref="L252">INDEX('GMW - Baseline'!$A$2:$MC$200,MATCH(1,('GMW - Baseline'!$MC$2:$MC$200=L$3)*('GMW - Baseline'!$MB$2:$MB$200=L$4),0),$E252-1973)</f>
        <v>#N/A</v>
      </c>
      <c r="M252" t="e" cm="1">
        <f t="array" ref="M252">INDEX('GMW - Baseline'!$A$2:$MC$200,MATCH(1,('GMW - Baseline'!$MC$2:$MC$200=M$3)*('GMW - Baseline'!$MB$2:$MB$200=M$4),0),$E252-1973)</f>
        <v>#N/A</v>
      </c>
      <c r="N252" t="e" cm="1">
        <f t="array" ref="N252">INDEX('GMW - Baseline'!$A$2:$MC$200,MATCH(1,('GMW - Baseline'!$MC$2:$MC$200=N$3)*('GMW - Baseline'!$MB$2:$MB$200=N$4),0),$E252-1973)</f>
        <v>#N/A</v>
      </c>
      <c r="O252" t="e" cm="1">
        <f t="array" ref="O252">INDEX('GMW - Baseline'!$A$2:$MC$200,MATCH(1,('GMW - Baseline'!$MC$2:$MC$200=O$3)*('GMW - Baseline'!$MB$2:$MB$200=O$4),0),$E252-1973)</f>
        <v>#N/A</v>
      </c>
      <c r="P252" t="e" cm="1">
        <f t="array" ref="P252">INDEX('GMW - Baseline'!$A$2:$MC$200,MATCH(1,('GMW - Baseline'!$MC$2:$MC$200=P$3)*('GMW - Baseline'!$MB$2:$MB$200=P$4),0),$E252-1973)</f>
        <v>#N/A</v>
      </c>
      <c r="Q252" t="e" cm="1">
        <f t="array" ref="Q252">INDEX('GMW - Baseline'!$A$2:$MC$200,MATCH(1,('GMW - Baseline'!$MC$2:$MC$200=Q$3)*('GMW - Baseline'!$MB$2:$MB$200=Q$4),0),$E252-1973)</f>
        <v>#N/A</v>
      </c>
      <c r="R252" t="e" cm="1">
        <f t="array" ref="R252">INDEX('GMW - Baseline'!$A$2:$MC$200,MATCH(1,('GMW - Baseline'!$MC$2:$MC$200=R$3)*('GMW - Baseline'!$MB$2:$MB$200=R$4),0),$E252-1973)</f>
        <v>#N/A</v>
      </c>
      <c r="S252" t="e" cm="1">
        <f t="array" ref="S252">INDEX('GMW - Baseline'!$A$2:$MC$200,MATCH(1,('GMW - Baseline'!$MC$2:$MC$200=S$3)*('GMW - Baseline'!$MB$2:$MB$200=S$4),0),$E252-1973)</f>
        <v>#N/A</v>
      </c>
      <c r="T252" t="e" cm="1">
        <f t="array" ref="T252">INDEX('GMW - Baseline'!$A$2:$MC$200,MATCH(1,('GMW - Baseline'!$MC$2:$MC$200=T$3)*('GMW - Baseline'!$MB$2:$MB$200=T$4),0),$E252-1973)</f>
        <v>#N/A</v>
      </c>
    </row>
    <row r="253" spans="1:20" x14ac:dyDescent="0.25">
      <c r="B253">
        <f t="shared" si="20"/>
        <v>2041</v>
      </c>
      <c r="C253">
        <f t="shared" si="20"/>
        <v>2041</v>
      </c>
      <c r="E253">
        <f t="shared" si="16"/>
        <v>2226</v>
      </c>
      <c r="F253" t="str" cm="1">
        <f t="array" ref="F253">INDEX('GMW - Baseline'!$A$2:$MC$200,MATCH(1,('GMW - Baseline'!$MC$2:$MC$200=F$3)*('GMW - Baseline'!$MB$2:$MB$200=F$4),0),$E253-1973)</f>
        <v>NA</v>
      </c>
      <c r="G253" t="str" cm="1">
        <f t="array" ref="G253">INDEX('GMW - Baseline'!$A$2:$MC$200,MATCH(1,('GMW - Baseline'!$MC$2:$MC$200=G$3)*('GMW - Baseline'!$MB$2:$MB$200=G$4),0),$E253-1973)</f>
        <v>NA</v>
      </c>
      <c r="H253" t="str" cm="1">
        <f t="array" ref="H253">INDEX('GMW - Baseline'!$A$2:$MC$200,MATCH(1,('GMW - Baseline'!$MC$2:$MC$200=H$3)*('GMW - Baseline'!$MB$2:$MB$200=H$4),0),$E253-1973)</f>
        <v>NA</v>
      </c>
      <c r="I253" t="str" cm="1">
        <f t="array" ref="I253">INDEX('GMW - Baseline'!$A$2:$MC$200,MATCH(1,('GMW - Baseline'!$MC$2:$MC$200=I$3)*('GMW - Baseline'!$MB$2:$MB$200=I$4),0),$E253-1973)</f>
        <v>NA</v>
      </c>
      <c r="J253" t="e" cm="1">
        <f t="array" ref="J253">INDEX('GMW - Baseline'!$A$2:$MC$200,MATCH(1,('GMW - Baseline'!$MC$2:$MC$200=J$3)*('GMW - Baseline'!$MB$2:$MB$200=J$4),0),$E253-1973)</f>
        <v>#N/A</v>
      </c>
      <c r="K253" t="e" cm="1">
        <f t="array" ref="K253">INDEX('GMW - Baseline'!$A$2:$MC$200,MATCH(1,('GMW - Baseline'!$MC$2:$MC$200=K$3)*('GMW - Baseline'!$MB$2:$MB$200=K$4),0),$E253-1973)</f>
        <v>#N/A</v>
      </c>
      <c r="L253" t="e" cm="1">
        <f t="array" ref="L253">INDEX('GMW - Baseline'!$A$2:$MC$200,MATCH(1,('GMW - Baseline'!$MC$2:$MC$200=L$3)*('GMW - Baseline'!$MB$2:$MB$200=L$4),0),$E253-1973)</f>
        <v>#N/A</v>
      </c>
      <c r="M253" t="e" cm="1">
        <f t="array" ref="M253">INDEX('GMW - Baseline'!$A$2:$MC$200,MATCH(1,('GMW - Baseline'!$MC$2:$MC$200=M$3)*('GMW - Baseline'!$MB$2:$MB$200=M$4),0),$E253-1973)</f>
        <v>#N/A</v>
      </c>
      <c r="N253" t="e" cm="1">
        <f t="array" ref="N253">INDEX('GMW - Baseline'!$A$2:$MC$200,MATCH(1,('GMW - Baseline'!$MC$2:$MC$200=N$3)*('GMW - Baseline'!$MB$2:$MB$200=N$4),0),$E253-1973)</f>
        <v>#N/A</v>
      </c>
      <c r="O253" t="e" cm="1">
        <f t="array" ref="O253">INDEX('GMW - Baseline'!$A$2:$MC$200,MATCH(1,('GMW - Baseline'!$MC$2:$MC$200=O$3)*('GMW - Baseline'!$MB$2:$MB$200=O$4),0),$E253-1973)</f>
        <v>#N/A</v>
      </c>
      <c r="P253" t="e" cm="1">
        <f t="array" ref="P253">INDEX('GMW - Baseline'!$A$2:$MC$200,MATCH(1,('GMW - Baseline'!$MC$2:$MC$200=P$3)*('GMW - Baseline'!$MB$2:$MB$200=P$4),0),$E253-1973)</f>
        <v>#N/A</v>
      </c>
      <c r="Q253" t="e" cm="1">
        <f t="array" ref="Q253">INDEX('GMW - Baseline'!$A$2:$MC$200,MATCH(1,('GMW - Baseline'!$MC$2:$MC$200=Q$3)*('GMW - Baseline'!$MB$2:$MB$200=Q$4),0),$E253-1973)</f>
        <v>#N/A</v>
      </c>
      <c r="R253" t="e" cm="1">
        <f t="array" ref="R253">INDEX('GMW - Baseline'!$A$2:$MC$200,MATCH(1,('GMW - Baseline'!$MC$2:$MC$200=R$3)*('GMW - Baseline'!$MB$2:$MB$200=R$4),0),$E253-1973)</f>
        <v>#N/A</v>
      </c>
      <c r="S253" t="e" cm="1">
        <f t="array" ref="S253">INDEX('GMW - Baseline'!$A$2:$MC$200,MATCH(1,('GMW - Baseline'!$MC$2:$MC$200=S$3)*('GMW - Baseline'!$MB$2:$MB$200=S$4),0),$E253-1973)</f>
        <v>#N/A</v>
      </c>
      <c r="T253" t="e" cm="1">
        <f t="array" ref="T253">INDEX('GMW - Baseline'!$A$2:$MC$200,MATCH(1,('GMW - Baseline'!$MC$2:$MC$200=T$3)*('GMW - Baseline'!$MB$2:$MB$200=T$4),0),$E253-1973)</f>
        <v>#N/A</v>
      </c>
    </row>
    <row r="254" spans="1:20" x14ac:dyDescent="0.25">
      <c r="B254">
        <f t="shared" si="20"/>
        <v>2041</v>
      </c>
      <c r="C254">
        <f t="shared" si="20"/>
        <v>2041</v>
      </c>
      <c r="E254">
        <f t="shared" si="16"/>
        <v>2227</v>
      </c>
      <c r="F254" t="str" cm="1">
        <f t="array" ref="F254">INDEX('GMW - Baseline'!$A$2:$MC$200,MATCH(1,('GMW - Baseline'!$MC$2:$MC$200=F$3)*('GMW - Baseline'!$MB$2:$MB$200=F$4),0),$E254-1973)</f>
        <v>NA</v>
      </c>
      <c r="G254" t="str" cm="1">
        <f t="array" ref="G254">INDEX('GMW - Baseline'!$A$2:$MC$200,MATCH(1,('GMW - Baseline'!$MC$2:$MC$200=G$3)*('GMW - Baseline'!$MB$2:$MB$200=G$4),0),$E254-1973)</f>
        <v>NA</v>
      </c>
      <c r="H254" t="str" cm="1">
        <f t="array" ref="H254">INDEX('GMW - Baseline'!$A$2:$MC$200,MATCH(1,('GMW - Baseline'!$MC$2:$MC$200=H$3)*('GMW - Baseline'!$MB$2:$MB$200=H$4),0),$E254-1973)</f>
        <v>NA</v>
      </c>
      <c r="I254" t="str" cm="1">
        <f t="array" ref="I254">INDEX('GMW - Baseline'!$A$2:$MC$200,MATCH(1,('GMW - Baseline'!$MC$2:$MC$200=I$3)*('GMW - Baseline'!$MB$2:$MB$200=I$4),0),$E254-1973)</f>
        <v>NA</v>
      </c>
      <c r="J254" t="e" cm="1">
        <f t="array" ref="J254">INDEX('GMW - Baseline'!$A$2:$MC$200,MATCH(1,('GMW - Baseline'!$MC$2:$MC$200=J$3)*('GMW - Baseline'!$MB$2:$MB$200=J$4),0),$E254-1973)</f>
        <v>#N/A</v>
      </c>
      <c r="K254" t="e" cm="1">
        <f t="array" ref="K254">INDEX('GMW - Baseline'!$A$2:$MC$200,MATCH(1,('GMW - Baseline'!$MC$2:$MC$200=K$3)*('GMW - Baseline'!$MB$2:$MB$200=K$4),0),$E254-1973)</f>
        <v>#N/A</v>
      </c>
      <c r="L254" t="e" cm="1">
        <f t="array" ref="L254">INDEX('GMW - Baseline'!$A$2:$MC$200,MATCH(1,('GMW - Baseline'!$MC$2:$MC$200=L$3)*('GMW - Baseline'!$MB$2:$MB$200=L$4),0),$E254-1973)</f>
        <v>#N/A</v>
      </c>
      <c r="M254" t="e" cm="1">
        <f t="array" ref="M254">INDEX('GMW - Baseline'!$A$2:$MC$200,MATCH(1,('GMW - Baseline'!$MC$2:$MC$200=M$3)*('GMW - Baseline'!$MB$2:$MB$200=M$4),0),$E254-1973)</f>
        <v>#N/A</v>
      </c>
      <c r="N254" t="e" cm="1">
        <f t="array" ref="N254">INDEX('GMW - Baseline'!$A$2:$MC$200,MATCH(1,('GMW - Baseline'!$MC$2:$MC$200=N$3)*('GMW - Baseline'!$MB$2:$MB$200=N$4),0),$E254-1973)</f>
        <v>#N/A</v>
      </c>
      <c r="O254" t="e" cm="1">
        <f t="array" ref="O254">INDEX('GMW - Baseline'!$A$2:$MC$200,MATCH(1,('GMW - Baseline'!$MC$2:$MC$200=O$3)*('GMW - Baseline'!$MB$2:$MB$200=O$4),0),$E254-1973)</f>
        <v>#N/A</v>
      </c>
      <c r="P254" t="e" cm="1">
        <f t="array" ref="P254">INDEX('GMW - Baseline'!$A$2:$MC$200,MATCH(1,('GMW - Baseline'!$MC$2:$MC$200=P$3)*('GMW - Baseline'!$MB$2:$MB$200=P$4),0),$E254-1973)</f>
        <v>#N/A</v>
      </c>
      <c r="Q254" t="e" cm="1">
        <f t="array" ref="Q254">INDEX('GMW - Baseline'!$A$2:$MC$200,MATCH(1,('GMW - Baseline'!$MC$2:$MC$200=Q$3)*('GMW - Baseline'!$MB$2:$MB$200=Q$4),0),$E254-1973)</f>
        <v>#N/A</v>
      </c>
      <c r="R254" t="e" cm="1">
        <f t="array" ref="R254">INDEX('GMW - Baseline'!$A$2:$MC$200,MATCH(1,('GMW - Baseline'!$MC$2:$MC$200=R$3)*('GMW - Baseline'!$MB$2:$MB$200=R$4),0),$E254-1973)</f>
        <v>#N/A</v>
      </c>
      <c r="S254" t="e" cm="1">
        <f t="array" ref="S254">INDEX('GMW - Baseline'!$A$2:$MC$200,MATCH(1,('GMW - Baseline'!$MC$2:$MC$200=S$3)*('GMW - Baseline'!$MB$2:$MB$200=S$4),0),$E254-1973)</f>
        <v>#N/A</v>
      </c>
      <c r="T254" t="e" cm="1">
        <f t="array" ref="T254">INDEX('GMW - Baseline'!$A$2:$MC$200,MATCH(1,('GMW - Baseline'!$MC$2:$MC$200=T$3)*('GMW - Baseline'!$MB$2:$MB$200=T$4),0),$E254-1973)</f>
        <v>#N/A</v>
      </c>
    </row>
    <row r="255" spans="1:20" x14ac:dyDescent="0.25">
      <c r="A255">
        <v>2042</v>
      </c>
      <c r="B255">
        <f t="shared" si="20"/>
        <v>2042</v>
      </c>
      <c r="C255">
        <f t="shared" si="20"/>
        <v>2041</v>
      </c>
      <c r="D255">
        <f t="shared" si="20"/>
        <v>2041</v>
      </c>
      <c r="E255">
        <f t="shared" si="16"/>
        <v>2228</v>
      </c>
      <c r="F255" t="str" cm="1">
        <f t="array" ref="F255">INDEX('GMW - Baseline'!$A$2:$MC$200,MATCH(1,('GMW - Baseline'!$MC$2:$MC$200=F$3)*('GMW - Baseline'!$MB$2:$MB$200=F$4),0),$E255-1973)</f>
        <v>NA</v>
      </c>
      <c r="G255" t="str" cm="1">
        <f t="array" ref="G255">INDEX('GMW - Baseline'!$A$2:$MC$200,MATCH(1,('GMW - Baseline'!$MC$2:$MC$200=G$3)*('GMW - Baseline'!$MB$2:$MB$200=G$4),0),$E255-1973)</f>
        <v>NA</v>
      </c>
      <c r="H255" t="str" cm="1">
        <f t="array" ref="H255">INDEX('GMW - Baseline'!$A$2:$MC$200,MATCH(1,('GMW - Baseline'!$MC$2:$MC$200=H$3)*('GMW - Baseline'!$MB$2:$MB$200=H$4),0),$E255-1973)</f>
        <v>NA</v>
      </c>
      <c r="I255" t="str" cm="1">
        <f t="array" ref="I255">INDEX('GMW - Baseline'!$A$2:$MC$200,MATCH(1,('GMW - Baseline'!$MC$2:$MC$200=I$3)*('GMW - Baseline'!$MB$2:$MB$200=I$4),0),$E255-1973)</f>
        <v>NA</v>
      </c>
      <c r="J255" t="e" cm="1">
        <f t="array" ref="J255">INDEX('GMW - Baseline'!$A$2:$MC$200,MATCH(1,('GMW - Baseline'!$MC$2:$MC$200=J$3)*('GMW - Baseline'!$MB$2:$MB$200=J$4),0),$E255-1973)</f>
        <v>#N/A</v>
      </c>
      <c r="K255" t="e" cm="1">
        <f t="array" ref="K255">INDEX('GMW - Baseline'!$A$2:$MC$200,MATCH(1,('GMW - Baseline'!$MC$2:$MC$200=K$3)*('GMW - Baseline'!$MB$2:$MB$200=K$4),0),$E255-1973)</f>
        <v>#N/A</v>
      </c>
      <c r="L255" t="e" cm="1">
        <f t="array" ref="L255">INDEX('GMW - Baseline'!$A$2:$MC$200,MATCH(1,('GMW - Baseline'!$MC$2:$MC$200=L$3)*('GMW - Baseline'!$MB$2:$MB$200=L$4),0),$E255-1973)</f>
        <v>#N/A</v>
      </c>
      <c r="M255" t="e" cm="1">
        <f t="array" ref="M255">INDEX('GMW - Baseline'!$A$2:$MC$200,MATCH(1,('GMW - Baseline'!$MC$2:$MC$200=M$3)*('GMW - Baseline'!$MB$2:$MB$200=M$4),0),$E255-1973)</f>
        <v>#N/A</v>
      </c>
      <c r="N255" t="e" cm="1">
        <f t="array" ref="N255">INDEX('GMW - Baseline'!$A$2:$MC$200,MATCH(1,('GMW - Baseline'!$MC$2:$MC$200=N$3)*('GMW - Baseline'!$MB$2:$MB$200=N$4),0),$E255-1973)</f>
        <v>#N/A</v>
      </c>
      <c r="O255" t="e" cm="1">
        <f t="array" ref="O255">INDEX('GMW - Baseline'!$A$2:$MC$200,MATCH(1,('GMW - Baseline'!$MC$2:$MC$200=O$3)*('GMW - Baseline'!$MB$2:$MB$200=O$4),0),$E255-1973)</f>
        <v>#N/A</v>
      </c>
      <c r="P255" t="e" cm="1">
        <f t="array" ref="P255">INDEX('GMW - Baseline'!$A$2:$MC$200,MATCH(1,('GMW - Baseline'!$MC$2:$MC$200=P$3)*('GMW - Baseline'!$MB$2:$MB$200=P$4),0),$E255-1973)</f>
        <v>#N/A</v>
      </c>
      <c r="Q255" t="e" cm="1">
        <f t="array" ref="Q255">INDEX('GMW - Baseline'!$A$2:$MC$200,MATCH(1,('GMW - Baseline'!$MC$2:$MC$200=Q$3)*('GMW - Baseline'!$MB$2:$MB$200=Q$4),0),$E255-1973)</f>
        <v>#N/A</v>
      </c>
      <c r="R255" t="e" cm="1">
        <f t="array" ref="R255">INDEX('GMW - Baseline'!$A$2:$MC$200,MATCH(1,('GMW - Baseline'!$MC$2:$MC$200=R$3)*('GMW - Baseline'!$MB$2:$MB$200=R$4),0),$E255-1973)</f>
        <v>#N/A</v>
      </c>
      <c r="S255" t="e" cm="1">
        <f t="array" ref="S255">INDEX('GMW - Baseline'!$A$2:$MC$200,MATCH(1,('GMW - Baseline'!$MC$2:$MC$200=S$3)*('GMW - Baseline'!$MB$2:$MB$200=S$4),0),$E255-1973)</f>
        <v>#N/A</v>
      </c>
      <c r="T255" t="e" cm="1">
        <f t="array" ref="T255">INDEX('GMW - Baseline'!$A$2:$MC$200,MATCH(1,('GMW - Baseline'!$MC$2:$MC$200=T$3)*('GMW - Baseline'!$MB$2:$MB$200=T$4),0),$E255-1973)</f>
        <v>#N/A</v>
      </c>
    </row>
    <row r="256" spans="1:20" x14ac:dyDescent="0.25">
      <c r="B256">
        <f t="shared" si="20"/>
        <v>2042</v>
      </c>
      <c r="C256">
        <f t="shared" si="20"/>
        <v>2042</v>
      </c>
      <c r="E256">
        <f t="shared" si="16"/>
        <v>2229</v>
      </c>
      <c r="F256" t="str" cm="1">
        <f t="array" ref="F256">INDEX('GMW - Baseline'!$A$2:$MC$200,MATCH(1,('GMW - Baseline'!$MC$2:$MC$200=F$3)*('GMW - Baseline'!$MB$2:$MB$200=F$4),0),$E256-1973)</f>
        <v>NA</v>
      </c>
      <c r="G256" t="str" cm="1">
        <f t="array" ref="G256">INDEX('GMW - Baseline'!$A$2:$MC$200,MATCH(1,('GMW - Baseline'!$MC$2:$MC$200=G$3)*('GMW - Baseline'!$MB$2:$MB$200=G$4),0),$E256-1973)</f>
        <v>NA</v>
      </c>
      <c r="H256" t="str" cm="1">
        <f t="array" ref="H256">INDEX('GMW - Baseline'!$A$2:$MC$200,MATCH(1,('GMW - Baseline'!$MC$2:$MC$200=H$3)*('GMW - Baseline'!$MB$2:$MB$200=H$4),0),$E256-1973)</f>
        <v>NA</v>
      </c>
      <c r="I256" t="str" cm="1">
        <f t="array" ref="I256">INDEX('GMW - Baseline'!$A$2:$MC$200,MATCH(1,('GMW - Baseline'!$MC$2:$MC$200=I$3)*('GMW - Baseline'!$MB$2:$MB$200=I$4),0),$E256-1973)</f>
        <v>NA</v>
      </c>
      <c r="J256" t="e" cm="1">
        <f t="array" ref="J256">INDEX('GMW - Baseline'!$A$2:$MC$200,MATCH(1,('GMW - Baseline'!$MC$2:$MC$200=J$3)*('GMW - Baseline'!$MB$2:$MB$200=J$4),0),$E256-1973)</f>
        <v>#N/A</v>
      </c>
      <c r="K256" t="e" cm="1">
        <f t="array" ref="K256">INDEX('GMW - Baseline'!$A$2:$MC$200,MATCH(1,('GMW - Baseline'!$MC$2:$MC$200=K$3)*('GMW - Baseline'!$MB$2:$MB$200=K$4),0),$E256-1973)</f>
        <v>#N/A</v>
      </c>
      <c r="L256" t="e" cm="1">
        <f t="array" ref="L256">INDEX('GMW - Baseline'!$A$2:$MC$200,MATCH(1,('GMW - Baseline'!$MC$2:$MC$200=L$3)*('GMW - Baseline'!$MB$2:$MB$200=L$4),0),$E256-1973)</f>
        <v>#N/A</v>
      </c>
      <c r="M256" t="e" cm="1">
        <f t="array" ref="M256">INDEX('GMW - Baseline'!$A$2:$MC$200,MATCH(1,('GMW - Baseline'!$MC$2:$MC$200=M$3)*('GMW - Baseline'!$MB$2:$MB$200=M$4),0),$E256-1973)</f>
        <v>#N/A</v>
      </c>
      <c r="N256" t="e" cm="1">
        <f t="array" ref="N256">INDEX('GMW - Baseline'!$A$2:$MC$200,MATCH(1,('GMW - Baseline'!$MC$2:$MC$200=N$3)*('GMW - Baseline'!$MB$2:$MB$200=N$4),0),$E256-1973)</f>
        <v>#N/A</v>
      </c>
      <c r="O256" t="e" cm="1">
        <f t="array" ref="O256">INDEX('GMW - Baseline'!$A$2:$MC$200,MATCH(1,('GMW - Baseline'!$MC$2:$MC$200=O$3)*('GMW - Baseline'!$MB$2:$MB$200=O$4),0),$E256-1973)</f>
        <v>#N/A</v>
      </c>
      <c r="P256" t="e" cm="1">
        <f t="array" ref="P256">INDEX('GMW - Baseline'!$A$2:$MC$200,MATCH(1,('GMW - Baseline'!$MC$2:$MC$200=P$3)*('GMW - Baseline'!$MB$2:$MB$200=P$4),0),$E256-1973)</f>
        <v>#N/A</v>
      </c>
      <c r="Q256" t="e" cm="1">
        <f t="array" ref="Q256">INDEX('GMW - Baseline'!$A$2:$MC$200,MATCH(1,('GMW - Baseline'!$MC$2:$MC$200=Q$3)*('GMW - Baseline'!$MB$2:$MB$200=Q$4),0),$E256-1973)</f>
        <v>#N/A</v>
      </c>
      <c r="R256" t="e" cm="1">
        <f t="array" ref="R256">INDEX('GMW - Baseline'!$A$2:$MC$200,MATCH(1,('GMW - Baseline'!$MC$2:$MC$200=R$3)*('GMW - Baseline'!$MB$2:$MB$200=R$4),0),$E256-1973)</f>
        <v>#N/A</v>
      </c>
      <c r="S256" t="e" cm="1">
        <f t="array" ref="S256">INDEX('GMW - Baseline'!$A$2:$MC$200,MATCH(1,('GMW - Baseline'!$MC$2:$MC$200=S$3)*('GMW - Baseline'!$MB$2:$MB$200=S$4),0),$E256-1973)</f>
        <v>#N/A</v>
      </c>
      <c r="T256" t="e" cm="1">
        <f t="array" ref="T256">INDEX('GMW - Baseline'!$A$2:$MC$200,MATCH(1,('GMW - Baseline'!$MC$2:$MC$200=T$3)*('GMW - Baseline'!$MB$2:$MB$200=T$4),0),$E256-1973)</f>
        <v>#N/A</v>
      </c>
    </row>
    <row r="257" spans="1:20" x14ac:dyDescent="0.25">
      <c r="B257">
        <f t="shared" si="20"/>
        <v>2042</v>
      </c>
      <c r="C257">
        <f t="shared" si="20"/>
        <v>2042</v>
      </c>
      <c r="E257">
        <f t="shared" si="16"/>
        <v>2230</v>
      </c>
      <c r="F257" t="str" cm="1">
        <f t="array" ref="F257">INDEX('GMW - Baseline'!$A$2:$MC$200,MATCH(1,('GMW - Baseline'!$MC$2:$MC$200=F$3)*('GMW - Baseline'!$MB$2:$MB$200=F$4),0),$E257-1973)</f>
        <v>NA</v>
      </c>
      <c r="G257" t="str" cm="1">
        <f t="array" ref="G257">INDEX('GMW - Baseline'!$A$2:$MC$200,MATCH(1,('GMW - Baseline'!$MC$2:$MC$200=G$3)*('GMW - Baseline'!$MB$2:$MB$200=G$4),0),$E257-1973)</f>
        <v>NA</v>
      </c>
      <c r="H257" t="str" cm="1">
        <f t="array" ref="H257">INDEX('GMW - Baseline'!$A$2:$MC$200,MATCH(1,('GMW - Baseline'!$MC$2:$MC$200=H$3)*('GMW - Baseline'!$MB$2:$MB$200=H$4),0),$E257-1973)</f>
        <v>NA</v>
      </c>
      <c r="I257" t="str" cm="1">
        <f t="array" ref="I257">INDEX('GMW - Baseline'!$A$2:$MC$200,MATCH(1,('GMW - Baseline'!$MC$2:$MC$200=I$3)*('GMW - Baseline'!$MB$2:$MB$200=I$4),0),$E257-1973)</f>
        <v>NA</v>
      </c>
      <c r="J257" t="e" cm="1">
        <f t="array" ref="J257">INDEX('GMW - Baseline'!$A$2:$MC$200,MATCH(1,('GMW - Baseline'!$MC$2:$MC$200=J$3)*('GMW - Baseline'!$MB$2:$MB$200=J$4),0),$E257-1973)</f>
        <v>#N/A</v>
      </c>
      <c r="K257" t="e" cm="1">
        <f t="array" ref="K257">INDEX('GMW - Baseline'!$A$2:$MC$200,MATCH(1,('GMW - Baseline'!$MC$2:$MC$200=K$3)*('GMW - Baseline'!$MB$2:$MB$200=K$4),0),$E257-1973)</f>
        <v>#N/A</v>
      </c>
      <c r="L257" t="e" cm="1">
        <f t="array" ref="L257">INDEX('GMW - Baseline'!$A$2:$MC$200,MATCH(1,('GMW - Baseline'!$MC$2:$MC$200=L$3)*('GMW - Baseline'!$MB$2:$MB$200=L$4),0),$E257-1973)</f>
        <v>#N/A</v>
      </c>
      <c r="M257" t="e" cm="1">
        <f t="array" ref="M257">INDEX('GMW - Baseline'!$A$2:$MC$200,MATCH(1,('GMW - Baseline'!$MC$2:$MC$200=M$3)*('GMW - Baseline'!$MB$2:$MB$200=M$4),0),$E257-1973)</f>
        <v>#N/A</v>
      </c>
      <c r="N257" t="e" cm="1">
        <f t="array" ref="N257">INDEX('GMW - Baseline'!$A$2:$MC$200,MATCH(1,('GMW - Baseline'!$MC$2:$MC$200=N$3)*('GMW - Baseline'!$MB$2:$MB$200=N$4),0),$E257-1973)</f>
        <v>#N/A</v>
      </c>
      <c r="O257" t="e" cm="1">
        <f t="array" ref="O257">INDEX('GMW - Baseline'!$A$2:$MC$200,MATCH(1,('GMW - Baseline'!$MC$2:$MC$200=O$3)*('GMW - Baseline'!$MB$2:$MB$200=O$4),0),$E257-1973)</f>
        <v>#N/A</v>
      </c>
      <c r="P257" t="e" cm="1">
        <f t="array" ref="P257">INDEX('GMW - Baseline'!$A$2:$MC$200,MATCH(1,('GMW - Baseline'!$MC$2:$MC$200=P$3)*('GMW - Baseline'!$MB$2:$MB$200=P$4),0),$E257-1973)</f>
        <v>#N/A</v>
      </c>
      <c r="Q257" t="e" cm="1">
        <f t="array" ref="Q257">INDEX('GMW - Baseline'!$A$2:$MC$200,MATCH(1,('GMW - Baseline'!$MC$2:$MC$200=Q$3)*('GMW - Baseline'!$MB$2:$MB$200=Q$4),0),$E257-1973)</f>
        <v>#N/A</v>
      </c>
      <c r="R257" t="e" cm="1">
        <f t="array" ref="R257">INDEX('GMW - Baseline'!$A$2:$MC$200,MATCH(1,('GMW - Baseline'!$MC$2:$MC$200=R$3)*('GMW - Baseline'!$MB$2:$MB$200=R$4),0),$E257-1973)</f>
        <v>#N/A</v>
      </c>
      <c r="S257" t="e" cm="1">
        <f t="array" ref="S257">INDEX('GMW - Baseline'!$A$2:$MC$200,MATCH(1,('GMW - Baseline'!$MC$2:$MC$200=S$3)*('GMW - Baseline'!$MB$2:$MB$200=S$4),0),$E257-1973)</f>
        <v>#N/A</v>
      </c>
      <c r="T257" t="e" cm="1">
        <f t="array" ref="T257">INDEX('GMW - Baseline'!$A$2:$MC$200,MATCH(1,('GMW - Baseline'!$MC$2:$MC$200=T$3)*('GMW - Baseline'!$MB$2:$MB$200=T$4),0),$E257-1973)</f>
        <v>#N/A</v>
      </c>
    </row>
    <row r="258" spans="1:20" x14ac:dyDescent="0.25">
      <c r="B258">
        <f t="shared" si="20"/>
        <v>2042</v>
      </c>
      <c r="C258">
        <f t="shared" si="20"/>
        <v>2042</v>
      </c>
      <c r="E258">
        <f t="shared" si="16"/>
        <v>2231</v>
      </c>
      <c r="F258" t="str" cm="1">
        <f t="array" ref="F258">INDEX('GMW - Baseline'!$A$2:$MC$200,MATCH(1,('GMW - Baseline'!$MC$2:$MC$200=F$3)*('GMW - Baseline'!$MB$2:$MB$200=F$4),0),$E258-1973)</f>
        <v>NA</v>
      </c>
      <c r="G258" t="str" cm="1">
        <f t="array" ref="G258">INDEX('GMW - Baseline'!$A$2:$MC$200,MATCH(1,('GMW - Baseline'!$MC$2:$MC$200=G$3)*('GMW - Baseline'!$MB$2:$MB$200=G$4),0),$E258-1973)</f>
        <v>NA</v>
      </c>
      <c r="H258" t="str" cm="1">
        <f t="array" ref="H258">INDEX('GMW - Baseline'!$A$2:$MC$200,MATCH(1,('GMW - Baseline'!$MC$2:$MC$200=H$3)*('GMW - Baseline'!$MB$2:$MB$200=H$4),0),$E258-1973)</f>
        <v>NA</v>
      </c>
      <c r="I258" t="str" cm="1">
        <f t="array" ref="I258">INDEX('GMW - Baseline'!$A$2:$MC$200,MATCH(1,('GMW - Baseline'!$MC$2:$MC$200=I$3)*('GMW - Baseline'!$MB$2:$MB$200=I$4),0),$E258-1973)</f>
        <v>NA</v>
      </c>
      <c r="J258" t="e" cm="1">
        <f t="array" ref="J258">INDEX('GMW - Baseline'!$A$2:$MC$200,MATCH(1,('GMW - Baseline'!$MC$2:$MC$200=J$3)*('GMW - Baseline'!$MB$2:$MB$200=J$4),0),$E258-1973)</f>
        <v>#N/A</v>
      </c>
      <c r="K258" t="e" cm="1">
        <f t="array" ref="K258">INDEX('GMW - Baseline'!$A$2:$MC$200,MATCH(1,('GMW - Baseline'!$MC$2:$MC$200=K$3)*('GMW - Baseline'!$MB$2:$MB$200=K$4),0),$E258-1973)</f>
        <v>#N/A</v>
      </c>
      <c r="L258" t="e" cm="1">
        <f t="array" ref="L258">INDEX('GMW - Baseline'!$A$2:$MC$200,MATCH(1,('GMW - Baseline'!$MC$2:$MC$200=L$3)*('GMW - Baseline'!$MB$2:$MB$200=L$4),0),$E258-1973)</f>
        <v>#N/A</v>
      </c>
      <c r="M258" t="e" cm="1">
        <f t="array" ref="M258">INDEX('GMW - Baseline'!$A$2:$MC$200,MATCH(1,('GMW - Baseline'!$MC$2:$MC$200=M$3)*('GMW - Baseline'!$MB$2:$MB$200=M$4),0),$E258-1973)</f>
        <v>#N/A</v>
      </c>
      <c r="N258" t="e" cm="1">
        <f t="array" ref="N258">INDEX('GMW - Baseline'!$A$2:$MC$200,MATCH(1,('GMW - Baseline'!$MC$2:$MC$200=N$3)*('GMW - Baseline'!$MB$2:$MB$200=N$4),0),$E258-1973)</f>
        <v>#N/A</v>
      </c>
      <c r="O258" t="e" cm="1">
        <f t="array" ref="O258">INDEX('GMW - Baseline'!$A$2:$MC$200,MATCH(1,('GMW - Baseline'!$MC$2:$MC$200=O$3)*('GMW - Baseline'!$MB$2:$MB$200=O$4),0),$E258-1973)</f>
        <v>#N/A</v>
      </c>
      <c r="P258" t="e" cm="1">
        <f t="array" ref="P258">INDEX('GMW - Baseline'!$A$2:$MC$200,MATCH(1,('GMW - Baseline'!$MC$2:$MC$200=P$3)*('GMW - Baseline'!$MB$2:$MB$200=P$4),0),$E258-1973)</f>
        <v>#N/A</v>
      </c>
      <c r="Q258" t="e" cm="1">
        <f t="array" ref="Q258">INDEX('GMW - Baseline'!$A$2:$MC$200,MATCH(1,('GMW - Baseline'!$MC$2:$MC$200=Q$3)*('GMW - Baseline'!$MB$2:$MB$200=Q$4),0),$E258-1973)</f>
        <v>#N/A</v>
      </c>
      <c r="R258" t="e" cm="1">
        <f t="array" ref="R258">INDEX('GMW - Baseline'!$A$2:$MC$200,MATCH(1,('GMW - Baseline'!$MC$2:$MC$200=R$3)*('GMW - Baseline'!$MB$2:$MB$200=R$4),0),$E258-1973)</f>
        <v>#N/A</v>
      </c>
      <c r="S258" t="e" cm="1">
        <f t="array" ref="S258">INDEX('GMW - Baseline'!$A$2:$MC$200,MATCH(1,('GMW - Baseline'!$MC$2:$MC$200=S$3)*('GMW - Baseline'!$MB$2:$MB$200=S$4),0),$E258-1973)</f>
        <v>#N/A</v>
      </c>
      <c r="T258" t="e" cm="1">
        <f t="array" ref="T258">INDEX('GMW - Baseline'!$A$2:$MC$200,MATCH(1,('GMW - Baseline'!$MC$2:$MC$200=T$3)*('GMW - Baseline'!$MB$2:$MB$200=T$4),0),$E258-1973)</f>
        <v>#N/A</v>
      </c>
    </row>
    <row r="259" spans="1:20" x14ac:dyDescent="0.25">
      <c r="A259">
        <v>2043</v>
      </c>
      <c r="B259">
        <f t="shared" si="20"/>
        <v>2043</v>
      </c>
      <c r="C259">
        <f t="shared" si="20"/>
        <v>2042</v>
      </c>
      <c r="D259">
        <f t="shared" si="20"/>
        <v>2042</v>
      </c>
      <c r="E259">
        <f t="shared" si="16"/>
        <v>2232</v>
      </c>
      <c r="F259" t="str" cm="1">
        <f t="array" ref="F259">INDEX('GMW - Baseline'!$A$2:$MC$200,MATCH(1,('GMW - Baseline'!$MC$2:$MC$200=F$3)*('GMW - Baseline'!$MB$2:$MB$200=F$4),0),$E259-1973)</f>
        <v>NA</v>
      </c>
      <c r="G259" t="str" cm="1">
        <f t="array" ref="G259">INDEX('GMW - Baseline'!$A$2:$MC$200,MATCH(1,('GMW - Baseline'!$MC$2:$MC$200=G$3)*('GMW - Baseline'!$MB$2:$MB$200=G$4),0),$E259-1973)</f>
        <v>NA</v>
      </c>
      <c r="H259" t="str" cm="1">
        <f t="array" ref="H259">INDEX('GMW - Baseline'!$A$2:$MC$200,MATCH(1,('GMW - Baseline'!$MC$2:$MC$200=H$3)*('GMW - Baseline'!$MB$2:$MB$200=H$4),0),$E259-1973)</f>
        <v>NA</v>
      </c>
      <c r="I259" t="str" cm="1">
        <f t="array" ref="I259">INDEX('GMW - Baseline'!$A$2:$MC$200,MATCH(1,('GMW - Baseline'!$MC$2:$MC$200=I$3)*('GMW - Baseline'!$MB$2:$MB$200=I$4),0),$E259-1973)</f>
        <v>NA</v>
      </c>
      <c r="J259" t="e" cm="1">
        <f t="array" ref="J259">INDEX('GMW - Baseline'!$A$2:$MC$200,MATCH(1,('GMW - Baseline'!$MC$2:$MC$200=J$3)*('GMW - Baseline'!$MB$2:$MB$200=J$4),0),$E259-1973)</f>
        <v>#N/A</v>
      </c>
      <c r="K259" t="e" cm="1">
        <f t="array" ref="K259">INDEX('GMW - Baseline'!$A$2:$MC$200,MATCH(1,('GMW - Baseline'!$MC$2:$MC$200=K$3)*('GMW - Baseline'!$MB$2:$MB$200=K$4),0),$E259-1973)</f>
        <v>#N/A</v>
      </c>
      <c r="L259" t="e" cm="1">
        <f t="array" ref="L259">INDEX('GMW - Baseline'!$A$2:$MC$200,MATCH(1,('GMW - Baseline'!$MC$2:$MC$200=L$3)*('GMW - Baseline'!$MB$2:$MB$200=L$4),0),$E259-1973)</f>
        <v>#N/A</v>
      </c>
      <c r="M259" t="e" cm="1">
        <f t="array" ref="M259">INDEX('GMW - Baseline'!$A$2:$MC$200,MATCH(1,('GMW - Baseline'!$MC$2:$MC$200=M$3)*('GMW - Baseline'!$MB$2:$MB$200=M$4),0),$E259-1973)</f>
        <v>#N/A</v>
      </c>
      <c r="N259" t="e" cm="1">
        <f t="array" ref="N259">INDEX('GMW - Baseline'!$A$2:$MC$200,MATCH(1,('GMW - Baseline'!$MC$2:$MC$200=N$3)*('GMW - Baseline'!$MB$2:$MB$200=N$4),0),$E259-1973)</f>
        <v>#N/A</v>
      </c>
      <c r="O259" t="e" cm="1">
        <f t="array" ref="O259">INDEX('GMW - Baseline'!$A$2:$MC$200,MATCH(1,('GMW - Baseline'!$MC$2:$MC$200=O$3)*('GMW - Baseline'!$MB$2:$MB$200=O$4),0),$E259-1973)</f>
        <v>#N/A</v>
      </c>
      <c r="P259" t="e" cm="1">
        <f t="array" ref="P259">INDEX('GMW - Baseline'!$A$2:$MC$200,MATCH(1,('GMW - Baseline'!$MC$2:$MC$200=P$3)*('GMW - Baseline'!$MB$2:$MB$200=P$4),0),$E259-1973)</f>
        <v>#N/A</v>
      </c>
      <c r="Q259" t="e" cm="1">
        <f t="array" ref="Q259">INDEX('GMW - Baseline'!$A$2:$MC$200,MATCH(1,('GMW - Baseline'!$MC$2:$MC$200=Q$3)*('GMW - Baseline'!$MB$2:$MB$200=Q$4),0),$E259-1973)</f>
        <v>#N/A</v>
      </c>
      <c r="R259" t="e" cm="1">
        <f t="array" ref="R259">INDEX('GMW - Baseline'!$A$2:$MC$200,MATCH(1,('GMW - Baseline'!$MC$2:$MC$200=R$3)*('GMW - Baseline'!$MB$2:$MB$200=R$4),0),$E259-1973)</f>
        <v>#N/A</v>
      </c>
      <c r="S259" t="e" cm="1">
        <f t="array" ref="S259">INDEX('GMW - Baseline'!$A$2:$MC$200,MATCH(1,('GMW - Baseline'!$MC$2:$MC$200=S$3)*('GMW - Baseline'!$MB$2:$MB$200=S$4),0),$E259-1973)</f>
        <v>#N/A</v>
      </c>
      <c r="T259" t="e" cm="1">
        <f t="array" ref="T259">INDEX('GMW - Baseline'!$A$2:$MC$200,MATCH(1,('GMW - Baseline'!$MC$2:$MC$200=T$3)*('GMW - Baseline'!$MB$2:$MB$200=T$4),0),$E259-1973)</f>
        <v>#N/A</v>
      </c>
    </row>
    <row r="260" spans="1:20" x14ac:dyDescent="0.25">
      <c r="B260">
        <f t="shared" si="20"/>
        <v>2043</v>
      </c>
      <c r="C260">
        <f t="shared" si="20"/>
        <v>2043</v>
      </c>
      <c r="E260">
        <f t="shared" si="16"/>
        <v>2233</v>
      </c>
      <c r="F260" t="str" cm="1">
        <f t="array" ref="F260">INDEX('GMW - Baseline'!$A$2:$MC$200,MATCH(1,('GMW - Baseline'!$MC$2:$MC$200=F$3)*('GMW - Baseline'!$MB$2:$MB$200=F$4),0),$E260-1973)</f>
        <v>NA</v>
      </c>
      <c r="G260" t="str" cm="1">
        <f t="array" ref="G260">INDEX('GMW - Baseline'!$A$2:$MC$200,MATCH(1,('GMW - Baseline'!$MC$2:$MC$200=G$3)*('GMW - Baseline'!$MB$2:$MB$200=G$4),0),$E260-1973)</f>
        <v>NA</v>
      </c>
      <c r="H260" t="str" cm="1">
        <f t="array" ref="H260">INDEX('GMW - Baseline'!$A$2:$MC$200,MATCH(1,('GMW - Baseline'!$MC$2:$MC$200=H$3)*('GMW - Baseline'!$MB$2:$MB$200=H$4),0),$E260-1973)</f>
        <v>NA</v>
      </c>
      <c r="I260" t="str" cm="1">
        <f t="array" ref="I260">INDEX('GMW - Baseline'!$A$2:$MC$200,MATCH(1,('GMW - Baseline'!$MC$2:$MC$200=I$3)*('GMW - Baseline'!$MB$2:$MB$200=I$4),0),$E260-1973)</f>
        <v>NA</v>
      </c>
      <c r="J260" t="e" cm="1">
        <f t="array" ref="J260">INDEX('GMW - Baseline'!$A$2:$MC$200,MATCH(1,('GMW - Baseline'!$MC$2:$MC$200=J$3)*('GMW - Baseline'!$MB$2:$MB$200=J$4),0),$E260-1973)</f>
        <v>#N/A</v>
      </c>
      <c r="K260" t="e" cm="1">
        <f t="array" ref="K260">INDEX('GMW - Baseline'!$A$2:$MC$200,MATCH(1,('GMW - Baseline'!$MC$2:$MC$200=K$3)*('GMW - Baseline'!$MB$2:$MB$200=K$4),0),$E260-1973)</f>
        <v>#N/A</v>
      </c>
      <c r="L260" t="e" cm="1">
        <f t="array" ref="L260">INDEX('GMW - Baseline'!$A$2:$MC$200,MATCH(1,('GMW - Baseline'!$MC$2:$MC$200=L$3)*('GMW - Baseline'!$MB$2:$MB$200=L$4),0),$E260-1973)</f>
        <v>#N/A</v>
      </c>
      <c r="M260" t="e" cm="1">
        <f t="array" ref="M260">INDEX('GMW - Baseline'!$A$2:$MC$200,MATCH(1,('GMW - Baseline'!$MC$2:$MC$200=M$3)*('GMW - Baseline'!$MB$2:$MB$200=M$4),0),$E260-1973)</f>
        <v>#N/A</v>
      </c>
      <c r="N260" t="e" cm="1">
        <f t="array" ref="N260">INDEX('GMW - Baseline'!$A$2:$MC$200,MATCH(1,('GMW - Baseline'!$MC$2:$MC$200=N$3)*('GMW - Baseline'!$MB$2:$MB$200=N$4),0),$E260-1973)</f>
        <v>#N/A</v>
      </c>
      <c r="O260" t="e" cm="1">
        <f t="array" ref="O260">INDEX('GMW - Baseline'!$A$2:$MC$200,MATCH(1,('GMW - Baseline'!$MC$2:$MC$200=O$3)*('GMW - Baseline'!$MB$2:$MB$200=O$4),0),$E260-1973)</f>
        <v>#N/A</v>
      </c>
      <c r="P260" t="e" cm="1">
        <f t="array" ref="P260">INDEX('GMW - Baseline'!$A$2:$MC$200,MATCH(1,('GMW - Baseline'!$MC$2:$MC$200=P$3)*('GMW - Baseline'!$MB$2:$MB$200=P$4),0),$E260-1973)</f>
        <v>#N/A</v>
      </c>
      <c r="Q260" t="e" cm="1">
        <f t="array" ref="Q260">INDEX('GMW - Baseline'!$A$2:$MC$200,MATCH(1,('GMW - Baseline'!$MC$2:$MC$200=Q$3)*('GMW - Baseline'!$MB$2:$MB$200=Q$4),0),$E260-1973)</f>
        <v>#N/A</v>
      </c>
      <c r="R260" t="e" cm="1">
        <f t="array" ref="R260">INDEX('GMW - Baseline'!$A$2:$MC$200,MATCH(1,('GMW - Baseline'!$MC$2:$MC$200=R$3)*('GMW - Baseline'!$MB$2:$MB$200=R$4),0),$E260-1973)</f>
        <v>#N/A</v>
      </c>
      <c r="S260" t="e" cm="1">
        <f t="array" ref="S260">INDEX('GMW - Baseline'!$A$2:$MC$200,MATCH(1,('GMW - Baseline'!$MC$2:$MC$200=S$3)*('GMW - Baseline'!$MB$2:$MB$200=S$4),0),$E260-1973)</f>
        <v>#N/A</v>
      </c>
      <c r="T260" t="e" cm="1">
        <f t="array" ref="T260">INDEX('GMW - Baseline'!$A$2:$MC$200,MATCH(1,('GMW - Baseline'!$MC$2:$MC$200=T$3)*('GMW - Baseline'!$MB$2:$MB$200=T$4),0),$E260-1973)</f>
        <v>#N/A</v>
      </c>
    </row>
    <row r="261" spans="1:20" x14ac:dyDescent="0.25">
      <c r="B261">
        <f t="shared" si="20"/>
        <v>2043</v>
      </c>
      <c r="C261">
        <f t="shared" si="20"/>
        <v>2043</v>
      </c>
      <c r="E261">
        <f t="shared" si="16"/>
        <v>2234</v>
      </c>
      <c r="F261" t="str" cm="1">
        <f t="array" ref="F261">INDEX('GMW - Baseline'!$A$2:$MC$200,MATCH(1,('GMW - Baseline'!$MC$2:$MC$200=F$3)*('GMW - Baseline'!$MB$2:$MB$200=F$4),0),$E261-1973)</f>
        <v>NA</v>
      </c>
      <c r="G261" t="str" cm="1">
        <f t="array" ref="G261">INDEX('GMW - Baseline'!$A$2:$MC$200,MATCH(1,('GMW - Baseline'!$MC$2:$MC$200=G$3)*('GMW - Baseline'!$MB$2:$MB$200=G$4),0),$E261-1973)</f>
        <v>NA</v>
      </c>
      <c r="H261" t="str" cm="1">
        <f t="array" ref="H261">INDEX('GMW - Baseline'!$A$2:$MC$200,MATCH(1,('GMW - Baseline'!$MC$2:$MC$200=H$3)*('GMW - Baseline'!$MB$2:$MB$200=H$4),0),$E261-1973)</f>
        <v>NA</v>
      </c>
      <c r="I261" t="str" cm="1">
        <f t="array" ref="I261">INDEX('GMW - Baseline'!$A$2:$MC$200,MATCH(1,('GMW - Baseline'!$MC$2:$MC$200=I$3)*('GMW - Baseline'!$MB$2:$MB$200=I$4),0),$E261-1973)</f>
        <v>NA</v>
      </c>
      <c r="J261" t="e" cm="1">
        <f t="array" ref="J261">INDEX('GMW - Baseline'!$A$2:$MC$200,MATCH(1,('GMW - Baseline'!$MC$2:$MC$200=J$3)*('GMW - Baseline'!$MB$2:$MB$200=J$4),0),$E261-1973)</f>
        <v>#N/A</v>
      </c>
      <c r="K261" t="e" cm="1">
        <f t="array" ref="K261">INDEX('GMW - Baseline'!$A$2:$MC$200,MATCH(1,('GMW - Baseline'!$MC$2:$MC$200=K$3)*('GMW - Baseline'!$MB$2:$MB$200=K$4),0),$E261-1973)</f>
        <v>#N/A</v>
      </c>
      <c r="L261" t="e" cm="1">
        <f t="array" ref="L261">INDEX('GMW - Baseline'!$A$2:$MC$200,MATCH(1,('GMW - Baseline'!$MC$2:$MC$200=L$3)*('GMW - Baseline'!$MB$2:$MB$200=L$4),0),$E261-1973)</f>
        <v>#N/A</v>
      </c>
      <c r="M261" t="e" cm="1">
        <f t="array" ref="M261">INDEX('GMW - Baseline'!$A$2:$MC$200,MATCH(1,('GMW - Baseline'!$MC$2:$MC$200=M$3)*('GMW - Baseline'!$MB$2:$MB$200=M$4),0),$E261-1973)</f>
        <v>#N/A</v>
      </c>
      <c r="N261" t="e" cm="1">
        <f t="array" ref="N261">INDEX('GMW - Baseline'!$A$2:$MC$200,MATCH(1,('GMW - Baseline'!$MC$2:$MC$200=N$3)*('GMW - Baseline'!$MB$2:$MB$200=N$4),0),$E261-1973)</f>
        <v>#N/A</v>
      </c>
      <c r="O261" t="e" cm="1">
        <f t="array" ref="O261">INDEX('GMW - Baseline'!$A$2:$MC$200,MATCH(1,('GMW - Baseline'!$MC$2:$MC$200=O$3)*('GMW - Baseline'!$MB$2:$MB$200=O$4),0),$E261-1973)</f>
        <v>#N/A</v>
      </c>
      <c r="P261" t="e" cm="1">
        <f t="array" ref="P261">INDEX('GMW - Baseline'!$A$2:$MC$200,MATCH(1,('GMW - Baseline'!$MC$2:$MC$200=P$3)*('GMW - Baseline'!$MB$2:$MB$200=P$4),0),$E261-1973)</f>
        <v>#N/A</v>
      </c>
      <c r="Q261" t="e" cm="1">
        <f t="array" ref="Q261">INDEX('GMW - Baseline'!$A$2:$MC$200,MATCH(1,('GMW - Baseline'!$MC$2:$MC$200=Q$3)*('GMW - Baseline'!$MB$2:$MB$200=Q$4),0),$E261-1973)</f>
        <v>#N/A</v>
      </c>
      <c r="R261" t="e" cm="1">
        <f t="array" ref="R261">INDEX('GMW - Baseline'!$A$2:$MC$200,MATCH(1,('GMW - Baseline'!$MC$2:$MC$200=R$3)*('GMW - Baseline'!$MB$2:$MB$200=R$4),0),$E261-1973)</f>
        <v>#N/A</v>
      </c>
      <c r="S261" t="e" cm="1">
        <f t="array" ref="S261">INDEX('GMW - Baseline'!$A$2:$MC$200,MATCH(1,('GMW - Baseline'!$MC$2:$MC$200=S$3)*('GMW - Baseline'!$MB$2:$MB$200=S$4),0),$E261-1973)</f>
        <v>#N/A</v>
      </c>
      <c r="T261" t="e" cm="1">
        <f t="array" ref="T261">INDEX('GMW - Baseline'!$A$2:$MC$200,MATCH(1,('GMW - Baseline'!$MC$2:$MC$200=T$3)*('GMW - Baseline'!$MB$2:$MB$200=T$4),0),$E261-1973)</f>
        <v>#N/A</v>
      </c>
    </row>
    <row r="262" spans="1:20" x14ac:dyDescent="0.25">
      <c r="B262">
        <f t="shared" si="20"/>
        <v>2043</v>
      </c>
      <c r="C262">
        <f t="shared" si="20"/>
        <v>2043</v>
      </c>
      <c r="E262">
        <f t="shared" si="16"/>
        <v>2235</v>
      </c>
      <c r="F262" t="str" cm="1">
        <f t="array" ref="F262">INDEX('GMW - Baseline'!$A$2:$MC$200,MATCH(1,('GMW - Baseline'!$MC$2:$MC$200=F$3)*('GMW - Baseline'!$MB$2:$MB$200=F$4),0),$E262-1973)</f>
        <v>NA</v>
      </c>
      <c r="G262" t="str" cm="1">
        <f t="array" ref="G262">INDEX('GMW - Baseline'!$A$2:$MC$200,MATCH(1,('GMW - Baseline'!$MC$2:$MC$200=G$3)*('GMW - Baseline'!$MB$2:$MB$200=G$4),0),$E262-1973)</f>
        <v>NA</v>
      </c>
      <c r="H262" t="str" cm="1">
        <f t="array" ref="H262">INDEX('GMW - Baseline'!$A$2:$MC$200,MATCH(1,('GMW - Baseline'!$MC$2:$MC$200=H$3)*('GMW - Baseline'!$MB$2:$MB$200=H$4),0),$E262-1973)</f>
        <v>NA</v>
      </c>
      <c r="I262" t="str" cm="1">
        <f t="array" ref="I262">INDEX('GMW - Baseline'!$A$2:$MC$200,MATCH(1,('GMW - Baseline'!$MC$2:$MC$200=I$3)*('GMW - Baseline'!$MB$2:$MB$200=I$4),0),$E262-1973)</f>
        <v>NA</v>
      </c>
      <c r="J262" t="e" cm="1">
        <f t="array" ref="J262">INDEX('GMW - Baseline'!$A$2:$MC$200,MATCH(1,('GMW - Baseline'!$MC$2:$MC$200=J$3)*('GMW - Baseline'!$MB$2:$MB$200=J$4),0),$E262-1973)</f>
        <v>#N/A</v>
      </c>
      <c r="K262" t="e" cm="1">
        <f t="array" ref="K262">INDEX('GMW - Baseline'!$A$2:$MC$200,MATCH(1,('GMW - Baseline'!$MC$2:$MC$200=K$3)*('GMW - Baseline'!$MB$2:$MB$200=K$4),0),$E262-1973)</f>
        <v>#N/A</v>
      </c>
      <c r="L262" t="e" cm="1">
        <f t="array" ref="L262">INDEX('GMW - Baseline'!$A$2:$MC$200,MATCH(1,('GMW - Baseline'!$MC$2:$MC$200=L$3)*('GMW - Baseline'!$MB$2:$MB$200=L$4),0),$E262-1973)</f>
        <v>#N/A</v>
      </c>
      <c r="M262" t="e" cm="1">
        <f t="array" ref="M262">INDEX('GMW - Baseline'!$A$2:$MC$200,MATCH(1,('GMW - Baseline'!$MC$2:$MC$200=M$3)*('GMW - Baseline'!$MB$2:$MB$200=M$4),0),$E262-1973)</f>
        <v>#N/A</v>
      </c>
      <c r="N262" t="e" cm="1">
        <f t="array" ref="N262">INDEX('GMW - Baseline'!$A$2:$MC$200,MATCH(1,('GMW - Baseline'!$MC$2:$MC$200=N$3)*('GMW - Baseline'!$MB$2:$MB$200=N$4),0),$E262-1973)</f>
        <v>#N/A</v>
      </c>
      <c r="O262" t="e" cm="1">
        <f t="array" ref="O262">INDEX('GMW - Baseline'!$A$2:$MC$200,MATCH(1,('GMW - Baseline'!$MC$2:$MC$200=O$3)*('GMW - Baseline'!$MB$2:$MB$200=O$4),0),$E262-1973)</f>
        <v>#N/A</v>
      </c>
      <c r="P262" t="e" cm="1">
        <f t="array" ref="P262">INDEX('GMW - Baseline'!$A$2:$MC$200,MATCH(1,('GMW - Baseline'!$MC$2:$MC$200=P$3)*('GMW - Baseline'!$MB$2:$MB$200=P$4),0),$E262-1973)</f>
        <v>#N/A</v>
      </c>
      <c r="Q262" t="e" cm="1">
        <f t="array" ref="Q262">INDEX('GMW - Baseline'!$A$2:$MC$200,MATCH(1,('GMW - Baseline'!$MC$2:$MC$200=Q$3)*('GMW - Baseline'!$MB$2:$MB$200=Q$4),0),$E262-1973)</f>
        <v>#N/A</v>
      </c>
      <c r="R262" t="e" cm="1">
        <f t="array" ref="R262">INDEX('GMW - Baseline'!$A$2:$MC$200,MATCH(1,('GMW - Baseline'!$MC$2:$MC$200=R$3)*('GMW - Baseline'!$MB$2:$MB$200=R$4),0),$E262-1973)</f>
        <v>#N/A</v>
      </c>
      <c r="S262" t="e" cm="1">
        <f t="array" ref="S262">INDEX('GMW - Baseline'!$A$2:$MC$200,MATCH(1,('GMW - Baseline'!$MC$2:$MC$200=S$3)*('GMW - Baseline'!$MB$2:$MB$200=S$4),0),$E262-1973)</f>
        <v>#N/A</v>
      </c>
      <c r="T262" t="e" cm="1">
        <f t="array" ref="T262">INDEX('GMW - Baseline'!$A$2:$MC$200,MATCH(1,('GMW - Baseline'!$MC$2:$MC$200=T$3)*('GMW - Baseline'!$MB$2:$MB$200=T$4),0),$E262-1973)</f>
        <v>#N/A</v>
      </c>
    </row>
    <row r="263" spans="1:20" x14ac:dyDescent="0.25">
      <c r="A263">
        <v>2044</v>
      </c>
      <c r="B263">
        <f t="shared" si="20"/>
        <v>2044</v>
      </c>
      <c r="C263">
        <f t="shared" si="20"/>
        <v>2043</v>
      </c>
      <c r="D263">
        <f t="shared" si="20"/>
        <v>2043</v>
      </c>
      <c r="E263">
        <f t="shared" si="16"/>
        <v>2236</v>
      </c>
      <c r="F263" t="str" cm="1">
        <f t="array" ref="F263">INDEX('GMW - Baseline'!$A$2:$MC$200,MATCH(1,('GMW - Baseline'!$MC$2:$MC$200=F$3)*('GMW - Baseline'!$MB$2:$MB$200=F$4),0),$E263-1973)</f>
        <v>NA</v>
      </c>
      <c r="G263" t="str" cm="1">
        <f t="array" ref="G263">INDEX('GMW - Baseline'!$A$2:$MC$200,MATCH(1,('GMW - Baseline'!$MC$2:$MC$200=G$3)*('GMW - Baseline'!$MB$2:$MB$200=G$4),0),$E263-1973)</f>
        <v>NA</v>
      </c>
      <c r="H263" t="str" cm="1">
        <f t="array" ref="H263">INDEX('GMW - Baseline'!$A$2:$MC$200,MATCH(1,('GMW - Baseline'!$MC$2:$MC$200=H$3)*('GMW - Baseline'!$MB$2:$MB$200=H$4),0),$E263-1973)</f>
        <v>NA</v>
      </c>
      <c r="I263" t="str" cm="1">
        <f t="array" ref="I263">INDEX('GMW - Baseline'!$A$2:$MC$200,MATCH(1,('GMW - Baseline'!$MC$2:$MC$200=I$3)*('GMW - Baseline'!$MB$2:$MB$200=I$4),0),$E263-1973)</f>
        <v>NA</v>
      </c>
      <c r="J263" t="e" cm="1">
        <f t="array" ref="J263">INDEX('GMW - Baseline'!$A$2:$MC$200,MATCH(1,('GMW - Baseline'!$MC$2:$MC$200=J$3)*('GMW - Baseline'!$MB$2:$MB$200=J$4),0),$E263-1973)</f>
        <v>#N/A</v>
      </c>
      <c r="K263" t="e" cm="1">
        <f t="array" ref="K263">INDEX('GMW - Baseline'!$A$2:$MC$200,MATCH(1,('GMW - Baseline'!$MC$2:$MC$200=K$3)*('GMW - Baseline'!$MB$2:$MB$200=K$4),0),$E263-1973)</f>
        <v>#N/A</v>
      </c>
      <c r="L263" t="e" cm="1">
        <f t="array" ref="L263">INDEX('GMW - Baseline'!$A$2:$MC$200,MATCH(1,('GMW - Baseline'!$MC$2:$MC$200=L$3)*('GMW - Baseline'!$MB$2:$MB$200=L$4),0),$E263-1973)</f>
        <v>#N/A</v>
      </c>
      <c r="M263" t="e" cm="1">
        <f t="array" ref="M263">INDEX('GMW - Baseline'!$A$2:$MC$200,MATCH(1,('GMW - Baseline'!$MC$2:$MC$200=M$3)*('GMW - Baseline'!$MB$2:$MB$200=M$4),0),$E263-1973)</f>
        <v>#N/A</v>
      </c>
      <c r="N263" t="e" cm="1">
        <f t="array" ref="N263">INDEX('GMW - Baseline'!$A$2:$MC$200,MATCH(1,('GMW - Baseline'!$MC$2:$MC$200=N$3)*('GMW - Baseline'!$MB$2:$MB$200=N$4),0),$E263-1973)</f>
        <v>#N/A</v>
      </c>
      <c r="O263" t="e" cm="1">
        <f t="array" ref="O263">INDEX('GMW - Baseline'!$A$2:$MC$200,MATCH(1,('GMW - Baseline'!$MC$2:$MC$200=O$3)*('GMW - Baseline'!$MB$2:$MB$200=O$4),0),$E263-1973)</f>
        <v>#N/A</v>
      </c>
      <c r="P263" t="e" cm="1">
        <f t="array" ref="P263">INDEX('GMW - Baseline'!$A$2:$MC$200,MATCH(1,('GMW - Baseline'!$MC$2:$MC$200=P$3)*('GMW - Baseline'!$MB$2:$MB$200=P$4),0),$E263-1973)</f>
        <v>#N/A</v>
      </c>
      <c r="Q263" t="e" cm="1">
        <f t="array" ref="Q263">INDEX('GMW - Baseline'!$A$2:$MC$200,MATCH(1,('GMW - Baseline'!$MC$2:$MC$200=Q$3)*('GMW - Baseline'!$MB$2:$MB$200=Q$4),0),$E263-1973)</f>
        <v>#N/A</v>
      </c>
      <c r="R263" t="e" cm="1">
        <f t="array" ref="R263">INDEX('GMW - Baseline'!$A$2:$MC$200,MATCH(1,('GMW - Baseline'!$MC$2:$MC$200=R$3)*('GMW - Baseline'!$MB$2:$MB$200=R$4),0),$E263-1973)</f>
        <v>#N/A</v>
      </c>
      <c r="S263" t="e" cm="1">
        <f t="array" ref="S263">INDEX('GMW - Baseline'!$A$2:$MC$200,MATCH(1,('GMW - Baseline'!$MC$2:$MC$200=S$3)*('GMW - Baseline'!$MB$2:$MB$200=S$4),0),$E263-1973)</f>
        <v>#N/A</v>
      </c>
      <c r="T263" t="e" cm="1">
        <f t="array" ref="T263">INDEX('GMW - Baseline'!$A$2:$MC$200,MATCH(1,('GMW - Baseline'!$MC$2:$MC$200=T$3)*('GMW - Baseline'!$MB$2:$MB$200=T$4),0),$E263-1973)</f>
        <v>#N/A</v>
      </c>
    </row>
    <row r="264" spans="1:20" x14ac:dyDescent="0.25">
      <c r="B264">
        <f t="shared" si="20"/>
        <v>2044</v>
      </c>
      <c r="C264">
        <f t="shared" si="20"/>
        <v>2044</v>
      </c>
      <c r="E264">
        <f t="shared" si="16"/>
        <v>2237</v>
      </c>
      <c r="F264" t="str" cm="1">
        <f t="array" ref="F264">INDEX('GMW - Baseline'!$A$2:$MC$200,MATCH(1,('GMW - Baseline'!$MC$2:$MC$200=F$3)*('GMW - Baseline'!$MB$2:$MB$200=F$4),0),$E264-1973)</f>
        <v>NA</v>
      </c>
      <c r="G264" t="str" cm="1">
        <f t="array" ref="G264">INDEX('GMW - Baseline'!$A$2:$MC$200,MATCH(1,('GMW - Baseline'!$MC$2:$MC$200=G$3)*('GMW - Baseline'!$MB$2:$MB$200=G$4),0),$E264-1973)</f>
        <v>NA</v>
      </c>
      <c r="H264" t="str" cm="1">
        <f t="array" ref="H264">INDEX('GMW - Baseline'!$A$2:$MC$200,MATCH(1,('GMW - Baseline'!$MC$2:$MC$200=H$3)*('GMW - Baseline'!$MB$2:$MB$200=H$4),0),$E264-1973)</f>
        <v>NA</v>
      </c>
      <c r="I264" t="str" cm="1">
        <f t="array" ref="I264">INDEX('GMW - Baseline'!$A$2:$MC$200,MATCH(1,('GMW - Baseline'!$MC$2:$MC$200=I$3)*('GMW - Baseline'!$MB$2:$MB$200=I$4),0),$E264-1973)</f>
        <v>NA</v>
      </c>
      <c r="J264" t="e" cm="1">
        <f t="array" ref="J264">INDEX('GMW - Baseline'!$A$2:$MC$200,MATCH(1,('GMW - Baseline'!$MC$2:$MC$200=J$3)*('GMW - Baseline'!$MB$2:$MB$200=J$4),0),$E264-1973)</f>
        <v>#N/A</v>
      </c>
      <c r="K264" t="e" cm="1">
        <f t="array" ref="K264">INDEX('GMW - Baseline'!$A$2:$MC$200,MATCH(1,('GMW - Baseline'!$MC$2:$MC$200=K$3)*('GMW - Baseline'!$MB$2:$MB$200=K$4),0),$E264-1973)</f>
        <v>#N/A</v>
      </c>
      <c r="L264" t="e" cm="1">
        <f t="array" ref="L264">INDEX('GMW - Baseline'!$A$2:$MC$200,MATCH(1,('GMW - Baseline'!$MC$2:$MC$200=L$3)*('GMW - Baseline'!$MB$2:$MB$200=L$4),0),$E264-1973)</f>
        <v>#N/A</v>
      </c>
      <c r="M264" t="e" cm="1">
        <f t="array" ref="M264">INDEX('GMW - Baseline'!$A$2:$MC$200,MATCH(1,('GMW - Baseline'!$MC$2:$MC$200=M$3)*('GMW - Baseline'!$MB$2:$MB$200=M$4),0),$E264-1973)</f>
        <v>#N/A</v>
      </c>
      <c r="N264" t="e" cm="1">
        <f t="array" ref="N264">INDEX('GMW - Baseline'!$A$2:$MC$200,MATCH(1,('GMW - Baseline'!$MC$2:$MC$200=N$3)*('GMW - Baseline'!$MB$2:$MB$200=N$4),0),$E264-1973)</f>
        <v>#N/A</v>
      </c>
      <c r="O264" t="e" cm="1">
        <f t="array" ref="O264">INDEX('GMW - Baseline'!$A$2:$MC$200,MATCH(1,('GMW - Baseline'!$MC$2:$MC$200=O$3)*('GMW - Baseline'!$MB$2:$MB$200=O$4),0),$E264-1973)</f>
        <v>#N/A</v>
      </c>
      <c r="P264" t="e" cm="1">
        <f t="array" ref="P264">INDEX('GMW - Baseline'!$A$2:$MC$200,MATCH(1,('GMW - Baseline'!$MC$2:$MC$200=P$3)*('GMW - Baseline'!$MB$2:$MB$200=P$4),0),$E264-1973)</f>
        <v>#N/A</v>
      </c>
      <c r="Q264" t="e" cm="1">
        <f t="array" ref="Q264">INDEX('GMW - Baseline'!$A$2:$MC$200,MATCH(1,('GMW - Baseline'!$MC$2:$MC$200=Q$3)*('GMW - Baseline'!$MB$2:$MB$200=Q$4),0),$E264-1973)</f>
        <v>#N/A</v>
      </c>
      <c r="R264" t="e" cm="1">
        <f t="array" ref="R264">INDEX('GMW - Baseline'!$A$2:$MC$200,MATCH(1,('GMW - Baseline'!$MC$2:$MC$200=R$3)*('GMW - Baseline'!$MB$2:$MB$200=R$4),0),$E264-1973)</f>
        <v>#N/A</v>
      </c>
      <c r="S264" t="e" cm="1">
        <f t="array" ref="S264">INDEX('GMW - Baseline'!$A$2:$MC$200,MATCH(1,('GMW - Baseline'!$MC$2:$MC$200=S$3)*('GMW - Baseline'!$MB$2:$MB$200=S$4),0),$E264-1973)</f>
        <v>#N/A</v>
      </c>
      <c r="T264" t="e" cm="1">
        <f t="array" ref="T264">INDEX('GMW - Baseline'!$A$2:$MC$200,MATCH(1,('GMW - Baseline'!$MC$2:$MC$200=T$3)*('GMW - Baseline'!$MB$2:$MB$200=T$4),0),$E264-1973)</f>
        <v>#N/A</v>
      </c>
    </row>
    <row r="265" spans="1:20" x14ac:dyDescent="0.25">
      <c r="B265">
        <f t="shared" si="20"/>
        <v>2044</v>
      </c>
      <c r="C265">
        <f t="shared" si="20"/>
        <v>2044</v>
      </c>
      <c r="E265">
        <f t="shared" ref="E265:E328" si="21">+E264+1</f>
        <v>2238</v>
      </c>
      <c r="F265" t="str" cm="1">
        <f t="array" ref="F265">INDEX('GMW - Baseline'!$A$2:$MC$200,MATCH(1,('GMW - Baseline'!$MC$2:$MC$200=F$3)*('GMW - Baseline'!$MB$2:$MB$200=F$4),0),$E265-1973)</f>
        <v>NA</v>
      </c>
      <c r="G265" t="str" cm="1">
        <f t="array" ref="G265">INDEX('GMW - Baseline'!$A$2:$MC$200,MATCH(1,('GMW - Baseline'!$MC$2:$MC$200=G$3)*('GMW - Baseline'!$MB$2:$MB$200=G$4),0),$E265-1973)</f>
        <v>NA</v>
      </c>
      <c r="H265" t="str" cm="1">
        <f t="array" ref="H265">INDEX('GMW - Baseline'!$A$2:$MC$200,MATCH(1,('GMW - Baseline'!$MC$2:$MC$200=H$3)*('GMW - Baseline'!$MB$2:$MB$200=H$4),0),$E265-1973)</f>
        <v>NA</v>
      </c>
      <c r="I265" t="str" cm="1">
        <f t="array" ref="I265">INDEX('GMW - Baseline'!$A$2:$MC$200,MATCH(1,('GMW - Baseline'!$MC$2:$MC$200=I$3)*('GMW - Baseline'!$MB$2:$MB$200=I$4),0),$E265-1973)</f>
        <v>NA</v>
      </c>
      <c r="J265" t="e" cm="1">
        <f t="array" ref="J265">INDEX('GMW - Baseline'!$A$2:$MC$200,MATCH(1,('GMW - Baseline'!$MC$2:$MC$200=J$3)*('GMW - Baseline'!$MB$2:$MB$200=J$4),0),$E265-1973)</f>
        <v>#N/A</v>
      </c>
      <c r="K265" t="e" cm="1">
        <f t="array" ref="K265">INDEX('GMW - Baseline'!$A$2:$MC$200,MATCH(1,('GMW - Baseline'!$MC$2:$MC$200=K$3)*('GMW - Baseline'!$MB$2:$MB$200=K$4),0),$E265-1973)</f>
        <v>#N/A</v>
      </c>
      <c r="L265" t="e" cm="1">
        <f t="array" ref="L265">INDEX('GMW - Baseline'!$A$2:$MC$200,MATCH(1,('GMW - Baseline'!$MC$2:$MC$200=L$3)*('GMW - Baseline'!$MB$2:$MB$200=L$4),0),$E265-1973)</f>
        <v>#N/A</v>
      </c>
      <c r="M265" t="e" cm="1">
        <f t="array" ref="M265">INDEX('GMW - Baseline'!$A$2:$MC$200,MATCH(1,('GMW - Baseline'!$MC$2:$MC$200=M$3)*('GMW - Baseline'!$MB$2:$MB$200=M$4),0),$E265-1973)</f>
        <v>#N/A</v>
      </c>
      <c r="N265" t="e" cm="1">
        <f t="array" ref="N265">INDEX('GMW - Baseline'!$A$2:$MC$200,MATCH(1,('GMW - Baseline'!$MC$2:$MC$200=N$3)*('GMW - Baseline'!$MB$2:$MB$200=N$4),0),$E265-1973)</f>
        <v>#N/A</v>
      </c>
      <c r="O265" t="e" cm="1">
        <f t="array" ref="O265">INDEX('GMW - Baseline'!$A$2:$MC$200,MATCH(1,('GMW - Baseline'!$MC$2:$MC$200=O$3)*('GMW - Baseline'!$MB$2:$MB$200=O$4),0),$E265-1973)</f>
        <v>#N/A</v>
      </c>
      <c r="P265" t="e" cm="1">
        <f t="array" ref="P265">INDEX('GMW - Baseline'!$A$2:$MC$200,MATCH(1,('GMW - Baseline'!$MC$2:$MC$200=P$3)*('GMW - Baseline'!$MB$2:$MB$200=P$4),0),$E265-1973)</f>
        <v>#N/A</v>
      </c>
      <c r="Q265" t="e" cm="1">
        <f t="array" ref="Q265">INDEX('GMW - Baseline'!$A$2:$MC$200,MATCH(1,('GMW - Baseline'!$MC$2:$MC$200=Q$3)*('GMW - Baseline'!$MB$2:$MB$200=Q$4),0),$E265-1973)</f>
        <v>#N/A</v>
      </c>
      <c r="R265" t="e" cm="1">
        <f t="array" ref="R265">INDEX('GMW - Baseline'!$A$2:$MC$200,MATCH(1,('GMW - Baseline'!$MC$2:$MC$200=R$3)*('GMW - Baseline'!$MB$2:$MB$200=R$4),0),$E265-1973)</f>
        <v>#N/A</v>
      </c>
      <c r="S265" t="e" cm="1">
        <f t="array" ref="S265">INDEX('GMW - Baseline'!$A$2:$MC$200,MATCH(1,('GMW - Baseline'!$MC$2:$MC$200=S$3)*('GMW - Baseline'!$MB$2:$MB$200=S$4),0),$E265-1973)</f>
        <v>#N/A</v>
      </c>
      <c r="T265" t="e" cm="1">
        <f t="array" ref="T265">INDEX('GMW - Baseline'!$A$2:$MC$200,MATCH(1,('GMW - Baseline'!$MC$2:$MC$200=T$3)*('GMW - Baseline'!$MB$2:$MB$200=T$4),0),$E265-1973)</f>
        <v>#N/A</v>
      </c>
    </row>
    <row r="266" spans="1:20" x14ac:dyDescent="0.25">
      <c r="B266">
        <f t="shared" si="20"/>
        <v>2044</v>
      </c>
      <c r="C266">
        <f t="shared" si="20"/>
        <v>2044</v>
      </c>
      <c r="E266">
        <f t="shared" si="21"/>
        <v>2239</v>
      </c>
      <c r="F266" t="str" cm="1">
        <f t="array" ref="F266">INDEX('GMW - Baseline'!$A$2:$MC$200,MATCH(1,('GMW - Baseline'!$MC$2:$MC$200=F$3)*('GMW - Baseline'!$MB$2:$MB$200=F$4),0),$E266-1973)</f>
        <v>NA</v>
      </c>
      <c r="G266" t="str" cm="1">
        <f t="array" ref="G266">INDEX('GMW - Baseline'!$A$2:$MC$200,MATCH(1,('GMW - Baseline'!$MC$2:$MC$200=G$3)*('GMW - Baseline'!$MB$2:$MB$200=G$4),0),$E266-1973)</f>
        <v>NA</v>
      </c>
      <c r="H266" t="str" cm="1">
        <f t="array" ref="H266">INDEX('GMW - Baseline'!$A$2:$MC$200,MATCH(1,('GMW - Baseline'!$MC$2:$MC$200=H$3)*('GMW - Baseline'!$MB$2:$MB$200=H$4),0),$E266-1973)</f>
        <v>NA</v>
      </c>
      <c r="I266" t="str" cm="1">
        <f t="array" ref="I266">INDEX('GMW - Baseline'!$A$2:$MC$200,MATCH(1,('GMW - Baseline'!$MC$2:$MC$200=I$3)*('GMW - Baseline'!$MB$2:$MB$200=I$4),0),$E266-1973)</f>
        <v>NA</v>
      </c>
      <c r="J266" t="e" cm="1">
        <f t="array" ref="J266">INDEX('GMW - Baseline'!$A$2:$MC$200,MATCH(1,('GMW - Baseline'!$MC$2:$MC$200=J$3)*('GMW - Baseline'!$MB$2:$MB$200=J$4),0),$E266-1973)</f>
        <v>#N/A</v>
      </c>
      <c r="K266" t="e" cm="1">
        <f t="array" ref="K266">INDEX('GMW - Baseline'!$A$2:$MC$200,MATCH(1,('GMW - Baseline'!$MC$2:$MC$200=K$3)*('GMW - Baseline'!$MB$2:$MB$200=K$4),0),$E266-1973)</f>
        <v>#N/A</v>
      </c>
      <c r="L266" t="e" cm="1">
        <f t="array" ref="L266">INDEX('GMW - Baseline'!$A$2:$MC$200,MATCH(1,('GMW - Baseline'!$MC$2:$MC$200=L$3)*('GMW - Baseline'!$MB$2:$MB$200=L$4),0),$E266-1973)</f>
        <v>#N/A</v>
      </c>
      <c r="M266" t="e" cm="1">
        <f t="array" ref="M266">INDEX('GMW - Baseline'!$A$2:$MC$200,MATCH(1,('GMW - Baseline'!$MC$2:$MC$200=M$3)*('GMW - Baseline'!$MB$2:$MB$200=M$4),0),$E266-1973)</f>
        <v>#N/A</v>
      </c>
      <c r="N266" t="e" cm="1">
        <f t="array" ref="N266">INDEX('GMW - Baseline'!$A$2:$MC$200,MATCH(1,('GMW - Baseline'!$MC$2:$MC$200=N$3)*('GMW - Baseline'!$MB$2:$MB$200=N$4),0),$E266-1973)</f>
        <v>#N/A</v>
      </c>
      <c r="O266" t="e" cm="1">
        <f t="array" ref="O266">INDEX('GMW - Baseline'!$A$2:$MC$200,MATCH(1,('GMW - Baseline'!$MC$2:$MC$200=O$3)*('GMW - Baseline'!$MB$2:$MB$200=O$4),0),$E266-1973)</f>
        <v>#N/A</v>
      </c>
      <c r="P266" t="e" cm="1">
        <f t="array" ref="P266">INDEX('GMW - Baseline'!$A$2:$MC$200,MATCH(1,('GMW - Baseline'!$MC$2:$MC$200=P$3)*('GMW - Baseline'!$MB$2:$MB$200=P$4),0),$E266-1973)</f>
        <v>#N/A</v>
      </c>
      <c r="Q266" t="e" cm="1">
        <f t="array" ref="Q266">INDEX('GMW - Baseline'!$A$2:$MC$200,MATCH(1,('GMW - Baseline'!$MC$2:$MC$200=Q$3)*('GMW - Baseline'!$MB$2:$MB$200=Q$4),0),$E266-1973)</f>
        <v>#N/A</v>
      </c>
      <c r="R266" t="e" cm="1">
        <f t="array" ref="R266">INDEX('GMW - Baseline'!$A$2:$MC$200,MATCH(1,('GMW - Baseline'!$MC$2:$MC$200=R$3)*('GMW - Baseline'!$MB$2:$MB$200=R$4),0),$E266-1973)</f>
        <v>#N/A</v>
      </c>
      <c r="S266" t="e" cm="1">
        <f t="array" ref="S266">INDEX('GMW - Baseline'!$A$2:$MC$200,MATCH(1,('GMW - Baseline'!$MC$2:$MC$200=S$3)*('GMW - Baseline'!$MB$2:$MB$200=S$4),0),$E266-1973)</f>
        <v>#N/A</v>
      </c>
      <c r="T266" t="e" cm="1">
        <f t="array" ref="T266">INDEX('GMW - Baseline'!$A$2:$MC$200,MATCH(1,('GMW - Baseline'!$MC$2:$MC$200=T$3)*('GMW - Baseline'!$MB$2:$MB$200=T$4),0),$E266-1973)</f>
        <v>#N/A</v>
      </c>
    </row>
    <row r="267" spans="1:20" x14ac:dyDescent="0.25">
      <c r="A267">
        <v>2045</v>
      </c>
      <c r="B267">
        <f t="shared" si="20"/>
        <v>2045</v>
      </c>
      <c r="C267">
        <f t="shared" si="20"/>
        <v>2044</v>
      </c>
      <c r="D267">
        <f t="shared" si="20"/>
        <v>2044</v>
      </c>
      <c r="E267">
        <f t="shared" si="21"/>
        <v>2240</v>
      </c>
      <c r="F267" t="str" cm="1">
        <f t="array" ref="F267">INDEX('GMW - Baseline'!$A$2:$MC$200,MATCH(1,('GMW - Baseline'!$MC$2:$MC$200=F$3)*('GMW - Baseline'!$MB$2:$MB$200=F$4),0),$E267-1973)</f>
        <v>NA</v>
      </c>
      <c r="G267" t="str" cm="1">
        <f t="array" ref="G267">INDEX('GMW - Baseline'!$A$2:$MC$200,MATCH(1,('GMW - Baseline'!$MC$2:$MC$200=G$3)*('GMW - Baseline'!$MB$2:$MB$200=G$4),0),$E267-1973)</f>
        <v>NA</v>
      </c>
      <c r="H267" t="str" cm="1">
        <f t="array" ref="H267">INDEX('GMW - Baseline'!$A$2:$MC$200,MATCH(1,('GMW - Baseline'!$MC$2:$MC$200=H$3)*('GMW - Baseline'!$MB$2:$MB$200=H$4),0),$E267-1973)</f>
        <v>NA</v>
      </c>
      <c r="I267" t="str" cm="1">
        <f t="array" ref="I267">INDEX('GMW - Baseline'!$A$2:$MC$200,MATCH(1,('GMW - Baseline'!$MC$2:$MC$200=I$3)*('GMW - Baseline'!$MB$2:$MB$200=I$4),0),$E267-1973)</f>
        <v>NA</v>
      </c>
      <c r="J267" t="e" cm="1">
        <f t="array" ref="J267">INDEX('GMW - Baseline'!$A$2:$MC$200,MATCH(1,('GMW - Baseline'!$MC$2:$MC$200=J$3)*('GMW - Baseline'!$MB$2:$MB$200=J$4),0),$E267-1973)</f>
        <v>#N/A</v>
      </c>
      <c r="K267" t="e" cm="1">
        <f t="array" ref="K267">INDEX('GMW - Baseline'!$A$2:$MC$200,MATCH(1,('GMW - Baseline'!$MC$2:$MC$200=K$3)*('GMW - Baseline'!$MB$2:$MB$200=K$4),0),$E267-1973)</f>
        <v>#N/A</v>
      </c>
      <c r="L267" t="e" cm="1">
        <f t="array" ref="L267">INDEX('GMW - Baseline'!$A$2:$MC$200,MATCH(1,('GMW - Baseline'!$MC$2:$MC$200=L$3)*('GMW - Baseline'!$MB$2:$MB$200=L$4),0),$E267-1973)</f>
        <v>#N/A</v>
      </c>
      <c r="M267" t="e" cm="1">
        <f t="array" ref="M267">INDEX('GMW - Baseline'!$A$2:$MC$200,MATCH(1,('GMW - Baseline'!$MC$2:$MC$200=M$3)*('GMW - Baseline'!$MB$2:$MB$200=M$4),0),$E267-1973)</f>
        <v>#N/A</v>
      </c>
      <c r="N267" t="e" cm="1">
        <f t="array" ref="N267">INDEX('GMW - Baseline'!$A$2:$MC$200,MATCH(1,('GMW - Baseline'!$MC$2:$MC$200=N$3)*('GMW - Baseline'!$MB$2:$MB$200=N$4),0),$E267-1973)</f>
        <v>#N/A</v>
      </c>
      <c r="O267" t="e" cm="1">
        <f t="array" ref="O267">INDEX('GMW - Baseline'!$A$2:$MC$200,MATCH(1,('GMW - Baseline'!$MC$2:$MC$200=O$3)*('GMW - Baseline'!$MB$2:$MB$200=O$4),0),$E267-1973)</f>
        <v>#N/A</v>
      </c>
      <c r="P267" t="e" cm="1">
        <f t="array" ref="P267">INDEX('GMW - Baseline'!$A$2:$MC$200,MATCH(1,('GMW - Baseline'!$MC$2:$MC$200=P$3)*('GMW - Baseline'!$MB$2:$MB$200=P$4),0),$E267-1973)</f>
        <v>#N/A</v>
      </c>
      <c r="Q267" t="e" cm="1">
        <f t="array" ref="Q267">INDEX('GMW - Baseline'!$A$2:$MC$200,MATCH(1,('GMW - Baseline'!$MC$2:$MC$200=Q$3)*('GMW - Baseline'!$MB$2:$MB$200=Q$4),0),$E267-1973)</f>
        <v>#N/A</v>
      </c>
      <c r="R267" t="e" cm="1">
        <f t="array" ref="R267">INDEX('GMW - Baseline'!$A$2:$MC$200,MATCH(1,('GMW - Baseline'!$MC$2:$MC$200=R$3)*('GMW - Baseline'!$MB$2:$MB$200=R$4),0),$E267-1973)</f>
        <v>#N/A</v>
      </c>
      <c r="S267" t="e" cm="1">
        <f t="array" ref="S267">INDEX('GMW - Baseline'!$A$2:$MC$200,MATCH(1,('GMW - Baseline'!$MC$2:$MC$200=S$3)*('GMW - Baseline'!$MB$2:$MB$200=S$4),0),$E267-1973)</f>
        <v>#N/A</v>
      </c>
      <c r="T267" t="e" cm="1">
        <f t="array" ref="T267">INDEX('GMW - Baseline'!$A$2:$MC$200,MATCH(1,('GMW - Baseline'!$MC$2:$MC$200=T$3)*('GMW - Baseline'!$MB$2:$MB$200=T$4),0),$E267-1973)</f>
        <v>#N/A</v>
      </c>
    </row>
    <row r="268" spans="1:20" x14ac:dyDescent="0.25">
      <c r="B268">
        <f t="shared" ref="B268:D283" si="22">+B264+1</f>
        <v>2045</v>
      </c>
      <c r="C268">
        <f t="shared" si="22"/>
        <v>2045</v>
      </c>
      <c r="E268">
        <f t="shared" si="21"/>
        <v>2241</v>
      </c>
      <c r="F268" t="str" cm="1">
        <f t="array" ref="F268">INDEX('GMW - Baseline'!$A$2:$MC$200,MATCH(1,('GMW - Baseline'!$MC$2:$MC$200=F$3)*('GMW - Baseline'!$MB$2:$MB$200=F$4),0),$E268-1973)</f>
        <v>NA</v>
      </c>
      <c r="G268" t="str" cm="1">
        <f t="array" ref="G268">INDEX('GMW - Baseline'!$A$2:$MC$200,MATCH(1,('GMW - Baseline'!$MC$2:$MC$200=G$3)*('GMW - Baseline'!$MB$2:$MB$200=G$4),0),$E268-1973)</f>
        <v>NA</v>
      </c>
      <c r="H268" t="str" cm="1">
        <f t="array" ref="H268">INDEX('GMW - Baseline'!$A$2:$MC$200,MATCH(1,('GMW - Baseline'!$MC$2:$MC$200=H$3)*('GMW - Baseline'!$MB$2:$MB$200=H$4),0),$E268-1973)</f>
        <v>NA</v>
      </c>
      <c r="I268" t="str" cm="1">
        <f t="array" ref="I268">INDEX('GMW - Baseline'!$A$2:$MC$200,MATCH(1,('GMW - Baseline'!$MC$2:$MC$200=I$3)*('GMW - Baseline'!$MB$2:$MB$200=I$4),0),$E268-1973)</f>
        <v>NA</v>
      </c>
      <c r="J268" t="e" cm="1">
        <f t="array" ref="J268">INDEX('GMW - Baseline'!$A$2:$MC$200,MATCH(1,('GMW - Baseline'!$MC$2:$MC$200=J$3)*('GMW - Baseline'!$MB$2:$MB$200=J$4),0),$E268-1973)</f>
        <v>#N/A</v>
      </c>
      <c r="K268" t="e" cm="1">
        <f t="array" ref="K268">INDEX('GMW - Baseline'!$A$2:$MC$200,MATCH(1,('GMW - Baseline'!$MC$2:$MC$200=K$3)*('GMW - Baseline'!$MB$2:$MB$200=K$4),0),$E268-1973)</f>
        <v>#N/A</v>
      </c>
      <c r="L268" t="e" cm="1">
        <f t="array" ref="L268">INDEX('GMW - Baseline'!$A$2:$MC$200,MATCH(1,('GMW - Baseline'!$MC$2:$MC$200=L$3)*('GMW - Baseline'!$MB$2:$MB$200=L$4),0),$E268-1973)</f>
        <v>#N/A</v>
      </c>
      <c r="M268" t="e" cm="1">
        <f t="array" ref="M268">INDEX('GMW - Baseline'!$A$2:$MC$200,MATCH(1,('GMW - Baseline'!$MC$2:$MC$200=M$3)*('GMW - Baseline'!$MB$2:$MB$200=M$4),0),$E268-1973)</f>
        <v>#N/A</v>
      </c>
      <c r="N268" t="e" cm="1">
        <f t="array" ref="N268">INDEX('GMW - Baseline'!$A$2:$MC$200,MATCH(1,('GMW - Baseline'!$MC$2:$MC$200=N$3)*('GMW - Baseline'!$MB$2:$MB$200=N$4),0),$E268-1973)</f>
        <v>#N/A</v>
      </c>
      <c r="O268" t="e" cm="1">
        <f t="array" ref="O268">INDEX('GMW - Baseline'!$A$2:$MC$200,MATCH(1,('GMW - Baseline'!$MC$2:$MC$200=O$3)*('GMW - Baseline'!$MB$2:$MB$200=O$4),0),$E268-1973)</f>
        <v>#N/A</v>
      </c>
      <c r="P268" t="e" cm="1">
        <f t="array" ref="P268">INDEX('GMW - Baseline'!$A$2:$MC$200,MATCH(1,('GMW - Baseline'!$MC$2:$MC$200=P$3)*('GMW - Baseline'!$MB$2:$MB$200=P$4),0),$E268-1973)</f>
        <v>#N/A</v>
      </c>
      <c r="Q268" t="e" cm="1">
        <f t="array" ref="Q268">INDEX('GMW - Baseline'!$A$2:$MC$200,MATCH(1,('GMW - Baseline'!$MC$2:$MC$200=Q$3)*('GMW - Baseline'!$MB$2:$MB$200=Q$4),0),$E268-1973)</f>
        <v>#N/A</v>
      </c>
      <c r="R268" t="e" cm="1">
        <f t="array" ref="R268">INDEX('GMW - Baseline'!$A$2:$MC$200,MATCH(1,('GMW - Baseline'!$MC$2:$MC$200=R$3)*('GMW - Baseline'!$MB$2:$MB$200=R$4),0),$E268-1973)</f>
        <v>#N/A</v>
      </c>
      <c r="S268" t="e" cm="1">
        <f t="array" ref="S268">INDEX('GMW - Baseline'!$A$2:$MC$200,MATCH(1,('GMW - Baseline'!$MC$2:$MC$200=S$3)*('GMW - Baseline'!$MB$2:$MB$200=S$4),0),$E268-1973)</f>
        <v>#N/A</v>
      </c>
      <c r="T268" t="e" cm="1">
        <f t="array" ref="T268">INDEX('GMW - Baseline'!$A$2:$MC$200,MATCH(1,('GMW - Baseline'!$MC$2:$MC$200=T$3)*('GMW - Baseline'!$MB$2:$MB$200=T$4),0),$E268-1973)</f>
        <v>#N/A</v>
      </c>
    </row>
    <row r="269" spans="1:20" x14ac:dyDescent="0.25">
      <c r="B269">
        <f t="shared" si="22"/>
        <v>2045</v>
      </c>
      <c r="C269">
        <f t="shared" si="22"/>
        <v>2045</v>
      </c>
      <c r="E269">
        <f t="shared" si="21"/>
        <v>2242</v>
      </c>
      <c r="F269" t="str" cm="1">
        <f t="array" ref="F269">INDEX('GMW - Baseline'!$A$2:$MC$200,MATCH(1,('GMW - Baseline'!$MC$2:$MC$200=F$3)*('GMW - Baseline'!$MB$2:$MB$200=F$4),0),$E269-1973)</f>
        <v>NA</v>
      </c>
      <c r="G269" t="str" cm="1">
        <f t="array" ref="G269">INDEX('GMW - Baseline'!$A$2:$MC$200,MATCH(1,('GMW - Baseline'!$MC$2:$MC$200=G$3)*('GMW - Baseline'!$MB$2:$MB$200=G$4),0),$E269-1973)</f>
        <v>NA</v>
      </c>
      <c r="H269" t="str" cm="1">
        <f t="array" ref="H269">INDEX('GMW - Baseline'!$A$2:$MC$200,MATCH(1,('GMW - Baseline'!$MC$2:$MC$200=H$3)*('GMW - Baseline'!$MB$2:$MB$200=H$4),0),$E269-1973)</f>
        <v>NA</v>
      </c>
      <c r="I269" t="str" cm="1">
        <f t="array" ref="I269">INDEX('GMW - Baseline'!$A$2:$MC$200,MATCH(1,('GMW - Baseline'!$MC$2:$MC$200=I$3)*('GMW - Baseline'!$MB$2:$MB$200=I$4),0),$E269-1973)</f>
        <v>NA</v>
      </c>
      <c r="J269" t="e" cm="1">
        <f t="array" ref="J269">INDEX('GMW - Baseline'!$A$2:$MC$200,MATCH(1,('GMW - Baseline'!$MC$2:$MC$200=J$3)*('GMW - Baseline'!$MB$2:$MB$200=J$4),0),$E269-1973)</f>
        <v>#N/A</v>
      </c>
      <c r="K269" t="e" cm="1">
        <f t="array" ref="K269">INDEX('GMW - Baseline'!$A$2:$MC$200,MATCH(1,('GMW - Baseline'!$MC$2:$MC$200=K$3)*('GMW - Baseline'!$MB$2:$MB$200=K$4),0),$E269-1973)</f>
        <v>#N/A</v>
      </c>
      <c r="L269" t="e" cm="1">
        <f t="array" ref="L269">INDEX('GMW - Baseline'!$A$2:$MC$200,MATCH(1,('GMW - Baseline'!$MC$2:$MC$200=L$3)*('GMW - Baseline'!$MB$2:$MB$200=L$4),0),$E269-1973)</f>
        <v>#N/A</v>
      </c>
      <c r="M269" t="e" cm="1">
        <f t="array" ref="M269">INDEX('GMW - Baseline'!$A$2:$MC$200,MATCH(1,('GMW - Baseline'!$MC$2:$MC$200=M$3)*('GMW - Baseline'!$MB$2:$MB$200=M$4),0),$E269-1973)</f>
        <v>#N/A</v>
      </c>
      <c r="N269" t="e" cm="1">
        <f t="array" ref="N269">INDEX('GMW - Baseline'!$A$2:$MC$200,MATCH(1,('GMW - Baseline'!$MC$2:$MC$200=N$3)*('GMW - Baseline'!$MB$2:$MB$200=N$4),0),$E269-1973)</f>
        <v>#N/A</v>
      </c>
      <c r="O269" t="e" cm="1">
        <f t="array" ref="O269">INDEX('GMW - Baseline'!$A$2:$MC$200,MATCH(1,('GMW - Baseline'!$MC$2:$MC$200=O$3)*('GMW - Baseline'!$MB$2:$MB$200=O$4),0),$E269-1973)</f>
        <v>#N/A</v>
      </c>
      <c r="P269" t="e" cm="1">
        <f t="array" ref="P269">INDEX('GMW - Baseline'!$A$2:$MC$200,MATCH(1,('GMW - Baseline'!$MC$2:$MC$200=P$3)*('GMW - Baseline'!$MB$2:$MB$200=P$4),0),$E269-1973)</f>
        <v>#N/A</v>
      </c>
      <c r="Q269" t="e" cm="1">
        <f t="array" ref="Q269">INDEX('GMW - Baseline'!$A$2:$MC$200,MATCH(1,('GMW - Baseline'!$MC$2:$MC$200=Q$3)*('GMW - Baseline'!$MB$2:$MB$200=Q$4),0),$E269-1973)</f>
        <v>#N/A</v>
      </c>
      <c r="R269" t="e" cm="1">
        <f t="array" ref="R269">INDEX('GMW - Baseline'!$A$2:$MC$200,MATCH(1,('GMW - Baseline'!$MC$2:$MC$200=R$3)*('GMW - Baseline'!$MB$2:$MB$200=R$4),0),$E269-1973)</f>
        <v>#N/A</v>
      </c>
      <c r="S269" t="e" cm="1">
        <f t="array" ref="S269">INDEX('GMW - Baseline'!$A$2:$MC$200,MATCH(1,('GMW - Baseline'!$MC$2:$MC$200=S$3)*('GMW - Baseline'!$MB$2:$MB$200=S$4),0),$E269-1973)</f>
        <v>#N/A</v>
      </c>
      <c r="T269" t="e" cm="1">
        <f t="array" ref="T269">INDEX('GMW - Baseline'!$A$2:$MC$200,MATCH(1,('GMW - Baseline'!$MC$2:$MC$200=T$3)*('GMW - Baseline'!$MB$2:$MB$200=T$4),0),$E269-1973)</f>
        <v>#N/A</v>
      </c>
    </row>
    <row r="270" spans="1:20" x14ac:dyDescent="0.25">
      <c r="B270">
        <f t="shared" si="22"/>
        <v>2045</v>
      </c>
      <c r="C270">
        <f t="shared" si="22"/>
        <v>2045</v>
      </c>
      <c r="E270">
        <f t="shared" si="21"/>
        <v>2243</v>
      </c>
      <c r="F270" t="str" cm="1">
        <f t="array" ref="F270">INDEX('GMW - Baseline'!$A$2:$MC$200,MATCH(1,('GMW - Baseline'!$MC$2:$MC$200=F$3)*('GMW - Baseline'!$MB$2:$MB$200=F$4),0),$E270-1973)</f>
        <v>NA</v>
      </c>
      <c r="G270" t="str" cm="1">
        <f t="array" ref="G270">INDEX('GMW - Baseline'!$A$2:$MC$200,MATCH(1,('GMW - Baseline'!$MC$2:$MC$200=G$3)*('GMW - Baseline'!$MB$2:$MB$200=G$4),0),$E270-1973)</f>
        <v>NA</v>
      </c>
      <c r="H270" t="str" cm="1">
        <f t="array" ref="H270">INDEX('GMW - Baseline'!$A$2:$MC$200,MATCH(1,('GMW - Baseline'!$MC$2:$MC$200=H$3)*('GMW - Baseline'!$MB$2:$MB$200=H$4),0),$E270-1973)</f>
        <v>NA</v>
      </c>
      <c r="I270" t="str" cm="1">
        <f t="array" ref="I270">INDEX('GMW - Baseline'!$A$2:$MC$200,MATCH(1,('GMW - Baseline'!$MC$2:$MC$200=I$3)*('GMW - Baseline'!$MB$2:$MB$200=I$4),0),$E270-1973)</f>
        <v>NA</v>
      </c>
      <c r="J270" t="e" cm="1">
        <f t="array" ref="J270">INDEX('GMW - Baseline'!$A$2:$MC$200,MATCH(1,('GMW - Baseline'!$MC$2:$MC$200=J$3)*('GMW - Baseline'!$MB$2:$MB$200=J$4),0),$E270-1973)</f>
        <v>#N/A</v>
      </c>
      <c r="K270" t="e" cm="1">
        <f t="array" ref="K270">INDEX('GMW - Baseline'!$A$2:$MC$200,MATCH(1,('GMW - Baseline'!$MC$2:$MC$200=K$3)*('GMW - Baseline'!$MB$2:$MB$200=K$4),0),$E270-1973)</f>
        <v>#N/A</v>
      </c>
      <c r="L270" t="e" cm="1">
        <f t="array" ref="L270">INDEX('GMW - Baseline'!$A$2:$MC$200,MATCH(1,('GMW - Baseline'!$MC$2:$MC$200=L$3)*('GMW - Baseline'!$MB$2:$MB$200=L$4),0),$E270-1973)</f>
        <v>#N/A</v>
      </c>
      <c r="M270" t="e" cm="1">
        <f t="array" ref="M270">INDEX('GMW - Baseline'!$A$2:$MC$200,MATCH(1,('GMW - Baseline'!$MC$2:$MC$200=M$3)*('GMW - Baseline'!$MB$2:$MB$200=M$4),0),$E270-1973)</f>
        <v>#N/A</v>
      </c>
      <c r="N270" t="e" cm="1">
        <f t="array" ref="N270">INDEX('GMW - Baseline'!$A$2:$MC$200,MATCH(1,('GMW - Baseline'!$MC$2:$MC$200=N$3)*('GMW - Baseline'!$MB$2:$MB$200=N$4),0),$E270-1973)</f>
        <v>#N/A</v>
      </c>
      <c r="O270" t="e" cm="1">
        <f t="array" ref="O270">INDEX('GMW - Baseline'!$A$2:$MC$200,MATCH(1,('GMW - Baseline'!$MC$2:$MC$200=O$3)*('GMW - Baseline'!$MB$2:$MB$200=O$4),0),$E270-1973)</f>
        <v>#N/A</v>
      </c>
      <c r="P270" t="e" cm="1">
        <f t="array" ref="P270">INDEX('GMW - Baseline'!$A$2:$MC$200,MATCH(1,('GMW - Baseline'!$MC$2:$MC$200=P$3)*('GMW - Baseline'!$MB$2:$MB$200=P$4),0),$E270-1973)</f>
        <v>#N/A</v>
      </c>
      <c r="Q270" t="e" cm="1">
        <f t="array" ref="Q270">INDEX('GMW - Baseline'!$A$2:$MC$200,MATCH(1,('GMW - Baseline'!$MC$2:$MC$200=Q$3)*('GMW - Baseline'!$MB$2:$MB$200=Q$4),0),$E270-1973)</f>
        <v>#N/A</v>
      </c>
      <c r="R270" t="e" cm="1">
        <f t="array" ref="R270">INDEX('GMW - Baseline'!$A$2:$MC$200,MATCH(1,('GMW - Baseline'!$MC$2:$MC$200=R$3)*('GMW - Baseline'!$MB$2:$MB$200=R$4),0),$E270-1973)</f>
        <v>#N/A</v>
      </c>
      <c r="S270" t="e" cm="1">
        <f t="array" ref="S270">INDEX('GMW - Baseline'!$A$2:$MC$200,MATCH(1,('GMW - Baseline'!$MC$2:$MC$200=S$3)*('GMW - Baseline'!$MB$2:$MB$200=S$4),0),$E270-1973)</f>
        <v>#N/A</v>
      </c>
      <c r="T270" t="e" cm="1">
        <f t="array" ref="T270">INDEX('GMW - Baseline'!$A$2:$MC$200,MATCH(1,('GMW - Baseline'!$MC$2:$MC$200=T$3)*('GMW - Baseline'!$MB$2:$MB$200=T$4),0),$E270-1973)</f>
        <v>#N/A</v>
      </c>
    </row>
    <row r="271" spans="1:20" x14ac:dyDescent="0.25">
      <c r="A271">
        <v>2046</v>
      </c>
      <c r="B271">
        <f t="shared" si="22"/>
        <v>2046</v>
      </c>
      <c r="C271">
        <f t="shared" si="22"/>
        <v>2045</v>
      </c>
      <c r="D271">
        <f t="shared" si="22"/>
        <v>2045</v>
      </c>
      <c r="E271">
        <f t="shared" si="21"/>
        <v>2244</v>
      </c>
      <c r="F271" t="str" cm="1">
        <f t="array" ref="F271">INDEX('GMW - Baseline'!$A$2:$MC$200,MATCH(1,('GMW - Baseline'!$MC$2:$MC$200=F$3)*('GMW - Baseline'!$MB$2:$MB$200=F$4),0),$E271-1973)</f>
        <v>NA</v>
      </c>
      <c r="G271" t="str" cm="1">
        <f t="array" ref="G271">INDEX('GMW - Baseline'!$A$2:$MC$200,MATCH(1,('GMW - Baseline'!$MC$2:$MC$200=G$3)*('GMW - Baseline'!$MB$2:$MB$200=G$4),0),$E271-1973)</f>
        <v>NA</v>
      </c>
      <c r="H271" t="str" cm="1">
        <f t="array" ref="H271">INDEX('GMW - Baseline'!$A$2:$MC$200,MATCH(1,('GMW - Baseline'!$MC$2:$MC$200=H$3)*('GMW - Baseline'!$MB$2:$MB$200=H$4),0),$E271-1973)</f>
        <v>NA</v>
      </c>
      <c r="I271" t="str" cm="1">
        <f t="array" ref="I271">INDEX('GMW - Baseline'!$A$2:$MC$200,MATCH(1,('GMW - Baseline'!$MC$2:$MC$200=I$3)*('GMW - Baseline'!$MB$2:$MB$200=I$4),0),$E271-1973)</f>
        <v>NA</v>
      </c>
      <c r="J271" t="e" cm="1">
        <f t="array" ref="J271">INDEX('GMW - Baseline'!$A$2:$MC$200,MATCH(1,('GMW - Baseline'!$MC$2:$MC$200=J$3)*('GMW - Baseline'!$MB$2:$MB$200=J$4),0),$E271-1973)</f>
        <v>#N/A</v>
      </c>
      <c r="K271" t="e" cm="1">
        <f t="array" ref="K271">INDEX('GMW - Baseline'!$A$2:$MC$200,MATCH(1,('GMW - Baseline'!$MC$2:$MC$200=K$3)*('GMW - Baseline'!$MB$2:$MB$200=K$4),0),$E271-1973)</f>
        <v>#N/A</v>
      </c>
      <c r="L271" t="e" cm="1">
        <f t="array" ref="L271">INDEX('GMW - Baseline'!$A$2:$MC$200,MATCH(1,('GMW - Baseline'!$MC$2:$MC$200=L$3)*('GMW - Baseline'!$MB$2:$MB$200=L$4),0),$E271-1973)</f>
        <v>#N/A</v>
      </c>
      <c r="M271" t="e" cm="1">
        <f t="array" ref="M271">INDEX('GMW - Baseline'!$A$2:$MC$200,MATCH(1,('GMW - Baseline'!$MC$2:$MC$200=M$3)*('GMW - Baseline'!$MB$2:$MB$200=M$4),0),$E271-1973)</f>
        <v>#N/A</v>
      </c>
      <c r="N271" t="e" cm="1">
        <f t="array" ref="N271">INDEX('GMW - Baseline'!$A$2:$MC$200,MATCH(1,('GMW - Baseline'!$MC$2:$MC$200=N$3)*('GMW - Baseline'!$MB$2:$MB$200=N$4),0),$E271-1973)</f>
        <v>#N/A</v>
      </c>
      <c r="O271" t="e" cm="1">
        <f t="array" ref="O271">INDEX('GMW - Baseline'!$A$2:$MC$200,MATCH(1,('GMW - Baseline'!$MC$2:$MC$200=O$3)*('GMW - Baseline'!$MB$2:$MB$200=O$4),0),$E271-1973)</f>
        <v>#N/A</v>
      </c>
      <c r="P271" t="e" cm="1">
        <f t="array" ref="P271">INDEX('GMW - Baseline'!$A$2:$MC$200,MATCH(1,('GMW - Baseline'!$MC$2:$MC$200=P$3)*('GMW - Baseline'!$MB$2:$MB$200=P$4),0),$E271-1973)</f>
        <v>#N/A</v>
      </c>
      <c r="Q271" t="e" cm="1">
        <f t="array" ref="Q271">INDEX('GMW - Baseline'!$A$2:$MC$200,MATCH(1,('GMW - Baseline'!$MC$2:$MC$200=Q$3)*('GMW - Baseline'!$MB$2:$MB$200=Q$4),0),$E271-1973)</f>
        <v>#N/A</v>
      </c>
      <c r="R271" t="e" cm="1">
        <f t="array" ref="R271">INDEX('GMW - Baseline'!$A$2:$MC$200,MATCH(1,('GMW - Baseline'!$MC$2:$MC$200=R$3)*('GMW - Baseline'!$MB$2:$MB$200=R$4),0),$E271-1973)</f>
        <v>#N/A</v>
      </c>
      <c r="S271" t="e" cm="1">
        <f t="array" ref="S271">INDEX('GMW - Baseline'!$A$2:$MC$200,MATCH(1,('GMW - Baseline'!$MC$2:$MC$200=S$3)*('GMW - Baseline'!$MB$2:$MB$200=S$4),0),$E271-1973)</f>
        <v>#N/A</v>
      </c>
      <c r="T271" t="e" cm="1">
        <f t="array" ref="T271">INDEX('GMW - Baseline'!$A$2:$MC$200,MATCH(1,('GMW - Baseline'!$MC$2:$MC$200=T$3)*('GMW - Baseline'!$MB$2:$MB$200=T$4),0),$E271-1973)</f>
        <v>#N/A</v>
      </c>
    </row>
    <row r="272" spans="1:20" x14ac:dyDescent="0.25">
      <c r="B272">
        <f t="shared" si="22"/>
        <v>2046</v>
      </c>
      <c r="C272">
        <f t="shared" si="22"/>
        <v>2046</v>
      </c>
      <c r="E272">
        <f t="shared" si="21"/>
        <v>2245</v>
      </c>
      <c r="F272" t="str" cm="1">
        <f t="array" ref="F272">INDEX('GMW - Baseline'!$A$2:$MC$200,MATCH(1,('GMW - Baseline'!$MC$2:$MC$200=F$3)*('GMW - Baseline'!$MB$2:$MB$200=F$4),0),$E272-1973)</f>
        <v>NA</v>
      </c>
      <c r="G272" t="str" cm="1">
        <f t="array" ref="G272">INDEX('GMW - Baseline'!$A$2:$MC$200,MATCH(1,('GMW - Baseline'!$MC$2:$MC$200=G$3)*('GMW - Baseline'!$MB$2:$MB$200=G$4),0),$E272-1973)</f>
        <v>NA</v>
      </c>
      <c r="H272" t="str" cm="1">
        <f t="array" ref="H272">INDEX('GMW - Baseline'!$A$2:$MC$200,MATCH(1,('GMW - Baseline'!$MC$2:$MC$200=H$3)*('GMW - Baseline'!$MB$2:$MB$200=H$4),0),$E272-1973)</f>
        <v>NA</v>
      </c>
      <c r="I272" t="str" cm="1">
        <f t="array" ref="I272">INDEX('GMW - Baseline'!$A$2:$MC$200,MATCH(1,('GMW - Baseline'!$MC$2:$MC$200=I$3)*('GMW - Baseline'!$MB$2:$MB$200=I$4),0),$E272-1973)</f>
        <v>NA</v>
      </c>
      <c r="J272" t="e" cm="1">
        <f t="array" ref="J272">INDEX('GMW - Baseline'!$A$2:$MC$200,MATCH(1,('GMW - Baseline'!$MC$2:$MC$200=J$3)*('GMW - Baseline'!$MB$2:$MB$200=J$4),0),$E272-1973)</f>
        <v>#N/A</v>
      </c>
      <c r="K272" t="e" cm="1">
        <f t="array" ref="K272">INDEX('GMW - Baseline'!$A$2:$MC$200,MATCH(1,('GMW - Baseline'!$MC$2:$MC$200=K$3)*('GMW - Baseline'!$MB$2:$MB$200=K$4),0),$E272-1973)</f>
        <v>#N/A</v>
      </c>
      <c r="L272" t="e" cm="1">
        <f t="array" ref="L272">INDEX('GMW - Baseline'!$A$2:$MC$200,MATCH(1,('GMW - Baseline'!$MC$2:$MC$200=L$3)*('GMW - Baseline'!$MB$2:$MB$200=L$4),0),$E272-1973)</f>
        <v>#N/A</v>
      </c>
      <c r="M272" t="e" cm="1">
        <f t="array" ref="M272">INDEX('GMW - Baseline'!$A$2:$MC$200,MATCH(1,('GMW - Baseline'!$MC$2:$MC$200=M$3)*('GMW - Baseline'!$MB$2:$MB$200=M$4),0),$E272-1973)</f>
        <v>#N/A</v>
      </c>
      <c r="N272" t="e" cm="1">
        <f t="array" ref="N272">INDEX('GMW - Baseline'!$A$2:$MC$200,MATCH(1,('GMW - Baseline'!$MC$2:$MC$200=N$3)*('GMW - Baseline'!$MB$2:$MB$200=N$4),0),$E272-1973)</f>
        <v>#N/A</v>
      </c>
      <c r="O272" t="e" cm="1">
        <f t="array" ref="O272">INDEX('GMW - Baseline'!$A$2:$MC$200,MATCH(1,('GMW - Baseline'!$MC$2:$MC$200=O$3)*('GMW - Baseline'!$MB$2:$MB$200=O$4),0),$E272-1973)</f>
        <v>#N/A</v>
      </c>
      <c r="P272" t="e" cm="1">
        <f t="array" ref="P272">INDEX('GMW - Baseline'!$A$2:$MC$200,MATCH(1,('GMW - Baseline'!$MC$2:$MC$200=P$3)*('GMW - Baseline'!$MB$2:$MB$200=P$4),0),$E272-1973)</f>
        <v>#N/A</v>
      </c>
      <c r="Q272" t="e" cm="1">
        <f t="array" ref="Q272">INDEX('GMW - Baseline'!$A$2:$MC$200,MATCH(1,('GMW - Baseline'!$MC$2:$MC$200=Q$3)*('GMW - Baseline'!$MB$2:$MB$200=Q$4),0),$E272-1973)</f>
        <v>#N/A</v>
      </c>
      <c r="R272" t="e" cm="1">
        <f t="array" ref="R272">INDEX('GMW - Baseline'!$A$2:$MC$200,MATCH(1,('GMW - Baseline'!$MC$2:$MC$200=R$3)*('GMW - Baseline'!$MB$2:$MB$200=R$4),0),$E272-1973)</f>
        <v>#N/A</v>
      </c>
      <c r="S272" t="e" cm="1">
        <f t="array" ref="S272">INDEX('GMW - Baseline'!$A$2:$MC$200,MATCH(1,('GMW - Baseline'!$MC$2:$MC$200=S$3)*('GMW - Baseline'!$MB$2:$MB$200=S$4),0),$E272-1973)</f>
        <v>#N/A</v>
      </c>
      <c r="T272" t="e" cm="1">
        <f t="array" ref="T272">INDEX('GMW - Baseline'!$A$2:$MC$200,MATCH(1,('GMW - Baseline'!$MC$2:$MC$200=T$3)*('GMW - Baseline'!$MB$2:$MB$200=T$4),0),$E272-1973)</f>
        <v>#N/A</v>
      </c>
    </row>
    <row r="273" spans="1:20" x14ac:dyDescent="0.25">
      <c r="B273">
        <f t="shared" si="22"/>
        <v>2046</v>
      </c>
      <c r="C273">
        <f t="shared" si="22"/>
        <v>2046</v>
      </c>
      <c r="E273">
        <f t="shared" si="21"/>
        <v>2246</v>
      </c>
      <c r="F273" t="str" cm="1">
        <f t="array" ref="F273">INDEX('GMW - Baseline'!$A$2:$MC$200,MATCH(1,('GMW - Baseline'!$MC$2:$MC$200=F$3)*('GMW - Baseline'!$MB$2:$MB$200=F$4),0),$E273-1973)</f>
        <v>NA</v>
      </c>
      <c r="G273" t="str" cm="1">
        <f t="array" ref="G273">INDEX('GMW - Baseline'!$A$2:$MC$200,MATCH(1,('GMW - Baseline'!$MC$2:$MC$200=G$3)*('GMW - Baseline'!$MB$2:$MB$200=G$4),0),$E273-1973)</f>
        <v>NA</v>
      </c>
      <c r="H273" t="str" cm="1">
        <f t="array" ref="H273">INDEX('GMW - Baseline'!$A$2:$MC$200,MATCH(1,('GMW - Baseline'!$MC$2:$MC$200=H$3)*('GMW - Baseline'!$MB$2:$MB$200=H$4),0),$E273-1973)</f>
        <v>NA</v>
      </c>
      <c r="I273" t="str" cm="1">
        <f t="array" ref="I273">INDEX('GMW - Baseline'!$A$2:$MC$200,MATCH(1,('GMW - Baseline'!$MC$2:$MC$200=I$3)*('GMW - Baseline'!$MB$2:$MB$200=I$4),0),$E273-1973)</f>
        <v>NA</v>
      </c>
      <c r="J273" t="e" cm="1">
        <f t="array" ref="J273">INDEX('GMW - Baseline'!$A$2:$MC$200,MATCH(1,('GMW - Baseline'!$MC$2:$MC$200=J$3)*('GMW - Baseline'!$MB$2:$MB$200=J$4),0),$E273-1973)</f>
        <v>#N/A</v>
      </c>
      <c r="K273" t="e" cm="1">
        <f t="array" ref="K273">INDEX('GMW - Baseline'!$A$2:$MC$200,MATCH(1,('GMW - Baseline'!$MC$2:$MC$200=K$3)*('GMW - Baseline'!$MB$2:$MB$200=K$4),0),$E273-1973)</f>
        <v>#N/A</v>
      </c>
      <c r="L273" t="e" cm="1">
        <f t="array" ref="L273">INDEX('GMW - Baseline'!$A$2:$MC$200,MATCH(1,('GMW - Baseline'!$MC$2:$MC$200=L$3)*('GMW - Baseline'!$MB$2:$MB$200=L$4),0),$E273-1973)</f>
        <v>#N/A</v>
      </c>
      <c r="M273" t="e" cm="1">
        <f t="array" ref="M273">INDEX('GMW - Baseline'!$A$2:$MC$200,MATCH(1,('GMW - Baseline'!$MC$2:$MC$200=M$3)*('GMW - Baseline'!$MB$2:$MB$200=M$4),0),$E273-1973)</f>
        <v>#N/A</v>
      </c>
      <c r="N273" t="e" cm="1">
        <f t="array" ref="N273">INDEX('GMW - Baseline'!$A$2:$MC$200,MATCH(1,('GMW - Baseline'!$MC$2:$MC$200=N$3)*('GMW - Baseline'!$MB$2:$MB$200=N$4),0),$E273-1973)</f>
        <v>#N/A</v>
      </c>
      <c r="O273" t="e" cm="1">
        <f t="array" ref="O273">INDEX('GMW - Baseline'!$A$2:$MC$200,MATCH(1,('GMW - Baseline'!$MC$2:$MC$200=O$3)*('GMW - Baseline'!$MB$2:$MB$200=O$4),0),$E273-1973)</f>
        <v>#N/A</v>
      </c>
      <c r="P273" t="e" cm="1">
        <f t="array" ref="P273">INDEX('GMW - Baseline'!$A$2:$MC$200,MATCH(1,('GMW - Baseline'!$MC$2:$MC$200=P$3)*('GMW - Baseline'!$MB$2:$MB$200=P$4),0),$E273-1973)</f>
        <v>#N/A</v>
      </c>
      <c r="Q273" t="e" cm="1">
        <f t="array" ref="Q273">INDEX('GMW - Baseline'!$A$2:$MC$200,MATCH(1,('GMW - Baseline'!$MC$2:$MC$200=Q$3)*('GMW - Baseline'!$MB$2:$MB$200=Q$4),0),$E273-1973)</f>
        <v>#N/A</v>
      </c>
      <c r="R273" t="e" cm="1">
        <f t="array" ref="R273">INDEX('GMW - Baseline'!$A$2:$MC$200,MATCH(1,('GMW - Baseline'!$MC$2:$MC$200=R$3)*('GMW - Baseline'!$MB$2:$MB$200=R$4),0),$E273-1973)</f>
        <v>#N/A</v>
      </c>
      <c r="S273" t="e" cm="1">
        <f t="array" ref="S273">INDEX('GMW - Baseline'!$A$2:$MC$200,MATCH(1,('GMW - Baseline'!$MC$2:$MC$200=S$3)*('GMW - Baseline'!$MB$2:$MB$200=S$4),0),$E273-1973)</f>
        <v>#N/A</v>
      </c>
      <c r="T273" t="e" cm="1">
        <f t="array" ref="T273">INDEX('GMW - Baseline'!$A$2:$MC$200,MATCH(1,('GMW - Baseline'!$MC$2:$MC$200=T$3)*('GMW - Baseline'!$MB$2:$MB$200=T$4),0),$E273-1973)</f>
        <v>#N/A</v>
      </c>
    </row>
    <row r="274" spans="1:20" x14ac:dyDescent="0.25">
      <c r="B274">
        <f t="shared" si="22"/>
        <v>2046</v>
      </c>
      <c r="C274">
        <f t="shared" si="22"/>
        <v>2046</v>
      </c>
      <c r="E274">
        <f t="shared" si="21"/>
        <v>2247</v>
      </c>
      <c r="F274" t="str" cm="1">
        <f t="array" ref="F274">INDEX('GMW - Baseline'!$A$2:$MC$200,MATCH(1,('GMW - Baseline'!$MC$2:$MC$200=F$3)*('GMW - Baseline'!$MB$2:$MB$200=F$4),0),$E274-1973)</f>
        <v>NA</v>
      </c>
      <c r="G274" t="str" cm="1">
        <f t="array" ref="G274">INDEX('GMW - Baseline'!$A$2:$MC$200,MATCH(1,('GMW - Baseline'!$MC$2:$MC$200=G$3)*('GMW - Baseline'!$MB$2:$MB$200=G$4),0),$E274-1973)</f>
        <v>NA</v>
      </c>
      <c r="H274" t="str" cm="1">
        <f t="array" ref="H274">INDEX('GMW - Baseline'!$A$2:$MC$200,MATCH(1,('GMW - Baseline'!$MC$2:$MC$200=H$3)*('GMW - Baseline'!$MB$2:$MB$200=H$4),0),$E274-1973)</f>
        <v>NA</v>
      </c>
      <c r="I274" t="str" cm="1">
        <f t="array" ref="I274">INDEX('GMW - Baseline'!$A$2:$MC$200,MATCH(1,('GMW - Baseline'!$MC$2:$MC$200=I$3)*('GMW - Baseline'!$MB$2:$MB$200=I$4),0),$E274-1973)</f>
        <v>NA</v>
      </c>
      <c r="J274" t="e" cm="1">
        <f t="array" ref="J274">INDEX('GMW - Baseline'!$A$2:$MC$200,MATCH(1,('GMW - Baseline'!$MC$2:$MC$200=J$3)*('GMW - Baseline'!$MB$2:$MB$200=J$4),0),$E274-1973)</f>
        <v>#N/A</v>
      </c>
      <c r="K274" t="e" cm="1">
        <f t="array" ref="K274">INDEX('GMW - Baseline'!$A$2:$MC$200,MATCH(1,('GMW - Baseline'!$MC$2:$MC$200=K$3)*('GMW - Baseline'!$MB$2:$MB$200=K$4),0),$E274-1973)</f>
        <v>#N/A</v>
      </c>
      <c r="L274" t="e" cm="1">
        <f t="array" ref="L274">INDEX('GMW - Baseline'!$A$2:$MC$200,MATCH(1,('GMW - Baseline'!$MC$2:$MC$200=L$3)*('GMW - Baseline'!$MB$2:$MB$200=L$4),0),$E274-1973)</f>
        <v>#N/A</v>
      </c>
      <c r="M274" t="e" cm="1">
        <f t="array" ref="M274">INDEX('GMW - Baseline'!$A$2:$MC$200,MATCH(1,('GMW - Baseline'!$MC$2:$MC$200=M$3)*('GMW - Baseline'!$MB$2:$MB$200=M$4),0),$E274-1973)</f>
        <v>#N/A</v>
      </c>
      <c r="N274" t="e" cm="1">
        <f t="array" ref="N274">INDEX('GMW - Baseline'!$A$2:$MC$200,MATCH(1,('GMW - Baseline'!$MC$2:$MC$200=N$3)*('GMW - Baseline'!$MB$2:$MB$200=N$4),0),$E274-1973)</f>
        <v>#N/A</v>
      </c>
      <c r="O274" t="e" cm="1">
        <f t="array" ref="O274">INDEX('GMW - Baseline'!$A$2:$MC$200,MATCH(1,('GMW - Baseline'!$MC$2:$MC$200=O$3)*('GMW - Baseline'!$MB$2:$MB$200=O$4),0),$E274-1973)</f>
        <v>#N/A</v>
      </c>
      <c r="P274" t="e" cm="1">
        <f t="array" ref="P274">INDEX('GMW - Baseline'!$A$2:$MC$200,MATCH(1,('GMW - Baseline'!$MC$2:$MC$200=P$3)*('GMW - Baseline'!$MB$2:$MB$200=P$4),0),$E274-1973)</f>
        <v>#N/A</v>
      </c>
      <c r="Q274" t="e" cm="1">
        <f t="array" ref="Q274">INDEX('GMW - Baseline'!$A$2:$MC$200,MATCH(1,('GMW - Baseline'!$MC$2:$MC$200=Q$3)*('GMW - Baseline'!$MB$2:$MB$200=Q$4),0),$E274-1973)</f>
        <v>#N/A</v>
      </c>
      <c r="R274" t="e" cm="1">
        <f t="array" ref="R274">INDEX('GMW - Baseline'!$A$2:$MC$200,MATCH(1,('GMW - Baseline'!$MC$2:$MC$200=R$3)*('GMW - Baseline'!$MB$2:$MB$200=R$4),0),$E274-1973)</f>
        <v>#N/A</v>
      </c>
      <c r="S274" t="e" cm="1">
        <f t="array" ref="S274">INDEX('GMW - Baseline'!$A$2:$MC$200,MATCH(1,('GMW - Baseline'!$MC$2:$MC$200=S$3)*('GMW - Baseline'!$MB$2:$MB$200=S$4),0),$E274-1973)</f>
        <v>#N/A</v>
      </c>
      <c r="T274" t="e" cm="1">
        <f t="array" ref="T274">INDEX('GMW - Baseline'!$A$2:$MC$200,MATCH(1,('GMW - Baseline'!$MC$2:$MC$200=T$3)*('GMW - Baseline'!$MB$2:$MB$200=T$4),0),$E274-1973)</f>
        <v>#N/A</v>
      </c>
    </row>
    <row r="275" spans="1:20" x14ac:dyDescent="0.25">
      <c r="A275">
        <v>2047</v>
      </c>
      <c r="B275">
        <f t="shared" si="22"/>
        <v>2047</v>
      </c>
      <c r="C275">
        <f t="shared" si="22"/>
        <v>2046</v>
      </c>
      <c r="D275">
        <f t="shared" si="22"/>
        <v>2046</v>
      </c>
      <c r="E275">
        <f t="shared" si="21"/>
        <v>2248</v>
      </c>
      <c r="F275" t="str" cm="1">
        <f t="array" ref="F275">INDEX('GMW - Baseline'!$A$2:$MC$200,MATCH(1,('GMW - Baseline'!$MC$2:$MC$200=F$3)*('GMW - Baseline'!$MB$2:$MB$200=F$4),0),$E275-1973)</f>
        <v>NA</v>
      </c>
      <c r="G275" t="str" cm="1">
        <f t="array" ref="G275">INDEX('GMW - Baseline'!$A$2:$MC$200,MATCH(1,('GMW - Baseline'!$MC$2:$MC$200=G$3)*('GMW - Baseline'!$MB$2:$MB$200=G$4),0),$E275-1973)</f>
        <v>NA</v>
      </c>
      <c r="H275" t="str" cm="1">
        <f t="array" ref="H275">INDEX('GMW - Baseline'!$A$2:$MC$200,MATCH(1,('GMW - Baseline'!$MC$2:$MC$200=H$3)*('GMW - Baseline'!$MB$2:$MB$200=H$4),0),$E275-1973)</f>
        <v>NA</v>
      </c>
      <c r="I275" t="str" cm="1">
        <f t="array" ref="I275">INDEX('GMW - Baseline'!$A$2:$MC$200,MATCH(1,('GMW - Baseline'!$MC$2:$MC$200=I$3)*('GMW - Baseline'!$MB$2:$MB$200=I$4),0),$E275-1973)</f>
        <v>NA</v>
      </c>
      <c r="J275" t="e" cm="1">
        <f t="array" ref="J275">INDEX('GMW - Baseline'!$A$2:$MC$200,MATCH(1,('GMW - Baseline'!$MC$2:$MC$200=J$3)*('GMW - Baseline'!$MB$2:$MB$200=J$4),0),$E275-1973)</f>
        <v>#N/A</v>
      </c>
      <c r="K275" t="e" cm="1">
        <f t="array" ref="K275">INDEX('GMW - Baseline'!$A$2:$MC$200,MATCH(1,('GMW - Baseline'!$MC$2:$MC$200=K$3)*('GMW - Baseline'!$MB$2:$MB$200=K$4),0),$E275-1973)</f>
        <v>#N/A</v>
      </c>
      <c r="L275" t="e" cm="1">
        <f t="array" ref="L275">INDEX('GMW - Baseline'!$A$2:$MC$200,MATCH(1,('GMW - Baseline'!$MC$2:$MC$200=L$3)*('GMW - Baseline'!$MB$2:$MB$200=L$4),0),$E275-1973)</f>
        <v>#N/A</v>
      </c>
      <c r="M275" t="e" cm="1">
        <f t="array" ref="M275">INDEX('GMW - Baseline'!$A$2:$MC$200,MATCH(1,('GMW - Baseline'!$MC$2:$MC$200=M$3)*('GMW - Baseline'!$MB$2:$MB$200=M$4),0),$E275-1973)</f>
        <v>#N/A</v>
      </c>
      <c r="N275" t="e" cm="1">
        <f t="array" ref="N275">INDEX('GMW - Baseline'!$A$2:$MC$200,MATCH(1,('GMW - Baseline'!$MC$2:$MC$200=N$3)*('GMW - Baseline'!$MB$2:$MB$200=N$4),0),$E275-1973)</f>
        <v>#N/A</v>
      </c>
      <c r="O275" t="e" cm="1">
        <f t="array" ref="O275">INDEX('GMW - Baseline'!$A$2:$MC$200,MATCH(1,('GMW - Baseline'!$MC$2:$MC$200=O$3)*('GMW - Baseline'!$MB$2:$MB$200=O$4),0),$E275-1973)</f>
        <v>#N/A</v>
      </c>
      <c r="P275" t="e" cm="1">
        <f t="array" ref="P275">INDEX('GMW - Baseline'!$A$2:$MC$200,MATCH(1,('GMW - Baseline'!$MC$2:$MC$200=P$3)*('GMW - Baseline'!$MB$2:$MB$200=P$4),0),$E275-1973)</f>
        <v>#N/A</v>
      </c>
      <c r="Q275" t="e" cm="1">
        <f t="array" ref="Q275">INDEX('GMW - Baseline'!$A$2:$MC$200,MATCH(1,('GMW - Baseline'!$MC$2:$MC$200=Q$3)*('GMW - Baseline'!$MB$2:$MB$200=Q$4),0),$E275-1973)</f>
        <v>#N/A</v>
      </c>
      <c r="R275" t="e" cm="1">
        <f t="array" ref="R275">INDEX('GMW - Baseline'!$A$2:$MC$200,MATCH(1,('GMW - Baseline'!$MC$2:$MC$200=R$3)*('GMW - Baseline'!$MB$2:$MB$200=R$4),0),$E275-1973)</f>
        <v>#N/A</v>
      </c>
      <c r="S275" t="e" cm="1">
        <f t="array" ref="S275">INDEX('GMW - Baseline'!$A$2:$MC$200,MATCH(1,('GMW - Baseline'!$MC$2:$MC$200=S$3)*('GMW - Baseline'!$MB$2:$MB$200=S$4),0),$E275-1973)</f>
        <v>#N/A</v>
      </c>
      <c r="T275" t="e" cm="1">
        <f t="array" ref="T275">INDEX('GMW - Baseline'!$A$2:$MC$200,MATCH(1,('GMW - Baseline'!$MC$2:$MC$200=T$3)*('GMW - Baseline'!$MB$2:$MB$200=T$4),0),$E275-1973)</f>
        <v>#N/A</v>
      </c>
    </row>
    <row r="276" spans="1:20" x14ac:dyDescent="0.25">
      <c r="B276">
        <f t="shared" si="22"/>
        <v>2047</v>
      </c>
      <c r="C276">
        <f t="shared" si="22"/>
        <v>2047</v>
      </c>
      <c r="E276">
        <f t="shared" si="21"/>
        <v>2249</v>
      </c>
      <c r="F276" t="str" cm="1">
        <f t="array" ref="F276">INDEX('GMW - Baseline'!$A$2:$MC$200,MATCH(1,('GMW - Baseline'!$MC$2:$MC$200=F$3)*('GMW - Baseline'!$MB$2:$MB$200=F$4),0),$E276-1973)</f>
        <v>NA</v>
      </c>
      <c r="G276" t="str" cm="1">
        <f t="array" ref="G276">INDEX('GMW - Baseline'!$A$2:$MC$200,MATCH(1,('GMW - Baseline'!$MC$2:$MC$200=G$3)*('GMW - Baseline'!$MB$2:$MB$200=G$4),0),$E276-1973)</f>
        <v>NA</v>
      </c>
      <c r="H276" t="str" cm="1">
        <f t="array" ref="H276">INDEX('GMW - Baseline'!$A$2:$MC$200,MATCH(1,('GMW - Baseline'!$MC$2:$MC$200=H$3)*('GMW - Baseline'!$MB$2:$MB$200=H$4),0),$E276-1973)</f>
        <v>NA</v>
      </c>
      <c r="I276" t="str" cm="1">
        <f t="array" ref="I276">INDEX('GMW - Baseline'!$A$2:$MC$200,MATCH(1,('GMW - Baseline'!$MC$2:$MC$200=I$3)*('GMW - Baseline'!$MB$2:$MB$200=I$4),0),$E276-1973)</f>
        <v>NA</v>
      </c>
      <c r="J276" t="e" cm="1">
        <f t="array" ref="J276">INDEX('GMW - Baseline'!$A$2:$MC$200,MATCH(1,('GMW - Baseline'!$MC$2:$MC$200=J$3)*('GMW - Baseline'!$MB$2:$MB$200=J$4),0),$E276-1973)</f>
        <v>#N/A</v>
      </c>
      <c r="K276" t="e" cm="1">
        <f t="array" ref="K276">INDEX('GMW - Baseline'!$A$2:$MC$200,MATCH(1,('GMW - Baseline'!$MC$2:$MC$200=K$3)*('GMW - Baseline'!$MB$2:$MB$200=K$4),0),$E276-1973)</f>
        <v>#N/A</v>
      </c>
      <c r="L276" t="e" cm="1">
        <f t="array" ref="L276">INDEX('GMW - Baseline'!$A$2:$MC$200,MATCH(1,('GMW - Baseline'!$MC$2:$MC$200=L$3)*('GMW - Baseline'!$MB$2:$MB$200=L$4),0),$E276-1973)</f>
        <v>#N/A</v>
      </c>
      <c r="M276" t="e" cm="1">
        <f t="array" ref="M276">INDEX('GMW - Baseline'!$A$2:$MC$200,MATCH(1,('GMW - Baseline'!$MC$2:$MC$200=M$3)*('GMW - Baseline'!$MB$2:$MB$200=M$4),0),$E276-1973)</f>
        <v>#N/A</v>
      </c>
      <c r="N276" t="e" cm="1">
        <f t="array" ref="N276">INDEX('GMW - Baseline'!$A$2:$MC$200,MATCH(1,('GMW - Baseline'!$MC$2:$MC$200=N$3)*('GMW - Baseline'!$MB$2:$MB$200=N$4),0),$E276-1973)</f>
        <v>#N/A</v>
      </c>
      <c r="O276" t="e" cm="1">
        <f t="array" ref="O276">INDEX('GMW - Baseline'!$A$2:$MC$200,MATCH(1,('GMW - Baseline'!$MC$2:$MC$200=O$3)*('GMW - Baseline'!$MB$2:$MB$200=O$4),0),$E276-1973)</f>
        <v>#N/A</v>
      </c>
      <c r="P276" t="e" cm="1">
        <f t="array" ref="P276">INDEX('GMW - Baseline'!$A$2:$MC$200,MATCH(1,('GMW - Baseline'!$MC$2:$MC$200=P$3)*('GMW - Baseline'!$MB$2:$MB$200=P$4),0),$E276-1973)</f>
        <v>#N/A</v>
      </c>
      <c r="Q276" t="e" cm="1">
        <f t="array" ref="Q276">INDEX('GMW - Baseline'!$A$2:$MC$200,MATCH(1,('GMW - Baseline'!$MC$2:$MC$200=Q$3)*('GMW - Baseline'!$MB$2:$MB$200=Q$4),0),$E276-1973)</f>
        <v>#N/A</v>
      </c>
      <c r="R276" t="e" cm="1">
        <f t="array" ref="R276">INDEX('GMW - Baseline'!$A$2:$MC$200,MATCH(1,('GMW - Baseline'!$MC$2:$MC$200=R$3)*('GMW - Baseline'!$MB$2:$MB$200=R$4),0),$E276-1973)</f>
        <v>#N/A</v>
      </c>
      <c r="S276" t="e" cm="1">
        <f t="array" ref="S276">INDEX('GMW - Baseline'!$A$2:$MC$200,MATCH(1,('GMW - Baseline'!$MC$2:$MC$200=S$3)*('GMW - Baseline'!$MB$2:$MB$200=S$4),0),$E276-1973)</f>
        <v>#N/A</v>
      </c>
      <c r="T276" t="e" cm="1">
        <f t="array" ref="T276">INDEX('GMW - Baseline'!$A$2:$MC$200,MATCH(1,('GMW - Baseline'!$MC$2:$MC$200=T$3)*('GMW - Baseline'!$MB$2:$MB$200=T$4),0),$E276-1973)</f>
        <v>#N/A</v>
      </c>
    </row>
    <row r="277" spans="1:20" x14ac:dyDescent="0.25">
      <c r="B277">
        <f t="shared" si="22"/>
        <v>2047</v>
      </c>
      <c r="C277">
        <f t="shared" si="22"/>
        <v>2047</v>
      </c>
      <c r="E277">
        <f t="shared" si="21"/>
        <v>2250</v>
      </c>
      <c r="F277" t="str" cm="1">
        <f t="array" ref="F277">INDEX('GMW - Baseline'!$A$2:$MC$200,MATCH(1,('GMW - Baseline'!$MC$2:$MC$200=F$3)*('GMW - Baseline'!$MB$2:$MB$200=F$4),0),$E277-1973)</f>
        <v>NA</v>
      </c>
      <c r="G277" t="str" cm="1">
        <f t="array" ref="G277">INDEX('GMW - Baseline'!$A$2:$MC$200,MATCH(1,('GMW - Baseline'!$MC$2:$MC$200=G$3)*('GMW - Baseline'!$MB$2:$MB$200=G$4),0),$E277-1973)</f>
        <v>NA</v>
      </c>
      <c r="H277" t="str" cm="1">
        <f t="array" ref="H277">INDEX('GMW - Baseline'!$A$2:$MC$200,MATCH(1,('GMW - Baseline'!$MC$2:$MC$200=H$3)*('GMW - Baseline'!$MB$2:$MB$200=H$4),0),$E277-1973)</f>
        <v>NA</v>
      </c>
      <c r="I277" t="str" cm="1">
        <f t="array" ref="I277">INDEX('GMW - Baseline'!$A$2:$MC$200,MATCH(1,('GMW - Baseline'!$MC$2:$MC$200=I$3)*('GMW - Baseline'!$MB$2:$MB$200=I$4),0),$E277-1973)</f>
        <v>NA</v>
      </c>
      <c r="J277" t="e" cm="1">
        <f t="array" ref="J277">INDEX('GMW - Baseline'!$A$2:$MC$200,MATCH(1,('GMW - Baseline'!$MC$2:$MC$200=J$3)*('GMW - Baseline'!$MB$2:$MB$200=J$4),0),$E277-1973)</f>
        <v>#N/A</v>
      </c>
      <c r="K277" t="e" cm="1">
        <f t="array" ref="K277">INDEX('GMW - Baseline'!$A$2:$MC$200,MATCH(1,('GMW - Baseline'!$MC$2:$MC$200=K$3)*('GMW - Baseline'!$MB$2:$MB$200=K$4),0),$E277-1973)</f>
        <v>#N/A</v>
      </c>
      <c r="L277" t="e" cm="1">
        <f t="array" ref="L277">INDEX('GMW - Baseline'!$A$2:$MC$200,MATCH(1,('GMW - Baseline'!$MC$2:$MC$200=L$3)*('GMW - Baseline'!$MB$2:$MB$200=L$4),0),$E277-1973)</f>
        <v>#N/A</v>
      </c>
      <c r="M277" t="e" cm="1">
        <f t="array" ref="M277">INDEX('GMW - Baseline'!$A$2:$MC$200,MATCH(1,('GMW - Baseline'!$MC$2:$MC$200=M$3)*('GMW - Baseline'!$MB$2:$MB$200=M$4),0),$E277-1973)</f>
        <v>#N/A</v>
      </c>
      <c r="N277" t="e" cm="1">
        <f t="array" ref="N277">INDEX('GMW - Baseline'!$A$2:$MC$200,MATCH(1,('GMW - Baseline'!$MC$2:$MC$200=N$3)*('GMW - Baseline'!$MB$2:$MB$200=N$4),0),$E277-1973)</f>
        <v>#N/A</v>
      </c>
      <c r="O277" t="e" cm="1">
        <f t="array" ref="O277">INDEX('GMW - Baseline'!$A$2:$MC$200,MATCH(1,('GMW - Baseline'!$MC$2:$MC$200=O$3)*('GMW - Baseline'!$MB$2:$MB$200=O$4),0),$E277-1973)</f>
        <v>#N/A</v>
      </c>
      <c r="P277" t="e" cm="1">
        <f t="array" ref="P277">INDEX('GMW - Baseline'!$A$2:$MC$200,MATCH(1,('GMW - Baseline'!$MC$2:$MC$200=P$3)*('GMW - Baseline'!$MB$2:$MB$200=P$4),0),$E277-1973)</f>
        <v>#N/A</v>
      </c>
      <c r="Q277" t="e" cm="1">
        <f t="array" ref="Q277">INDEX('GMW - Baseline'!$A$2:$MC$200,MATCH(1,('GMW - Baseline'!$MC$2:$MC$200=Q$3)*('GMW - Baseline'!$MB$2:$MB$200=Q$4),0),$E277-1973)</f>
        <v>#N/A</v>
      </c>
      <c r="R277" t="e" cm="1">
        <f t="array" ref="R277">INDEX('GMW - Baseline'!$A$2:$MC$200,MATCH(1,('GMW - Baseline'!$MC$2:$MC$200=R$3)*('GMW - Baseline'!$MB$2:$MB$200=R$4),0),$E277-1973)</f>
        <v>#N/A</v>
      </c>
      <c r="S277" t="e" cm="1">
        <f t="array" ref="S277">INDEX('GMW - Baseline'!$A$2:$MC$200,MATCH(1,('GMW - Baseline'!$MC$2:$MC$200=S$3)*('GMW - Baseline'!$MB$2:$MB$200=S$4),0),$E277-1973)</f>
        <v>#N/A</v>
      </c>
      <c r="T277" t="e" cm="1">
        <f t="array" ref="T277">INDEX('GMW - Baseline'!$A$2:$MC$200,MATCH(1,('GMW - Baseline'!$MC$2:$MC$200=T$3)*('GMW - Baseline'!$MB$2:$MB$200=T$4),0),$E277-1973)</f>
        <v>#N/A</v>
      </c>
    </row>
    <row r="278" spans="1:20" x14ac:dyDescent="0.25">
      <c r="B278">
        <f t="shared" si="22"/>
        <v>2047</v>
      </c>
      <c r="C278">
        <f t="shared" si="22"/>
        <v>2047</v>
      </c>
      <c r="E278">
        <f t="shared" si="21"/>
        <v>2251</v>
      </c>
      <c r="F278" t="str" cm="1">
        <f t="array" ref="F278">INDEX('GMW - Baseline'!$A$2:$MC$200,MATCH(1,('GMW - Baseline'!$MC$2:$MC$200=F$3)*('GMW - Baseline'!$MB$2:$MB$200=F$4),0),$E278-1973)</f>
        <v>NA</v>
      </c>
      <c r="G278" t="str" cm="1">
        <f t="array" ref="G278">INDEX('GMW - Baseline'!$A$2:$MC$200,MATCH(1,('GMW - Baseline'!$MC$2:$MC$200=G$3)*('GMW - Baseline'!$MB$2:$MB$200=G$4),0),$E278-1973)</f>
        <v>NA</v>
      </c>
      <c r="H278" t="str" cm="1">
        <f t="array" ref="H278">INDEX('GMW - Baseline'!$A$2:$MC$200,MATCH(1,('GMW - Baseline'!$MC$2:$MC$200=H$3)*('GMW - Baseline'!$MB$2:$MB$200=H$4),0),$E278-1973)</f>
        <v>NA</v>
      </c>
      <c r="I278" t="str" cm="1">
        <f t="array" ref="I278">INDEX('GMW - Baseline'!$A$2:$MC$200,MATCH(1,('GMW - Baseline'!$MC$2:$MC$200=I$3)*('GMW - Baseline'!$MB$2:$MB$200=I$4),0),$E278-1973)</f>
        <v>NA</v>
      </c>
      <c r="J278" t="e" cm="1">
        <f t="array" ref="J278">INDEX('GMW - Baseline'!$A$2:$MC$200,MATCH(1,('GMW - Baseline'!$MC$2:$MC$200=J$3)*('GMW - Baseline'!$MB$2:$MB$200=J$4),0),$E278-1973)</f>
        <v>#N/A</v>
      </c>
      <c r="K278" t="e" cm="1">
        <f t="array" ref="K278">INDEX('GMW - Baseline'!$A$2:$MC$200,MATCH(1,('GMW - Baseline'!$MC$2:$MC$200=K$3)*('GMW - Baseline'!$MB$2:$MB$200=K$4),0),$E278-1973)</f>
        <v>#N/A</v>
      </c>
      <c r="L278" t="e" cm="1">
        <f t="array" ref="L278">INDEX('GMW - Baseline'!$A$2:$MC$200,MATCH(1,('GMW - Baseline'!$MC$2:$MC$200=L$3)*('GMW - Baseline'!$MB$2:$MB$200=L$4),0),$E278-1973)</f>
        <v>#N/A</v>
      </c>
      <c r="M278" t="e" cm="1">
        <f t="array" ref="M278">INDEX('GMW - Baseline'!$A$2:$MC$200,MATCH(1,('GMW - Baseline'!$MC$2:$MC$200=M$3)*('GMW - Baseline'!$MB$2:$MB$200=M$4),0),$E278-1973)</f>
        <v>#N/A</v>
      </c>
      <c r="N278" t="e" cm="1">
        <f t="array" ref="N278">INDEX('GMW - Baseline'!$A$2:$MC$200,MATCH(1,('GMW - Baseline'!$MC$2:$MC$200=N$3)*('GMW - Baseline'!$MB$2:$MB$200=N$4),0),$E278-1973)</f>
        <v>#N/A</v>
      </c>
      <c r="O278" t="e" cm="1">
        <f t="array" ref="O278">INDEX('GMW - Baseline'!$A$2:$MC$200,MATCH(1,('GMW - Baseline'!$MC$2:$MC$200=O$3)*('GMW - Baseline'!$MB$2:$MB$200=O$4),0),$E278-1973)</f>
        <v>#N/A</v>
      </c>
      <c r="P278" t="e" cm="1">
        <f t="array" ref="P278">INDEX('GMW - Baseline'!$A$2:$MC$200,MATCH(1,('GMW - Baseline'!$MC$2:$MC$200=P$3)*('GMW - Baseline'!$MB$2:$MB$200=P$4),0),$E278-1973)</f>
        <v>#N/A</v>
      </c>
      <c r="Q278" t="e" cm="1">
        <f t="array" ref="Q278">INDEX('GMW - Baseline'!$A$2:$MC$200,MATCH(1,('GMW - Baseline'!$MC$2:$MC$200=Q$3)*('GMW - Baseline'!$MB$2:$MB$200=Q$4),0),$E278-1973)</f>
        <v>#N/A</v>
      </c>
      <c r="R278" t="e" cm="1">
        <f t="array" ref="R278">INDEX('GMW - Baseline'!$A$2:$MC$200,MATCH(1,('GMW - Baseline'!$MC$2:$MC$200=R$3)*('GMW - Baseline'!$MB$2:$MB$200=R$4),0),$E278-1973)</f>
        <v>#N/A</v>
      </c>
      <c r="S278" t="e" cm="1">
        <f t="array" ref="S278">INDEX('GMW - Baseline'!$A$2:$MC$200,MATCH(1,('GMW - Baseline'!$MC$2:$MC$200=S$3)*('GMW - Baseline'!$MB$2:$MB$200=S$4),0),$E278-1973)</f>
        <v>#N/A</v>
      </c>
      <c r="T278" t="e" cm="1">
        <f t="array" ref="T278">INDEX('GMW - Baseline'!$A$2:$MC$200,MATCH(1,('GMW - Baseline'!$MC$2:$MC$200=T$3)*('GMW - Baseline'!$MB$2:$MB$200=T$4),0),$E278-1973)</f>
        <v>#N/A</v>
      </c>
    </row>
    <row r="279" spans="1:20" x14ac:dyDescent="0.25">
      <c r="A279">
        <v>2048</v>
      </c>
      <c r="B279">
        <f t="shared" si="22"/>
        <v>2048</v>
      </c>
      <c r="C279">
        <f t="shared" si="22"/>
        <v>2047</v>
      </c>
      <c r="D279">
        <f t="shared" si="22"/>
        <v>2047</v>
      </c>
      <c r="E279">
        <f t="shared" si="21"/>
        <v>2252</v>
      </c>
      <c r="F279" t="str" cm="1">
        <f t="array" ref="F279">INDEX('GMW - Baseline'!$A$2:$MC$200,MATCH(1,('GMW - Baseline'!$MC$2:$MC$200=F$3)*('GMW - Baseline'!$MB$2:$MB$200=F$4),0),$E279-1973)</f>
        <v>NA</v>
      </c>
      <c r="G279" t="str" cm="1">
        <f t="array" ref="G279">INDEX('GMW - Baseline'!$A$2:$MC$200,MATCH(1,('GMW - Baseline'!$MC$2:$MC$200=G$3)*('GMW - Baseline'!$MB$2:$MB$200=G$4),0),$E279-1973)</f>
        <v>NA</v>
      </c>
      <c r="H279" t="str" cm="1">
        <f t="array" ref="H279">INDEX('GMW - Baseline'!$A$2:$MC$200,MATCH(1,('GMW - Baseline'!$MC$2:$MC$200=H$3)*('GMW - Baseline'!$MB$2:$MB$200=H$4),0),$E279-1973)</f>
        <v>NA</v>
      </c>
      <c r="I279" t="str" cm="1">
        <f t="array" ref="I279">INDEX('GMW - Baseline'!$A$2:$MC$200,MATCH(1,('GMW - Baseline'!$MC$2:$MC$200=I$3)*('GMW - Baseline'!$MB$2:$MB$200=I$4),0),$E279-1973)</f>
        <v>NA</v>
      </c>
      <c r="J279" t="e" cm="1">
        <f t="array" ref="J279">INDEX('GMW - Baseline'!$A$2:$MC$200,MATCH(1,('GMW - Baseline'!$MC$2:$MC$200=J$3)*('GMW - Baseline'!$MB$2:$MB$200=J$4),0),$E279-1973)</f>
        <v>#N/A</v>
      </c>
      <c r="K279" t="e" cm="1">
        <f t="array" ref="K279">INDEX('GMW - Baseline'!$A$2:$MC$200,MATCH(1,('GMW - Baseline'!$MC$2:$MC$200=K$3)*('GMW - Baseline'!$MB$2:$MB$200=K$4),0),$E279-1973)</f>
        <v>#N/A</v>
      </c>
      <c r="L279" t="e" cm="1">
        <f t="array" ref="L279">INDEX('GMW - Baseline'!$A$2:$MC$200,MATCH(1,('GMW - Baseline'!$MC$2:$MC$200=L$3)*('GMW - Baseline'!$MB$2:$MB$200=L$4),0),$E279-1973)</f>
        <v>#N/A</v>
      </c>
      <c r="M279" t="e" cm="1">
        <f t="array" ref="M279">INDEX('GMW - Baseline'!$A$2:$MC$200,MATCH(1,('GMW - Baseline'!$MC$2:$MC$200=M$3)*('GMW - Baseline'!$MB$2:$MB$200=M$4),0),$E279-1973)</f>
        <v>#N/A</v>
      </c>
      <c r="N279" t="e" cm="1">
        <f t="array" ref="N279">INDEX('GMW - Baseline'!$A$2:$MC$200,MATCH(1,('GMW - Baseline'!$MC$2:$MC$200=N$3)*('GMW - Baseline'!$MB$2:$MB$200=N$4),0),$E279-1973)</f>
        <v>#N/A</v>
      </c>
      <c r="O279" t="e" cm="1">
        <f t="array" ref="O279">INDEX('GMW - Baseline'!$A$2:$MC$200,MATCH(1,('GMW - Baseline'!$MC$2:$MC$200=O$3)*('GMW - Baseline'!$MB$2:$MB$200=O$4),0),$E279-1973)</f>
        <v>#N/A</v>
      </c>
      <c r="P279" t="e" cm="1">
        <f t="array" ref="P279">INDEX('GMW - Baseline'!$A$2:$MC$200,MATCH(1,('GMW - Baseline'!$MC$2:$MC$200=P$3)*('GMW - Baseline'!$MB$2:$MB$200=P$4),0),$E279-1973)</f>
        <v>#N/A</v>
      </c>
      <c r="Q279" t="e" cm="1">
        <f t="array" ref="Q279">INDEX('GMW - Baseline'!$A$2:$MC$200,MATCH(1,('GMW - Baseline'!$MC$2:$MC$200=Q$3)*('GMW - Baseline'!$MB$2:$MB$200=Q$4),0),$E279-1973)</f>
        <v>#N/A</v>
      </c>
      <c r="R279" t="e" cm="1">
        <f t="array" ref="R279">INDEX('GMW - Baseline'!$A$2:$MC$200,MATCH(1,('GMW - Baseline'!$MC$2:$MC$200=R$3)*('GMW - Baseline'!$MB$2:$MB$200=R$4),0),$E279-1973)</f>
        <v>#N/A</v>
      </c>
      <c r="S279" t="e" cm="1">
        <f t="array" ref="S279">INDEX('GMW - Baseline'!$A$2:$MC$200,MATCH(1,('GMW - Baseline'!$MC$2:$MC$200=S$3)*('GMW - Baseline'!$MB$2:$MB$200=S$4),0),$E279-1973)</f>
        <v>#N/A</v>
      </c>
      <c r="T279" t="e" cm="1">
        <f t="array" ref="T279">INDEX('GMW - Baseline'!$A$2:$MC$200,MATCH(1,('GMW - Baseline'!$MC$2:$MC$200=T$3)*('GMW - Baseline'!$MB$2:$MB$200=T$4),0),$E279-1973)</f>
        <v>#N/A</v>
      </c>
    </row>
    <row r="280" spans="1:20" x14ac:dyDescent="0.25">
      <c r="B280">
        <f t="shared" si="22"/>
        <v>2048</v>
      </c>
      <c r="C280">
        <f t="shared" si="22"/>
        <v>2048</v>
      </c>
      <c r="E280">
        <f t="shared" si="21"/>
        <v>2253</v>
      </c>
      <c r="F280" t="str" cm="1">
        <f t="array" ref="F280">INDEX('GMW - Baseline'!$A$2:$MC$200,MATCH(1,('GMW - Baseline'!$MC$2:$MC$200=F$3)*('GMW - Baseline'!$MB$2:$MB$200=F$4),0),$E280-1973)</f>
        <v>NA</v>
      </c>
      <c r="G280" t="str" cm="1">
        <f t="array" ref="G280">INDEX('GMW - Baseline'!$A$2:$MC$200,MATCH(1,('GMW - Baseline'!$MC$2:$MC$200=G$3)*('GMW - Baseline'!$MB$2:$MB$200=G$4),0),$E280-1973)</f>
        <v>NA</v>
      </c>
      <c r="H280" t="str" cm="1">
        <f t="array" ref="H280">INDEX('GMW - Baseline'!$A$2:$MC$200,MATCH(1,('GMW - Baseline'!$MC$2:$MC$200=H$3)*('GMW - Baseline'!$MB$2:$MB$200=H$4),0),$E280-1973)</f>
        <v>NA</v>
      </c>
      <c r="I280" t="str" cm="1">
        <f t="array" ref="I280">INDEX('GMW - Baseline'!$A$2:$MC$200,MATCH(1,('GMW - Baseline'!$MC$2:$MC$200=I$3)*('GMW - Baseline'!$MB$2:$MB$200=I$4),0),$E280-1973)</f>
        <v>NA</v>
      </c>
      <c r="J280" t="e" cm="1">
        <f t="array" ref="J280">INDEX('GMW - Baseline'!$A$2:$MC$200,MATCH(1,('GMW - Baseline'!$MC$2:$MC$200=J$3)*('GMW - Baseline'!$MB$2:$MB$200=J$4),0),$E280-1973)</f>
        <v>#N/A</v>
      </c>
      <c r="K280" t="e" cm="1">
        <f t="array" ref="K280">INDEX('GMW - Baseline'!$A$2:$MC$200,MATCH(1,('GMW - Baseline'!$MC$2:$MC$200=K$3)*('GMW - Baseline'!$MB$2:$MB$200=K$4),0),$E280-1973)</f>
        <v>#N/A</v>
      </c>
      <c r="L280" t="e" cm="1">
        <f t="array" ref="L280">INDEX('GMW - Baseline'!$A$2:$MC$200,MATCH(1,('GMW - Baseline'!$MC$2:$MC$200=L$3)*('GMW - Baseline'!$MB$2:$MB$200=L$4),0),$E280-1973)</f>
        <v>#N/A</v>
      </c>
      <c r="M280" t="e" cm="1">
        <f t="array" ref="M280">INDEX('GMW - Baseline'!$A$2:$MC$200,MATCH(1,('GMW - Baseline'!$MC$2:$MC$200=M$3)*('GMW - Baseline'!$MB$2:$MB$200=M$4),0),$E280-1973)</f>
        <v>#N/A</v>
      </c>
      <c r="N280" t="e" cm="1">
        <f t="array" ref="N280">INDEX('GMW - Baseline'!$A$2:$MC$200,MATCH(1,('GMW - Baseline'!$MC$2:$MC$200=N$3)*('GMW - Baseline'!$MB$2:$MB$200=N$4),0),$E280-1973)</f>
        <v>#N/A</v>
      </c>
      <c r="O280" t="e" cm="1">
        <f t="array" ref="O280">INDEX('GMW - Baseline'!$A$2:$MC$200,MATCH(1,('GMW - Baseline'!$MC$2:$MC$200=O$3)*('GMW - Baseline'!$MB$2:$MB$200=O$4),0),$E280-1973)</f>
        <v>#N/A</v>
      </c>
      <c r="P280" t="e" cm="1">
        <f t="array" ref="P280">INDEX('GMW - Baseline'!$A$2:$MC$200,MATCH(1,('GMW - Baseline'!$MC$2:$MC$200=P$3)*('GMW - Baseline'!$MB$2:$MB$200=P$4),0),$E280-1973)</f>
        <v>#N/A</v>
      </c>
      <c r="Q280" t="e" cm="1">
        <f t="array" ref="Q280">INDEX('GMW - Baseline'!$A$2:$MC$200,MATCH(1,('GMW - Baseline'!$MC$2:$MC$200=Q$3)*('GMW - Baseline'!$MB$2:$MB$200=Q$4),0),$E280-1973)</f>
        <v>#N/A</v>
      </c>
      <c r="R280" t="e" cm="1">
        <f t="array" ref="R280">INDEX('GMW - Baseline'!$A$2:$MC$200,MATCH(1,('GMW - Baseline'!$MC$2:$MC$200=R$3)*('GMW - Baseline'!$MB$2:$MB$200=R$4),0),$E280-1973)</f>
        <v>#N/A</v>
      </c>
      <c r="S280" t="e" cm="1">
        <f t="array" ref="S280">INDEX('GMW - Baseline'!$A$2:$MC$200,MATCH(1,('GMW - Baseline'!$MC$2:$MC$200=S$3)*('GMW - Baseline'!$MB$2:$MB$200=S$4),0),$E280-1973)</f>
        <v>#N/A</v>
      </c>
      <c r="T280" t="e" cm="1">
        <f t="array" ref="T280">INDEX('GMW - Baseline'!$A$2:$MC$200,MATCH(1,('GMW - Baseline'!$MC$2:$MC$200=T$3)*('GMW - Baseline'!$MB$2:$MB$200=T$4),0),$E280-1973)</f>
        <v>#N/A</v>
      </c>
    </row>
    <row r="281" spans="1:20" x14ac:dyDescent="0.25">
      <c r="B281">
        <f t="shared" si="22"/>
        <v>2048</v>
      </c>
      <c r="C281">
        <f t="shared" si="22"/>
        <v>2048</v>
      </c>
      <c r="E281">
        <f t="shared" si="21"/>
        <v>2254</v>
      </c>
      <c r="F281" t="str" cm="1">
        <f t="array" ref="F281">INDEX('GMW - Baseline'!$A$2:$MC$200,MATCH(1,('GMW - Baseline'!$MC$2:$MC$200=F$3)*('GMW - Baseline'!$MB$2:$MB$200=F$4),0),$E281-1973)</f>
        <v>NA</v>
      </c>
      <c r="G281" t="str" cm="1">
        <f t="array" ref="G281">INDEX('GMW - Baseline'!$A$2:$MC$200,MATCH(1,('GMW - Baseline'!$MC$2:$MC$200=G$3)*('GMW - Baseline'!$MB$2:$MB$200=G$4),0),$E281-1973)</f>
        <v>NA</v>
      </c>
      <c r="H281" t="str" cm="1">
        <f t="array" ref="H281">INDEX('GMW - Baseline'!$A$2:$MC$200,MATCH(1,('GMW - Baseline'!$MC$2:$MC$200=H$3)*('GMW - Baseline'!$MB$2:$MB$200=H$4),0),$E281-1973)</f>
        <v>NA</v>
      </c>
      <c r="I281" t="str" cm="1">
        <f t="array" ref="I281">INDEX('GMW - Baseline'!$A$2:$MC$200,MATCH(1,('GMW - Baseline'!$MC$2:$MC$200=I$3)*('GMW - Baseline'!$MB$2:$MB$200=I$4),0),$E281-1973)</f>
        <v>NA</v>
      </c>
      <c r="J281" t="e" cm="1">
        <f t="array" ref="J281">INDEX('GMW - Baseline'!$A$2:$MC$200,MATCH(1,('GMW - Baseline'!$MC$2:$MC$200=J$3)*('GMW - Baseline'!$MB$2:$MB$200=J$4),0),$E281-1973)</f>
        <v>#N/A</v>
      </c>
      <c r="K281" t="e" cm="1">
        <f t="array" ref="K281">INDEX('GMW - Baseline'!$A$2:$MC$200,MATCH(1,('GMW - Baseline'!$MC$2:$MC$200=K$3)*('GMW - Baseline'!$MB$2:$MB$200=K$4),0),$E281-1973)</f>
        <v>#N/A</v>
      </c>
      <c r="L281" t="e" cm="1">
        <f t="array" ref="L281">INDEX('GMW - Baseline'!$A$2:$MC$200,MATCH(1,('GMW - Baseline'!$MC$2:$MC$200=L$3)*('GMW - Baseline'!$MB$2:$MB$200=L$4),0),$E281-1973)</f>
        <v>#N/A</v>
      </c>
      <c r="M281" t="e" cm="1">
        <f t="array" ref="M281">INDEX('GMW - Baseline'!$A$2:$MC$200,MATCH(1,('GMW - Baseline'!$MC$2:$MC$200=M$3)*('GMW - Baseline'!$MB$2:$MB$200=M$4),0),$E281-1973)</f>
        <v>#N/A</v>
      </c>
      <c r="N281" t="e" cm="1">
        <f t="array" ref="N281">INDEX('GMW - Baseline'!$A$2:$MC$200,MATCH(1,('GMW - Baseline'!$MC$2:$MC$200=N$3)*('GMW - Baseline'!$MB$2:$MB$200=N$4),0),$E281-1973)</f>
        <v>#N/A</v>
      </c>
      <c r="O281" t="e" cm="1">
        <f t="array" ref="O281">INDEX('GMW - Baseline'!$A$2:$MC$200,MATCH(1,('GMW - Baseline'!$MC$2:$MC$200=O$3)*('GMW - Baseline'!$MB$2:$MB$200=O$4),0),$E281-1973)</f>
        <v>#N/A</v>
      </c>
      <c r="P281" t="e" cm="1">
        <f t="array" ref="P281">INDEX('GMW - Baseline'!$A$2:$MC$200,MATCH(1,('GMW - Baseline'!$MC$2:$MC$200=P$3)*('GMW - Baseline'!$MB$2:$MB$200=P$4),0),$E281-1973)</f>
        <v>#N/A</v>
      </c>
      <c r="Q281" t="e" cm="1">
        <f t="array" ref="Q281">INDEX('GMW - Baseline'!$A$2:$MC$200,MATCH(1,('GMW - Baseline'!$MC$2:$MC$200=Q$3)*('GMW - Baseline'!$MB$2:$MB$200=Q$4),0),$E281-1973)</f>
        <v>#N/A</v>
      </c>
      <c r="R281" t="e" cm="1">
        <f t="array" ref="R281">INDEX('GMW - Baseline'!$A$2:$MC$200,MATCH(1,('GMW - Baseline'!$MC$2:$MC$200=R$3)*('GMW - Baseline'!$MB$2:$MB$200=R$4),0),$E281-1973)</f>
        <v>#N/A</v>
      </c>
      <c r="S281" t="e" cm="1">
        <f t="array" ref="S281">INDEX('GMW - Baseline'!$A$2:$MC$200,MATCH(1,('GMW - Baseline'!$MC$2:$MC$200=S$3)*('GMW - Baseline'!$MB$2:$MB$200=S$4),0),$E281-1973)</f>
        <v>#N/A</v>
      </c>
      <c r="T281" t="e" cm="1">
        <f t="array" ref="T281">INDEX('GMW - Baseline'!$A$2:$MC$200,MATCH(1,('GMW - Baseline'!$MC$2:$MC$200=T$3)*('GMW - Baseline'!$MB$2:$MB$200=T$4),0),$E281-1973)</f>
        <v>#N/A</v>
      </c>
    </row>
    <row r="282" spans="1:20" x14ac:dyDescent="0.25">
      <c r="B282">
        <f t="shared" si="22"/>
        <v>2048</v>
      </c>
      <c r="C282">
        <f t="shared" si="22"/>
        <v>2048</v>
      </c>
      <c r="E282">
        <f t="shared" si="21"/>
        <v>2255</v>
      </c>
      <c r="F282" t="str" cm="1">
        <f t="array" ref="F282">INDEX('GMW - Baseline'!$A$2:$MC$200,MATCH(1,('GMW - Baseline'!$MC$2:$MC$200=F$3)*('GMW - Baseline'!$MB$2:$MB$200=F$4),0),$E282-1973)</f>
        <v>NA</v>
      </c>
      <c r="G282" t="str" cm="1">
        <f t="array" ref="G282">INDEX('GMW - Baseline'!$A$2:$MC$200,MATCH(1,('GMW - Baseline'!$MC$2:$MC$200=G$3)*('GMW - Baseline'!$MB$2:$MB$200=G$4),0),$E282-1973)</f>
        <v>NA</v>
      </c>
      <c r="H282" t="str" cm="1">
        <f t="array" ref="H282">INDEX('GMW - Baseline'!$A$2:$MC$200,MATCH(1,('GMW - Baseline'!$MC$2:$MC$200=H$3)*('GMW - Baseline'!$MB$2:$MB$200=H$4),0),$E282-1973)</f>
        <v>NA</v>
      </c>
      <c r="I282" t="str" cm="1">
        <f t="array" ref="I282">INDEX('GMW - Baseline'!$A$2:$MC$200,MATCH(1,('GMW - Baseline'!$MC$2:$MC$200=I$3)*('GMW - Baseline'!$MB$2:$MB$200=I$4),0),$E282-1973)</f>
        <v>NA</v>
      </c>
      <c r="J282" t="e" cm="1">
        <f t="array" ref="J282">INDEX('GMW - Baseline'!$A$2:$MC$200,MATCH(1,('GMW - Baseline'!$MC$2:$MC$200=J$3)*('GMW - Baseline'!$MB$2:$MB$200=J$4),0),$E282-1973)</f>
        <v>#N/A</v>
      </c>
      <c r="K282" t="e" cm="1">
        <f t="array" ref="K282">INDEX('GMW - Baseline'!$A$2:$MC$200,MATCH(1,('GMW - Baseline'!$MC$2:$MC$200=K$3)*('GMW - Baseline'!$MB$2:$MB$200=K$4),0),$E282-1973)</f>
        <v>#N/A</v>
      </c>
      <c r="L282" t="e" cm="1">
        <f t="array" ref="L282">INDEX('GMW - Baseline'!$A$2:$MC$200,MATCH(1,('GMW - Baseline'!$MC$2:$MC$200=L$3)*('GMW - Baseline'!$MB$2:$MB$200=L$4),0),$E282-1973)</f>
        <v>#N/A</v>
      </c>
      <c r="M282" t="e" cm="1">
        <f t="array" ref="M282">INDEX('GMW - Baseline'!$A$2:$MC$200,MATCH(1,('GMW - Baseline'!$MC$2:$MC$200=M$3)*('GMW - Baseline'!$MB$2:$MB$200=M$4),0),$E282-1973)</f>
        <v>#N/A</v>
      </c>
      <c r="N282" t="e" cm="1">
        <f t="array" ref="N282">INDEX('GMW - Baseline'!$A$2:$MC$200,MATCH(1,('GMW - Baseline'!$MC$2:$MC$200=N$3)*('GMW - Baseline'!$MB$2:$MB$200=N$4),0),$E282-1973)</f>
        <v>#N/A</v>
      </c>
      <c r="O282" t="e" cm="1">
        <f t="array" ref="O282">INDEX('GMW - Baseline'!$A$2:$MC$200,MATCH(1,('GMW - Baseline'!$MC$2:$MC$200=O$3)*('GMW - Baseline'!$MB$2:$MB$200=O$4),0),$E282-1973)</f>
        <v>#N/A</v>
      </c>
      <c r="P282" t="e" cm="1">
        <f t="array" ref="P282">INDEX('GMW - Baseline'!$A$2:$MC$200,MATCH(1,('GMW - Baseline'!$MC$2:$MC$200=P$3)*('GMW - Baseline'!$MB$2:$MB$200=P$4),0),$E282-1973)</f>
        <v>#N/A</v>
      </c>
      <c r="Q282" t="e" cm="1">
        <f t="array" ref="Q282">INDEX('GMW - Baseline'!$A$2:$MC$200,MATCH(1,('GMW - Baseline'!$MC$2:$MC$200=Q$3)*('GMW - Baseline'!$MB$2:$MB$200=Q$4),0),$E282-1973)</f>
        <v>#N/A</v>
      </c>
      <c r="R282" t="e" cm="1">
        <f t="array" ref="R282">INDEX('GMW - Baseline'!$A$2:$MC$200,MATCH(1,('GMW - Baseline'!$MC$2:$MC$200=R$3)*('GMW - Baseline'!$MB$2:$MB$200=R$4),0),$E282-1973)</f>
        <v>#N/A</v>
      </c>
      <c r="S282" t="e" cm="1">
        <f t="array" ref="S282">INDEX('GMW - Baseline'!$A$2:$MC$200,MATCH(1,('GMW - Baseline'!$MC$2:$MC$200=S$3)*('GMW - Baseline'!$MB$2:$MB$200=S$4),0),$E282-1973)</f>
        <v>#N/A</v>
      </c>
      <c r="T282" t="e" cm="1">
        <f t="array" ref="T282">INDEX('GMW - Baseline'!$A$2:$MC$200,MATCH(1,('GMW - Baseline'!$MC$2:$MC$200=T$3)*('GMW - Baseline'!$MB$2:$MB$200=T$4),0),$E282-1973)</f>
        <v>#N/A</v>
      </c>
    </row>
    <row r="283" spans="1:20" x14ac:dyDescent="0.25">
      <c r="A283">
        <v>2049</v>
      </c>
      <c r="B283">
        <f t="shared" si="22"/>
        <v>2049</v>
      </c>
      <c r="C283">
        <f t="shared" si="22"/>
        <v>2048</v>
      </c>
      <c r="D283">
        <f t="shared" si="22"/>
        <v>2048</v>
      </c>
      <c r="E283">
        <f t="shared" si="21"/>
        <v>2256</v>
      </c>
      <c r="F283" t="str" cm="1">
        <f t="array" ref="F283">INDEX('GMW - Baseline'!$A$2:$MC$200,MATCH(1,('GMW - Baseline'!$MC$2:$MC$200=F$3)*('GMW - Baseline'!$MB$2:$MB$200=F$4),0),$E283-1973)</f>
        <v>NA</v>
      </c>
      <c r="G283" t="str" cm="1">
        <f t="array" ref="G283">INDEX('GMW - Baseline'!$A$2:$MC$200,MATCH(1,('GMW - Baseline'!$MC$2:$MC$200=G$3)*('GMW - Baseline'!$MB$2:$MB$200=G$4),0),$E283-1973)</f>
        <v>NA</v>
      </c>
      <c r="H283" t="str" cm="1">
        <f t="array" ref="H283">INDEX('GMW - Baseline'!$A$2:$MC$200,MATCH(1,('GMW - Baseline'!$MC$2:$MC$200=H$3)*('GMW - Baseline'!$MB$2:$MB$200=H$4),0),$E283-1973)</f>
        <v>NA</v>
      </c>
      <c r="I283" t="str" cm="1">
        <f t="array" ref="I283">INDEX('GMW - Baseline'!$A$2:$MC$200,MATCH(1,('GMW - Baseline'!$MC$2:$MC$200=I$3)*('GMW - Baseline'!$MB$2:$MB$200=I$4),0),$E283-1973)</f>
        <v>NA</v>
      </c>
      <c r="J283" t="e" cm="1">
        <f t="array" ref="J283">INDEX('GMW - Baseline'!$A$2:$MC$200,MATCH(1,('GMW - Baseline'!$MC$2:$MC$200=J$3)*('GMW - Baseline'!$MB$2:$MB$200=J$4),0),$E283-1973)</f>
        <v>#N/A</v>
      </c>
      <c r="K283" t="e" cm="1">
        <f t="array" ref="K283">INDEX('GMW - Baseline'!$A$2:$MC$200,MATCH(1,('GMW - Baseline'!$MC$2:$MC$200=K$3)*('GMW - Baseline'!$MB$2:$MB$200=K$4),0),$E283-1973)</f>
        <v>#N/A</v>
      </c>
      <c r="L283" t="e" cm="1">
        <f t="array" ref="L283">INDEX('GMW - Baseline'!$A$2:$MC$200,MATCH(1,('GMW - Baseline'!$MC$2:$MC$200=L$3)*('GMW - Baseline'!$MB$2:$MB$200=L$4),0),$E283-1973)</f>
        <v>#N/A</v>
      </c>
      <c r="M283" t="e" cm="1">
        <f t="array" ref="M283">INDEX('GMW - Baseline'!$A$2:$MC$200,MATCH(1,('GMW - Baseline'!$MC$2:$MC$200=M$3)*('GMW - Baseline'!$MB$2:$MB$200=M$4),0),$E283-1973)</f>
        <v>#N/A</v>
      </c>
      <c r="N283" t="e" cm="1">
        <f t="array" ref="N283">INDEX('GMW - Baseline'!$A$2:$MC$200,MATCH(1,('GMW - Baseline'!$MC$2:$MC$200=N$3)*('GMW - Baseline'!$MB$2:$MB$200=N$4),0),$E283-1973)</f>
        <v>#N/A</v>
      </c>
      <c r="O283" t="e" cm="1">
        <f t="array" ref="O283">INDEX('GMW - Baseline'!$A$2:$MC$200,MATCH(1,('GMW - Baseline'!$MC$2:$MC$200=O$3)*('GMW - Baseline'!$MB$2:$MB$200=O$4),0),$E283-1973)</f>
        <v>#N/A</v>
      </c>
      <c r="P283" t="e" cm="1">
        <f t="array" ref="P283">INDEX('GMW - Baseline'!$A$2:$MC$200,MATCH(1,('GMW - Baseline'!$MC$2:$MC$200=P$3)*('GMW - Baseline'!$MB$2:$MB$200=P$4),0),$E283-1973)</f>
        <v>#N/A</v>
      </c>
      <c r="Q283" t="e" cm="1">
        <f t="array" ref="Q283">INDEX('GMW - Baseline'!$A$2:$MC$200,MATCH(1,('GMW - Baseline'!$MC$2:$MC$200=Q$3)*('GMW - Baseline'!$MB$2:$MB$200=Q$4),0),$E283-1973)</f>
        <v>#N/A</v>
      </c>
      <c r="R283" t="e" cm="1">
        <f t="array" ref="R283">INDEX('GMW - Baseline'!$A$2:$MC$200,MATCH(1,('GMW - Baseline'!$MC$2:$MC$200=R$3)*('GMW - Baseline'!$MB$2:$MB$200=R$4),0),$E283-1973)</f>
        <v>#N/A</v>
      </c>
      <c r="S283" t="e" cm="1">
        <f t="array" ref="S283">INDEX('GMW - Baseline'!$A$2:$MC$200,MATCH(1,('GMW - Baseline'!$MC$2:$MC$200=S$3)*('GMW - Baseline'!$MB$2:$MB$200=S$4),0),$E283-1973)</f>
        <v>#N/A</v>
      </c>
      <c r="T283" t="e" cm="1">
        <f t="array" ref="T283">INDEX('GMW - Baseline'!$A$2:$MC$200,MATCH(1,('GMW - Baseline'!$MC$2:$MC$200=T$3)*('GMW - Baseline'!$MB$2:$MB$200=T$4),0),$E283-1973)</f>
        <v>#N/A</v>
      </c>
    </row>
    <row r="284" spans="1:20" x14ac:dyDescent="0.25">
      <c r="B284">
        <f t="shared" ref="B284:D299" si="23">+B280+1</f>
        <v>2049</v>
      </c>
      <c r="C284">
        <f t="shared" si="23"/>
        <v>2049</v>
      </c>
      <c r="E284">
        <f t="shared" si="21"/>
        <v>2257</v>
      </c>
      <c r="F284" t="str" cm="1">
        <f t="array" ref="F284">INDEX('GMW - Baseline'!$A$2:$MC$200,MATCH(1,('GMW - Baseline'!$MC$2:$MC$200=F$3)*('GMW - Baseline'!$MB$2:$MB$200=F$4),0),$E284-1973)</f>
        <v>NA</v>
      </c>
      <c r="G284" t="str" cm="1">
        <f t="array" ref="G284">INDEX('GMW - Baseline'!$A$2:$MC$200,MATCH(1,('GMW - Baseline'!$MC$2:$MC$200=G$3)*('GMW - Baseline'!$MB$2:$MB$200=G$4),0),$E284-1973)</f>
        <v>NA</v>
      </c>
      <c r="H284" t="str" cm="1">
        <f t="array" ref="H284">INDEX('GMW - Baseline'!$A$2:$MC$200,MATCH(1,('GMW - Baseline'!$MC$2:$MC$200=H$3)*('GMW - Baseline'!$MB$2:$MB$200=H$4),0),$E284-1973)</f>
        <v>NA</v>
      </c>
      <c r="I284" t="str" cm="1">
        <f t="array" ref="I284">INDEX('GMW - Baseline'!$A$2:$MC$200,MATCH(1,('GMW - Baseline'!$MC$2:$MC$200=I$3)*('GMW - Baseline'!$MB$2:$MB$200=I$4),0),$E284-1973)</f>
        <v>NA</v>
      </c>
      <c r="J284" t="e" cm="1">
        <f t="array" ref="J284">INDEX('GMW - Baseline'!$A$2:$MC$200,MATCH(1,('GMW - Baseline'!$MC$2:$MC$200=J$3)*('GMW - Baseline'!$MB$2:$MB$200=J$4),0),$E284-1973)</f>
        <v>#N/A</v>
      </c>
      <c r="K284" t="e" cm="1">
        <f t="array" ref="K284">INDEX('GMW - Baseline'!$A$2:$MC$200,MATCH(1,('GMW - Baseline'!$MC$2:$MC$200=K$3)*('GMW - Baseline'!$MB$2:$MB$200=K$4),0),$E284-1973)</f>
        <v>#N/A</v>
      </c>
      <c r="L284" t="e" cm="1">
        <f t="array" ref="L284">INDEX('GMW - Baseline'!$A$2:$MC$200,MATCH(1,('GMW - Baseline'!$MC$2:$MC$200=L$3)*('GMW - Baseline'!$MB$2:$MB$200=L$4),0),$E284-1973)</f>
        <v>#N/A</v>
      </c>
      <c r="M284" t="e" cm="1">
        <f t="array" ref="M284">INDEX('GMW - Baseline'!$A$2:$MC$200,MATCH(1,('GMW - Baseline'!$MC$2:$MC$200=M$3)*('GMW - Baseline'!$MB$2:$MB$200=M$4),0),$E284-1973)</f>
        <v>#N/A</v>
      </c>
      <c r="N284" t="e" cm="1">
        <f t="array" ref="N284">INDEX('GMW - Baseline'!$A$2:$MC$200,MATCH(1,('GMW - Baseline'!$MC$2:$MC$200=N$3)*('GMW - Baseline'!$MB$2:$MB$200=N$4),0),$E284-1973)</f>
        <v>#N/A</v>
      </c>
      <c r="O284" t="e" cm="1">
        <f t="array" ref="O284">INDEX('GMW - Baseline'!$A$2:$MC$200,MATCH(1,('GMW - Baseline'!$MC$2:$MC$200=O$3)*('GMW - Baseline'!$MB$2:$MB$200=O$4),0),$E284-1973)</f>
        <v>#N/A</v>
      </c>
      <c r="P284" t="e" cm="1">
        <f t="array" ref="P284">INDEX('GMW - Baseline'!$A$2:$MC$200,MATCH(1,('GMW - Baseline'!$MC$2:$MC$200=P$3)*('GMW - Baseline'!$MB$2:$MB$200=P$4),0),$E284-1973)</f>
        <v>#N/A</v>
      </c>
      <c r="Q284" t="e" cm="1">
        <f t="array" ref="Q284">INDEX('GMW - Baseline'!$A$2:$MC$200,MATCH(1,('GMW - Baseline'!$MC$2:$MC$200=Q$3)*('GMW - Baseline'!$MB$2:$MB$200=Q$4),0),$E284-1973)</f>
        <v>#N/A</v>
      </c>
      <c r="R284" t="e" cm="1">
        <f t="array" ref="R284">INDEX('GMW - Baseline'!$A$2:$MC$200,MATCH(1,('GMW - Baseline'!$MC$2:$MC$200=R$3)*('GMW - Baseline'!$MB$2:$MB$200=R$4),0),$E284-1973)</f>
        <v>#N/A</v>
      </c>
      <c r="S284" t="e" cm="1">
        <f t="array" ref="S284">INDEX('GMW - Baseline'!$A$2:$MC$200,MATCH(1,('GMW - Baseline'!$MC$2:$MC$200=S$3)*('GMW - Baseline'!$MB$2:$MB$200=S$4),0),$E284-1973)</f>
        <v>#N/A</v>
      </c>
      <c r="T284" t="e" cm="1">
        <f t="array" ref="T284">INDEX('GMW - Baseline'!$A$2:$MC$200,MATCH(1,('GMW - Baseline'!$MC$2:$MC$200=T$3)*('GMW - Baseline'!$MB$2:$MB$200=T$4),0),$E284-1973)</f>
        <v>#N/A</v>
      </c>
    </row>
    <row r="285" spans="1:20" x14ac:dyDescent="0.25">
      <c r="B285">
        <f t="shared" si="23"/>
        <v>2049</v>
      </c>
      <c r="C285">
        <f t="shared" si="23"/>
        <v>2049</v>
      </c>
      <c r="E285">
        <f t="shared" si="21"/>
        <v>2258</v>
      </c>
      <c r="F285" t="str" cm="1">
        <f t="array" ref="F285">INDEX('GMW - Baseline'!$A$2:$MC$200,MATCH(1,('GMW - Baseline'!$MC$2:$MC$200=F$3)*('GMW - Baseline'!$MB$2:$MB$200=F$4),0),$E285-1973)</f>
        <v>NA</v>
      </c>
      <c r="G285" t="str" cm="1">
        <f t="array" ref="G285">INDEX('GMW - Baseline'!$A$2:$MC$200,MATCH(1,('GMW - Baseline'!$MC$2:$MC$200=G$3)*('GMW - Baseline'!$MB$2:$MB$200=G$4),0),$E285-1973)</f>
        <v>NA</v>
      </c>
      <c r="H285" t="str" cm="1">
        <f t="array" ref="H285">INDEX('GMW - Baseline'!$A$2:$MC$200,MATCH(1,('GMW - Baseline'!$MC$2:$MC$200=H$3)*('GMW - Baseline'!$MB$2:$MB$200=H$4),0),$E285-1973)</f>
        <v>NA</v>
      </c>
      <c r="I285" t="str" cm="1">
        <f t="array" ref="I285">INDEX('GMW - Baseline'!$A$2:$MC$200,MATCH(1,('GMW - Baseline'!$MC$2:$MC$200=I$3)*('GMW - Baseline'!$MB$2:$MB$200=I$4),0),$E285-1973)</f>
        <v>NA</v>
      </c>
      <c r="J285" t="e" cm="1">
        <f t="array" ref="J285">INDEX('GMW - Baseline'!$A$2:$MC$200,MATCH(1,('GMW - Baseline'!$MC$2:$MC$200=J$3)*('GMW - Baseline'!$MB$2:$MB$200=J$4),0),$E285-1973)</f>
        <v>#N/A</v>
      </c>
      <c r="K285" t="e" cm="1">
        <f t="array" ref="K285">INDEX('GMW - Baseline'!$A$2:$MC$200,MATCH(1,('GMW - Baseline'!$MC$2:$MC$200=K$3)*('GMW - Baseline'!$MB$2:$MB$200=K$4),0),$E285-1973)</f>
        <v>#N/A</v>
      </c>
      <c r="L285" t="e" cm="1">
        <f t="array" ref="L285">INDEX('GMW - Baseline'!$A$2:$MC$200,MATCH(1,('GMW - Baseline'!$MC$2:$MC$200=L$3)*('GMW - Baseline'!$MB$2:$MB$200=L$4),0),$E285-1973)</f>
        <v>#N/A</v>
      </c>
      <c r="M285" t="e" cm="1">
        <f t="array" ref="M285">INDEX('GMW - Baseline'!$A$2:$MC$200,MATCH(1,('GMW - Baseline'!$MC$2:$MC$200=M$3)*('GMW - Baseline'!$MB$2:$MB$200=M$4),0),$E285-1973)</f>
        <v>#N/A</v>
      </c>
      <c r="N285" t="e" cm="1">
        <f t="array" ref="N285">INDEX('GMW - Baseline'!$A$2:$MC$200,MATCH(1,('GMW - Baseline'!$MC$2:$MC$200=N$3)*('GMW - Baseline'!$MB$2:$MB$200=N$4),0),$E285-1973)</f>
        <v>#N/A</v>
      </c>
      <c r="O285" t="e" cm="1">
        <f t="array" ref="O285">INDEX('GMW - Baseline'!$A$2:$MC$200,MATCH(1,('GMW - Baseline'!$MC$2:$MC$200=O$3)*('GMW - Baseline'!$MB$2:$MB$200=O$4),0),$E285-1973)</f>
        <v>#N/A</v>
      </c>
      <c r="P285" t="e" cm="1">
        <f t="array" ref="P285">INDEX('GMW - Baseline'!$A$2:$MC$200,MATCH(1,('GMW - Baseline'!$MC$2:$MC$200=P$3)*('GMW - Baseline'!$MB$2:$MB$200=P$4),0),$E285-1973)</f>
        <v>#N/A</v>
      </c>
      <c r="Q285" t="e" cm="1">
        <f t="array" ref="Q285">INDEX('GMW - Baseline'!$A$2:$MC$200,MATCH(1,('GMW - Baseline'!$MC$2:$MC$200=Q$3)*('GMW - Baseline'!$MB$2:$MB$200=Q$4),0),$E285-1973)</f>
        <v>#N/A</v>
      </c>
      <c r="R285" t="e" cm="1">
        <f t="array" ref="R285">INDEX('GMW - Baseline'!$A$2:$MC$200,MATCH(1,('GMW - Baseline'!$MC$2:$MC$200=R$3)*('GMW - Baseline'!$MB$2:$MB$200=R$4),0),$E285-1973)</f>
        <v>#N/A</v>
      </c>
      <c r="S285" t="e" cm="1">
        <f t="array" ref="S285">INDEX('GMW - Baseline'!$A$2:$MC$200,MATCH(1,('GMW - Baseline'!$MC$2:$MC$200=S$3)*('GMW - Baseline'!$MB$2:$MB$200=S$4),0),$E285-1973)</f>
        <v>#N/A</v>
      </c>
      <c r="T285" t="e" cm="1">
        <f t="array" ref="T285">INDEX('GMW - Baseline'!$A$2:$MC$200,MATCH(1,('GMW - Baseline'!$MC$2:$MC$200=T$3)*('GMW - Baseline'!$MB$2:$MB$200=T$4),0),$E285-1973)</f>
        <v>#N/A</v>
      </c>
    </row>
    <row r="286" spans="1:20" x14ac:dyDescent="0.25">
      <c r="B286">
        <f t="shared" si="23"/>
        <v>2049</v>
      </c>
      <c r="C286">
        <f t="shared" si="23"/>
        <v>2049</v>
      </c>
      <c r="E286">
        <f t="shared" si="21"/>
        <v>2259</v>
      </c>
      <c r="F286" t="str" cm="1">
        <f t="array" ref="F286">INDEX('GMW - Baseline'!$A$2:$MC$200,MATCH(1,('GMW - Baseline'!$MC$2:$MC$200=F$3)*('GMW - Baseline'!$MB$2:$MB$200=F$4),0),$E286-1973)</f>
        <v>NA</v>
      </c>
      <c r="G286" t="str" cm="1">
        <f t="array" ref="G286">INDEX('GMW - Baseline'!$A$2:$MC$200,MATCH(1,('GMW - Baseline'!$MC$2:$MC$200=G$3)*('GMW - Baseline'!$MB$2:$MB$200=G$4),0),$E286-1973)</f>
        <v>NA</v>
      </c>
      <c r="H286" t="str" cm="1">
        <f t="array" ref="H286">INDEX('GMW - Baseline'!$A$2:$MC$200,MATCH(1,('GMW - Baseline'!$MC$2:$MC$200=H$3)*('GMW - Baseline'!$MB$2:$MB$200=H$4),0),$E286-1973)</f>
        <v>NA</v>
      </c>
      <c r="I286" t="str" cm="1">
        <f t="array" ref="I286">INDEX('GMW - Baseline'!$A$2:$MC$200,MATCH(1,('GMW - Baseline'!$MC$2:$MC$200=I$3)*('GMW - Baseline'!$MB$2:$MB$200=I$4),0),$E286-1973)</f>
        <v>NA</v>
      </c>
      <c r="J286" t="e" cm="1">
        <f t="array" ref="J286">INDEX('GMW - Baseline'!$A$2:$MC$200,MATCH(1,('GMW - Baseline'!$MC$2:$MC$200=J$3)*('GMW - Baseline'!$MB$2:$MB$200=J$4),0),$E286-1973)</f>
        <v>#N/A</v>
      </c>
      <c r="K286" t="e" cm="1">
        <f t="array" ref="K286">INDEX('GMW - Baseline'!$A$2:$MC$200,MATCH(1,('GMW - Baseline'!$MC$2:$MC$200=K$3)*('GMW - Baseline'!$MB$2:$MB$200=K$4),0),$E286-1973)</f>
        <v>#N/A</v>
      </c>
      <c r="L286" t="e" cm="1">
        <f t="array" ref="L286">INDEX('GMW - Baseline'!$A$2:$MC$200,MATCH(1,('GMW - Baseline'!$MC$2:$MC$200=L$3)*('GMW - Baseline'!$MB$2:$MB$200=L$4),0),$E286-1973)</f>
        <v>#N/A</v>
      </c>
      <c r="M286" t="e" cm="1">
        <f t="array" ref="M286">INDEX('GMW - Baseline'!$A$2:$MC$200,MATCH(1,('GMW - Baseline'!$MC$2:$MC$200=M$3)*('GMW - Baseline'!$MB$2:$MB$200=M$4),0),$E286-1973)</f>
        <v>#N/A</v>
      </c>
      <c r="N286" t="e" cm="1">
        <f t="array" ref="N286">INDEX('GMW - Baseline'!$A$2:$MC$200,MATCH(1,('GMW - Baseline'!$MC$2:$MC$200=N$3)*('GMW - Baseline'!$MB$2:$MB$200=N$4),0),$E286-1973)</f>
        <v>#N/A</v>
      </c>
      <c r="O286" t="e" cm="1">
        <f t="array" ref="O286">INDEX('GMW - Baseline'!$A$2:$MC$200,MATCH(1,('GMW - Baseline'!$MC$2:$MC$200=O$3)*('GMW - Baseline'!$MB$2:$MB$200=O$4),0),$E286-1973)</f>
        <v>#N/A</v>
      </c>
      <c r="P286" t="e" cm="1">
        <f t="array" ref="P286">INDEX('GMW - Baseline'!$A$2:$MC$200,MATCH(1,('GMW - Baseline'!$MC$2:$MC$200=P$3)*('GMW - Baseline'!$MB$2:$MB$200=P$4),0),$E286-1973)</f>
        <v>#N/A</v>
      </c>
      <c r="Q286" t="e" cm="1">
        <f t="array" ref="Q286">INDEX('GMW - Baseline'!$A$2:$MC$200,MATCH(1,('GMW - Baseline'!$MC$2:$MC$200=Q$3)*('GMW - Baseline'!$MB$2:$MB$200=Q$4),0),$E286-1973)</f>
        <v>#N/A</v>
      </c>
      <c r="R286" t="e" cm="1">
        <f t="array" ref="R286">INDEX('GMW - Baseline'!$A$2:$MC$200,MATCH(1,('GMW - Baseline'!$MC$2:$MC$200=R$3)*('GMW - Baseline'!$MB$2:$MB$200=R$4),0),$E286-1973)</f>
        <v>#N/A</v>
      </c>
      <c r="S286" t="e" cm="1">
        <f t="array" ref="S286">INDEX('GMW - Baseline'!$A$2:$MC$200,MATCH(1,('GMW - Baseline'!$MC$2:$MC$200=S$3)*('GMW - Baseline'!$MB$2:$MB$200=S$4),0),$E286-1973)</f>
        <v>#N/A</v>
      </c>
      <c r="T286" t="e" cm="1">
        <f t="array" ref="T286">INDEX('GMW - Baseline'!$A$2:$MC$200,MATCH(1,('GMW - Baseline'!$MC$2:$MC$200=T$3)*('GMW - Baseline'!$MB$2:$MB$200=T$4),0),$E286-1973)</f>
        <v>#N/A</v>
      </c>
    </row>
    <row r="287" spans="1:20" x14ac:dyDescent="0.25">
      <c r="A287">
        <v>2050</v>
      </c>
      <c r="B287">
        <f t="shared" si="23"/>
        <v>2050</v>
      </c>
      <c r="C287">
        <f t="shared" si="23"/>
        <v>2049</v>
      </c>
      <c r="D287">
        <f t="shared" si="23"/>
        <v>2049</v>
      </c>
      <c r="E287">
        <f t="shared" si="21"/>
        <v>2260</v>
      </c>
      <c r="F287" t="str" cm="1">
        <f t="array" ref="F287">INDEX('GMW - Baseline'!$A$2:$MC$200,MATCH(1,('GMW - Baseline'!$MC$2:$MC$200=F$3)*('GMW - Baseline'!$MB$2:$MB$200=F$4),0),$E287-1973)</f>
        <v>NA</v>
      </c>
      <c r="G287" t="str" cm="1">
        <f t="array" ref="G287">INDEX('GMW - Baseline'!$A$2:$MC$200,MATCH(1,('GMW - Baseline'!$MC$2:$MC$200=G$3)*('GMW - Baseline'!$MB$2:$MB$200=G$4),0),$E287-1973)</f>
        <v>NA</v>
      </c>
      <c r="H287" t="str" cm="1">
        <f t="array" ref="H287">INDEX('GMW - Baseline'!$A$2:$MC$200,MATCH(1,('GMW - Baseline'!$MC$2:$MC$200=H$3)*('GMW - Baseline'!$MB$2:$MB$200=H$4),0),$E287-1973)</f>
        <v>NA</v>
      </c>
      <c r="I287" t="str" cm="1">
        <f t="array" ref="I287">INDEX('GMW - Baseline'!$A$2:$MC$200,MATCH(1,('GMW - Baseline'!$MC$2:$MC$200=I$3)*('GMW - Baseline'!$MB$2:$MB$200=I$4),0),$E287-1973)</f>
        <v>NA</v>
      </c>
      <c r="J287" t="e" cm="1">
        <f t="array" ref="J287">INDEX('GMW - Baseline'!$A$2:$MC$200,MATCH(1,('GMW - Baseline'!$MC$2:$MC$200=J$3)*('GMW - Baseline'!$MB$2:$MB$200=J$4),0),$E287-1973)</f>
        <v>#N/A</v>
      </c>
      <c r="K287" t="e" cm="1">
        <f t="array" ref="K287">INDEX('GMW - Baseline'!$A$2:$MC$200,MATCH(1,('GMW - Baseline'!$MC$2:$MC$200=K$3)*('GMW - Baseline'!$MB$2:$MB$200=K$4),0),$E287-1973)</f>
        <v>#N/A</v>
      </c>
      <c r="L287" t="e" cm="1">
        <f t="array" ref="L287">INDEX('GMW - Baseline'!$A$2:$MC$200,MATCH(1,('GMW - Baseline'!$MC$2:$MC$200=L$3)*('GMW - Baseline'!$MB$2:$MB$200=L$4),0),$E287-1973)</f>
        <v>#N/A</v>
      </c>
      <c r="M287" t="e" cm="1">
        <f t="array" ref="M287">INDEX('GMW - Baseline'!$A$2:$MC$200,MATCH(1,('GMW - Baseline'!$MC$2:$MC$200=M$3)*('GMW - Baseline'!$MB$2:$MB$200=M$4),0),$E287-1973)</f>
        <v>#N/A</v>
      </c>
      <c r="N287" t="e" cm="1">
        <f t="array" ref="N287">INDEX('GMW - Baseline'!$A$2:$MC$200,MATCH(1,('GMW - Baseline'!$MC$2:$MC$200=N$3)*('GMW - Baseline'!$MB$2:$MB$200=N$4),0),$E287-1973)</f>
        <v>#N/A</v>
      </c>
      <c r="O287" t="e" cm="1">
        <f t="array" ref="O287">INDEX('GMW - Baseline'!$A$2:$MC$200,MATCH(1,('GMW - Baseline'!$MC$2:$MC$200=O$3)*('GMW - Baseline'!$MB$2:$MB$200=O$4),0),$E287-1973)</f>
        <v>#N/A</v>
      </c>
      <c r="P287" t="e" cm="1">
        <f t="array" ref="P287">INDEX('GMW - Baseline'!$A$2:$MC$200,MATCH(1,('GMW - Baseline'!$MC$2:$MC$200=P$3)*('GMW - Baseline'!$MB$2:$MB$200=P$4),0),$E287-1973)</f>
        <v>#N/A</v>
      </c>
      <c r="Q287" t="e" cm="1">
        <f t="array" ref="Q287">INDEX('GMW - Baseline'!$A$2:$MC$200,MATCH(1,('GMW - Baseline'!$MC$2:$MC$200=Q$3)*('GMW - Baseline'!$MB$2:$MB$200=Q$4),0),$E287-1973)</f>
        <v>#N/A</v>
      </c>
      <c r="R287" t="e" cm="1">
        <f t="array" ref="R287">INDEX('GMW - Baseline'!$A$2:$MC$200,MATCH(1,('GMW - Baseline'!$MC$2:$MC$200=R$3)*('GMW - Baseline'!$MB$2:$MB$200=R$4),0),$E287-1973)</f>
        <v>#N/A</v>
      </c>
      <c r="S287" t="e" cm="1">
        <f t="array" ref="S287">INDEX('GMW - Baseline'!$A$2:$MC$200,MATCH(1,('GMW - Baseline'!$MC$2:$MC$200=S$3)*('GMW - Baseline'!$MB$2:$MB$200=S$4),0),$E287-1973)</f>
        <v>#N/A</v>
      </c>
      <c r="T287" t="e" cm="1">
        <f t="array" ref="T287">INDEX('GMW - Baseline'!$A$2:$MC$200,MATCH(1,('GMW - Baseline'!$MC$2:$MC$200=T$3)*('GMW - Baseline'!$MB$2:$MB$200=T$4),0),$E287-1973)</f>
        <v>#N/A</v>
      </c>
    </row>
    <row r="288" spans="1:20" x14ac:dyDescent="0.25">
      <c r="B288">
        <f t="shared" si="23"/>
        <v>2050</v>
      </c>
      <c r="C288">
        <f t="shared" si="23"/>
        <v>2050</v>
      </c>
      <c r="E288">
        <f t="shared" si="21"/>
        <v>2261</v>
      </c>
      <c r="F288" t="str" cm="1">
        <f t="array" ref="F288">INDEX('GMW - Baseline'!$A$2:$MC$200,MATCH(1,('GMW - Baseline'!$MC$2:$MC$200=F$3)*('GMW - Baseline'!$MB$2:$MB$200=F$4),0),$E288-1973)</f>
        <v>NA</v>
      </c>
      <c r="G288" t="str" cm="1">
        <f t="array" ref="G288">INDEX('GMW - Baseline'!$A$2:$MC$200,MATCH(1,('GMW - Baseline'!$MC$2:$MC$200=G$3)*('GMW - Baseline'!$MB$2:$MB$200=G$4),0),$E288-1973)</f>
        <v>NA</v>
      </c>
      <c r="H288" t="str" cm="1">
        <f t="array" ref="H288">INDEX('GMW - Baseline'!$A$2:$MC$200,MATCH(1,('GMW - Baseline'!$MC$2:$MC$200=H$3)*('GMW - Baseline'!$MB$2:$MB$200=H$4),0),$E288-1973)</f>
        <v>NA</v>
      </c>
      <c r="I288" t="str" cm="1">
        <f t="array" ref="I288">INDEX('GMW - Baseline'!$A$2:$MC$200,MATCH(1,('GMW - Baseline'!$MC$2:$MC$200=I$3)*('GMW - Baseline'!$MB$2:$MB$200=I$4),0),$E288-1973)</f>
        <v>NA</v>
      </c>
      <c r="J288" t="e" cm="1">
        <f t="array" ref="J288">INDEX('GMW - Baseline'!$A$2:$MC$200,MATCH(1,('GMW - Baseline'!$MC$2:$MC$200=J$3)*('GMW - Baseline'!$MB$2:$MB$200=J$4),0),$E288-1973)</f>
        <v>#N/A</v>
      </c>
      <c r="K288" t="e" cm="1">
        <f t="array" ref="K288">INDEX('GMW - Baseline'!$A$2:$MC$200,MATCH(1,('GMW - Baseline'!$MC$2:$MC$200=K$3)*('GMW - Baseline'!$MB$2:$MB$200=K$4),0),$E288-1973)</f>
        <v>#N/A</v>
      </c>
      <c r="L288" t="e" cm="1">
        <f t="array" ref="L288">INDEX('GMW - Baseline'!$A$2:$MC$200,MATCH(1,('GMW - Baseline'!$MC$2:$MC$200=L$3)*('GMW - Baseline'!$MB$2:$MB$200=L$4),0),$E288-1973)</f>
        <v>#N/A</v>
      </c>
      <c r="M288" t="e" cm="1">
        <f t="array" ref="M288">INDEX('GMW - Baseline'!$A$2:$MC$200,MATCH(1,('GMW - Baseline'!$MC$2:$MC$200=M$3)*('GMW - Baseline'!$MB$2:$MB$200=M$4),0),$E288-1973)</f>
        <v>#N/A</v>
      </c>
      <c r="N288" t="e" cm="1">
        <f t="array" ref="N288">INDEX('GMW - Baseline'!$A$2:$MC$200,MATCH(1,('GMW - Baseline'!$MC$2:$MC$200=N$3)*('GMW - Baseline'!$MB$2:$MB$200=N$4),0),$E288-1973)</f>
        <v>#N/A</v>
      </c>
      <c r="O288" t="e" cm="1">
        <f t="array" ref="O288">INDEX('GMW - Baseline'!$A$2:$MC$200,MATCH(1,('GMW - Baseline'!$MC$2:$MC$200=O$3)*('GMW - Baseline'!$MB$2:$MB$200=O$4),0),$E288-1973)</f>
        <v>#N/A</v>
      </c>
      <c r="P288" t="e" cm="1">
        <f t="array" ref="P288">INDEX('GMW - Baseline'!$A$2:$MC$200,MATCH(1,('GMW - Baseline'!$MC$2:$MC$200=P$3)*('GMW - Baseline'!$MB$2:$MB$200=P$4),0),$E288-1973)</f>
        <v>#N/A</v>
      </c>
      <c r="Q288" t="e" cm="1">
        <f t="array" ref="Q288">INDEX('GMW - Baseline'!$A$2:$MC$200,MATCH(1,('GMW - Baseline'!$MC$2:$MC$200=Q$3)*('GMW - Baseline'!$MB$2:$MB$200=Q$4),0),$E288-1973)</f>
        <v>#N/A</v>
      </c>
      <c r="R288" t="e" cm="1">
        <f t="array" ref="R288">INDEX('GMW - Baseline'!$A$2:$MC$200,MATCH(1,('GMW - Baseline'!$MC$2:$MC$200=R$3)*('GMW - Baseline'!$MB$2:$MB$200=R$4),0),$E288-1973)</f>
        <v>#N/A</v>
      </c>
      <c r="S288" t="e" cm="1">
        <f t="array" ref="S288">INDEX('GMW - Baseline'!$A$2:$MC$200,MATCH(1,('GMW - Baseline'!$MC$2:$MC$200=S$3)*('GMW - Baseline'!$MB$2:$MB$200=S$4),0),$E288-1973)</f>
        <v>#N/A</v>
      </c>
      <c r="T288" t="e" cm="1">
        <f t="array" ref="T288">INDEX('GMW - Baseline'!$A$2:$MC$200,MATCH(1,('GMW - Baseline'!$MC$2:$MC$200=T$3)*('GMW - Baseline'!$MB$2:$MB$200=T$4),0),$E288-1973)</f>
        <v>#N/A</v>
      </c>
    </row>
    <row r="289" spans="1:20" x14ac:dyDescent="0.25">
      <c r="B289">
        <f t="shared" si="23"/>
        <v>2050</v>
      </c>
      <c r="C289">
        <f t="shared" si="23"/>
        <v>2050</v>
      </c>
      <c r="E289">
        <f t="shared" si="21"/>
        <v>2262</v>
      </c>
      <c r="F289" t="str" cm="1">
        <f t="array" ref="F289">INDEX('GMW - Baseline'!$A$2:$MC$200,MATCH(1,('GMW - Baseline'!$MC$2:$MC$200=F$3)*('GMW - Baseline'!$MB$2:$MB$200=F$4),0),$E289-1973)</f>
        <v>NA</v>
      </c>
      <c r="G289" t="str" cm="1">
        <f t="array" ref="G289">INDEX('GMW - Baseline'!$A$2:$MC$200,MATCH(1,('GMW - Baseline'!$MC$2:$MC$200=G$3)*('GMW - Baseline'!$MB$2:$MB$200=G$4),0),$E289-1973)</f>
        <v>NA</v>
      </c>
      <c r="H289" t="str" cm="1">
        <f t="array" ref="H289">INDEX('GMW - Baseline'!$A$2:$MC$200,MATCH(1,('GMW - Baseline'!$MC$2:$MC$200=H$3)*('GMW - Baseline'!$MB$2:$MB$200=H$4),0),$E289-1973)</f>
        <v>NA</v>
      </c>
      <c r="I289" t="str" cm="1">
        <f t="array" ref="I289">INDEX('GMW - Baseline'!$A$2:$MC$200,MATCH(1,('GMW - Baseline'!$MC$2:$MC$200=I$3)*('GMW - Baseline'!$MB$2:$MB$200=I$4),0),$E289-1973)</f>
        <v>NA</v>
      </c>
      <c r="J289" t="e" cm="1">
        <f t="array" ref="J289">INDEX('GMW - Baseline'!$A$2:$MC$200,MATCH(1,('GMW - Baseline'!$MC$2:$MC$200=J$3)*('GMW - Baseline'!$MB$2:$MB$200=J$4),0),$E289-1973)</f>
        <v>#N/A</v>
      </c>
      <c r="K289" t="e" cm="1">
        <f t="array" ref="K289">INDEX('GMW - Baseline'!$A$2:$MC$200,MATCH(1,('GMW - Baseline'!$MC$2:$MC$200=K$3)*('GMW - Baseline'!$MB$2:$MB$200=K$4),0),$E289-1973)</f>
        <v>#N/A</v>
      </c>
      <c r="L289" t="e" cm="1">
        <f t="array" ref="L289">INDEX('GMW - Baseline'!$A$2:$MC$200,MATCH(1,('GMW - Baseline'!$MC$2:$MC$200=L$3)*('GMW - Baseline'!$MB$2:$MB$200=L$4),0),$E289-1973)</f>
        <v>#N/A</v>
      </c>
      <c r="M289" t="e" cm="1">
        <f t="array" ref="M289">INDEX('GMW - Baseline'!$A$2:$MC$200,MATCH(1,('GMW - Baseline'!$MC$2:$MC$200=M$3)*('GMW - Baseline'!$MB$2:$MB$200=M$4),0),$E289-1973)</f>
        <v>#N/A</v>
      </c>
      <c r="N289" t="e" cm="1">
        <f t="array" ref="N289">INDEX('GMW - Baseline'!$A$2:$MC$200,MATCH(1,('GMW - Baseline'!$MC$2:$MC$200=N$3)*('GMW - Baseline'!$MB$2:$MB$200=N$4),0),$E289-1973)</f>
        <v>#N/A</v>
      </c>
      <c r="O289" t="e" cm="1">
        <f t="array" ref="O289">INDEX('GMW - Baseline'!$A$2:$MC$200,MATCH(1,('GMW - Baseline'!$MC$2:$MC$200=O$3)*('GMW - Baseline'!$MB$2:$MB$200=O$4),0),$E289-1973)</f>
        <v>#N/A</v>
      </c>
      <c r="P289" t="e" cm="1">
        <f t="array" ref="P289">INDEX('GMW - Baseline'!$A$2:$MC$200,MATCH(1,('GMW - Baseline'!$MC$2:$MC$200=P$3)*('GMW - Baseline'!$MB$2:$MB$200=P$4),0),$E289-1973)</f>
        <v>#N/A</v>
      </c>
      <c r="Q289" t="e" cm="1">
        <f t="array" ref="Q289">INDEX('GMW - Baseline'!$A$2:$MC$200,MATCH(1,('GMW - Baseline'!$MC$2:$MC$200=Q$3)*('GMW - Baseline'!$MB$2:$MB$200=Q$4),0),$E289-1973)</f>
        <v>#N/A</v>
      </c>
      <c r="R289" t="e" cm="1">
        <f t="array" ref="R289">INDEX('GMW - Baseline'!$A$2:$MC$200,MATCH(1,('GMW - Baseline'!$MC$2:$MC$200=R$3)*('GMW - Baseline'!$MB$2:$MB$200=R$4),0),$E289-1973)</f>
        <v>#N/A</v>
      </c>
      <c r="S289" t="e" cm="1">
        <f t="array" ref="S289">INDEX('GMW - Baseline'!$A$2:$MC$200,MATCH(1,('GMW - Baseline'!$MC$2:$MC$200=S$3)*('GMW - Baseline'!$MB$2:$MB$200=S$4),0),$E289-1973)</f>
        <v>#N/A</v>
      </c>
      <c r="T289" t="e" cm="1">
        <f t="array" ref="T289">INDEX('GMW - Baseline'!$A$2:$MC$200,MATCH(1,('GMW - Baseline'!$MC$2:$MC$200=T$3)*('GMW - Baseline'!$MB$2:$MB$200=T$4),0),$E289-1973)</f>
        <v>#N/A</v>
      </c>
    </row>
    <row r="290" spans="1:20" x14ac:dyDescent="0.25">
      <c r="B290">
        <f t="shared" si="23"/>
        <v>2050</v>
      </c>
      <c r="C290">
        <f t="shared" si="23"/>
        <v>2050</v>
      </c>
      <c r="E290">
        <f t="shared" si="21"/>
        <v>2263</v>
      </c>
      <c r="F290" t="str" cm="1">
        <f t="array" ref="F290">INDEX('GMW - Baseline'!$A$2:$MC$200,MATCH(1,('GMW - Baseline'!$MC$2:$MC$200=F$3)*('GMW - Baseline'!$MB$2:$MB$200=F$4),0),$E290-1973)</f>
        <v>NA</v>
      </c>
      <c r="G290" t="str" cm="1">
        <f t="array" ref="G290">INDEX('GMW - Baseline'!$A$2:$MC$200,MATCH(1,('GMW - Baseline'!$MC$2:$MC$200=G$3)*('GMW - Baseline'!$MB$2:$MB$200=G$4),0),$E290-1973)</f>
        <v>NA</v>
      </c>
      <c r="H290" t="str" cm="1">
        <f t="array" ref="H290">INDEX('GMW - Baseline'!$A$2:$MC$200,MATCH(1,('GMW - Baseline'!$MC$2:$MC$200=H$3)*('GMW - Baseline'!$MB$2:$MB$200=H$4),0),$E290-1973)</f>
        <v>NA</v>
      </c>
      <c r="I290" t="str" cm="1">
        <f t="array" ref="I290">INDEX('GMW - Baseline'!$A$2:$MC$200,MATCH(1,('GMW - Baseline'!$MC$2:$MC$200=I$3)*('GMW - Baseline'!$MB$2:$MB$200=I$4),0),$E290-1973)</f>
        <v>NA</v>
      </c>
      <c r="J290" t="e" cm="1">
        <f t="array" ref="J290">INDEX('GMW - Baseline'!$A$2:$MC$200,MATCH(1,('GMW - Baseline'!$MC$2:$MC$200=J$3)*('GMW - Baseline'!$MB$2:$MB$200=J$4),0),$E290-1973)</f>
        <v>#N/A</v>
      </c>
      <c r="K290" t="e" cm="1">
        <f t="array" ref="K290">INDEX('GMW - Baseline'!$A$2:$MC$200,MATCH(1,('GMW - Baseline'!$MC$2:$MC$200=K$3)*('GMW - Baseline'!$MB$2:$MB$200=K$4),0),$E290-1973)</f>
        <v>#N/A</v>
      </c>
      <c r="L290" t="e" cm="1">
        <f t="array" ref="L290">INDEX('GMW - Baseline'!$A$2:$MC$200,MATCH(1,('GMW - Baseline'!$MC$2:$MC$200=L$3)*('GMW - Baseline'!$MB$2:$MB$200=L$4),0),$E290-1973)</f>
        <v>#N/A</v>
      </c>
      <c r="M290" t="e" cm="1">
        <f t="array" ref="M290">INDEX('GMW - Baseline'!$A$2:$MC$200,MATCH(1,('GMW - Baseline'!$MC$2:$MC$200=M$3)*('GMW - Baseline'!$MB$2:$MB$200=M$4),0),$E290-1973)</f>
        <v>#N/A</v>
      </c>
      <c r="N290" t="e" cm="1">
        <f t="array" ref="N290">INDEX('GMW - Baseline'!$A$2:$MC$200,MATCH(1,('GMW - Baseline'!$MC$2:$MC$200=N$3)*('GMW - Baseline'!$MB$2:$MB$200=N$4),0),$E290-1973)</f>
        <v>#N/A</v>
      </c>
      <c r="O290" t="e" cm="1">
        <f t="array" ref="O290">INDEX('GMW - Baseline'!$A$2:$MC$200,MATCH(1,('GMW - Baseline'!$MC$2:$MC$200=O$3)*('GMW - Baseline'!$MB$2:$MB$200=O$4),0),$E290-1973)</f>
        <v>#N/A</v>
      </c>
      <c r="P290" t="e" cm="1">
        <f t="array" ref="P290">INDEX('GMW - Baseline'!$A$2:$MC$200,MATCH(1,('GMW - Baseline'!$MC$2:$MC$200=P$3)*('GMW - Baseline'!$MB$2:$MB$200=P$4),0),$E290-1973)</f>
        <v>#N/A</v>
      </c>
      <c r="Q290" t="e" cm="1">
        <f t="array" ref="Q290">INDEX('GMW - Baseline'!$A$2:$MC$200,MATCH(1,('GMW - Baseline'!$MC$2:$MC$200=Q$3)*('GMW - Baseline'!$MB$2:$MB$200=Q$4),0),$E290-1973)</f>
        <v>#N/A</v>
      </c>
      <c r="R290" t="e" cm="1">
        <f t="array" ref="R290">INDEX('GMW - Baseline'!$A$2:$MC$200,MATCH(1,('GMW - Baseline'!$MC$2:$MC$200=R$3)*('GMW - Baseline'!$MB$2:$MB$200=R$4),0),$E290-1973)</f>
        <v>#N/A</v>
      </c>
      <c r="S290" t="e" cm="1">
        <f t="array" ref="S290">INDEX('GMW - Baseline'!$A$2:$MC$200,MATCH(1,('GMW - Baseline'!$MC$2:$MC$200=S$3)*('GMW - Baseline'!$MB$2:$MB$200=S$4),0),$E290-1973)</f>
        <v>#N/A</v>
      </c>
      <c r="T290" t="e" cm="1">
        <f t="array" ref="T290">INDEX('GMW - Baseline'!$A$2:$MC$200,MATCH(1,('GMW - Baseline'!$MC$2:$MC$200=T$3)*('GMW - Baseline'!$MB$2:$MB$200=T$4),0),$E290-1973)</f>
        <v>#N/A</v>
      </c>
    </row>
    <row r="291" spans="1:20" x14ac:dyDescent="0.25">
      <c r="A291">
        <v>2051</v>
      </c>
      <c r="B291">
        <f t="shared" si="23"/>
        <v>2051</v>
      </c>
      <c r="C291">
        <f t="shared" si="23"/>
        <v>2050</v>
      </c>
      <c r="D291">
        <f t="shared" si="23"/>
        <v>2050</v>
      </c>
      <c r="E291">
        <f t="shared" si="21"/>
        <v>2264</v>
      </c>
      <c r="F291" t="str" cm="1">
        <f t="array" ref="F291">INDEX('GMW - Baseline'!$A$2:$MC$200,MATCH(1,('GMW - Baseline'!$MC$2:$MC$200=F$3)*('GMW - Baseline'!$MB$2:$MB$200=F$4),0),$E291-1973)</f>
        <v>NA</v>
      </c>
      <c r="G291" t="str" cm="1">
        <f t="array" ref="G291">INDEX('GMW - Baseline'!$A$2:$MC$200,MATCH(1,('GMW - Baseline'!$MC$2:$MC$200=G$3)*('GMW - Baseline'!$MB$2:$MB$200=G$4),0),$E291-1973)</f>
        <v>NA</v>
      </c>
      <c r="H291" t="str" cm="1">
        <f t="array" ref="H291">INDEX('GMW - Baseline'!$A$2:$MC$200,MATCH(1,('GMW - Baseline'!$MC$2:$MC$200=H$3)*('GMW - Baseline'!$MB$2:$MB$200=H$4),0),$E291-1973)</f>
        <v>NA</v>
      </c>
      <c r="I291" t="str" cm="1">
        <f t="array" ref="I291">INDEX('GMW - Baseline'!$A$2:$MC$200,MATCH(1,('GMW - Baseline'!$MC$2:$MC$200=I$3)*('GMW - Baseline'!$MB$2:$MB$200=I$4),0),$E291-1973)</f>
        <v>NA</v>
      </c>
      <c r="J291" t="e" cm="1">
        <f t="array" ref="J291">INDEX('GMW - Baseline'!$A$2:$MC$200,MATCH(1,('GMW - Baseline'!$MC$2:$MC$200=J$3)*('GMW - Baseline'!$MB$2:$MB$200=J$4),0),$E291-1973)</f>
        <v>#N/A</v>
      </c>
      <c r="K291" t="e" cm="1">
        <f t="array" ref="K291">INDEX('GMW - Baseline'!$A$2:$MC$200,MATCH(1,('GMW - Baseline'!$MC$2:$MC$200=K$3)*('GMW - Baseline'!$MB$2:$MB$200=K$4),0),$E291-1973)</f>
        <v>#N/A</v>
      </c>
      <c r="L291" t="e" cm="1">
        <f t="array" ref="L291">INDEX('GMW - Baseline'!$A$2:$MC$200,MATCH(1,('GMW - Baseline'!$MC$2:$MC$200=L$3)*('GMW - Baseline'!$MB$2:$MB$200=L$4),0),$E291-1973)</f>
        <v>#N/A</v>
      </c>
      <c r="M291" t="e" cm="1">
        <f t="array" ref="M291">INDEX('GMW - Baseline'!$A$2:$MC$200,MATCH(1,('GMW - Baseline'!$MC$2:$MC$200=M$3)*('GMW - Baseline'!$MB$2:$MB$200=M$4),0),$E291-1973)</f>
        <v>#N/A</v>
      </c>
      <c r="N291" t="e" cm="1">
        <f t="array" ref="N291">INDEX('GMW - Baseline'!$A$2:$MC$200,MATCH(1,('GMW - Baseline'!$MC$2:$MC$200=N$3)*('GMW - Baseline'!$MB$2:$MB$200=N$4),0),$E291-1973)</f>
        <v>#N/A</v>
      </c>
      <c r="O291" t="e" cm="1">
        <f t="array" ref="O291">INDEX('GMW - Baseline'!$A$2:$MC$200,MATCH(1,('GMW - Baseline'!$MC$2:$MC$200=O$3)*('GMW - Baseline'!$MB$2:$MB$200=O$4),0),$E291-1973)</f>
        <v>#N/A</v>
      </c>
      <c r="P291" t="e" cm="1">
        <f t="array" ref="P291">INDEX('GMW - Baseline'!$A$2:$MC$200,MATCH(1,('GMW - Baseline'!$MC$2:$MC$200=P$3)*('GMW - Baseline'!$MB$2:$MB$200=P$4),0),$E291-1973)</f>
        <v>#N/A</v>
      </c>
      <c r="Q291" t="e" cm="1">
        <f t="array" ref="Q291">INDEX('GMW - Baseline'!$A$2:$MC$200,MATCH(1,('GMW - Baseline'!$MC$2:$MC$200=Q$3)*('GMW - Baseline'!$MB$2:$MB$200=Q$4),0),$E291-1973)</f>
        <v>#N/A</v>
      </c>
      <c r="R291" t="e" cm="1">
        <f t="array" ref="R291">INDEX('GMW - Baseline'!$A$2:$MC$200,MATCH(1,('GMW - Baseline'!$MC$2:$MC$200=R$3)*('GMW - Baseline'!$MB$2:$MB$200=R$4),0),$E291-1973)</f>
        <v>#N/A</v>
      </c>
      <c r="S291" t="e" cm="1">
        <f t="array" ref="S291">INDEX('GMW - Baseline'!$A$2:$MC$200,MATCH(1,('GMW - Baseline'!$MC$2:$MC$200=S$3)*('GMW - Baseline'!$MB$2:$MB$200=S$4),0),$E291-1973)</f>
        <v>#N/A</v>
      </c>
      <c r="T291" t="e" cm="1">
        <f t="array" ref="T291">INDEX('GMW - Baseline'!$A$2:$MC$200,MATCH(1,('GMW - Baseline'!$MC$2:$MC$200=T$3)*('GMW - Baseline'!$MB$2:$MB$200=T$4),0),$E291-1973)</f>
        <v>#N/A</v>
      </c>
    </row>
    <row r="292" spans="1:20" x14ac:dyDescent="0.25">
      <c r="B292">
        <f t="shared" si="23"/>
        <v>2051</v>
      </c>
      <c r="C292">
        <f t="shared" si="23"/>
        <v>2051</v>
      </c>
      <c r="E292">
        <f t="shared" si="21"/>
        <v>2265</v>
      </c>
      <c r="F292" t="str" cm="1">
        <f t="array" ref="F292">INDEX('GMW - Baseline'!$A$2:$MC$200,MATCH(1,('GMW - Baseline'!$MC$2:$MC$200=F$3)*('GMW - Baseline'!$MB$2:$MB$200=F$4),0),$E292-1973)</f>
        <v>NA</v>
      </c>
      <c r="G292" t="str" cm="1">
        <f t="array" ref="G292">INDEX('GMW - Baseline'!$A$2:$MC$200,MATCH(1,('GMW - Baseline'!$MC$2:$MC$200=G$3)*('GMW - Baseline'!$MB$2:$MB$200=G$4),0),$E292-1973)</f>
        <v>NA</v>
      </c>
      <c r="H292" t="str" cm="1">
        <f t="array" ref="H292">INDEX('GMW - Baseline'!$A$2:$MC$200,MATCH(1,('GMW - Baseline'!$MC$2:$MC$200=H$3)*('GMW - Baseline'!$MB$2:$MB$200=H$4),0),$E292-1973)</f>
        <v>NA</v>
      </c>
      <c r="I292" t="str" cm="1">
        <f t="array" ref="I292">INDEX('GMW - Baseline'!$A$2:$MC$200,MATCH(1,('GMW - Baseline'!$MC$2:$MC$200=I$3)*('GMW - Baseline'!$MB$2:$MB$200=I$4),0),$E292-1973)</f>
        <v>NA</v>
      </c>
      <c r="J292" t="e" cm="1">
        <f t="array" ref="J292">INDEX('GMW - Baseline'!$A$2:$MC$200,MATCH(1,('GMW - Baseline'!$MC$2:$MC$200=J$3)*('GMW - Baseline'!$MB$2:$MB$200=J$4),0),$E292-1973)</f>
        <v>#N/A</v>
      </c>
      <c r="K292" t="e" cm="1">
        <f t="array" ref="K292">INDEX('GMW - Baseline'!$A$2:$MC$200,MATCH(1,('GMW - Baseline'!$MC$2:$MC$200=K$3)*('GMW - Baseline'!$MB$2:$MB$200=K$4),0),$E292-1973)</f>
        <v>#N/A</v>
      </c>
      <c r="L292" t="e" cm="1">
        <f t="array" ref="L292">INDEX('GMW - Baseline'!$A$2:$MC$200,MATCH(1,('GMW - Baseline'!$MC$2:$MC$200=L$3)*('GMW - Baseline'!$MB$2:$MB$200=L$4),0),$E292-1973)</f>
        <v>#N/A</v>
      </c>
      <c r="M292" t="e" cm="1">
        <f t="array" ref="M292">INDEX('GMW - Baseline'!$A$2:$MC$200,MATCH(1,('GMW - Baseline'!$MC$2:$MC$200=M$3)*('GMW - Baseline'!$MB$2:$MB$200=M$4),0),$E292-1973)</f>
        <v>#N/A</v>
      </c>
      <c r="N292" t="e" cm="1">
        <f t="array" ref="N292">INDEX('GMW - Baseline'!$A$2:$MC$200,MATCH(1,('GMW - Baseline'!$MC$2:$MC$200=N$3)*('GMW - Baseline'!$MB$2:$MB$200=N$4),0),$E292-1973)</f>
        <v>#N/A</v>
      </c>
      <c r="O292" t="e" cm="1">
        <f t="array" ref="O292">INDEX('GMW - Baseline'!$A$2:$MC$200,MATCH(1,('GMW - Baseline'!$MC$2:$MC$200=O$3)*('GMW - Baseline'!$MB$2:$MB$200=O$4),0),$E292-1973)</f>
        <v>#N/A</v>
      </c>
      <c r="P292" t="e" cm="1">
        <f t="array" ref="P292">INDEX('GMW - Baseline'!$A$2:$MC$200,MATCH(1,('GMW - Baseline'!$MC$2:$MC$200=P$3)*('GMW - Baseline'!$MB$2:$MB$200=P$4),0),$E292-1973)</f>
        <v>#N/A</v>
      </c>
      <c r="Q292" t="e" cm="1">
        <f t="array" ref="Q292">INDEX('GMW - Baseline'!$A$2:$MC$200,MATCH(1,('GMW - Baseline'!$MC$2:$MC$200=Q$3)*('GMW - Baseline'!$MB$2:$MB$200=Q$4),0),$E292-1973)</f>
        <v>#N/A</v>
      </c>
      <c r="R292" t="e" cm="1">
        <f t="array" ref="R292">INDEX('GMW - Baseline'!$A$2:$MC$200,MATCH(1,('GMW - Baseline'!$MC$2:$MC$200=R$3)*('GMW - Baseline'!$MB$2:$MB$200=R$4),0),$E292-1973)</f>
        <v>#N/A</v>
      </c>
      <c r="S292" t="e" cm="1">
        <f t="array" ref="S292">INDEX('GMW - Baseline'!$A$2:$MC$200,MATCH(1,('GMW - Baseline'!$MC$2:$MC$200=S$3)*('GMW - Baseline'!$MB$2:$MB$200=S$4),0),$E292-1973)</f>
        <v>#N/A</v>
      </c>
      <c r="T292" t="e" cm="1">
        <f t="array" ref="T292">INDEX('GMW - Baseline'!$A$2:$MC$200,MATCH(1,('GMW - Baseline'!$MC$2:$MC$200=T$3)*('GMW - Baseline'!$MB$2:$MB$200=T$4),0),$E292-1973)</f>
        <v>#N/A</v>
      </c>
    </row>
    <row r="293" spans="1:20" x14ac:dyDescent="0.25">
      <c r="B293">
        <f t="shared" si="23"/>
        <v>2051</v>
      </c>
      <c r="C293">
        <f t="shared" si="23"/>
        <v>2051</v>
      </c>
      <c r="E293">
        <f t="shared" si="21"/>
        <v>2266</v>
      </c>
      <c r="F293" t="str" cm="1">
        <f t="array" ref="F293">INDEX('GMW - Baseline'!$A$2:$MC$200,MATCH(1,('GMW - Baseline'!$MC$2:$MC$200=F$3)*('GMW - Baseline'!$MB$2:$MB$200=F$4),0),$E293-1973)</f>
        <v>NA</v>
      </c>
      <c r="G293" t="str" cm="1">
        <f t="array" ref="G293">INDEX('GMW - Baseline'!$A$2:$MC$200,MATCH(1,('GMW - Baseline'!$MC$2:$MC$200=G$3)*('GMW - Baseline'!$MB$2:$MB$200=G$4),0),$E293-1973)</f>
        <v>NA</v>
      </c>
      <c r="H293" t="str" cm="1">
        <f t="array" ref="H293">INDEX('GMW - Baseline'!$A$2:$MC$200,MATCH(1,('GMW - Baseline'!$MC$2:$MC$200=H$3)*('GMW - Baseline'!$MB$2:$MB$200=H$4),0),$E293-1973)</f>
        <v>NA</v>
      </c>
      <c r="I293" t="str" cm="1">
        <f t="array" ref="I293">INDEX('GMW - Baseline'!$A$2:$MC$200,MATCH(1,('GMW - Baseline'!$MC$2:$MC$200=I$3)*('GMW - Baseline'!$MB$2:$MB$200=I$4),0),$E293-1973)</f>
        <v>NA</v>
      </c>
      <c r="J293" t="e" cm="1">
        <f t="array" ref="J293">INDEX('GMW - Baseline'!$A$2:$MC$200,MATCH(1,('GMW - Baseline'!$MC$2:$MC$200=J$3)*('GMW - Baseline'!$MB$2:$MB$200=J$4),0),$E293-1973)</f>
        <v>#N/A</v>
      </c>
      <c r="K293" t="e" cm="1">
        <f t="array" ref="K293">INDEX('GMW - Baseline'!$A$2:$MC$200,MATCH(1,('GMW - Baseline'!$MC$2:$MC$200=K$3)*('GMW - Baseline'!$MB$2:$MB$200=K$4),0),$E293-1973)</f>
        <v>#N/A</v>
      </c>
      <c r="L293" t="e" cm="1">
        <f t="array" ref="L293">INDEX('GMW - Baseline'!$A$2:$MC$200,MATCH(1,('GMW - Baseline'!$MC$2:$MC$200=L$3)*('GMW - Baseline'!$MB$2:$MB$200=L$4),0),$E293-1973)</f>
        <v>#N/A</v>
      </c>
      <c r="M293" t="e" cm="1">
        <f t="array" ref="M293">INDEX('GMW - Baseline'!$A$2:$MC$200,MATCH(1,('GMW - Baseline'!$MC$2:$MC$200=M$3)*('GMW - Baseline'!$MB$2:$MB$200=M$4),0),$E293-1973)</f>
        <v>#N/A</v>
      </c>
      <c r="N293" t="e" cm="1">
        <f t="array" ref="N293">INDEX('GMW - Baseline'!$A$2:$MC$200,MATCH(1,('GMW - Baseline'!$MC$2:$MC$200=N$3)*('GMW - Baseline'!$MB$2:$MB$200=N$4),0),$E293-1973)</f>
        <v>#N/A</v>
      </c>
      <c r="O293" t="e" cm="1">
        <f t="array" ref="O293">INDEX('GMW - Baseline'!$A$2:$MC$200,MATCH(1,('GMW - Baseline'!$MC$2:$MC$200=O$3)*('GMW - Baseline'!$MB$2:$MB$200=O$4),0),$E293-1973)</f>
        <v>#N/A</v>
      </c>
      <c r="P293" t="e" cm="1">
        <f t="array" ref="P293">INDEX('GMW - Baseline'!$A$2:$MC$200,MATCH(1,('GMW - Baseline'!$MC$2:$MC$200=P$3)*('GMW - Baseline'!$MB$2:$MB$200=P$4),0),$E293-1973)</f>
        <v>#N/A</v>
      </c>
      <c r="Q293" t="e" cm="1">
        <f t="array" ref="Q293">INDEX('GMW - Baseline'!$A$2:$MC$200,MATCH(1,('GMW - Baseline'!$MC$2:$MC$200=Q$3)*('GMW - Baseline'!$MB$2:$MB$200=Q$4),0),$E293-1973)</f>
        <v>#N/A</v>
      </c>
      <c r="R293" t="e" cm="1">
        <f t="array" ref="R293">INDEX('GMW - Baseline'!$A$2:$MC$200,MATCH(1,('GMW - Baseline'!$MC$2:$MC$200=R$3)*('GMW - Baseline'!$MB$2:$MB$200=R$4),0),$E293-1973)</f>
        <v>#N/A</v>
      </c>
      <c r="S293" t="e" cm="1">
        <f t="array" ref="S293">INDEX('GMW - Baseline'!$A$2:$MC$200,MATCH(1,('GMW - Baseline'!$MC$2:$MC$200=S$3)*('GMW - Baseline'!$MB$2:$MB$200=S$4),0),$E293-1973)</f>
        <v>#N/A</v>
      </c>
      <c r="T293" t="e" cm="1">
        <f t="array" ref="T293">INDEX('GMW - Baseline'!$A$2:$MC$200,MATCH(1,('GMW - Baseline'!$MC$2:$MC$200=T$3)*('GMW - Baseline'!$MB$2:$MB$200=T$4),0),$E293-1973)</f>
        <v>#N/A</v>
      </c>
    </row>
    <row r="294" spans="1:20" x14ac:dyDescent="0.25">
      <c r="B294">
        <f t="shared" si="23"/>
        <v>2051</v>
      </c>
      <c r="C294">
        <f t="shared" si="23"/>
        <v>2051</v>
      </c>
      <c r="E294">
        <f t="shared" si="21"/>
        <v>2267</v>
      </c>
      <c r="F294" t="str" cm="1">
        <f t="array" ref="F294">INDEX('GMW - Baseline'!$A$2:$MC$200,MATCH(1,('GMW - Baseline'!$MC$2:$MC$200=F$3)*('GMW - Baseline'!$MB$2:$MB$200=F$4),0),$E294-1973)</f>
        <v>NA</v>
      </c>
      <c r="G294" t="str" cm="1">
        <f t="array" ref="G294">INDEX('GMW - Baseline'!$A$2:$MC$200,MATCH(1,('GMW - Baseline'!$MC$2:$MC$200=G$3)*('GMW - Baseline'!$MB$2:$MB$200=G$4),0),$E294-1973)</f>
        <v>NA</v>
      </c>
      <c r="H294" t="str" cm="1">
        <f t="array" ref="H294">INDEX('GMW - Baseline'!$A$2:$MC$200,MATCH(1,('GMW - Baseline'!$MC$2:$MC$200=H$3)*('GMW - Baseline'!$MB$2:$MB$200=H$4),0),$E294-1973)</f>
        <v>NA</v>
      </c>
      <c r="I294" t="str" cm="1">
        <f t="array" ref="I294">INDEX('GMW - Baseline'!$A$2:$MC$200,MATCH(1,('GMW - Baseline'!$MC$2:$MC$200=I$3)*('GMW - Baseline'!$MB$2:$MB$200=I$4),0),$E294-1973)</f>
        <v>NA</v>
      </c>
      <c r="J294" t="e" cm="1">
        <f t="array" ref="J294">INDEX('GMW - Baseline'!$A$2:$MC$200,MATCH(1,('GMW - Baseline'!$MC$2:$MC$200=J$3)*('GMW - Baseline'!$MB$2:$MB$200=J$4),0),$E294-1973)</f>
        <v>#N/A</v>
      </c>
      <c r="K294" t="e" cm="1">
        <f t="array" ref="K294">INDEX('GMW - Baseline'!$A$2:$MC$200,MATCH(1,('GMW - Baseline'!$MC$2:$MC$200=K$3)*('GMW - Baseline'!$MB$2:$MB$200=K$4),0),$E294-1973)</f>
        <v>#N/A</v>
      </c>
      <c r="L294" t="e" cm="1">
        <f t="array" ref="L294">INDEX('GMW - Baseline'!$A$2:$MC$200,MATCH(1,('GMW - Baseline'!$MC$2:$MC$200=L$3)*('GMW - Baseline'!$MB$2:$MB$200=L$4),0),$E294-1973)</f>
        <v>#N/A</v>
      </c>
      <c r="M294" t="e" cm="1">
        <f t="array" ref="M294">INDEX('GMW - Baseline'!$A$2:$MC$200,MATCH(1,('GMW - Baseline'!$MC$2:$MC$200=M$3)*('GMW - Baseline'!$MB$2:$MB$200=M$4),0),$E294-1973)</f>
        <v>#N/A</v>
      </c>
      <c r="N294" t="e" cm="1">
        <f t="array" ref="N294">INDEX('GMW - Baseline'!$A$2:$MC$200,MATCH(1,('GMW - Baseline'!$MC$2:$MC$200=N$3)*('GMW - Baseline'!$MB$2:$MB$200=N$4),0),$E294-1973)</f>
        <v>#N/A</v>
      </c>
      <c r="O294" t="e" cm="1">
        <f t="array" ref="O294">INDEX('GMW - Baseline'!$A$2:$MC$200,MATCH(1,('GMW - Baseline'!$MC$2:$MC$200=O$3)*('GMW - Baseline'!$MB$2:$MB$200=O$4),0),$E294-1973)</f>
        <v>#N/A</v>
      </c>
      <c r="P294" t="e" cm="1">
        <f t="array" ref="P294">INDEX('GMW - Baseline'!$A$2:$MC$200,MATCH(1,('GMW - Baseline'!$MC$2:$MC$200=P$3)*('GMW - Baseline'!$MB$2:$MB$200=P$4),0),$E294-1973)</f>
        <v>#N/A</v>
      </c>
      <c r="Q294" t="e" cm="1">
        <f t="array" ref="Q294">INDEX('GMW - Baseline'!$A$2:$MC$200,MATCH(1,('GMW - Baseline'!$MC$2:$MC$200=Q$3)*('GMW - Baseline'!$MB$2:$MB$200=Q$4),0),$E294-1973)</f>
        <v>#N/A</v>
      </c>
      <c r="R294" t="e" cm="1">
        <f t="array" ref="R294">INDEX('GMW - Baseline'!$A$2:$MC$200,MATCH(1,('GMW - Baseline'!$MC$2:$MC$200=R$3)*('GMW - Baseline'!$MB$2:$MB$200=R$4),0),$E294-1973)</f>
        <v>#N/A</v>
      </c>
      <c r="S294" t="e" cm="1">
        <f t="array" ref="S294">INDEX('GMW - Baseline'!$A$2:$MC$200,MATCH(1,('GMW - Baseline'!$MC$2:$MC$200=S$3)*('GMW - Baseline'!$MB$2:$MB$200=S$4),0),$E294-1973)</f>
        <v>#N/A</v>
      </c>
      <c r="T294" t="e" cm="1">
        <f t="array" ref="T294">INDEX('GMW - Baseline'!$A$2:$MC$200,MATCH(1,('GMW - Baseline'!$MC$2:$MC$200=T$3)*('GMW - Baseline'!$MB$2:$MB$200=T$4),0),$E294-1973)</f>
        <v>#N/A</v>
      </c>
    </row>
    <row r="295" spans="1:20" x14ac:dyDescent="0.25">
      <c r="A295">
        <v>2052</v>
      </c>
      <c r="B295">
        <f t="shared" si="23"/>
        <v>2052</v>
      </c>
      <c r="C295">
        <f t="shared" si="23"/>
        <v>2051</v>
      </c>
      <c r="D295">
        <f t="shared" si="23"/>
        <v>2051</v>
      </c>
      <c r="E295">
        <f t="shared" si="21"/>
        <v>2268</v>
      </c>
      <c r="F295" t="str" cm="1">
        <f t="array" ref="F295">INDEX('GMW - Baseline'!$A$2:$MC$200,MATCH(1,('GMW - Baseline'!$MC$2:$MC$200=F$3)*('GMW - Baseline'!$MB$2:$MB$200=F$4),0),$E295-1973)</f>
        <v>NA</v>
      </c>
      <c r="G295" t="str" cm="1">
        <f t="array" ref="G295">INDEX('GMW - Baseline'!$A$2:$MC$200,MATCH(1,('GMW - Baseline'!$MC$2:$MC$200=G$3)*('GMW - Baseline'!$MB$2:$MB$200=G$4),0),$E295-1973)</f>
        <v>NA</v>
      </c>
      <c r="H295" t="str" cm="1">
        <f t="array" ref="H295">INDEX('GMW - Baseline'!$A$2:$MC$200,MATCH(1,('GMW - Baseline'!$MC$2:$MC$200=H$3)*('GMW - Baseline'!$MB$2:$MB$200=H$4),0),$E295-1973)</f>
        <v>NA</v>
      </c>
      <c r="I295" t="str" cm="1">
        <f t="array" ref="I295">INDEX('GMW - Baseline'!$A$2:$MC$200,MATCH(1,('GMW - Baseline'!$MC$2:$MC$200=I$3)*('GMW - Baseline'!$MB$2:$MB$200=I$4),0),$E295-1973)</f>
        <v>NA</v>
      </c>
      <c r="J295" t="e" cm="1">
        <f t="array" ref="J295">INDEX('GMW - Baseline'!$A$2:$MC$200,MATCH(1,('GMW - Baseline'!$MC$2:$MC$200=J$3)*('GMW - Baseline'!$MB$2:$MB$200=J$4),0),$E295-1973)</f>
        <v>#N/A</v>
      </c>
      <c r="K295" t="e" cm="1">
        <f t="array" ref="K295">INDEX('GMW - Baseline'!$A$2:$MC$200,MATCH(1,('GMW - Baseline'!$MC$2:$MC$200=K$3)*('GMW - Baseline'!$MB$2:$MB$200=K$4),0),$E295-1973)</f>
        <v>#N/A</v>
      </c>
      <c r="L295" t="e" cm="1">
        <f t="array" ref="L295">INDEX('GMW - Baseline'!$A$2:$MC$200,MATCH(1,('GMW - Baseline'!$MC$2:$MC$200=L$3)*('GMW - Baseline'!$MB$2:$MB$200=L$4),0),$E295-1973)</f>
        <v>#N/A</v>
      </c>
      <c r="M295" t="e" cm="1">
        <f t="array" ref="M295">INDEX('GMW - Baseline'!$A$2:$MC$200,MATCH(1,('GMW - Baseline'!$MC$2:$MC$200=M$3)*('GMW - Baseline'!$MB$2:$MB$200=M$4),0),$E295-1973)</f>
        <v>#N/A</v>
      </c>
      <c r="N295" t="e" cm="1">
        <f t="array" ref="N295">INDEX('GMW - Baseline'!$A$2:$MC$200,MATCH(1,('GMW - Baseline'!$MC$2:$MC$200=N$3)*('GMW - Baseline'!$MB$2:$MB$200=N$4),0),$E295-1973)</f>
        <v>#N/A</v>
      </c>
      <c r="O295" t="e" cm="1">
        <f t="array" ref="O295">INDEX('GMW - Baseline'!$A$2:$MC$200,MATCH(1,('GMW - Baseline'!$MC$2:$MC$200=O$3)*('GMW - Baseline'!$MB$2:$MB$200=O$4),0),$E295-1973)</f>
        <v>#N/A</v>
      </c>
      <c r="P295" t="e" cm="1">
        <f t="array" ref="P295">INDEX('GMW - Baseline'!$A$2:$MC$200,MATCH(1,('GMW - Baseline'!$MC$2:$MC$200=P$3)*('GMW - Baseline'!$MB$2:$MB$200=P$4),0),$E295-1973)</f>
        <v>#N/A</v>
      </c>
      <c r="Q295" t="e" cm="1">
        <f t="array" ref="Q295">INDEX('GMW - Baseline'!$A$2:$MC$200,MATCH(1,('GMW - Baseline'!$MC$2:$MC$200=Q$3)*('GMW - Baseline'!$MB$2:$MB$200=Q$4),0),$E295-1973)</f>
        <v>#N/A</v>
      </c>
      <c r="R295" t="e" cm="1">
        <f t="array" ref="R295">INDEX('GMW - Baseline'!$A$2:$MC$200,MATCH(1,('GMW - Baseline'!$MC$2:$MC$200=R$3)*('GMW - Baseline'!$MB$2:$MB$200=R$4),0),$E295-1973)</f>
        <v>#N/A</v>
      </c>
      <c r="S295" t="e" cm="1">
        <f t="array" ref="S295">INDEX('GMW - Baseline'!$A$2:$MC$200,MATCH(1,('GMW - Baseline'!$MC$2:$MC$200=S$3)*('GMW - Baseline'!$MB$2:$MB$200=S$4),0),$E295-1973)</f>
        <v>#N/A</v>
      </c>
      <c r="T295" t="e" cm="1">
        <f t="array" ref="T295">INDEX('GMW - Baseline'!$A$2:$MC$200,MATCH(1,('GMW - Baseline'!$MC$2:$MC$200=T$3)*('GMW - Baseline'!$MB$2:$MB$200=T$4),0),$E295-1973)</f>
        <v>#N/A</v>
      </c>
    </row>
    <row r="296" spans="1:20" x14ac:dyDescent="0.25">
      <c r="B296">
        <f t="shared" si="23"/>
        <v>2052</v>
      </c>
      <c r="C296">
        <f t="shared" si="23"/>
        <v>2052</v>
      </c>
      <c r="E296">
        <f t="shared" si="21"/>
        <v>2269</v>
      </c>
      <c r="F296" t="str" cm="1">
        <f t="array" ref="F296">INDEX('GMW - Baseline'!$A$2:$MC$200,MATCH(1,('GMW - Baseline'!$MC$2:$MC$200=F$3)*('GMW - Baseline'!$MB$2:$MB$200=F$4),0),$E296-1973)</f>
        <v>NA</v>
      </c>
      <c r="G296" t="str" cm="1">
        <f t="array" ref="G296">INDEX('GMW - Baseline'!$A$2:$MC$200,MATCH(1,('GMW - Baseline'!$MC$2:$MC$200=G$3)*('GMW - Baseline'!$MB$2:$MB$200=G$4),0),$E296-1973)</f>
        <v>NA</v>
      </c>
      <c r="H296" t="str" cm="1">
        <f t="array" ref="H296">INDEX('GMW - Baseline'!$A$2:$MC$200,MATCH(1,('GMW - Baseline'!$MC$2:$MC$200=H$3)*('GMW - Baseline'!$MB$2:$MB$200=H$4),0),$E296-1973)</f>
        <v>NA</v>
      </c>
      <c r="I296" t="str" cm="1">
        <f t="array" ref="I296">INDEX('GMW - Baseline'!$A$2:$MC$200,MATCH(1,('GMW - Baseline'!$MC$2:$MC$200=I$3)*('GMW - Baseline'!$MB$2:$MB$200=I$4),0),$E296-1973)</f>
        <v>NA</v>
      </c>
      <c r="J296" t="e" cm="1">
        <f t="array" ref="J296">INDEX('GMW - Baseline'!$A$2:$MC$200,MATCH(1,('GMW - Baseline'!$MC$2:$MC$200=J$3)*('GMW - Baseline'!$MB$2:$MB$200=J$4),0),$E296-1973)</f>
        <v>#N/A</v>
      </c>
      <c r="K296" t="e" cm="1">
        <f t="array" ref="K296">INDEX('GMW - Baseline'!$A$2:$MC$200,MATCH(1,('GMW - Baseline'!$MC$2:$MC$200=K$3)*('GMW - Baseline'!$MB$2:$MB$200=K$4),0),$E296-1973)</f>
        <v>#N/A</v>
      </c>
      <c r="L296" t="e" cm="1">
        <f t="array" ref="L296">INDEX('GMW - Baseline'!$A$2:$MC$200,MATCH(1,('GMW - Baseline'!$MC$2:$MC$200=L$3)*('GMW - Baseline'!$MB$2:$MB$200=L$4),0),$E296-1973)</f>
        <v>#N/A</v>
      </c>
      <c r="M296" t="e" cm="1">
        <f t="array" ref="M296">INDEX('GMW - Baseline'!$A$2:$MC$200,MATCH(1,('GMW - Baseline'!$MC$2:$MC$200=M$3)*('GMW - Baseline'!$MB$2:$MB$200=M$4),0),$E296-1973)</f>
        <v>#N/A</v>
      </c>
      <c r="N296" t="e" cm="1">
        <f t="array" ref="N296">INDEX('GMW - Baseline'!$A$2:$MC$200,MATCH(1,('GMW - Baseline'!$MC$2:$MC$200=N$3)*('GMW - Baseline'!$MB$2:$MB$200=N$4),0),$E296-1973)</f>
        <v>#N/A</v>
      </c>
      <c r="O296" t="e" cm="1">
        <f t="array" ref="O296">INDEX('GMW - Baseline'!$A$2:$MC$200,MATCH(1,('GMW - Baseline'!$MC$2:$MC$200=O$3)*('GMW - Baseline'!$MB$2:$MB$200=O$4),0),$E296-1973)</f>
        <v>#N/A</v>
      </c>
      <c r="P296" t="e" cm="1">
        <f t="array" ref="P296">INDEX('GMW - Baseline'!$A$2:$MC$200,MATCH(1,('GMW - Baseline'!$MC$2:$MC$200=P$3)*('GMW - Baseline'!$MB$2:$MB$200=P$4),0),$E296-1973)</f>
        <v>#N/A</v>
      </c>
      <c r="Q296" t="e" cm="1">
        <f t="array" ref="Q296">INDEX('GMW - Baseline'!$A$2:$MC$200,MATCH(1,('GMW - Baseline'!$MC$2:$MC$200=Q$3)*('GMW - Baseline'!$MB$2:$MB$200=Q$4),0),$E296-1973)</f>
        <v>#N/A</v>
      </c>
      <c r="R296" t="e" cm="1">
        <f t="array" ref="R296">INDEX('GMW - Baseline'!$A$2:$MC$200,MATCH(1,('GMW - Baseline'!$MC$2:$MC$200=R$3)*('GMW - Baseline'!$MB$2:$MB$200=R$4),0),$E296-1973)</f>
        <v>#N/A</v>
      </c>
      <c r="S296" t="e" cm="1">
        <f t="array" ref="S296">INDEX('GMW - Baseline'!$A$2:$MC$200,MATCH(1,('GMW - Baseline'!$MC$2:$MC$200=S$3)*('GMW - Baseline'!$MB$2:$MB$200=S$4),0),$E296-1973)</f>
        <v>#N/A</v>
      </c>
      <c r="T296" t="e" cm="1">
        <f t="array" ref="T296">INDEX('GMW - Baseline'!$A$2:$MC$200,MATCH(1,('GMW - Baseline'!$MC$2:$MC$200=T$3)*('GMW - Baseline'!$MB$2:$MB$200=T$4),0),$E296-1973)</f>
        <v>#N/A</v>
      </c>
    </row>
    <row r="297" spans="1:20" x14ac:dyDescent="0.25">
      <c r="B297">
        <f t="shared" si="23"/>
        <v>2052</v>
      </c>
      <c r="C297">
        <f t="shared" si="23"/>
        <v>2052</v>
      </c>
      <c r="E297">
        <f t="shared" si="21"/>
        <v>2270</v>
      </c>
      <c r="F297" t="str" cm="1">
        <f t="array" ref="F297">INDEX('GMW - Baseline'!$A$2:$MC$200,MATCH(1,('GMW - Baseline'!$MC$2:$MC$200=F$3)*('GMW - Baseline'!$MB$2:$MB$200=F$4),0),$E297-1973)</f>
        <v>NA</v>
      </c>
      <c r="G297" t="str" cm="1">
        <f t="array" ref="G297">INDEX('GMW - Baseline'!$A$2:$MC$200,MATCH(1,('GMW - Baseline'!$MC$2:$MC$200=G$3)*('GMW - Baseline'!$MB$2:$MB$200=G$4),0),$E297-1973)</f>
        <v>NA</v>
      </c>
      <c r="H297" t="str" cm="1">
        <f t="array" ref="H297">INDEX('GMW - Baseline'!$A$2:$MC$200,MATCH(1,('GMW - Baseline'!$MC$2:$MC$200=H$3)*('GMW - Baseline'!$MB$2:$MB$200=H$4),0),$E297-1973)</f>
        <v>NA</v>
      </c>
      <c r="I297" t="str" cm="1">
        <f t="array" ref="I297">INDEX('GMW - Baseline'!$A$2:$MC$200,MATCH(1,('GMW - Baseline'!$MC$2:$MC$200=I$3)*('GMW - Baseline'!$MB$2:$MB$200=I$4),0),$E297-1973)</f>
        <v>NA</v>
      </c>
      <c r="J297" t="e" cm="1">
        <f t="array" ref="J297">INDEX('GMW - Baseline'!$A$2:$MC$200,MATCH(1,('GMW - Baseline'!$MC$2:$MC$200=J$3)*('GMW - Baseline'!$MB$2:$MB$200=J$4),0),$E297-1973)</f>
        <v>#N/A</v>
      </c>
      <c r="K297" t="e" cm="1">
        <f t="array" ref="K297">INDEX('GMW - Baseline'!$A$2:$MC$200,MATCH(1,('GMW - Baseline'!$MC$2:$MC$200=K$3)*('GMW - Baseline'!$MB$2:$MB$200=K$4),0),$E297-1973)</f>
        <v>#N/A</v>
      </c>
      <c r="L297" t="e" cm="1">
        <f t="array" ref="L297">INDEX('GMW - Baseline'!$A$2:$MC$200,MATCH(1,('GMW - Baseline'!$MC$2:$MC$200=L$3)*('GMW - Baseline'!$MB$2:$MB$200=L$4),0),$E297-1973)</f>
        <v>#N/A</v>
      </c>
      <c r="M297" t="e" cm="1">
        <f t="array" ref="M297">INDEX('GMW - Baseline'!$A$2:$MC$200,MATCH(1,('GMW - Baseline'!$MC$2:$MC$200=M$3)*('GMW - Baseline'!$MB$2:$MB$200=M$4),0),$E297-1973)</f>
        <v>#N/A</v>
      </c>
      <c r="N297" t="e" cm="1">
        <f t="array" ref="N297">INDEX('GMW - Baseline'!$A$2:$MC$200,MATCH(1,('GMW - Baseline'!$MC$2:$MC$200=N$3)*('GMW - Baseline'!$MB$2:$MB$200=N$4),0),$E297-1973)</f>
        <v>#N/A</v>
      </c>
      <c r="O297" t="e" cm="1">
        <f t="array" ref="O297">INDEX('GMW - Baseline'!$A$2:$MC$200,MATCH(1,('GMW - Baseline'!$MC$2:$MC$200=O$3)*('GMW - Baseline'!$MB$2:$MB$200=O$4),0),$E297-1973)</f>
        <v>#N/A</v>
      </c>
      <c r="P297" t="e" cm="1">
        <f t="array" ref="P297">INDEX('GMW - Baseline'!$A$2:$MC$200,MATCH(1,('GMW - Baseline'!$MC$2:$MC$200=P$3)*('GMW - Baseline'!$MB$2:$MB$200=P$4),0),$E297-1973)</f>
        <v>#N/A</v>
      </c>
      <c r="Q297" t="e" cm="1">
        <f t="array" ref="Q297">INDEX('GMW - Baseline'!$A$2:$MC$200,MATCH(1,('GMW - Baseline'!$MC$2:$MC$200=Q$3)*('GMW - Baseline'!$MB$2:$MB$200=Q$4),0),$E297-1973)</f>
        <v>#N/A</v>
      </c>
      <c r="R297" t="e" cm="1">
        <f t="array" ref="R297">INDEX('GMW - Baseline'!$A$2:$MC$200,MATCH(1,('GMW - Baseline'!$MC$2:$MC$200=R$3)*('GMW - Baseline'!$MB$2:$MB$200=R$4),0),$E297-1973)</f>
        <v>#N/A</v>
      </c>
      <c r="S297" t="e" cm="1">
        <f t="array" ref="S297">INDEX('GMW - Baseline'!$A$2:$MC$200,MATCH(1,('GMW - Baseline'!$MC$2:$MC$200=S$3)*('GMW - Baseline'!$MB$2:$MB$200=S$4),0),$E297-1973)</f>
        <v>#N/A</v>
      </c>
      <c r="T297" t="e" cm="1">
        <f t="array" ref="T297">INDEX('GMW - Baseline'!$A$2:$MC$200,MATCH(1,('GMW - Baseline'!$MC$2:$MC$200=T$3)*('GMW - Baseline'!$MB$2:$MB$200=T$4),0),$E297-1973)</f>
        <v>#N/A</v>
      </c>
    </row>
    <row r="298" spans="1:20" x14ac:dyDescent="0.25">
      <c r="B298">
        <f t="shared" si="23"/>
        <v>2052</v>
      </c>
      <c r="C298">
        <f t="shared" si="23"/>
        <v>2052</v>
      </c>
      <c r="E298">
        <f t="shared" si="21"/>
        <v>2271</v>
      </c>
      <c r="F298" t="str" cm="1">
        <f t="array" ref="F298">INDEX('GMW - Baseline'!$A$2:$MC$200,MATCH(1,('GMW - Baseline'!$MC$2:$MC$200=F$3)*('GMW - Baseline'!$MB$2:$MB$200=F$4),0),$E298-1973)</f>
        <v>NA</v>
      </c>
      <c r="G298" t="str" cm="1">
        <f t="array" ref="G298">INDEX('GMW - Baseline'!$A$2:$MC$200,MATCH(1,('GMW - Baseline'!$MC$2:$MC$200=G$3)*('GMW - Baseline'!$MB$2:$MB$200=G$4),0),$E298-1973)</f>
        <v>NA</v>
      </c>
      <c r="H298" t="str" cm="1">
        <f t="array" ref="H298">INDEX('GMW - Baseline'!$A$2:$MC$200,MATCH(1,('GMW - Baseline'!$MC$2:$MC$200=H$3)*('GMW - Baseline'!$MB$2:$MB$200=H$4),0),$E298-1973)</f>
        <v>NA</v>
      </c>
      <c r="I298" t="str" cm="1">
        <f t="array" ref="I298">INDEX('GMW - Baseline'!$A$2:$MC$200,MATCH(1,('GMW - Baseline'!$MC$2:$MC$200=I$3)*('GMW - Baseline'!$MB$2:$MB$200=I$4),0),$E298-1973)</f>
        <v>NA</v>
      </c>
      <c r="J298" t="e" cm="1">
        <f t="array" ref="J298">INDEX('GMW - Baseline'!$A$2:$MC$200,MATCH(1,('GMW - Baseline'!$MC$2:$MC$200=J$3)*('GMW - Baseline'!$MB$2:$MB$200=J$4),0),$E298-1973)</f>
        <v>#N/A</v>
      </c>
      <c r="K298" t="e" cm="1">
        <f t="array" ref="K298">INDEX('GMW - Baseline'!$A$2:$MC$200,MATCH(1,('GMW - Baseline'!$MC$2:$MC$200=K$3)*('GMW - Baseline'!$MB$2:$MB$200=K$4),0),$E298-1973)</f>
        <v>#N/A</v>
      </c>
      <c r="L298" t="e" cm="1">
        <f t="array" ref="L298">INDEX('GMW - Baseline'!$A$2:$MC$200,MATCH(1,('GMW - Baseline'!$MC$2:$MC$200=L$3)*('GMW - Baseline'!$MB$2:$MB$200=L$4),0),$E298-1973)</f>
        <v>#N/A</v>
      </c>
      <c r="M298" t="e" cm="1">
        <f t="array" ref="M298">INDEX('GMW - Baseline'!$A$2:$MC$200,MATCH(1,('GMW - Baseline'!$MC$2:$MC$200=M$3)*('GMW - Baseline'!$MB$2:$MB$200=M$4),0),$E298-1973)</f>
        <v>#N/A</v>
      </c>
      <c r="N298" t="e" cm="1">
        <f t="array" ref="N298">INDEX('GMW - Baseline'!$A$2:$MC$200,MATCH(1,('GMW - Baseline'!$MC$2:$MC$200=N$3)*('GMW - Baseline'!$MB$2:$MB$200=N$4),0),$E298-1973)</f>
        <v>#N/A</v>
      </c>
      <c r="O298" t="e" cm="1">
        <f t="array" ref="O298">INDEX('GMW - Baseline'!$A$2:$MC$200,MATCH(1,('GMW - Baseline'!$MC$2:$MC$200=O$3)*('GMW - Baseline'!$MB$2:$MB$200=O$4),0),$E298-1973)</f>
        <v>#N/A</v>
      </c>
      <c r="P298" t="e" cm="1">
        <f t="array" ref="P298">INDEX('GMW - Baseline'!$A$2:$MC$200,MATCH(1,('GMW - Baseline'!$MC$2:$MC$200=P$3)*('GMW - Baseline'!$MB$2:$MB$200=P$4),0),$E298-1973)</f>
        <v>#N/A</v>
      </c>
      <c r="Q298" t="e" cm="1">
        <f t="array" ref="Q298">INDEX('GMW - Baseline'!$A$2:$MC$200,MATCH(1,('GMW - Baseline'!$MC$2:$MC$200=Q$3)*('GMW - Baseline'!$MB$2:$MB$200=Q$4),0),$E298-1973)</f>
        <v>#N/A</v>
      </c>
      <c r="R298" t="e" cm="1">
        <f t="array" ref="R298">INDEX('GMW - Baseline'!$A$2:$MC$200,MATCH(1,('GMW - Baseline'!$MC$2:$MC$200=R$3)*('GMW - Baseline'!$MB$2:$MB$200=R$4),0),$E298-1973)</f>
        <v>#N/A</v>
      </c>
      <c r="S298" t="e" cm="1">
        <f t="array" ref="S298">INDEX('GMW - Baseline'!$A$2:$MC$200,MATCH(1,('GMW - Baseline'!$MC$2:$MC$200=S$3)*('GMW - Baseline'!$MB$2:$MB$200=S$4),0),$E298-1973)</f>
        <v>#N/A</v>
      </c>
      <c r="T298" t="e" cm="1">
        <f t="array" ref="T298">INDEX('GMW - Baseline'!$A$2:$MC$200,MATCH(1,('GMW - Baseline'!$MC$2:$MC$200=T$3)*('GMW - Baseline'!$MB$2:$MB$200=T$4),0),$E298-1973)</f>
        <v>#N/A</v>
      </c>
    </row>
    <row r="299" spans="1:20" x14ac:dyDescent="0.25">
      <c r="A299">
        <v>2053</v>
      </c>
      <c r="B299">
        <f t="shared" si="23"/>
        <v>2053</v>
      </c>
      <c r="C299">
        <f t="shared" si="23"/>
        <v>2052</v>
      </c>
      <c r="D299">
        <f t="shared" si="23"/>
        <v>2052</v>
      </c>
      <c r="E299">
        <f t="shared" si="21"/>
        <v>2272</v>
      </c>
      <c r="F299" t="str" cm="1">
        <f t="array" ref="F299">INDEX('GMW - Baseline'!$A$2:$MC$200,MATCH(1,('GMW - Baseline'!$MC$2:$MC$200=F$3)*('GMW - Baseline'!$MB$2:$MB$200=F$4),0),$E299-1973)</f>
        <v>NA</v>
      </c>
      <c r="G299" t="str" cm="1">
        <f t="array" ref="G299">INDEX('GMW - Baseline'!$A$2:$MC$200,MATCH(1,('GMW - Baseline'!$MC$2:$MC$200=G$3)*('GMW - Baseline'!$MB$2:$MB$200=G$4),0),$E299-1973)</f>
        <v>NA</v>
      </c>
      <c r="H299" t="str" cm="1">
        <f t="array" ref="H299">INDEX('GMW - Baseline'!$A$2:$MC$200,MATCH(1,('GMW - Baseline'!$MC$2:$MC$200=H$3)*('GMW - Baseline'!$MB$2:$MB$200=H$4),0),$E299-1973)</f>
        <v>NA</v>
      </c>
      <c r="I299" t="str" cm="1">
        <f t="array" ref="I299">INDEX('GMW - Baseline'!$A$2:$MC$200,MATCH(1,('GMW - Baseline'!$MC$2:$MC$200=I$3)*('GMW - Baseline'!$MB$2:$MB$200=I$4),0),$E299-1973)</f>
        <v>NA</v>
      </c>
      <c r="J299" t="e" cm="1">
        <f t="array" ref="J299">INDEX('GMW - Baseline'!$A$2:$MC$200,MATCH(1,('GMW - Baseline'!$MC$2:$MC$200=J$3)*('GMW - Baseline'!$MB$2:$MB$200=J$4),0),$E299-1973)</f>
        <v>#N/A</v>
      </c>
      <c r="K299" t="e" cm="1">
        <f t="array" ref="K299">INDEX('GMW - Baseline'!$A$2:$MC$200,MATCH(1,('GMW - Baseline'!$MC$2:$MC$200=K$3)*('GMW - Baseline'!$MB$2:$MB$200=K$4),0),$E299-1973)</f>
        <v>#N/A</v>
      </c>
      <c r="L299" t="e" cm="1">
        <f t="array" ref="L299">INDEX('GMW - Baseline'!$A$2:$MC$200,MATCH(1,('GMW - Baseline'!$MC$2:$MC$200=L$3)*('GMW - Baseline'!$MB$2:$MB$200=L$4),0),$E299-1973)</f>
        <v>#N/A</v>
      </c>
      <c r="M299" t="e" cm="1">
        <f t="array" ref="M299">INDEX('GMW - Baseline'!$A$2:$MC$200,MATCH(1,('GMW - Baseline'!$MC$2:$MC$200=M$3)*('GMW - Baseline'!$MB$2:$MB$200=M$4),0),$E299-1973)</f>
        <v>#N/A</v>
      </c>
      <c r="N299" t="e" cm="1">
        <f t="array" ref="N299">INDEX('GMW - Baseline'!$A$2:$MC$200,MATCH(1,('GMW - Baseline'!$MC$2:$MC$200=N$3)*('GMW - Baseline'!$MB$2:$MB$200=N$4),0),$E299-1973)</f>
        <v>#N/A</v>
      </c>
      <c r="O299" t="e" cm="1">
        <f t="array" ref="O299">INDEX('GMW - Baseline'!$A$2:$MC$200,MATCH(1,('GMW - Baseline'!$MC$2:$MC$200=O$3)*('GMW - Baseline'!$MB$2:$MB$200=O$4),0),$E299-1973)</f>
        <v>#N/A</v>
      </c>
      <c r="P299" t="e" cm="1">
        <f t="array" ref="P299">INDEX('GMW - Baseline'!$A$2:$MC$200,MATCH(1,('GMW - Baseline'!$MC$2:$MC$200=P$3)*('GMW - Baseline'!$MB$2:$MB$200=P$4),0),$E299-1973)</f>
        <v>#N/A</v>
      </c>
      <c r="Q299" t="e" cm="1">
        <f t="array" ref="Q299">INDEX('GMW - Baseline'!$A$2:$MC$200,MATCH(1,('GMW - Baseline'!$MC$2:$MC$200=Q$3)*('GMW - Baseline'!$MB$2:$MB$200=Q$4),0),$E299-1973)</f>
        <v>#N/A</v>
      </c>
      <c r="R299" t="e" cm="1">
        <f t="array" ref="R299">INDEX('GMW - Baseline'!$A$2:$MC$200,MATCH(1,('GMW - Baseline'!$MC$2:$MC$200=R$3)*('GMW - Baseline'!$MB$2:$MB$200=R$4),0),$E299-1973)</f>
        <v>#N/A</v>
      </c>
      <c r="S299" t="e" cm="1">
        <f t="array" ref="S299">INDEX('GMW - Baseline'!$A$2:$MC$200,MATCH(1,('GMW - Baseline'!$MC$2:$MC$200=S$3)*('GMW - Baseline'!$MB$2:$MB$200=S$4),0),$E299-1973)</f>
        <v>#N/A</v>
      </c>
      <c r="T299" t="e" cm="1">
        <f t="array" ref="T299">INDEX('GMW - Baseline'!$A$2:$MC$200,MATCH(1,('GMW - Baseline'!$MC$2:$MC$200=T$3)*('GMW - Baseline'!$MB$2:$MB$200=T$4),0),$E299-1973)</f>
        <v>#N/A</v>
      </c>
    </row>
    <row r="300" spans="1:20" x14ac:dyDescent="0.25">
      <c r="B300">
        <f t="shared" ref="B300:D315" si="24">+B296+1</f>
        <v>2053</v>
      </c>
      <c r="C300">
        <f t="shared" si="24"/>
        <v>2053</v>
      </c>
      <c r="E300">
        <f t="shared" si="21"/>
        <v>2273</v>
      </c>
      <c r="F300" t="str" cm="1">
        <f t="array" ref="F300">INDEX('GMW - Baseline'!$A$2:$MC$200,MATCH(1,('GMW - Baseline'!$MC$2:$MC$200=F$3)*('GMW - Baseline'!$MB$2:$MB$200=F$4),0),$E300-1973)</f>
        <v>NA</v>
      </c>
      <c r="G300" t="str" cm="1">
        <f t="array" ref="G300">INDEX('GMW - Baseline'!$A$2:$MC$200,MATCH(1,('GMW - Baseline'!$MC$2:$MC$200=G$3)*('GMW - Baseline'!$MB$2:$MB$200=G$4),0),$E300-1973)</f>
        <v>NA</v>
      </c>
      <c r="H300" t="str" cm="1">
        <f t="array" ref="H300">INDEX('GMW - Baseline'!$A$2:$MC$200,MATCH(1,('GMW - Baseline'!$MC$2:$MC$200=H$3)*('GMW - Baseline'!$MB$2:$MB$200=H$4),0),$E300-1973)</f>
        <v>NA</v>
      </c>
      <c r="I300" t="str" cm="1">
        <f t="array" ref="I300">INDEX('GMW - Baseline'!$A$2:$MC$200,MATCH(1,('GMW - Baseline'!$MC$2:$MC$200=I$3)*('GMW - Baseline'!$MB$2:$MB$200=I$4),0),$E300-1973)</f>
        <v>NA</v>
      </c>
      <c r="J300" t="e" cm="1">
        <f t="array" ref="J300">INDEX('GMW - Baseline'!$A$2:$MC$200,MATCH(1,('GMW - Baseline'!$MC$2:$MC$200=J$3)*('GMW - Baseline'!$MB$2:$MB$200=J$4),0),$E300-1973)</f>
        <v>#N/A</v>
      </c>
      <c r="K300" t="e" cm="1">
        <f t="array" ref="K300">INDEX('GMW - Baseline'!$A$2:$MC$200,MATCH(1,('GMW - Baseline'!$MC$2:$MC$200=K$3)*('GMW - Baseline'!$MB$2:$MB$200=K$4),0),$E300-1973)</f>
        <v>#N/A</v>
      </c>
      <c r="L300" t="e" cm="1">
        <f t="array" ref="L300">INDEX('GMW - Baseline'!$A$2:$MC$200,MATCH(1,('GMW - Baseline'!$MC$2:$MC$200=L$3)*('GMW - Baseline'!$MB$2:$MB$200=L$4),0),$E300-1973)</f>
        <v>#N/A</v>
      </c>
      <c r="M300" t="e" cm="1">
        <f t="array" ref="M300">INDEX('GMW - Baseline'!$A$2:$MC$200,MATCH(1,('GMW - Baseline'!$MC$2:$MC$200=M$3)*('GMW - Baseline'!$MB$2:$MB$200=M$4),0),$E300-1973)</f>
        <v>#N/A</v>
      </c>
      <c r="N300" t="e" cm="1">
        <f t="array" ref="N300">INDEX('GMW - Baseline'!$A$2:$MC$200,MATCH(1,('GMW - Baseline'!$MC$2:$MC$200=N$3)*('GMW - Baseline'!$MB$2:$MB$200=N$4),0),$E300-1973)</f>
        <v>#N/A</v>
      </c>
      <c r="O300" t="e" cm="1">
        <f t="array" ref="O300">INDEX('GMW - Baseline'!$A$2:$MC$200,MATCH(1,('GMW - Baseline'!$MC$2:$MC$200=O$3)*('GMW - Baseline'!$MB$2:$MB$200=O$4),0),$E300-1973)</f>
        <v>#N/A</v>
      </c>
      <c r="P300" t="e" cm="1">
        <f t="array" ref="P300">INDEX('GMW - Baseline'!$A$2:$MC$200,MATCH(1,('GMW - Baseline'!$MC$2:$MC$200=P$3)*('GMW - Baseline'!$MB$2:$MB$200=P$4),0),$E300-1973)</f>
        <v>#N/A</v>
      </c>
      <c r="Q300" t="e" cm="1">
        <f t="array" ref="Q300">INDEX('GMW - Baseline'!$A$2:$MC$200,MATCH(1,('GMW - Baseline'!$MC$2:$MC$200=Q$3)*('GMW - Baseline'!$MB$2:$MB$200=Q$4),0),$E300-1973)</f>
        <v>#N/A</v>
      </c>
      <c r="R300" t="e" cm="1">
        <f t="array" ref="R300">INDEX('GMW - Baseline'!$A$2:$MC$200,MATCH(1,('GMW - Baseline'!$MC$2:$MC$200=R$3)*('GMW - Baseline'!$MB$2:$MB$200=R$4),0),$E300-1973)</f>
        <v>#N/A</v>
      </c>
      <c r="S300" t="e" cm="1">
        <f t="array" ref="S300">INDEX('GMW - Baseline'!$A$2:$MC$200,MATCH(1,('GMW - Baseline'!$MC$2:$MC$200=S$3)*('GMW - Baseline'!$MB$2:$MB$200=S$4),0),$E300-1973)</f>
        <v>#N/A</v>
      </c>
      <c r="T300" t="e" cm="1">
        <f t="array" ref="T300">INDEX('GMW - Baseline'!$A$2:$MC$200,MATCH(1,('GMW - Baseline'!$MC$2:$MC$200=T$3)*('GMW - Baseline'!$MB$2:$MB$200=T$4),0),$E300-1973)</f>
        <v>#N/A</v>
      </c>
    </row>
    <row r="301" spans="1:20" x14ac:dyDescent="0.25">
      <c r="B301">
        <f t="shared" si="24"/>
        <v>2053</v>
      </c>
      <c r="C301">
        <f t="shared" si="24"/>
        <v>2053</v>
      </c>
      <c r="E301">
        <f t="shared" si="21"/>
        <v>2274</v>
      </c>
      <c r="F301" t="str" cm="1">
        <f t="array" ref="F301">INDEX('GMW - Baseline'!$A$2:$MC$200,MATCH(1,('GMW - Baseline'!$MC$2:$MC$200=F$3)*('GMW - Baseline'!$MB$2:$MB$200=F$4),0),$E301-1973)</f>
        <v>NA</v>
      </c>
      <c r="G301" t="str" cm="1">
        <f t="array" ref="G301">INDEX('GMW - Baseline'!$A$2:$MC$200,MATCH(1,('GMW - Baseline'!$MC$2:$MC$200=G$3)*('GMW - Baseline'!$MB$2:$MB$200=G$4),0),$E301-1973)</f>
        <v>NA</v>
      </c>
      <c r="H301" t="str" cm="1">
        <f t="array" ref="H301">INDEX('GMW - Baseline'!$A$2:$MC$200,MATCH(1,('GMW - Baseline'!$MC$2:$MC$200=H$3)*('GMW - Baseline'!$MB$2:$MB$200=H$4),0),$E301-1973)</f>
        <v>NA</v>
      </c>
      <c r="I301" t="str" cm="1">
        <f t="array" ref="I301">INDEX('GMW - Baseline'!$A$2:$MC$200,MATCH(1,('GMW - Baseline'!$MC$2:$MC$200=I$3)*('GMW - Baseline'!$MB$2:$MB$200=I$4),0),$E301-1973)</f>
        <v>NA</v>
      </c>
      <c r="J301" t="e" cm="1">
        <f t="array" ref="J301">INDEX('GMW - Baseline'!$A$2:$MC$200,MATCH(1,('GMW - Baseline'!$MC$2:$MC$200=J$3)*('GMW - Baseline'!$MB$2:$MB$200=J$4),0),$E301-1973)</f>
        <v>#N/A</v>
      </c>
      <c r="K301" t="e" cm="1">
        <f t="array" ref="K301">INDEX('GMW - Baseline'!$A$2:$MC$200,MATCH(1,('GMW - Baseline'!$MC$2:$MC$200=K$3)*('GMW - Baseline'!$MB$2:$MB$200=K$4),0),$E301-1973)</f>
        <v>#N/A</v>
      </c>
      <c r="L301" t="e" cm="1">
        <f t="array" ref="L301">INDEX('GMW - Baseline'!$A$2:$MC$200,MATCH(1,('GMW - Baseline'!$MC$2:$MC$200=L$3)*('GMW - Baseline'!$MB$2:$MB$200=L$4),0),$E301-1973)</f>
        <v>#N/A</v>
      </c>
      <c r="M301" t="e" cm="1">
        <f t="array" ref="M301">INDEX('GMW - Baseline'!$A$2:$MC$200,MATCH(1,('GMW - Baseline'!$MC$2:$MC$200=M$3)*('GMW - Baseline'!$MB$2:$MB$200=M$4),0),$E301-1973)</f>
        <v>#N/A</v>
      </c>
      <c r="N301" t="e" cm="1">
        <f t="array" ref="N301">INDEX('GMW - Baseline'!$A$2:$MC$200,MATCH(1,('GMW - Baseline'!$MC$2:$MC$200=N$3)*('GMW - Baseline'!$MB$2:$MB$200=N$4),0),$E301-1973)</f>
        <v>#N/A</v>
      </c>
      <c r="O301" t="e" cm="1">
        <f t="array" ref="O301">INDEX('GMW - Baseline'!$A$2:$MC$200,MATCH(1,('GMW - Baseline'!$MC$2:$MC$200=O$3)*('GMW - Baseline'!$MB$2:$MB$200=O$4),0),$E301-1973)</f>
        <v>#N/A</v>
      </c>
      <c r="P301" t="e" cm="1">
        <f t="array" ref="P301">INDEX('GMW - Baseline'!$A$2:$MC$200,MATCH(1,('GMW - Baseline'!$MC$2:$MC$200=P$3)*('GMW - Baseline'!$MB$2:$MB$200=P$4),0),$E301-1973)</f>
        <v>#N/A</v>
      </c>
      <c r="Q301" t="e" cm="1">
        <f t="array" ref="Q301">INDEX('GMW - Baseline'!$A$2:$MC$200,MATCH(1,('GMW - Baseline'!$MC$2:$MC$200=Q$3)*('GMW - Baseline'!$MB$2:$MB$200=Q$4),0),$E301-1973)</f>
        <v>#N/A</v>
      </c>
      <c r="R301" t="e" cm="1">
        <f t="array" ref="R301">INDEX('GMW - Baseline'!$A$2:$MC$200,MATCH(1,('GMW - Baseline'!$MC$2:$MC$200=R$3)*('GMW - Baseline'!$MB$2:$MB$200=R$4),0),$E301-1973)</f>
        <v>#N/A</v>
      </c>
      <c r="S301" t="e" cm="1">
        <f t="array" ref="S301">INDEX('GMW - Baseline'!$A$2:$MC$200,MATCH(1,('GMW - Baseline'!$MC$2:$MC$200=S$3)*('GMW - Baseline'!$MB$2:$MB$200=S$4),0),$E301-1973)</f>
        <v>#N/A</v>
      </c>
      <c r="T301" t="e" cm="1">
        <f t="array" ref="T301">INDEX('GMW - Baseline'!$A$2:$MC$200,MATCH(1,('GMW - Baseline'!$MC$2:$MC$200=T$3)*('GMW - Baseline'!$MB$2:$MB$200=T$4),0),$E301-1973)</f>
        <v>#N/A</v>
      </c>
    </row>
    <row r="302" spans="1:20" x14ac:dyDescent="0.25">
      <c r="B302">
        <f t="shared" si="24"/>
        <v>2053</v>
      </c>
      <c r="C302">
        <f t="shared" si="24"/>
        <v>2053</v>
      </c>
      <c r="E302">
        <f t="shared" si="21"/>
        <v>2275</v>
      </c>
      <c r="F302" t="str" cm="1">
        <f t="array" ref="F302">INDEX('GMW - Baseline'!$A$2:$MC$200,MATCH(1,('GMW - Baseline'!$MC$2:$MC$200=F$3)*('GMW - Baseline'!$MB$2:$MB$200=F$4),0),$E302-1973)</f>
        <v>NA</v>
      </c>
      <c r="G302" t="str" cm="1">
        <f t="array" ref="G302">INDEX('GMW - Baseline'!$A$2:$MC$200,MATCH(1,('GMW - Baseline'!$MC$2:$MC$200=G$3)*('GMW - Baseline'!$MB$2:$MB$200=G$4),0),$E302-1973)</f>
        <v>NA</v>
      </c>
      <c r="H302" t="str" cm="1">
        <f t="array" ref="H302">INDEX('GMW - Baseline'!$A$2:$MC$200,MATCH(1,('GMW - Baseline'!$MC$2:$MC$200=H$3)*('GMW - Baseline'!$MB$2:$MB$200=H$4),0),$E302-1973)</f>
        <v>NA</v>
      </c>
      <c r="I302" t="str" cm="1">
        <f t="array" ref="I302">INDEX('GMW - Baseline'!$A$2:$MC$200,MATCH(1,('GMW - Baseline'!$MC$2:$MC$200=I$3)*('GMW - Baseline'!$MB$2:$MB$200=I$4),0),$E302-1973)</f>
        <v>NA</v>
      </c>
      <c r="J302" t="e" cm="1">
        <f t="array" ref="J302">INDEX('GMW - Baseline'!$A$2:$MC$200,MATCH(1,('GMW - Baseline'!$MC$2:$MC$200=J$3)*('GMW - Baseline'!$MB$2:$MB$200=J$4),0),$E302-1973)</f>
        <v>#N/A</v>
      </c>
      <c r="K302" t="e" cm="1">
        <f t="array" ref="K302">INDEX('GMW - Baseline'!$A$2:$MC$200,MATCH(1,('GMW - Baseline'!$MC$2:$MC$200=K$3)*('GMW - Baseline'!$MB$2:$MB$200=K$4),0),$E302-1973)</f>
        <v>#N/A</v>
      </c>
      <c r="L302" t="e" cm="1">
        <f t="array" ref="L302">INDEX('GMW - Baseline'!$A$2:$MC$200,MATCH(1,('GMW - Baseline'!$MC$2:$MC$200=L$3)*('GMW - Baseline'!$MB$2:$MB$200=L$4),0),$E302-1973)</f>
        <v>#N/A</v>
      </c>
      <c r="M302" t="e" cm="1">
        <f t="array" ref="M302">INDEX('GMW - Baseline'!$A$2:$MC$200,MATCH(1,('GMW - Baseline'!$MC$2:$MC$200=M$3)*('GMW - Baseline'!$MB$2:$MB$200=M$4),0),$E302-1973)</f>
        <v>#N/A</v>
      </c>
      <c r="N302" t="e" cm="1">
        <f t="array" ref="N302">INDEX('GMW - Baseline'!$A$2:$MC$200,MATCH(1,('GMW - Baseline'!$MC$2:$MC$200=N$3)*('GMW - Baseline'!$MB$2:$MB$200=N$4),0),$E302-1973)</f>
        <v>#N/A</v>
      </c>
      <c r="O302" t="e" cm="1">
        <f t="array" ref="O302">INDEX('GMW - Baseline'!$A$2:$MC$200,MATCH(1,('GMW - Baseline'!$MC$2:$MC$200=O$3)*('GMW - Baseline'!$MB$2:$MB$200=O$4),0),$E302-1973)</f>
        <v>#N/A</v>
      </c>
      <c r="P302" t="e" cm="1">
        <f t="array" ref="P302">INDEX('GMW - Baseline'!$A$2:$MC$200,MATCH(1,('GMW - Baseline'!$MC$2:$MC$200=P$3)*('GMW - Baseline'!$MB$2:$MB$200=P$4),0),$E302-1973)</f>
        <v>#N/A</v>
      </c>
      <c r="Q302" t="e" cm="1">
        <f t="array" ref="Q302">INDEX('GMW - Baseline'!$A$2:$MC$200,MATCH(1,('GMW - Baseline'!$MC$2:$MC$200=Q$3)*('GMW - Baseline'!$MB$2:$MB$200=Q$4),0),$E302-1973)</f>
        <v>#N/A</v>
      </c>
      <c r="R302" t="e" cm="1">
        <f t="array" ref="R302">INDEX('GMW - Baseline'!$A$2:$MC$200,MATCH(1,('GMW - Baseline'!$MC$2:$MC$200=R$3)*('GMW - Baseline'!$MB$2:$MB$200=R$4),0),$E302-1973)</f>
        <v>#N/A</v>
      </c>
      <c r="S302" t="e" cm="1">
        <f t="array" ref="S302">INDEX('GMW - Baseline'!$A$2:$MC$200,MATCH(1,('GMW - Baseline'!$MC$2:$MC$200=S$3)*('GMW - Baseline'!$MB$2:$MB$200=S$4),0),$E302-1973)</f>
        <v>#N/A</v>
      </c>
      <c r="T302" t="e" cm="1">
        <f t="array" ref="T302">INDEX('GMW - Baseline'!$A$2:$MC$200,MATCH(1,('GMW - Baseline'!$MC$2:$MC$200=T$3)*('GMW - Baseline'!$MB$2:$MB$200=T$4),0),$E302-1973)</f>
        <v>#N/A</v>
      </c>
    </row>
    <row r="303" spans="1:20" x14ac:dyDescent="0.25">
      <c r="A303">
        <v>2054</v>
      </c>
      <c r="B303">
        <f t="shared" si="24"/>
        <v>2054</v>
      </c>
      <c r="C303">
        <f t="shared" si="24"/>
        <v>2053</v>
      </c>
      <c r="D303">
        <f t="shared" si="24"/>
        <v>2053</v>
      </c>
      <c r="E303">
        <f t="shared" si="21"/>
        <v>2276</v>
      </c>
      <c r="F303" t="str" cm="1">
        <f t="array" ref="F303">INDEX('GMW - Baseline'!$A$2:$MC$200,MATCH(1,('GMW - Baseline'!$MC$2:$MC$200=F$3)*('GMW - Baseline'!$MB$2:$MB$200=F$4),0),$E303-1973)</f>
        <v>NA</v>
      </c>
      <c r="G303" t="str" cm="1">
        <f t="array" ref="G303">INDEX('GMW - Baseline'!$A$2:$MC$200,MATCH(1,('GMW - Baseline'!$MC$2:$MC$200=G$3)*('GMW - Baseline'!$MB$2:$MB$200=G$4),0),$E303-1973)</f>
        <v>NA</v>
      </c>
      <c r="H303" t="str" cm="1">
        <f t="array" ref="H303">INDEX('GMW - Baseline'!$A$2:$MC$200,MATCH(1,('GMW - Baseline'!$MC$2:$MC$200=H$3)*('GMW - Baseline'!$MB$2:$MB$200=H$4),0),$E303-1973)</f>
        <v>NA</v>
      </c>
      <c r="I303" t="str" cm="1">
        <f t="array" ref="I303">INDEX('GMW - Baseline'!$A$2:$MC$200,MATCH(1,('GMW - Baseline'!$MC$2:$MC$200=I$3)*('GMW - Baseline'!$MB$2:$MB$200=I$4),0),$E303-1973)</f>
        <v>NA</v>
      </c>
      <c r="J303" t="e" cm="1">
        <f t="array" ref="J303">INDEX('GMW - Baseline'!$A$2:$MC$200,MATCH(1,('GMW - Baseline'!$MC$2:$MC$200=J$3)*('GMW - Baseline'!$MB$2:$MB$200=J$4),0),$E303-1973)</f>
        <v>#N/A</v>
      </c>
      <c r="K303" t="e" cm="1">
        <f t="array" ref="K303">INDEX('GMW - Baseline'!$A$2:$MC$200,MATCH(1,('GMW - Baseline'!$MC$2:$MC$200=K$3)*('GMW - Baseline'!$MB$2:$MB$200=K$4),0),$E303-1973)</f>
        <v>#N/A</v>
      </c>
      <c r="L303" t="e" cm="1">
        <f t="array" ref="L303">INDEX('GMW - Baseline'!$A$2:$MC$200,MATCH(1,('GMW - Baseline'!$MC$2:$MC$200=L$3)*('GMW - Baseline'!$MB$2:$MB$200=L$4),0),$E303-1973)</f>
        <v>#N/A</v>
      </c>
      <c r="M303" t="e" cm="1">
        <f t="array" ref="M303">INDEX('GMW - Baseline'!$A$2:$MC$200,MATCH(1,('GMW - Baseline'!$MC$2:$MC$200=M$3)*('GMW - Baseline'!$MB$2:$MB$200=M$4),0),$E303-1973)</f>
        <v>#N/A</v>
      </c>
      <c r="N303" t="e" cm="1">
        <f t="array" ref="N303">INDEX('GMW - Baseline'!$A$2:$MC$200,MATCH(1,('GMW - Baseline'!$MC$2:$MC$200=N$3)*('GMW - Baseline'!$MB$2:$MB$200=N$4),0),$E303-1973)</f>
        <v>#N/A</v>
      </c>
      <c r="O303" t="e" cm="1">
        <f t="array" ref="O303">INDEX('GMW - Baseline'!$A$2:$MC$200,MATCH(1,('GMW - Baseline'!$MC$2:$MC$200=O$3)*('GMW - Baseline'!$MB$2:$MB$200=O$4),0),$E303-1973)</f>
        <v>#N/A</v>
      </c>
      <c r="P303" t="e" cm="1">
        <f t="array" ref="P303">INDEX('GMW - Baseline'!$A$2:$MC$200,MATCH(1,('GMW - Baseline'!$MC$2:$MC$200=P$3)*('GMW - Baseline'!$MB$2:$MB$200=P$4),0),$E303-1973)</f>
        <v>#N/A</v>
      </c>
      <c r="Q303" t="e" cm="1">
        <f t="array" ref="Q303">INDEX('GMW - Baseline'!$A$2:$MC$200,MATCH(1,('GMW - Baseline'!$MC$2:$MC$200=Q$3)*('GMW - Baseline'!$MB$2:$MB$200=Q$4),0),$E303-1973)</f>
        <v>#N/A</v>
      </c>
      <c r="R303" t="e" cm="1">
        <f t="array" ref="R303">INDEX('GMW - Baseline'!$A$2:$MC$200,MATCH(1,('GMW - Baseline'!$MC$2:$MC$200=R$3)*('GMW - Baseline'!$MB$2:$MB$200=R$4),0),$E303-1973)</f>
        <v>#N/A</v>
      </c>
      <c r="S303" t="e" cm="1">
        <f t="array" ref="S303">INDEX('GMW - Baseline'!$A$2:$MC$200,MATCH(1,('GMW - Baseline'!$MC$2:$MC$200=S$3)*('GMW - Baseline'!$MB$2:$MB$200=S$4),0),$E303-1973)</f>
        <v>#N/A</v>
      </c>
      <c r="T303" t="e" cm="1">
        <f t="array" ref="T303">INDEX('GMW - Baseline'!$A$2:$MC$200,MATCH(1,('GMW - Baseline'!$MC$2:$MC$200=T$3)*('GMW - Baseline'!$MB$2:$MB$200=T$4),0),$E303-1973)</f>
        <v>#N/A</v>
      </c>
    </row>
    <row r="304" spans="1:20" x14ac:dyDescent="0.25">
      <c r="B304">
        <f t="shared" si="24"/>
        <v>2054</v>
      </c>
      <c r="C304">
        <f t="shared" si="24"/>
        <v>2054</v>
      </c>
      <c r="E304">
        <f t="shared" si="21"/>
        <v>2277</v>
      </c>
      <c r="F304" t="str" cm="1">
        <f t="array" ref="F304">INDEX('GMW - Baseline'!$A$2:$MC$200,MATCH(1,('GMW - Baseline'!$MC$2:$MC$200=F$3)*('GMW - Baseline'!$MB$2:$MB$200=F$4),0),$E304-1973)</f>
        <v>NA</v>
      </c>
      <c r="G304" t="str" cm="1">
        <f t="array" ref="G304">INDEX('GMW - Baseline'!$A$2:$MC$200,MATCH(1,('GMW - Baseline'!$MC$2:$MC$200=G$3)*('GMW - Baseline'!$MB$2:$MB$200=G$4),0),$E304-1973)</f>
        <v>NA</v>
      </c>
      <c r="H304" t="str" cm="1">
        <f t="array" ref="H304">INDEX('GMW - Baseline'!$A$2:$MC$200,MATCH(1,('GMW - Baseline'!$MC$2:$MC$200=H$3)*('GMW - Baseline'!$MB$2:$MB$200=H$4),0),$E304-1973)</f>
        <v>NA</v>
      </c>
      <c r="I304" t="str" cm="1">
        <f t="array" ref="I304">INDEX('GMW - Baseline'!$A$2:$MC$200,MATCH(1,('GMW - Baseline'!$MC$2:$MC$200=I$3)*('GMW - Baseline'!$MB$2:$MB$200=I$4),0),$E304-1973)</f>
        <v>NA</v>
      </c>
      <c r="J304" t="e" cm="1">
        <f t="array" ref="J304">INDEX('GMW - Baseline'!$A$2:$MC$200,MATCH(1,('GMW - Baseline'!$MC$2:$MC$200=J$3)*('GMW - Baseline'!$MB$2:$MB$200=J$4),0),$E304-1973)</f>
        <v>#N/A</v>
      </c>
      <c r="K304" t="e" cm="1">
        <f t="array" ref="K304">INDEX('GMW - Baseline'!$A$2:$MC$200,MATCH(1,('GMW - Baseline'!$MC$2:$MC$200=K$3)*('GMW - Baseline'!$MB$2:$MB$200=K$4),0),$E304-1973)</f>
        <v>#N/A</v>
      </c>
      <c r="L304" t="e" cm="1">
        <f t="array" ref="L304">INDEX('GMW - Baseline'!$A$2:$MC$200,MATCH(1,('GMW - Baseline'!$MC$2:$MC$200=L$3)*('GMW - Baseline'!$MB$2:$MB$200=L$4),0),$E304-1973)</f>
        <v>#N/A</v>
      </c>
      <c r="M304" t="e" cm="1">
        <f t="array" ref="M304">INDEX('GMW - Baseline'!$A$2:$MC$200,MATCH(1,('GMW - Baseline'!$MC$2:$MC$200=M$3)*('GMW - Baseline'!$MB$2:$MB$200=M$4),0),$E304-1973)</f>
        <v>#N/A</v>
      </c>
      <c r="N304" t="e" cm="1">
        <f t="array" ref="N304">INDEX('GMW - Baseline'!$A$2:$MC$200,MATCH(1,('GMW - Baseline'!$MC$2:$MC$200=N$3)*('GMW - Baseline'!$MB$2:$MB$200=N$4),0),$E304-1973)</f>
        <v>#N/A</v>
      </c>
      <c r="O304" t="e" cm="1">
        <f t="array" ref="O304">INDEX('GMW - Baseline'!$A$2:$MC$200,MATCH(1,('GMW - Baseline'!$MC$2:$MC$200=O$3)*('GMW - Baseline'!$MB$2:$MB$200=O$4),0),$E304-1973)</f>
        <v>#N/A</v>
      </c>
      <c r="P304" t="e" cm="1">
        <f t="array" ref="P304">INDEX('GMW - Baseline'!$A$2:$MC$200,MATCH(1,('GMW - Baseline'!$MC$2:$MC$200=P$3)*('GMW - Baseline'!$MB$2:$MB$200=P$4),0),$E304-1973)</f>
        <v>#N/A</v>
      </c>
      <c r="Q304" t="e" cm="1">
        <f t="array" ref="Q304">INDEX('GMW - Baseline'!$A$2:$MC$200,MATCH(1,('GMW - Baseline'!$MC$2:$MC$200=Q$3)*('GMW - Baseline'!$MB$2:$MB$200=Q$4),0),$E304-1973)</f>
        <v>#N/A</v>
      </c>
      <c r="R304" t="e" cm="1">
        <f t="array" ref="R304">INDEX('GMW - Baseline'!$A$2:$MC$200,MATCH(1,('GMW - Baseline'!$MC$2:$MC$200=R$3)*('GMW - Baseline'!$MB$2:$MB$200=R$4),0),$E304-1973)</f>
        <v>#N/A</v>
      </c>
      <c r="S304" t="e" cm="1">
        <f t="array" ref="S304">INDEX('GMW - Baseline'!$A$2:$MC$200,MATCH(1,('GMW - Baseline'!$MC$2:$MC$200=S$3)*('GMW - Baseline'!$MB$2:$MB$200=S$4),0),$E304-1973)</f>
        <v>#N/A</v>
      </c>
      <c r="T304" t="e" cm="1">
        <f t="array" ref="T304">INDEX('GMW - Baseline'!$A$2:$MC$200,MATCH(1,('GMW - Baseline'!$MC$2:$MC$200=T$3)*('GMW - Baseline'!$MB$2:$MB$200=T$4),0),$E304-1973)</f>
        <v>#N/A</v>
      </c>
    </row>
    <row r="305" spans="1:20" x14ac:dyDescent="0.25">
      <c r="B305">
        <f t="shared" si="24"/>
        <v>2054</v>
      </c>
      <c r="C305">
        <f t="shared" si="24"/>
        <v>2054</v>
      </c>
      <c r="E305">
        <f t="shared" si="21"/>
        <v>2278</v>
      </c>
      <c r="F305" t="str" cm="1">
        <f t="array" ref="F305">INDEX('GMW - Baseline'!$A$2:$MC$200,MATCH(1,('GMW - Baseline'!$MC$2:$MC$200=F$3)*('GMW - Baseline'!$MB$2:$MB$200=F$4),0),$E305-1973)</f>
        <v>NA</v>
      </c>
      <c r="G305" t="str" cm="1">
        <f t="array" ref="G305">INDEX('GMW - Baseline'!$A$2:$MC$200,MATCH(1,('GMW - Baseline'!$MC$2:$MC$200=G$3)*('GMW - Baseline'!$MB$2:$MB$200=G$4),0),$E305-1973)</f>
        <v>NA</v>
      </c>
      <c r="H305" t="str" cm="1">
        <f t="array" ref="H305">INDEX('GMW - Baseline'!$A$2:$MC$200,MATCH(1,('GMW - Baseline'!$MC$2:$MC$200=H$3)*('GMW - Baseline'!$MB$2:$MB$200=H$4),0),$E305-1973)</f>
        <v>NA</v>
      </c>
      <c r="I305" t="str" cm="1">
        <f t="array" ref="I305">INDEX('GMW - Baseline'!$A$2:$MC$200,MATCH(1,('GMW - Baseline'!$MC$2:$MC$200=I$3)*('GMW - Baseline'!$MB$2:$MB$200=I$4),0),$E305-1973)</f>
        <v>NA</v>
      </c>
      <c r="J305" t="e" cm="1">
        <f t="array" ref="J305">INDEX('GMW - Baseline'!$A$2:$MC$200,MATCH(1,('GMW - Baseline'!$MC$2:$MC$200=J$3)*('GMW - Baseline'!$MB$2:$MB$200=J$4),0),$E305-1973)</f>
        <v>#N/A</v>
      </c>
      <c r="K305" t="e" cm="1">
        <f t="array" ref="K305">INDEX('GMW - Baseline'!$A$2:$MC$200,MATCH(1,('GMW - Baseline'!$MC$2:$MC$200=K$3)*('GMW - Baseline'!$MB$2:$MB$200=K$4),0),$E305-1973)</f>
        <v>#N/A</v>
      </c>
      <c r="L305" t="e" cm="1">
        <f t="array" ref="L305">INDEX('GMW - Baseline'!$A$2:$MC$200,MATCH(1,('GMW - Baseline'!$MC$2:$MC$200=L$3)*('GMW - Baseline'!$MB$2:$MB$200=L$4),0),$E305-1973)</f>
        <v>#N/A</v>
      </c>
      <c r="M305" t="e" cm="1">
        <f t="array" ref="M305">INDEX('GMW - Baseline'!$A$2:$MC$200,MATCH(1,('GMW - Baseline'!$MC$2:$MC$200=M$3)*('GMW - Baseline'!$MB$2:$MB$200=M$4),0),$E305-1973)</f>
        <v>#N/A</v>
      </c>
      <c r="N305" t="e" cm="1">
        <f t="array" ref="N305">INDEX('GMW - Baseline'!$A$2:$MC$200,MATCH(1,('GMW - Baseline'!$MC$2:$MC$200=N$3)*('GMW - Baseline'!$MB$2:$MB$200=N$4),0),$E305-1973)</f>
        <v>#N/A</v>
      </c>
      <c r="O305" t="e" cm="1">
        <f t="array" ref="O305">INDEX('GMW - Baseline'!$A$2:$MC$200,MATCH(1,('GMW - Baseline'!$MC$2:$MC$200=O$3)*('GMW - Baseline'!$MB$2:$MB$200=O$4),0),$E305-1973)</f>
        <v>#N/A</v>
      </c>
      <c r="P305" t="e" cm="1">
        <f t="array" ref="P305">INDEX('GMW - Baseline'!$A$2:$MC$200,MATCH(1,('GMW - Baseline'!$MC$2:$MC$200=P$3)*('GMW - Baseline'!$MB$2:$MB$200=P$4),0),$E305-1973)</f>
        <v>#N/A</v>
      </c>
      <c r="Q305" t="e" cm="1">
        <f t="array" ref="Q305">INDEX('GMW - Baseline'!$A$2:$MC$200,MATCH(1,('GMW - Baseline'!$MC$2:$MC$200=Q$3)*('GMW - Baseline'!$MB$2:$MB$200=Q$4),0),$E305-1973)</f>
        <v>#N/A</v>
      </c>
      <c r="R305" t="e" cm="1">
        <f t="array" ref="R305">INDEX('GMW - Baseline'!$A$2:$MC$200,MATCH(1,('GMW - Baseline'!$MC$2:$MC$200=R$3)*('GMW - Baseline'!$MB$2:$MB$200=R$4),0),$E305-1973)</f>
        <v>#N/A</v>
      </c>
      <c r="S305" t="e" cm="1">
        <f t="array" ref="S305">INDEX('GMW - Baseline'!$A$2:$MC$200,MATCH(1,('GMW - Baseline'!$MC$2:$MC$200=S$3)*('GMW - Baseline'!$MB$2:$MB$200=S$4),0),$E305-1973)</f>
        <v>#N/A</v>
      </c>
      <c r="T305" t="e" cm="1">
        <f t="array" ref="T305">INDEX('GMW - Baseline'!$A$2:$MC$200,MATCH(1,('GMW - Baseline'!$MC$2:$MC$200=T$3)*('GMW - Baseline'!$MB$2:$MB$200=T$4),0),$E305-1973)</f>
        <v>#N/A</v>
      </c>
    </row>
    <row r="306" spans="1:20" x14ac:dyDescent="0.25">
      <c r="B306">
        <f t="shared" si="24"/>
        <v>2054</v>
      </c>
      <c r="C306">
        <f t="shared" si="24"/>
        <v>2054</v>
      </c>
      <c r="E306">
        <f t="shared" si="21"/>
        <v>2279</v>
      </c>
      <c r="F306" t="str" cm="1">
        <f t="array" ref="F306">INDEX('GMW - Baseline'!$A$2:$MC$200,MATCH(1,('GMW - Baseline'!$MC$2:$MC$200=F$3)*('GMW - Baseline'!$MB$2:$MB$200=F$4),0),$E306-1973)</f>
        <v>NA</v>
      </c>
      <c r="G306" t="str" cm="1">
        <f t="array" ref="G306">INDEX('GMW - Baseline'!$A$2:$MC$200,MATCH(1,('GMW - Baseline'!$MC$2:$MC$200=G$3)*('GMW - Baseline'!$MB$2:$MB$200=G$4),0),$E306-1973)</f>
        <v>NA</v>
      </c>
      <c r="H306" t="str" cm="1">
        <f t="array" ref="H306">INDEX('GMW - Baseline'!$A$2:$MC$200,MATCH(1,('GMW - Baseline'!$MC$2:$MC$200=H$3)*('GMW - Baseline'!$MB$2:$MB$200=H$4),0),$E306-1973)</f>
        <v>NA</v>
      </c>
      <c r="I306" t="str" cm="1">
        <f t="array" ref="I306">INDEX('GMW - Baseline'!$A$2:$MC$200,MATCH(1,('GMW - Baseline'!$MC$2:$MC$200=I$3)*('GMW - Baseline'!$MB$2:$MB$200=I$4),0),$E306-1973)</f>
        <v>NA</v>
      </c>
      <c r="J306" t="e" cm="1">
        <f t="array" ref="J306">INDEX('GMW - Baseline'!$A$2:$MC$200,MATCH(1,('GMW - Baseline'!$MC$2:$MC$200=J$3)*('GMW - Baseline'!$MB$2:$MB$200=J$4),0),$E306-1973)</f>
        <v>#N/A</v>
      </c>
      <c r="K306" t="e" cm="1">
        <f t="array" ref="K306">INDEX('GMW - Baseline'!$A$2:$MC$200,MATCH(1,('GMW - Baseline'!$MC$2:$MC$200=K$3)*('GMW - Baseline'!$MB$2:$MB$200=K$4),0),$E306-1973)</f>
        <v>#N/A</v>
      </c>
      <c r="L306" t="e" cm="1">
        <f t="array" ref="L306">INDEX('GMW - Baseline'!$A$2:$MC$200,MATCH(1,('GMW - Baseline'!$MC$2:$MC$200=L$3)*('GMW - Baseline'!$MB$2:$MB$200=L$4),0),$E306-1973)</f>
        <v>#N/A</v>
      </c>
      <c r="M306" t="e" cm="1">
        <f t="array" ref="M306">INDEX('GMW - Baseline'!$A$2:$MC$200,MATCH(1,('GMW - Baseline'!$MC$2:$MC$200=M$3)*('GMW - Baseline'!$MB$2:$MB$200=M$4),0),$E306-1973)</f>
        <v>#N/A</v>
      </c>
      <c r="N306" t="e" cm="1">
        <f t="array" ref="N306">INDEX('GMW - Baseline'!$A$2:$MC$200,MATCH(1,('GMW - Baseline'!$MC$2:$MC$200=N$3)*('GMW - Baseline'!$MB$2:$MB$200=N$4),0),$E306-1973)</f>
        <v>#N/A</v>
      </c>
      <c r="O306" t="e" cm="1">
        <f t="array" ref="O306">INDEX('GMW - Baseline'!$A$2:$MC$200,MATCH(1,('GMW - Baseline'!$MC$2:$MC$200=O$3)*('GMW - Baseline'!$MB$2:$MB$200=O$4),0),$E306-1973)</f>
        <v>#N/A</v>
      </c>
      <c r="P306" t="e" cm="1">
        <f t="array" ref="P306">INDEX('GMW - Baseline'!$A$2:$MC$200,MATCH(1,('GMW - Baseline'!$MC$2:$MC$200=P$3)*('GMW - Baseline'!$MB$2:$MB$200=P$4),0),$E306-1973)</f>
        <v>#N/A</v>
      </c>
      <c r="Q306" t="e" cm="1">
        <f t="array" ref="Q306">INDEX('GMW - Baseline'!$A$2:$MC$200,MATCH(1,('GMW - Baseline'!$MC$2:$MC$200=Q$3)*('GMW - Baseline'!$MB$2:$MB$200=Q$4),0),$E306-1973)</f>
        <v>#N/A</v>
      </c>
      <c r="R306" t="e" cm="1">
        <f t="array" ref="R306">INDEX('GMW - Baseline'!$A$2:$MC$200,MATCH(1,('GMW - Baseline'!$MC$2:$MC$200=R$3)*('GMW - Baseline'!$MB$2:$MB$200=R$4),0),$E306-1973)</f>
        <v>#N/A</v>
      </c>
      <c r="S306" t="e" cm="1">
        <f t="array" ref="S306">INDEX('GMW - Baseline'!$A$2:$MC$200,MATCH(1,('GMW - Baseline'!$MC$2:$MC$200=S$3)*('GMW - Baseline'!$MB$2:$MB$200=S$4),0),$E306-1973)</f>
        <v>#N/A</v>
      </c>
      <c r="T306" t="e" cm="1">
        <f t="array" ref="T306">INDEX('GMW - Baseline'!$A$2:$MC$200,MATCH(1,('GMW - Baseline'!$MC$2:$MC$200=T$3)*('GMW - Baseline'!$MB$2:$MB$200=T$4),0),$E306-1973)</f>
        <v>#N/A</v>
      </c>
    </row>
    <row r="307" spans="1:20" x14ac:dyDescent="0.25">
      <c r="A307">
        <v>2055</v>
      </c>
      <c r="B307">
        <f t="shared" si="24"/>
        <v>2055</v>
      </c>
      <c r="C307">
        <f t="shared" si="24"/>
        <v>2054</v>
      </c>
      <c r="D307">
        <f t="shared" si="24"/>
        <v>2054</v>
      </c>
      <c r="E307">
        <f t="shared" si="21"/>
        <v>2280</v>
      </c>
      <c r="F307" t="str" cm="1">
        <f t="array" ref="F307">INDEX('GMW - Baseline'!$A$2:$MC$200,MATCH(1,('GMW - Baseline'!$MC$2:$MC$200=F$3)*('GMW - Baseline'!$MB$2:$MB$200=F$4),0),$E307-1973)</f>
        <v>NA</v>
      </c>
      <c r="G307" t="str" cm="1">
        <f t="array" ref="G307">INDEX('GMW - Baseline'!$A$2:$MC$200,MATCH(1,('GMW - Baseline'!$MC$2:$MC$200=G$3)*('GMW - Baseline'!$MB$2:$MB$200=G$4),0),$E307-1973)</f>
        <v>NA</v>
      </c>
      <c r="H307" t="str" cm="1">
        <f t="array" ref="H307">INDEX('GMW - Baseline'!$A$2:$MC$200,MATCH(1,('GMW - Baseline'!$MC$2:$MC$200=H$3)*('GMW - Baseline'!$MB$2:$MB$200=H$4),0),$E307-1973)</f>
        <v>NA</v>
      </c>
      <c r="I307" t="str" cm="1">
        <f t="array" ref="I307">INDEX('GMW - Baseline'!$A$2:$MC$200,MATCH(1,('GMW - Baseline'!$MC$2:$MC$200=I$3)*('GMW - Baseline'!$MB$2:$MB$200=I$4),0),$E307-1973)</f>
        <v>NA</v>
      </c>
      <c r="J307" t="e" cm="1">
        <f t="array" ref="J307">INDEX('GMW - Baseline'!$A$2:$MC$200,MATCH(1,('GMW - Baseline'!$MC$2:$MC$200=J$3)*('GMW - Baseline'!$MB$2:$MB$200=J$4),0),$E307-1973)</f>
        <v>#N/A</v>
      </c>
      <c r="K307" t="e" cm="1">
        <f t="array" ref="K307">INDEX('GMW - Baseline'!$A$2:$MC$200,MATCH(1,('GMW - Baseline'!$MC$2:$MC$200=K$3)*('GMW - Baseline'!$MB$2:$MB$200=K$4),0),$E307-1973)</f>
        <v>#N/A</v>
      </c>
      <c r="L307" t="e" cm="1">
        <f t="array" ref="L307">INDEX('GMW - Baseline'!$A$2:$MC$200,MATCH(1,('GMW - Baseline'!$MC$2:$MC$200=L$3)*('GMW - Baseline'!$MB$2:$MB$200=L$4),0),$E307-1973)</f>
        <v>#N/A</v>
      </c>
      <c r="M307" t="e" cm="1">
        <f t="array" ref="M307">INDEX('GMW - Baseline'!$A$2:$MC$200,MATCH(1,('GMW - Baseline'!$MC$2:$MC$200=M$3)*('GMW - Baseline'!$MB$2:$MB$200=M$4),0),$E307-1973)</f>
        <v>#N/A</v>
      </c>
      <c r="N307" t="e" cm="1">
        <f t="array" ref="N307">INDEX('GMW - Baseline'!$A$2:$MC$200,MATCH(1,('GMW - Baseline'!$MC$2:$MC$200=N$3)*('GMW - Baseline'!$MB$2:$MB$200=N$4),0),$E307-1973)</f>
        <v>#N/A</v>
      </c>
      <c r="O307" t="e" cm="1">
        <f t="array" ref="O307">INDEX('GMW - Baseline'!$A$2:$MC$200,MATCH(1,('GMW - Baseline'!$MC$2:$MC$200=O$3)*('GMW - Baseline'!$MB$2:$MB$200=O$4),0),$E307-1973)</f>
        <v>#N/A</v>
      </c>
      <c r="P307" t="e" cm="1">
        <f t="array" ref="P307">INDEX('GMW - Baseline'!$A$2:$MC$200,MATCH(1,('GMW - Baseline'!$MC$2:$MC$200=P$3)*('GMW - Baseline'!$MB$2:$MB$200=P$4),0),$E307-1973)</f>
        <v>#N/A</v>
      </c>
      <c r="Q307" t="e" cm="1">
        <f t="array" ref="Q307">INDEX('GMW - Baseline'!$A$2:$MC$200,MATCH(1,('GMW - Baseline'!$MC$2:$MC$200=Q$3)*('GMW - Baseline'!$MB$2:$MB$200=Q$4),0),$E307-1973)</f>
        <v>#N/A</v>
      </c>
      <c r="R307" t="e" cm="1">
        <f t="array" ref="R307">INDEX('GMW - Baseline'!$A$2:$MC$200,MATCH(1,('GMW - Baseline'!$MC$2:$MC$200=R$3)*('GMW - Baseline'!$MB$2:$MB$200=R$4),0),$E307-1973)</f>
        <v>#N/A</v>
      </c>
      <c r="S307" t="e" cm="1">
        <f t="array" ref="S307">INDEX('GMW - Baseline'!$A$2:$MC$200,MATCH(1,('GMW - Baseline'!$MC$2:$MC$200=S$3)*('GMW - Baseline'!$MB$2:$MB$200=S$4),0),$E307-1973)</f>
        <v>#N/A</v>
      </c>
      <c r="T307" t="e" cm="1">
        <f t="array" ref="T307">INDEX('GMW - Baseline'!$A$2:$MC$200,MATCH(1,('GMW - Baseline'!$MC$2:$MC$200=T$3)*('GMW - Baseline'!$MB$2:$MB$200=T$4),0),$E307-1973)</f>
        <v>#N/A</v>
      </c>
    </row>
    <row r="308" spans="1:20" x14ac:dyDescent="0.25">
      <c r="B308">
        <f t="shared" si="24"/>
        <v>2055</v>
      </c>
      <c r="C308">
        <f t="shared" si="24"/>
        <v>2055</v>
      </c>
      <c r="E308">
        <f t="shared" si="21"/>
        <v>2281</v>
      </c>
      <c r="F308" t="str" cm="1">
        <f t="array" ref="F308">INDEX('GMW - Baseline'!$A$2:$MC$200,MATCH(1,('GMW - Baseline'!$MC$2:$MC$200=F$3)*('GMW - Baseline'!$MB$2:$MB$200=F$4),0),$E308-1973)</f>
        <v>NA</v>
      </c>
      <c r="G308" t="str" cm="1">
        <f t="array" ref="G308">INDEX('GMW - Baseline'!$A$2:$MC$200,MATCH(1,('GMW - Baseline'!$MC$2:$MC$200=G$3)*('GMW - Baseline'!$MB$2:$MB$200=G$4),0),$E308-1973)</f>
        <v>NA</v>
      </c>
      <c r="H308" t="str" cm="1">
        <f t="array" ref="H308">INDEX('GMW - Baseline'!$A$2:$MC$200,MATCH(1,('GMW - Baseline'!$MC$2:$MC$200=H$3)*('GMW - Baseline'!$MB$2:$MB$200=H$4),0),$E308-1973)</f>
        <v>NA</v>
      </c>
      <c r="I308" t="str" cm="1">
        <f t="array" ref="I308">INDEX('GMW - Baseline'!$A$2:$MC$200,MATCH(1,('GMW - Baseline'!$MC$2:$MC$200=I$3)*('GMW - Baseline'!$MB$2:$MB$200=I$4),0),$E308-1973)</f>
        <v>NA</v>
      </c>
      <c r="J308" t="e" cm="1">
        <f t="array" ref="J308">INDEX('GMW - Baseline'!$A$2:$MC$200,MATCH(1,('GMW - Baseline'!$MC$2:$MC$200=J$3)*('GMW - Baseline'!$MB$2:$MB$200=J$4),0),$E308-1973)</f>
        <v>#N/A</v>
      </c>
      <c r="K308" t="e" cm="1">
        <f t="array" ref="K308">INDEX('GMW - Baseline'!$A$2:$MC$200,MATCH(1,('GMW - Baseline'!$MC$2:$MC$200=K$3)*('GMW - Baseline'!$MB$2:$MB$200=K$4),0),$E308-1973)</f>
        <v>#N/A</v>
      </c>
      <c r="L308" t="e" cm="1">
        <f t="array" ref="L308">INDEX('GMW - Baseline'!$A$2:$MC$200,MATCH(1,('GMW - Baseline'!$MC$2:$MC$200=L$3)*('GMW - Baseline'!$MB$2:$MB$200=L$4),0),$E308-1973)</f>
        <v>#N/A</v>
      </c>
      <c r="M308" t="e" cm="1">
        <f t="array" ref="M308">INDEX('GMW - Baseline'!$A$2:$MC$200,MATCH(1,('GMW - Baseline'!$MC$2:$MC$200=M$3)*('GMW - Baseline'!$MB$2:$MB$200=M$4),0),$E308-1973)</f>
        <v>#N/A</v>
      </c>
      <c r="N308" t="e" cm="1">
        <f t="array" ref="N308">INDEX('GMW - Baseline'!$A$2:$MC$200,MATCH(1,('GMW - Baseline'!$MC$2:$MC$200=N$3)*('GMW - Baseline'!$MB$2:$MB$200=N$4),0),$E308-1973)</f>
        <v>#N/A</v>
      </c>
      <c r="O308" t="e" cm="1">
        <f t="array" ref="O308">INDEX('GMW - Baseline'!$A$2:$MC$200,MATCH(1,('GMW - Baseline'!$MC$2:$MC$200=O$3)*('GMW - Baseline'!$MB$2:$MB$200=O$4),0),$E308-1973)</f>
        <v>#N/A</v>
      </c>
      <c r="P308" t="e" cm="1">
        <f t="array" ref="P308">INDEX('GMW - Baseline'!$A$2:$MC$200,MATCH(1,('GMW - Baseline'!$MC$2:$MC$200=P$3)*('GMW - Baseline'!$MB$2:$MB$200=P$4),0),$E308-1973)</f>
        <v>#N/A</v>
      </c>
      <c r="Q308" t="e" cm="1">
        <f t="array" ref="Q308">INDEX('GMW - Baseline'!$A$2:$MC$200,MATCH(1,('GMW - Baseline'!$MC$2:$MC$200=Q$3)*('GMW - Baseline'!$MB$2:$MB$200=Q$4),0),$E308-1973)</f>
        <v>#N/A</v>
      </c>
      <c r="R308" t="e" cm="1">
        <f t="array" ref="R308">INDEX('GMW - Baseline'!$A$2:$MC$200,MATCH(1,('GMW - Baseline'!$MC$2:$MC$200=R$3)*('GMW - Baseline'!$MB$2:$MB$200=R$4),0),$E308-1973)</f>
        <v>#N/A</v>
      </c>
      <c r="S308" t="e" cm="1">
        <f t="array" ref="S308">INDEX('GMW - Baseline'!$A$2:$MC$200,MATCH(1,('GMW - Baseline'!$MC$2:$MC$200=S$3)*('GMW - Baseline'!$MB$2:$MB$200=S$4),0),$E308-1973)</f>
        <v>#N/A</v>
      </c>
      <c r="T308" t="e" cm="1">
        <f t="array" ref="T308">INDEX('GMW - Baseline'!$A$2:$MC$200,MATCH(1,('GMW - Baseline'!$MC$2:$MC$200=T$3)*('GMW - Baseline'!$MB$2:$MB$200=T$4),0),$E308-1973)</f>
        <v>#N/A</v>
      </c>
    </row>
    <row r="309" spans="1:20" x14ac:dyDescent="0.25">
      <c r="B309">
        <f t="shared" si="24"/>
        <v>2055</v>
      </c>
      <c r="C309">
        <f t="shared" si="24"/>
        <v>2055</v>
      </c>
      <c r="E309">
        <f t="shared" si="21"/>
        <v>2282</v>
      </c>
      <c r="F309" t="str" cm="1">
        <f t="array" ref="F309">INDEX('GMW - Baseline'!$A$2:$MC$200,MATCH(1,('GMW - Baseline'!$MC$2:$MC$200=F$3)*('GMW - Baseline'!$MB$2:$MB$200=F$4),0),$E309-1973)</f>
        <v>NA</v>
      </c>
      <c r="G309" t="str" cm="1">
        <f t="array" ref="G309">INDEX('GMW - Baseline'!$A$2:$MC$200,MATCH(1,('GMW - Baseline'!$MC$2:$MC$200=G$3)*('GMW - Baseline'!$MB$2:$MB$200=G$4),0),$E309-1973)</f>
        <v>NA</v>
      </c>
      <c r="H309" t="str" cm="1">
        <f t="array" ref="H309">INDEX('GMW - Baseline'!$A$2:$MC$200,MATCH(1,('GMW - Baseline'!$MC$2:$MC$200=H$3)*('GMW - Baseline'!$MB$2:$MB$200=H$4),0),$E309-1973)</f>
        <v>NA</v>
      </c>
      <c r="I309" t="str" cm="1">
        <f t="array" ref="I309">INDEX('GMW - Baseline'!$A$2:$MC$200,MATCH(1,('GMW - Baseline'!$MC$2:$MC$200=I$3)*('GMW - Baseline'!$MB$2:$MB$200=I$4),0),$E309-1973)</f>
        <v>NA</v>
      </c>
      <c r="J309" t="e" cm="1">
        <f t="array" ref="J309">INDEX('GMW - Baseline'!$A$2:$MC$200,MATCH(1,('GMW - Baseline'!$MC$2:$MC$200=J$3)*('GMW - Baseline'!$MB$2:$MB$200=J$4),0),$E309-1973)</f>
        <v>#N/A</v>
      </c>
      <c r="K309" t="e" cm="1">
        <f t="array" ref="K309">INDEX('GMW - Baseline'!$A$2:$MC$200,MATCH(1,('GMW - Baseline'!$MC$2:$MC$200=K$3)*('GMW - Baseline'!$MB$2:$MB$200=K$4),0),$E309-1973)</f>
        <v>#N/A</v>
      </c>
      <c r="L309" t="e" cm="1">
        <f t="array" ref="L309">INDEX('GMW - Baseline'!$A$2:$MC$200,MATCH(1,('GMW - Baseline'!$MC$2:$MC$200=L$3)*('GMW - Baseline'!$MB$2:$MB$200=L$4),0),$E309-1973)</f>
        <v>#N/A</v>
      </c>
      <c r="M309" t="e" cm="1">
        <f t="array" ref="M309">INDEX('GMW - Baseline'!$A$2:$MC$200,MATCH(1,('GMW - Baseline'!$MC$2:$MC$200=M$3)*('GMW - Baseline'!$MB$2:$MB$200=M$4),0),$E309-1973)</f>
        <v>#N/A</v>
      </c>
      <c r="N309" t="e" cm="1">
        <f t="array" ref="N309">INDEX('GMW - Baseline'!$A$2:$MC$200,MATCH(1,('GMW - Baseline'!$MC$2:$MC$200=N$3)*('GMW - Baseline'!$MB$2:$MB$200=N$4),0),$E309-1973)</f>
        <v>#N/A</v>
      </c>
      <c r="O309" t="e" cm="1">
        <f t="array" ref="O309">INDEX('GMW - Baseline'!$A$2:$MC$200,MATCH(1,('GMW - Baseline'!$MC$2:$MC$200=O$3)*('GMW - Baseline'!$MB$2:$MB$200=O$4),0),$E309-1973)</f>
        <v>#N/A</v>
      </c>
      <c r="P309" t="e" cm="1">
        <f t="array" ref="P309">INDEX('GMW - Baseline'!$A$2:$MC$200,MATCH(1,('GMW - Baseline'!$MC$2:$MC$200=P$3)*('GMW - Baseline'!$MB$2:$MB$200=P$4),0),$E309-1973)</f>
        <v>#N/A</v>
      </c>
      <c r="Q309" t="e" cm="1">
        <f t="array" ref="Q309">INDEX('GMW - Baseline'!$A$2:$MC$200,MATCH(1,('GMW - Baseline'!$MC$2:$MC$200=Q$3)*('GMW - Baseline'!$MB$2:$MB$200=Q$4),0),$E309-1973)</f>
        <v>#N/A</v>
      </c>
      <c r="R309" t="e" cm="1">
        <f t="array" ref="R309">INDEX('GMW - Baseline'!$A$2:$MC$200,MATCH(1,('GMW - Baseline'!$MC$2:$MC$200=R$3)*('GMW - Baseline'!$MB$2:$MB$200=R$4),0),$E309-1973)</f>
        <v>#N/A</v>
      </c>
      <c r="S309" t="e" cm="1">
        <f t="array" ref="S309">INDEX('GMW - Baseline'!$A$2:$MC$200,MATCH(1,('GMW - Baseline'!$MC$2:$MC$200=S$3)*('GMW - Baseline'!$MB$2:$MB$200=S$4),0),$E309-1973)</f>
        <v>#N/A</v>
      </c>
      <c r="T309" t="e" cm="1">
        <f t="array" ref="T309">INDEX('GMW - Baseline'!$A$2:$MC$200,MATCH(1,('GMW - Baseline'!$MC$2:$MC$200=T$3)*('GMW - Baseline'!$MB$2:$MB$200=T$4),0),$E309-1973)</f>
        <v>#N/A</v>
      </c>
    </row>
    <row r="310" spans="1:20" x14ac:dyDescent="0.25">
      <c r="B310">
        <f t="shared" si="24"/>
        <v>2055</v>
      </c>
      <c r="C310">
        <f t="shared" si="24"/>
        <v>2055</v>
      </c>
      <c r="E310">
        <f t="shared" si="21"/>
        <v>2283</v>
      </c>
      <c r="F310" t="str" cm="1">
        <f t="array" ref="F310">INDEX('GMW - Baseline'!$A$2:$MC$200,MATCH(1,('GMW - Baseline'!$MC$2:$MC$200=F$3)*('GMW - Baseline'!$MB$2:$MB$200=F$4),0),$E310-1973)</f>
        <v>NA</v>
      </c>
      <c r="G310" t="str" cm="1">
        <f t="array" ref="G310">INDEX('GMW - Baseline'!$A$2:$MC$200,MATCH(1,('GMW - Baseline'!$MC$2:$MC$200=G$3)*('GMW - Baseline'!$MB$2:$MB$200=G$4),0),$E310-1973)</f>
        <v>NA</v>
      </c>
      <c r="H310" t="str" cm="1">
        <f t="array" ref="H310">INDEX('GMW - Baseline'!$A$2:$MC$200,MATCH(1,('GMW - Baseline'!$MC$2:$MC$200=H$3)*('GMW - Baseline'!$MB$2:$MB$200=H$4),0),$E310-1973)</f>
        <v>NA</v>
      </c>
      <c r="I310" t="str" cm="1">
        <f t="array" ref="I310">INDEX('GMW - Baseline'!$A$2:$MC$200,MATCH(1,('GMW - Baseline'!$MC$2:$MC$200=I$3)*('GMW - Baseline'!$MB$2:$MB$200=I$4),0),$E310-1973)</f>
        <v>NA</v>
      </c>
      <c r="J310" t="e" cm="1">
        <f t="array" ref="J310">INDEX('GMW - Baseline'!$A$2:$MC$200,MATCH(1,('GMW - Baseline'!$MC$2:$MC$200=J$3)*('GMW - Baseline'!$MB$2:$MB$200=J$4),0),$E310-1973)</f>
        <v>#N/A</v>
      </c>
      <c r="K310" t="e" cm="1">
        <f t="array" ref="K310">INDEX('GMW - Baseline'!$A$2:$MC$200,MATCH(1,('GMW - Baseline'!$MC$2:$MC$200=K$3)*('GMW - Baseline'!$MB$2:$MB$200=K$4),0),$E310-1973)</f>
        <v>#N/A</v>
      </c>
      <c r="L310" t="e" cm="1">
        <f t="array" ref="L310">INDEX('GMW - Baseline'!$A$2:$MC$200,MATCH(1,('GMW - Baseline'!$MC$2:$MC$200=L$3)*('GMW - Baseline'!$MB$2:$MB$200=L$4),0),$E310-1973)</f>
        <v>#N/A</v>
      </c>
      <c r="M310" t="e" cm="1">
        <f t="array" ref="M310">INDEX('GMW - Baseline'!$A$2:$MC$200,MATCH(1,('GMW - Baseline'!$MC$2:$MC$200=M$3)*('GMW - Baseline'!$MB$2:$MB$200=M$4),0),$E310-1973)</f>
        <v>#N/A</v>
      </c>
      <c r="N310" t="e" cm="1">
        <f t="array" ref="N310">INDEX('GMW - Baseline'!$A$2:$MC$200,MATCH(1,('GMW - Baseline'!$MC$2:$MC$200=N$3)*('GMW - Baseline'!$MB$2:$MB$200=N$4),0),$E310-1973)</f>
        <v>#N/A</v>
      </c>
      <c r="O310" t="e" cm="1">
        <f t="array" ref="O310">INDEX('GMW - Baseline'!$A$2:$MC$200,MATCH(1,('GMW - Baseline'!$MC$2:$MC$200=O$3)*('GMW - Baseline'!$MB$2:$MB$200=O$4),0),$E310-1973)</f>
        <v>#N/A</v>
      </c>
      <c r="P310" t="e" cm="1">
        <f t="array" ref="P310">INDEX('GMW - Baseline'!$A$2:$MC$200,MATCH(1,('GMW - Baseline'!$MC$2:$MC$200=P$3)*('GMW - Baseline'!$MB$2:$MB$200=P$4),0),$E310-1973)</f>
        <v>#N/A</v>
      </c>
      <c r="Q310" t="e" cm="1">
        <f t="array" ref="Q310">INDEX('GMW - Baseline'!$A$2:$MC$200,MATCH(1,('GMW - Baseline'!$MC$2:$MC$200=Q$3)*('GMW - Baseline'!$MB$2:$MB$200=Q$4),0),$E310-1973)</f>
        <v>#N/A</v>
      </c>
      <c r="R310" t="e" cm="1">
        <f t="array" ref="R310">INDEX('GMW - Baseline'!$A$2:$MC$200,MATCH(1,('GMW - Baseline'!$MC$2:$MC$200=R$3)*('GMW - Baseline'!$MB$2:$MB$200=R$4),0),$E310-1973)</f>
        <v>#N/A</v>
      </c>
      <c r="S310" t="e" cm="1">
        <f t="array" ref="S310">INDEX('GMW - Baseline'!$A$2:$MC$200,MATCH(1,('GMW - Baseline'!$MC$2:$MC$200=S$3)*('GMW - Baseline'!$MB$2:$MB$200=S$4),0),$E310-1973)</f>
        <v>#N/A</v>
      </c>
      <c r="T310" t="e" cm="1">
        <f t="array" ref="T310">INDEX('GMW - Baseline'!$A$2:$MC$200,MATCH(1,('GMW - Baseline'!$MC$2:$MC$200=T$3)*('GMW - Baseline'!$MB$2:$MB$200=T$4),0),$E310-1973)</f>
        <v>#N/A</v>
      </c>
    </row>
    <row r="311" spans="1:20" x14ac:dyDescent="0.25">
      <c r="A311">
        <v>2056</v>
      </c>
      <c r="B311">
        <f t="shared" si="24"/>
        <v>2056</v>
      </c>
      <c r="C311">
        <f t="shared" si="24"/>
        <v>2055</v>
      </c>
      <c r="D311">
        <f t="shared" si="24"/>
        <v>2055</v>
      </c>
      <c r="E311">
        <f t="shared" si="21"/>
        <v>2284</v>
      </c>
      <c r="F311" t="str" cm="1">
        <f t="array" ref="F311">INDEX('GMW - Baseline'!$A$2:$MC$200,MATCH(1,('GMW - Baseline'!$MC$2:$MC$200=F$3)*('GMW - Baseline'!$MB$2:$MB$200=F$4),0),$E311-1973)</f>
        <v>NA</v>
      </c>
      <c r="G311" t="str" cm="1">
        <f t="array" ref="G311">INDEX('GMW - Baseline'!$A$2:$MC$200,MATCH(1,('GMW - Baseline'!$MC$2:$MC$200=G$3)*('GMW - Baseline'!$MB$2:$MB$200=G$4),0),$E311-1973)</f>
        <v>NA</v>
      </c>
      <c r="H311" t="str" cm="1">
        <f t="array" ref="H311">INDEX('GMW - Baseline'!$A$2:$MC$200,MATCH(1,('GMW - Baseline'!$MC$2:$MC$200=H$3)*('GMW - Baseline'!$MB$2:$MB$200=H$4),0),$E311-1973)</f>
        <v>NA</v>
      </c>
      <c r="I311" t="str" cm="1">
        <f t="array" ref="I311">INDEX('GMW - Baseline'!$A$2:$MC$200,MATCH(1,('GMW - Baseline'!$MC$2:$MC$200=I$3)*('GMW - Baseline'!$MB$2:$MB$200=I$4),0),$E311-1973)</f>
        <v>NA</v>
      </c>
      <c r="J311" t="e" cm="1">
        <f t="array" ref="J311">INDEX('GMW - Baseline'!$A$2:$MC$200,MATCH(1,('GMW - Baseline'!$MC$2:$MC$200=J$3)*('GMW - Baseline'!$MB$2:$MB$200=J$4),0),$E311-1973)</f>
        <v>#N/A</v>
      </c>
      <c r="K311" t="e" cm="1">
        <f t="array" ref="K311">INDEX('GMW - Baseline'!$A$2:$MC$200,MATCH(1,('GMW - Baseline'!$MC$2:$MC$200=K$3)*('GMW - Baseline'!$MB$2:$MB$200=K$4),0),$E311-1973)</f>
        <v>#N/A</v>
      </c>
      <c r="L311" t="e" cm="1">
        <f t="array" ref="L311">INDEX('GMW - Baseline'!$A$2:$MC$200,MATCH(1,('GMW - Baseline'!$MC$2:$MC$200=L$3)*('GMW - Baseline'!$MB$2:$MB$200=L$4),0),$E311-1973)</f>
        <v>#N/A</v>
      </c>
      <c r="M311" t="e" cm="1">
        <f t="array" ref="M311">INDEX('GMW - Baseline'!$A$2:$MC$200,MATCH(1,('GMW - Baseline'!$MC$2:$MC$200=M$3)*('GMW - Baseline'!$MB$2:$MB$200=M$4),0),$E311-1973)</f>
        <v>#N/A</v>
      </c>
      <c r="N311" t="e" cm="1">
        <f t="array" ref="N311">INDEX('GMW - Baseline'!$A$2:$MC$200,MATCH(1,('GMW - Baseline'!$MC$2:$MC$200=N$3)*('GMW - Baseline'!$MB$2:$MB$200=N$4),0),$E311-1973)</f>
        <v>#N/A</v>
      </c>
      <c r="O311" t="e" cm="1">
        <f t="array" ref="O311">INDEX('GMW - Baseline'!$A$2:$MC$200,MATCH(1,('GMW - Baseline'!$MC$2:$MC$200=O$3)*('GMW - Baseline'!$MB$2:$MB$200=O$4),0),$E311-1973)</f>
        <v>#N/A</v>
      </c>
      <c r="P311" t="e" cm="1">
        <f t="array" ref="P311">INDEX('GMW - Baseline'!$A$2:$MC$200,MATCH(1,('GMW - Baseline'!$MC$2:$MC$200=P$3)*('GMW - Baseline'!$MB$2:$MB$200=P$4),0),$E311-1973)</f>
        <v>#N/A</v>
      </c>
      <c r="Q311" t="e" cm="1">
        <f t="array" ref="Q311">INDEX('GMW - Baseline'!$A$2:$MC$200,MATCH(1,('GMW - Baseline'!$MC$2:$MC$200=Q$3)*('GMW - Baseline'!$MB$2:$MB$200=Q$4),0),$E311-1973)</f>
        <v>#N/A</v>
      </c>
      <c r="R311" t="e" cm="1">
        <f t="array" ref="R311">INDEX('GMW - Baseline'!$A$2:$MC$200,MATCH(1,('GMW - Baseline'!$MC$2:$MC$200=R$3)*('GMW - Baseline'!$MB$2:$MB$200=R$4),0),$E311-1973)</f>
        <v>#N/A</v>
      </c>
      <c r="S311" t="e" cm="1">
        <f t="array" ref="S311">INDEX('GMW - Baseline'!$A$2:$MC$200,MATCH(1,('GMW - Baseline'!$MC$2:$MC$200=S$3)*('GMW - Baseline'!$MB$2:$MB$200=S$4),0),$E311-1973)</f>
        <v>#N/A</v>
      </c>
      <c r="T311" t="e" cm="1">
        <f t="array" ref="T311">INDEX('GMW - Baseline'!$A$2:$MC$200,MATCH(1,('GMW - Baseline'!$MC$2:$MC$200=T$3)*('GMW - Baseline'!$MB$2:$MB$200=T$4),0),$E311-1973)</f>
        <v>#N/A</v>
      </c>
    </row>
    <row r="312" spans="1:20" x14ac:dyDescent="0.25">
      <c r="B312">
        <f t="shared" si="24"/>
        <v>2056</v>
      </c>
      <c r="C312">
        <f t="shared" si="24"/>
        <v>2056</v>
      </c>
      <c r="E312">
        <f t="shared" si="21"/>
        <v>2285</v>
      </c>
      <c r="F312" t="str" cm="1">
        <f t="array" ref="F312">INDEX('GMW - Baseline'!$A$2:$MC$200,MATCH(1,('GMW - Baseline'!$MC$2:$MC$200=F$3)*('GMW - Baseline'!$MB$2:$MB$200=F$4),0),$E312-1973)</f>
        <v>NA</v>
      </c>
      <c r="G312" t="str" cm="1">
        <f t="array" ref="G312">INDEX('GMW - Baseline'!$A$2:$MC$200,MATCH(1,('GMW - Baseline'!$MC$2:$MC$200=G$3)*('GMW - Baseline'!$MB$2:$MB$200=G$4),0),$E312-1973)</f>
        <v>NA</v>
      </c>
      <c r="H312" t="str" cm="1">
        <f t="array" ref="H312">INDEX('GMW - Baseline'!$A$2:$MC$200,MATCH(1,('GMW - Baseline'!$MC$2:$MC$200=H$3)*('GMW - Baseline'!$MB$2:$MB$200=H$4),0),$E312-1973)</f>
        <v>NA</v>
      </c>
      <c r="I312" t="str" cm="1">
        <f t="array" ref="I312">INDEX('GMW - Baseline'!$A$2:$MC$200,MATCH(1,('GMW - Baseline'!$MC$2:$MC$200=I$3)*('GMW - Baseline'!$MB$2:$MB$200=I$4),0),$E312-1973)</f>
        <v>NA</v>
      </c>
      <c r="J312" t="e" cm="1">
        <f t="array" ref="J312">INDEX('GMW - Baseline'!$A$2:$MC$200,MATCH(1,('GMW - Baseline'!$MC$2:$MC$200=J$3)*('GMW - Baseline'!$MB$2:$MB$200=J$4),0),$E312-1973)</f>
        <v>#N/A</v>
      </c>
      <c r="K312" t="e" cm="1">
        <f t="array" ref="K312">INDEX('GMW - Baseline'!$A$2:$MC$200,MATCH(1,('GMW - Baseline'!$MC$2:$MC$200=K$3)*('GMW - Baseline'!$MB$2:$MB$200=K$4),0),$E312-1973)</f>
        <v>#N/A</v>
      </c>
      <c r="L312" t="e" cm="1">
        <f t="array" ref="L312">INDEX('GMW - Baseline'!$A$2:$MC$200,MATCH(1,('GMW - Baseline'!$MC$2:$MC$200=L$3)*('GMW - Baseline'!$MB$2:$MB$200=L$4),0),$E312-1973)</f>
        <v>#N/A</v>
      </c>
      <c r="M312" t="e" cm="1">
        <f t="array" ref="M312">INDEX('GMW - Baseline'!$A$2:$MC$200,MATCH(1,('GMW - Baseline'!$MC$2:$MC$200=M$3)*('GMW - Baseline'!$MB$2:$MB$200=M$4),0),$E312-1973)</f>
        <v>#N/A</v>
      </c>
      <c r="N312" t="e" cm="1">
        <f t="array" ref="N312">INDEX('GMW - Baseline'!$A$2:$MC$200,MATCH(1,('GMW - Baseline'!$MC$2:$MC$200=N$3)*('GMW - Baseline'!$MB$2:$MB$200=N$4),0),$E312-1973)</f>
        <v>#N/A</v>
      </c>
      <c r="O312" t="e" cm="1">
        <f t="array" ref="O312">INDEX('GMW - Baseline'!$A$2:$MC$200,MATCH(1,('GMW - Baseline'!$MC$2:$MC$200=O$3)*('GMW - Baseline'!$MB$2:$MB$200=O$4),0),$E312-1973)</f>
        <v>#N/A</v>
      </c>
      <c r="P312" t="e" cm="1">
        <f t="array" ref="P312">INDEX('GMW - Baseline'!$A$2:$MC$200,MATCH(1,('GMW - Baseline'!$MC$2:$MC$200=P$3)*('GMW - Baseline'!$MB$2:$MB$200=P$4),0),$E312-1973)</f>
        <v>#N/A</v>
      </c>
      <c r="Q312" t="e" cm="1">
        <f t="array" ref="Q312">INDEX('GMW - Baseline'!$A$2:$MC$200,MATCH(1,('GMW - Baseline'!$MC$2:$MC$200=Q$3)*('GMW - Baseline'!$MB$2:$MB$200=Q$4),0),$E312-1973)</f>
        <v>#N/A</v>
      </c>
      <c r="R312" t="e" cm="1">
        <f t="array" ref="R312">INDEX('GMW - Baseline'!$A$2:$MC$200,MATCH(1,('GMW - Baseline'!$MC$2:$MC$200=R$3)*('GMW - Baseline'!$MB$2:$MB$200=R$4),0),$E312-1973)</f>
        <v>#N/A</v>
      </c>
      <c r="S312" t="e" cm="1">
        <f t="array" ref="S312">INDEX('GMW - Baseline'!$A$2:$MC$200,MATCH(1,('GMW - Baseline'!$MC$2:$MC$200=S$3)*('GMW - Baseline'!$MB$2:$MB$200=S$4),0),$E312-1973)</f>
        <v>#N/A</v>
      </c>
      <c r="T312" t="e" cm="1">
        <f t="array" ref="T312">INDEX('GMW - Baseline'!$A$2:$MC$200,MATCH(1,('GMW - Baseline'!$MC$2:$MC$200=T$3)*('GMW - Baseline'!$MB$2:$MB$200=T$4),0),$E312-1973)</f>
        <v>#N/A</v>
      </c>
    </row>
    <row r="313" spans="1:20" x14ac:dyDescent="0.25">
      <c r="B313">
        <f t="shared" si="24"/>
        <v>2056</v>
      </c>
      <c r="C313">
        <f t="shared" si="24"/>
        <v>2056</v>
      </c>
      <c r="E313">
        <f t="shared" si="21"/>
        <v>2286</v>
      </c>
      <c r="F313" t="str" cm="1">
        <f t="array" ref="F313">INDEX('GMW - Baseline'!$A$2:$MC$200,MATCH(1,('GMW - Baseline'!$MC$2:$MC$200=F$3)*('GMW - Baseline'!$MB$2:$MB$200=F$4),0),$E313-1973)</f>
        <v>NA</v>
      </c>
      <c r="G313" t="str" cm="1">
        <f t="array" ref="G313">INDEX('GMW - Baseline'!$A$2:$MC$200,MATCH(1,('GMW - Baseline'!$MC$2:$MC$200=G$3)*('GMW - Baseline'!$MB$2:$MB$200=G$4),0),$E313-1973)</f>
        <v>NA</v>
      </c>
      <c r="H313" t="str" cm="1">
        <f t="array" ref="H313">INDEX('GMW - Baseline'!$A$2:$MC$200,MATCH(1,('GMW - Baseline'!$MC$2:$MC$200=H$3)*('GMW - Baseline'!$MB$2:$MB$200=H$4),0),$E313-1973)</f>
        <v>NA</v>
      </c>
      <c r="I313" t="str" cm="1">
        <f t="array" ref="I313">INDEX('GMW - Baseline'!$A$2:$MC$200,MATCH(1,('GMW - Baseline'!$MC$2:$MC$200=I$3)*('GMW - Baseline'!$MB$2:$MB$200=I$4),0),$E313-1973)</f>
        <v>NA</v>
      </c>
      <c r="J313" t="e" cm="1">
        <f t="array" ref="J313">INDEX('GMW - Baseline'!$A$2:$MC$200,MATCH(1,('GMW - Baseline'!$MC$2:$MC$200=J$3)*('GMW - Baseline'!$MB$2:$MB$200=J$4),0),$E313-1973)</f>
        <v>#N/A</v>
      </c>
      <c r="K313" t="e" cm="1">
        <f t="array" ref="K313">INDEX('GMW - Baseline'!$A$2:$MC$200,MATCH(1,('GMW - Baseline'!$MC$2:$MC$200=K$3)*('GMW - Baseline'!$MB$2:$MB$200=K$4),0),$E313-1973)</f>
        <v>#N/A</v>
      </c>
      <c r="L313" t="e" cm="1">
        <f t="array" ref="L313">INDEX('GMW - Baseline'!$A$2:$MC$200,MATCH(1,('GMW - Baseline'!$MC$2:$MC$200=L$3)*('GMW - Baseline'!$MB$2:$MB$200=L$4),0),$E313-1973)</f>
        <v>#N/A</v>
      </c>
      <c r="M313" t="e" cm="1">
        <f t="array" ref="M313">INDEX('GMW - Baseline'!$A$2:$MC$200,MATCH(1,('GMW - Baseline'!$MC$2:$MC$200=M$3)*('GMW - Baseline'!$MB$2:$MB$200=M$4),0),$E313-1973)</f>
        <v>#N/A</v>
      </c>
      <c r="N313" t="e" cm="1">
        <f t="array" ref="N313">INDEX('GMW - Baseline'!$A$2:$MC$200,MATCH(1,('GMW - Baseline'!$MC$2:$MC$200=N$3)*('GMW - Baseline'!$MB$2:$MB$200=N$4),0),$E313-1973)</f>
        <v>#N/A</v>
      </c>
      <c r="O313" t="e" cm="1">
        <f t="array" ref="O313">INDEX('GMW - Baseline'!$A$2:$MC$200,MATCH(1,('GMW - Baseline'!$MC$2:$MC$200=O$3)*('GMW - Baseline'!$MB$2:$MB$200=O$4),0),$E313-1973)</f>
        <v>#N/A</v>
      </c>
      <c r="P313" t="e" cm="1">
        <f t="array" ref="P313">INDEX('GMW - Baseline'!$A$2:$MC$200,MATCH(1,('GMW - Baseline'!$MC$2:$MC$200=P$3)*('GMW - Baseline'!$MB$2:$MB$200=P$4),0),$E313-1973)</f>
        <v>#N/A</v>
      </c>
      <c r="Q313" t="e" cm="1">
        <f t="array" ref="Q313">INDEX('GMW - Baseline'!$A$2:$MC$200,MATCH(1,('GMW - Baseline'!$MC$2:$MC$200=Q$3)*('GMW - Baseline'!$MB$2:$MB$200=Q$4),0),$E313-1973)</f>
        <v>#N/A</v>
      </c>
      <c r="R313" t="e" cm="1">
        <f t="array" ref="R313">INDEX('GMW - Baseline'!$A$2:$MC$200,MATCH(1,('GMW - Baseline'!$MC$2:$MC$200=R$3)*('GMW - Baseline'!$MB$2:$MB$200=R$4),0),$E313-1973)</f>
        <v>#N/A</v>
      </c>
      <c r="S313" t="e" cm="1">
        <f t="array" ref="S313">INDEX('GMW - Baseline'!$A$2:$MC$200,MATCH(1,('GMW - Baseline'!$MC$2:$MC$200=S$3)*('GMW - Baseline'!$MB$2:$MB$200=S$4),0),$E313-1973)</f>
        <v>#N/A</v>
      </c>
      <c r="T313" t="e" cm="1">
        <f t="array" ref="T313">INDEX('GMW - Baseline'!$A$2:$MC$200,MATCH(1,('GMW - Baseline'!$MC$2:$MC$200=T$3)*('GMW - Baseline'!$MB$2:$MB$200=T$4),0),$E313-1973)</f>
        <v>#N/A</v>
      </c>
    </row>
    <row r="314" spans="1:20" x14ac:dyDescent="0.25">
      <c r="B314">
        <f t="shared" si="24"/>
        <v>2056</v>
      </c>
      <c r="C314">
        <f t="shared" si="24"/>
        <v>2056</v>
      </c>
      <c r="E314">
        <f t="shared" si="21"/>
        <v>2287</v>
      </c>
      <c r="F314" t="str" cm="1">
        <f t="array" ref="F314">INDEX('GMW - Baseline'!$A$2:$MC$200,MATCH(1,('GMW - Baseline'!$MC$2:$MC$200=F$3)*('GMW - Baseline'!$MB$2:$MB$200=F$4),0),$E314-1973)</f>
        <v>NA</v>
      </c>
      <c r="G314" t="str" cm="1">
        <f t="array" ref="G314">INDEX('GMW - Baseline'!$A$2:$MC$200,MATCH(1,('GMW - Baseline'!$MC$2:$MC$200=G$3)*('GMW - Baseline'!$MB$2:$MB$200=G$4),0),$E314-1973)</f>
        <v>NA</v>
      </c>
      <c r="H314" t="str" cm="1">
        <f t="array" ref="H314">INDEX('GMW - Baseline'!$A$2:$MC$200,MATCH(1,('GMW - Baseline'!$MC$2:$MC$200=H$3)*('GMW - Baseline'!$MB$2:$MB$200=H$4),0),$E314-1973)</f>
        <v>NA</v>
      </c>
      <c r="I314" t="str" cm="1">
        <f t="array" ref="I314">INDEX('GMW - Baseline'!$A$2:$MC$200,MATCH(1,('GMW - Baseline'!$MC$2:$MC$200=I$3)*('GMW - Baseline'!$MB$2:$MB$200=I$4),0),$E314-1973)</f>
        <v>NA</v>
      </c>
      <c r="J314" t="e" cm="1">
        <f t="array" ref="J314">INDEX('GMW - Baseline'!$A$2:$MC$200,MATCH(1,('GMW - Baseline'!$MC$2:$MC$200=J$3)*('GMW - Baseline'!$MB$2:$MB$200=J$4),0),$E314-1973)</f>
        <v>#N/A</v>
      </c>
      <c r="K314" t="e" cm="1">
        <f t="array" ref="K314">INDEX('GMW - Baseline'!$A$2:$MC$200,MATCH(1,('GMW - Baseline'!$MC$2:$MC$200=K$3)*('GMW - Baseline'!$MB$2:$MB$200=K$4),0),$E314-1973)</f>
        <v>#N/A</v>
      </c>
      <c r="L314" t="e" cm="1">
        <f t="array" ref="L314">INDEX('GMW - Baseline'!$A$2:$MC$200,MATCH(1,('GMW - Baseline'!$MC$2:$MC$200=L$3)*('GMW - Baseline'!$MB$2:$MB$200=L$4),0),$E314-1973)</f>
        <v>#N/A</v>
      </c>
      <c r="M314" t="e" cm="1">
        <f t="array" ref="M314">INDEX('GMW - Baseline'!$A$2:$MC$200,MATCH(1,('GMW - Baseline'!$MC$2:$MC$200=M$3)*('GMW - Baseline'!$MB$2:$MB$200=M$4),0),$E314-1973)</f>
        <v>#N/A</v>
      </c>
      <c r="N314" t="e" cm="1">
        <f t="array" ref="N314">INDEX('GMW - Baseline'!$A$2:$MC$200,MATCH(1,('GMW - Baseline'!$MC$2:$MC$200=N$3)*('GMW - Baseline'!$MB$2:$MB$200=N$4),0),$E314-1973)</f>
        <v>#N/A</v>
      </c>
      <c r="O314" t="e" cm="1">
        <f t="array" ref="O314">INDEX('GMW - Baseline'!$A$2:$MC$200,MATCH(1,('GMW - Baseline'!$MC$2:$MC$200=O$3)*('GMW - Baseline'!$MB$2:$MB$200=O$4),0),$E314-1973)</f>
        <v>#N/A</v>
      </c>
      <c r="P314" t="e" cm="1">
        <f t="array" ref="P314">INDEX('GMW - Baseline'!$A$2:$MC$200,MATCH(1,('GMW - Baseline'!$MC$2:$MC$200=P$3)*('GMW - Baseline'!$MB$2:$MB$200=P$4),0),$E314-1973)</f>
        <v>#N/A</v>
      </c>
      <c r="Q314" t="e" cm="1">
        <f t="array" ref="Q314">INDEX('GMW - Baseline'!$A$2:$MC$200,MATCH(1,('GMW - Baseline'!$MC$2:$MC$200=Q$3)*('GMW - Baseline'!$MB$2:$MB$200=Q$4),0),$E314-1973)</f>
        <v>#N/A</v>
      </c>
      <c r="R314" t="e" cm="1">
        <f t="array" ref="R314">INDEX('GMW - Baseline'!$A$2:$MC$200,MATCH(1,('GMW - Baseline'!$MC$2:$MC$200=R$3)*('GMW - Baseline'!$MB$2:$MB$200=R$4),0),$E314-1973)</f>
        <v>#N/A</v>
      </c>
      <c r="S314" t="e" cm="1">
        <f t="array" ref="S314">INDEX('GMW - Baseline'!$A$2:$MC$200,MATCH(1,('GMW - Baseline'!$MC$2:$MC$200=S$3)*('GMW - Baseline'!$MB$2:$MB$200=S$4),0),$E314-1973)</f>
        <v>#N/A</v>
      </c>
      <c r="T314" t="e" cm="1">
        <f t="array" ref="T314">INDEX('GMW - Baseline'!$A$2:$MC$200,MATCH(1,('GMW - Baseline'!$MC$2:$MC$200=T$3)*('GMW - Baseline'!$MB$2:$MB$200=T$4),0),$E314-1973)</f>
        <v>#N/A</v>
      </c>
    </row>
    <row r="315" spans="1:20" x14ac:dyDescent="0.25">
      <c r="A315">
        <v>2057</v>
      </c>
      <c r="B315">
        <f t="shared" si="24"/>
        <v>2057</v>
      </c>
      <c r="C315">
        <f t="shared" si="24"/>
        <v>2056</v>
      </c>
      <c r="D315">
        <f t="shared" si="24"/>
        <v>2056</v>
      </c>
      <c r="E315">
        <f t="shared" si="21"/>
        <v>2288</v>
      </c>
      <c r="F315" t="str" cm="1">
        <f t="array" ref="F315">INDEX('GMW - Baseline'!$A$2:$MC$200,MATCH(1,('GMW - Baseline'!$MC$2:$MC$200=F$3)*('GMW - Baseline'!$MB$2:$MB$200=F$4),0),$E315-1973)</f>
        <v>NA</v>
      </c>
      <c r="G315" t="str" cm="1">
        <f t="array" ref="G315">INDEX('GMW - Baseline'!$A$2:$MC$200,MATCH(1,('GMW - Baseline'!$MC$2:$MC$200=G$3)*('GMW - Baseline'!$MB$2:$MB$200=G$4),0),$E315-1973)</f>
        <v>NA</v>
      </c>
      <c r="H315" t="str" cm="1">
        <f t="array" ref="H315">INDEX('GMW - Baseline'!$A$2:$MC$200,MATCH(1,('GMW - Baseline'!$MC$2:$MC$200=H$3)*('GMW - Baseline'!$MB$2:$MB$200=H$4),0),$E315-1973)</f>
        <v>NA</v>
      </c>
      <c r="I315" t="str" cm="1">
        <f t="array" ref="I315">INDEX('GMW - Baseline'!$A$2:$MC$200,MATCH(1,('GMW - Baseline'!$MC$2:$MC$200=I$3)*('GMW - Baseline'!$MB$2:$MB$200=I$4),0),$E315-1973)</f>
        <v>NA</v>
      </c>
      <c r="J315" t="e" cm="1">
        <f t="array" ref="J315">INDEX('GMW - Baseline'!$A$2:$MC$200,MATCH(1,('GMW - Baseline'!$MC$2:$MC$200=J$3)*('GMW - Baseline'!$MB$2:$MB$200=J$4),0),$E315-1973)</f>
        <v>#N/A</v>
      </c>
      <c r="K315" t="e" cm="1">
        <f t="array" ref="K315">INDEX('GMW - Baseline'!$A$2:$MC$200,MATCH(1,('GMW - Baseline'!$MC$2:$MC$200=K$3)*('GMW - Baseline'!$MB$2:$MB$200=K$4),0),$E315-1973)</f>
        <v>#N/A</v>
      </c>
      <c r="L315" t="e" cm="1">
        <f t="array" ref="L315">INDEX('GMW - Baseline'!$A$2:$MC$200,MATCH(1,('GMW - Baseline'!$MC$2:$MC$200=L$3)*('GMW - Baseline'!$MB$2:$MB$200=L$4),0),$E315-1973)</f>
        <v>#N/A</v>
      </c>
      <c r="M315" t="e" cm="1">
        <f t="array" ref="M315">INDEX('GMW - Baseline'!$A$2:$MC$200,MATCH(1,('GMW - Baseline'!$MC$2:$MC$200=M$3)*('GMW - Baseline'!$MB$2:$MB$200=M$4),0),$E315-1973)</f>
        <v>#N/A</v>
      </c>
      <c r="N315" t="e" cm="1">
        <f t="array" ref="N315">INDEX('GMW - Baseline'!$A$2:$MC$200,MATCH(1,('GMW - Baseline'!$MC$2:$MC$200=N$3)*('GMW - Baseline'!$MB$2:$MB$200=N$4),0),$E315-1973)</f>
        <v>#N/A</v>
      </c>
      <c r="O315" t="e" cm="1">
        <f t="array" ref="O315">INDEX('GMW - Baseline'!$A$2:$MC$200,MATCH(1,('GMW - Baseline'!$MC$2:$MC$200=O$3)*('GMW - Baseline'!$MB$2:$MB$200=O$4),0),$E315-1973)</f>
        <v>#N/A</v>
      </c>
      <c r="P315" t="e" cm="1">
        <f t="array" ref="P315">INDEX('GMW - Baseline'!$A$2:$MC$200,MATCH(1,('GMW - Baseline'!$MC$2:$MC$200=P$3)*('GMW - Baseline'!$MB$2:$MB$200=P$4),0),$E315-1973)</f>
        <v>#N/A</v>
      </c>
      <c r="Q315" t="e" cm="1">
        <f t="array" ref="Q315">INDEX('GMW - Baseline'!$A$2:$MC$200,MATCH(1,('GMW - Baseline'!$MC$2:$MC$200=Q$3)*('GMW - Baseline'!$MB$2:$MB$200=Q$4),0),$E315-1973)</f>
        <v>#N/A</v>
      </c>
      <c r="R315" t="e" cm="1">
        <f t="array" ref="R315">INDEX('GMW - Baseline'!$A$2:$MC$200,MATCH(1,('GMW - Baseline'!$MC$2:$MC$200=R$3)*('GMW - Baseline'!$MB$2:$MB$200=R$4),0),$E315-1973)</f>
        <v>#N/A</v>
      </c>
      <c r="S315" t="e" cm="1">
        <f t="array" ref="S315">INDEX('GMW - Baseline'!$A$2:$MC$200,MATCH(1,('GMW - Baseline'!$MC$2:$MC$200=S$3)*('GMW - Baseline'!$MB$2:$MB$200=S$4),0),$E315-1973)</f>
        <v>#N/A</v>
      </c>
      <c r="T315" t="e" cm="1">
        <f t="array" ref="T315">INDEX('GMW - Baseline'!$A$2:$MC$200,MATCH(1,('GMW - Baseline'!$MC$2:$MC$200=T$3)*('GMW - Baseline'!$MB$2:$MB$200=T$4),0),$E315-1973)</f>
        <v>#N/A</v>
      </c>
    </row>
    <row r="316" spans="1:20" x14ac:dyDescent="0.25">
      <c r="B316">
        <f t="shared" ref="B316:D330" si="25">+B312+1</f>
        <v>2057</v>
      </c>
      <c r="C316">
        <f t="shared" si="25"/>
        <v>2057</v>
      </c>
      <c r="E316">
        <f t="shared" si="21"/>
        <v>2289</v>
      </c>
      <c r="F316" t="str" cm="1">
        <f t="array" ref="F316">INDEX('GMW - Baseline'!$A$2:$MC$200,MATCH(1,('GMW - Baseline'!$MC$2:$MC$200=F$3)*('GMW - Baseline'!$MB$2:$MB$200=F$4),0),$E316-1973)</f>
        <v>NA</v>
      </c>
      <c r="G316" t="str" cm="1">
        <f t="array" ref="G316">INDEX('GMW - Baseline'!$A$2:$MC$200,MATCH(1,('GMW - Baseline'!$MC$2:$MC$200=G$3)*('GMW - Baseline'!$MB$2:$MB$200=G$4),0),$E316-1973)</f>
        <v>NA</v>
      </c>
      <c r="H316" t="str" cm="1">
        <f t="array" ref="H316">INDEX('GMW - Baseline'!$A$2:$MC$200,MATCH(1,('GMW - Baseline'!$MC$2:$MC$200=H$3)*('GMW - Baseline'!$MB$2:$MB$200=H$4),0),$E316-1973)</f>
        <v>NA</v>
      </c>
      <c r="I316" t="str" cm="1">
        <f t="array" ref="I316">INDEX('GMW - Baseline'!$A$2:$MC$200,MATCH(1,('GMW - Baseline'!$MC$2:$MC$200=I$3)*('GMW - Baseline'!$MB$2:$MB$200=I$4),0),$E316-1973)</f>
        <v>NA</v>
      </c>
      <c r="J316" t="e" cm="1">
        <f t="array" ref="J316">INDEX('GMW - Baseline'!$A$2:$MC$200,MATCH(1,('GMW - Baseline'!$MC$2:$MC$200=J$3)*('GMW - Baseline'!$MB$2:$MB$200=J$4),0),$E316-1973)</f>
        <v>#N/A</v>
      </c>
      <c r="K316" t="e" cm="1">
        <f t="array" ref="K316">INDEX('GMW - Baseline'!$A$2:$MC$200,MATCH(1,('GMW - Baseline'!$MC$2:$MC$200=K$3)*('GMW - Baseline'!$MB$2:$MB$200=K$4),0),$E316-1973)</f>
        <v>#N/A</v>
      </c>
      <c r="L316" t="e" cm="1">
        <f t="array" ref="L316">INDEX('GMW - Baseline'!$A$2:$MC$200,MATCH(1,('GMW - Baseline'!$MC$2:$MC$200=L$3)*('GMW - Baseline'!$MB$2:$MB$200=L$4),0),$E316-1973)</f>
        <v>#N/A</v>
      </c>
      <c r="M316" t="e" cm="1">
        <f t="array" ref="M316">INDEX('GMW - Baseline'!$A$2:$MC$200,MATCH(1,('GMW - Baseline'!$MC$2:$MC$200=M$3)*('GMW - Baseline'!$MB$2:$MB$200=M$4),0),$E316-1973)</f>
        <v>#N/A</v>
      </c>
      <c r="N316" t="e" cm="1">
        <f t="array" ref="N316">INDEX('GMW - Baseline'!$A$2:$MC$200,MATCH(1,('GMW - Baseline'!$MC$2:$MC$200=N$3)*('GMW - Baseline'!$MB$2:$MB$200=N$4),0),$E316-1973)</f>
        <v>#N/A</v>
      </c>
      <c r="O316" t="e" cm="1">
        <f t="array" ref="O316">INDEX('GMW - Baseline'!$A$2:$MC$200,MATCH(1,('GMW - Baseline'!$MC$2:$MC$200=O$3)*('GMW - Baseline'!$MB$2:$MB$200=O$4),0),$E316-1973)</f>
        <v>#N/A</v>
      </c>
      <c r="P316" t="e" cm="1">
        <f t="array" ref="P316">INDEX('GMW - Baseline'!$A$2:$MC$200,MATCH(1,('GMW - Baseline'!$MC$2:$MC$200=P$3)*('GMW - Baseline'!$MB$2:$MB$200=P$4),0),$E316-1973)</f>
        <v>#N/A</v>
      </c>
      <c r="Q316" t="e" cm="1">
        <f t="array" ref="Q316">INDEX('GMW - Baseline'!$A$2:$MC$200,MATCH(1,('GMW - Baseline'!$MC$2:$MC$200=Q$3)*('GMW - Baseline'!$MB$2:$MB$200=Q$4),0),$E316-1973)</f>
        <v>#N/A</v>
      </c>
      <c r="R316" t="e" cm="1">
        <f t="array" ref="R316">INDEX('GMW - Baseline'!$A$2:$MC$200,MATCH(1,('GMW - Baseline'!$MC$2:$MC$200=R$3)*('GMW - Baseline'!$MB$2:$MB$200=R$4),0),$E316-1973)</f>
        <v>#N/A</v>
      </c>
      <c r="S316" t="e" cm="1">
        <f t="array" ref="S316">INDEX('GMW - Baseline'!$A$2:$MC$200,MATCH(1,('GMW - Baseline'!$MC$2:$MC$200=S$3)*('GMW - Baseline'!$MB$2:$MB$200=S$4),0),$E316-1973)</f>
        <v>#N/A</v>
      </c>
      <c r="T316" t="e" cm="1">
        <f t="array" ref="T316">INDEX('GMW - Baseline'!$A$2:$MC$200,MATCH(1,('GMW - Baseline'!$MC$2:$MC$200=T$3)*('GMW - Baseline'!$MB$2:$MB$200=T$4),0),$E316-1973)</f>
        <v>#N/A</v>
      </c>
    </row>
    <row r="317" spans="1:20" x14ac:dyDescent="0.25">
      <c r="B317">
        <f t="shared" si="25"/>
        <v>2057</v>
      </c>
      <c r="C317">
        <f t="shared" si="25"/>
        <v>2057</v>
      </c>
      <c r="E317">
        <f t="shared" si="21"/>
        <v>2290</v>
      </c>
      <c r="F317" t="str" cm="1">
        <f t="array" ref="F317">INDEX('GMW - Baseline'!$A$2:$MC$200,MATCH(1,('GMW - Baseline'!$MC$2:$MC$200=F$3)*('GMW - Baseline'!$MB$2:$MB$200=F$4),0),$E317-1973)</f>
        <v>NA</v>
      </c>
      <c r="G317" t="str" cm="1">
        <f t="array" ref="G317">INDEX('GMW - Baseline'!$A$2:$MC$200,MATCH(1,('GMW - Baseline'!$MC$2:$MC$200=G$3)*('GMW - Baseline'!$MB$2:$MB$200=G$4),0),$E317-1973)</f>
        <v>NA</v>
      </c>
      <c r="H317" t="str" cm="1">
        <f t="array" ref="H317">INDEX('GMW - Baseline'!$A$2:$MC$200,MATCH(1,('GMW - Baseline'!$MC$2:$MC$200=H$3)*('GMW - Baseline'!$MB$2:$MB$200=H$4),0),$E317-1973)</f>
        <v>NA</v>
      </c>
      <c r="I317" t="str" cm="1">
        <f t="array" ref="I317">INDEX('GMW - Baseline'!$A$2:$MC$200,MATCH(1,('GMW - Baseline'!$MC$2:$MC$200=I$3)*('GMW - Baseline'!$MB$2:$MB$200=I$4),0),$E317-1973)</f>
        <v>NA</v>
      </c>
      <c r="J317" t="e" cm="1">
        <f t="array" ref="J317">INDEX('GMW - Baseline'!$A$2:$MC$200,MATCH(1,('GMW - Baseline'!$MC$2:$MC$200=J$3)*('GMW - Baseline'!$MB$2:$MB$200=J$4),0),$E317-1973)</f>
        <v>#N/A</v>
      </c>
      <c r="K317" t="e" cm="1">
        <f t="array" ref="K317">INDEX('GMW - Baseline'!$A$2:$MC$200,MATCH(1,('GMW - Baseline'!$MC$2:$MC$200=K$3)*('GMW - Baseline'!$MB$2:$MB$200=K$4),0),$E317-1973)</f>
        <v>#N/A</v>
      </c>
      <c r="L317" t="e" cm="1">
        <f t="array" ref="L317">INDEX('GMW - Baseline'!$A$2:$MC$200,MATCH(1,('GMW - Baseline'!$MC$2:$MC$200=L$3)*('GMW - Baseline'!$MB$2:$MB$200=L$4),0),$E317-1973)</f>
        <v>#N/A</v>
      </c>
      <c r="M317" t="e" cm="1">
        <f t="array" ref="M317">INDEX('GMW - Baseline'!$A$2:$MC$200,MATCH(1,('GMW - Baseline'!$MC$2:$MC$200=M$3)*('GMW - Baseline'!$MB$2:$MB$200=M$4),0),$E317-1973)</f>
        <v>#N/A</v>
      </c>
      <c r="N317" t="e" cm="1">
        <f t="array" ref="N317">INDEX('GMW - Baseline'!$A$2:$MC$200,MATCH(1,('GMW - Baseline'!$MC$2:$MC$200=N$3)*('GMW - Baseline'!$MB$2:$MB$200=N$4),0),$E317-1973)</f>
        <v>#N/A</v>
      </c>
      <c r="O317" t="e" cm="1">
        <f t="array" ref="O317">INDEX('GMW - Baseline'!$A$2:$MC$200,MATCH(1,('GMW - Baseline'!$MC$2:$MC$200=O$3)*('GMW - Baseline'!$MB$2:$MB$200=O$4),0),$E317-1973)</f>
        <v>#N/A</v>
      </c>
      <c r="P317" t="e" cm="1">
        <f t="array" ref="P317">INDEX('GMW - Baseline'!$A$2:$MC$200,MATCH(1,('GMW - Baseline'!$MC$2:$MC$200=P$3)*('GMW - Baseline'!$MB$2:$MB$200=P$4),0),$E317-1973)</f>
        <v>#N/A</v>
      </c>
      <c r="Q317" t="e" cm="1">
        <f t="array" ref="Q317">INDEX('GMW - Baseline'!$A$2:$MC$200,MATCH(1,('GMW - Baseline'!$MC$2:$MC$200=Q$3)*('GMW - Baseline'!$MB$2:$MB$200=Q$4),0),$E317-1973)</f>
        <v>#N/A</v>
      </c>
      <c r="R317" t="e" cm="1">
        <f t="array" ref="R317">INDEX('GMW - Baseline'!$A$2:$MC$200,MATCH(1,('GMW - Baseline'!$MC$2:$MC$200=R$3)*('GMW - Baseline'!$MB$2:$MB$200=R$4),0),$E317-1973)</f>
        <v>#N/A</v>
      </c>
      <c r="S317" t="e" cm="1">
        <f t="array" ref="S317">INDEX('GMW - Baseline'!$A$2:$MC$200,MATCH(1,('GMW - Baseline'!$MC$2:$MC$200=S$3)*('GMW - Baseline'!$MB$2:$MB$200=S$4),0),$E317-1973)</f>
        <v>#N/A</v>
      </c>
      <c r="T317" t="e" cm="1">
        <f t="array" ref="T317">INDEX('GMW - Baseline'!$A$2:$MC$200,MATCH(1,('GMW - Baseline'!$MC$2:$MC$200=T$3)*('GMW - Baseline'!$MB$2:$MB$200=T$4),0),$E317-1973)</f>
        <v>#N/A</v>
      </c>
    </row>
    <row r="318" spans="1:20" x14ac:dyDescent="0.25">
      <c r="B318">
        <f t="shared" si="25"/>
        <v>2057</v>
      </c>
      <c r="C318">
        <f t="shared" si="25"/>
        <v>2057</v>
      </c>
      <c r="E318">
        <f t="shared" si="21"/>
        <v>2291</v>
      </c>
      <c r="F318" t="str" cm="1">
        <f t="array" ref="F318">INDEX('GMW - Baseline'!$A$2:$MC$200,MATCH(1,('GMW - Baseline'!$MC$2:$MC$200=F$3)*('GMW - Baseline'!$MB$2:$MB$200=F$4),0),$E318-1973)</f>
        <v>NA</v>
      </c>
      <c r="G318" t="str" cm="1">
        <f t="array" ref="G318">INDEX('GMW - Baseline'!$A$2:$MC$200,MATCH(1,('GMW - Baseline'!$MC$2:$MC$200=G$3)*('GMW - Baseline'!$MB$2:$MB$200=G$4),0),$E318-1973)</f>
        <v>NA</v>
      </c>
      <c r="H318" t="str" cm="1">
        <f t="array" ref="H318">INDEX('GMW - Baseline'!$A$2:$MC$200,MATCH(1,('GMW - Baseline'!$MC$2:$MC$200=H$3)*('GMW - Baseline'!$MB$2:$MB$200=H$4),0),$E318-1973)</f>
        <v>NA</v>
      </c>
      <c r="I318" t="str" cm="1">
        <f t="array" ref="I318">INDEX('GMW - Baseline'!$A$2:$MC$200,MATCH(1,('GMW - Baseline'!$MC$2:$MC$200=I$3)*('GMW - Baseline'!$MB$2:$MB$200=I$4),0),$E318-1973)</f>
        <v>NA</v>
      </c>
      <c r="J318" t="e" cm="1">
        <f t="array" ref="J318">INDEX('GMW - Baseline'!$A$2:$MC$200,MATCH(1,('GMW - Baseline'!$MC$2:$MC$200=J$3)*('GMW - Baseline'!$MB$2:$MB$200=J$4),0),$E318-1973)</f>
        <v>#N/A</v>
      </c>
      <c r="K318" t="e" cm="1">
        <f t="array" ref="K318">INDEX('GMW - Baseline'!$A$2:$MC$200,MATCH(1,('GMW - Baseline'!$MC$2:$MC$200=K$3)*('GMW - Baseline'!$MB$2:$MB$200=K$4),0),$E318-1973)</f>
        <v>#N/A</v>
      </c>
      <c r="L318" t="e" cm="1">
        <f t="array" ref="L318">INDEX('GMW - Baseline'!$A$2:$MC$200,MATCH(1,('GMW - Baseline'!$MC$2:$MC$200=L$3)*('GMW - Baseline'!$MB$2:$MB$200=L$4),0),$E318-1973)</f>
        <v>#N/A</v>
      </c>
      <c r="M318" t="e" cm="1">
        <f t="array" ref="M318">INDEX('GMW - Baseline'!$A$2:$MC$200,MATCH(1,('GMW - Baseline'!$MC$2:$MC$200=M$3)*('GMW - Baseline'!$MB$2:$MB$200=M$4),0),$E318-1973)</f>
        <v>#N/A</v>
      </c>
      <c r="N318" t="e" cm="1">
        <f t="array" ref="N318">INDEX('GMW - Baseline'!$A$2:$MC$200,MATCH(1,('GMW - Baseline'!$MC$2:$MC$200=N$3)*('GMW - Baseline'!$MB$2:$MB$200=N$4),0),$E318-1973)</f>
        <v>#N/A</v>
      </c>
      <c r="O318" t="e" cm="1">
        <f t="array" ref="O318">INDEX('GMW - Baseline'!$A$2:$MC$200,MATCH(1,('GMW - Baseline'!$MC$2:$MC$200=O$3)*('GMW - Baseline'!$MB$2:$MB$200=O$4),0),$E318-1973)</f>
        <v>#N/A</v>
      </c>
      <c r="P318" t="e" cm="1">
        <f t="array" ref="P318">INDEX('GMW - Baseline'!$A$2:$MC$200,MATCH(1,('GMW - Baseline'!$MC$2:$MC$200=P$3)*('GMW - Baseline'!$MB$2:$MB$200=P$4),0),$E318-1973)</f>
        <v>#N/A</v>
      </c>
      <c r="Q318" t="e" cm="1">
        <f t="array" ref="Q318">INDEX('GMW - Baseline'!$A$2:$MC$200,MATCH(1,('GMW - Baseline'!$MC$2:$MC$200=Q$3)*('GMW - Baseline'!$MB$2:$MB$200=Q$4),0),$E318-1973)</f>
        <v>#N/A</v>
      </c>
      <c r="R318" t="e" cm="1">
        <f t="array" ref="R318">INDEX('GMW - Baseline'!$A$2:$MC$200,MATCH(1,('GMW - Baseline'!$MC$2:$MC$200=R$3)*('GMW - Baseline'!$MB$2:$MB$200=R$4),0),$E318-1973)</f>
        <v>#N/A</v>
      </c>
      <c r="S318" t="e" cm="1">
        <f t="array" ref="S318">INDEX('GMW - Baseline'!$A$2:$MC$200,MATCH(1,('GMW - Baseline'!$MC$2:$MC$200=S$3)*('GMW - Baseline'!$MB$2:$MB$200=S$4),0),$E318-1973)</f>
        <v>#N/A</v>
      </c>
      <c r="T318" t="e" cm="1">
        <f t="array" ref="T318">INDEX('GMW - Baseline'!$A$2:$MC$200,MATCH(1,('GMW - Baseline'!$MC$2:$MC$200=T$3)*('GMW - Baseline'!$MB$2:$MB$200=T$4),0),$E318-1973)</f>
        <v>#N/A</v>
      </c>
    </row>
    <row r="319" spans="1:20" x14ac:dyDescent="0.25">
      <c r="A319">
        <v>2058</v>
      </c>
      <c r="B319">
        <f t="shared" si="25"/>
        <v>2058</v>
      </c>
      <c r="C319">
        <f t="shared" si="25"/>
        <v>2057</v>
      </c>
      <c r="D319">
        <f t="shared" si="25"/>
        <v>2057</v>
      </c>
      <c r="E319">
        <f t="shared" si="21"/>
        <v>2292</v>
      </c>
      <c r="F319" t="str" cm="1">
        <f t="array" ref="F319">INDEX('GMW - Baseline'!$A$2:$MC$200,MATCH(1,('GMW - Baseline'!$MC$2:$MC$200=F$3)*('GMW - Baseline'!$MB$2:$MB$200=F$4),0),$E319-1973)</f>
        <v>NA</v>
      </c>
      <c r="G319" t="str" cm="1">
        <f t="array" ref="G319">INDEX('GMW - Baseline'!$A$2:$MC$200,MATCH(1,('GMW - Baseline'!$MC$2:$MC$200=G$3)*('GMW - Baseline'!$MB$2:$MB$200=G$4),0),$E319-1973)</f>
        <v>NA</v>
      </c>
      <c r="H319" t="str" cm="1">
        <f t="array" ref="H319">INDEX('GMW - Baseline'!$A$2:$MC$200,MATCH(1,('GMW - Baseline'!$MC$2:$MC$200=H$3)*('GMW - Baseline'!$MB$2:$MB$200=H$4),0),$E319-1973)</f>
        <v>NA</v>
      </c>
      <c r="I319" t="str" cm="1">
        <f t="array" ref="I319">INDEX('GMW - Baseline'!$A$2:$MC$200,MATCH(1,('GMW - Baseline'!$MC$2:$MC$200=I$3)*('GMW - Baseline'!$MB$2:$MB$200=I$4),0),$E319-1973)</f>
        <v>NA</v>
      </c>
      <c r="J319" t="e" cm="1">
        <f t="array" ref="J319">INDEX('GMW - Baseline'!$A$2:$MC$200,MATCH(1,('GMW - Baseline'!$MC$2:$MC$200=J$3)*('GMW - Baseline'!$MB$2:$MB$200=J$4),0),$E319-1973)</f>
        <v>#N/A</v>
      </c>
      <c r="K319" t="e" cm="1">
        <f t="array" ref="K319">INDEX('GMW - Baseline'!$A$2:$MC$200,MATCH(1,('GMW - Baseline'!$MC$2:$MC$200=K$3)*('GMW - Baseline'!$MB$2:$MB$200=K$4),0),$E319-1973)</f>
        <v>#N/A</v>
      </c>
      <c r="L319" t="e" cm="1">
        <f t="array" ref="L319">INDEX('GMW - Baseline'!$A$2:$MC$200,MATCH(1,('GMW - Baseline'!$MC$2:$MC$200=L$3)*('GMW - Baseline'!$MB$2:$MB$200=L$4),0),$E319-1973)</f>
        <v>#N/A</v>
      </c>
      <c r="M319" t="e" cm="1">
        <f t="array" ref="M319">INDEX('GMW - Baseline'!$A$2:$MC$200,MATCH(1,('GMW - Baseline'!$MC$2:$MC$200=M$3)*('GMW - Baseline'!$MB$2:$MB$200=M$4),0),$E319-1973)</f>
        <v>#N/A</v>
      </c>
      <c r="N319" t="e" cm="1">
        <f t="array" ref="N319">INDEX('GMW - Baseline'!$A$2:$MC$200,MATCH(1,('GMW - Baseline'!$MC$2:$MC$200=N$3)*('GMW - Baseline'!$MB$2:$MB$200=N$4),0),$E319-1973)</f>
        <v>#N/A</v>
      </c>
      <c r="O319" t="e" cm="1">
        <f t="array" ref="O319">INDEX('GMW - Baseline'!$A$2:$MC$200,MATCH(1,('GMW - Baseline'!$MC$2:$MC$200=O$3)*('GMW - Baseline'!$MB$2:$MB$200=O$4),0),$E319-1973)</f>
        <v>#N/A</v>
      </c>
      <c r="P319" t="e" cm="1">
        <f t="array" ref="P319">INDEX('GMW - Baseline'!$A$2:$MC$200,MATCH(1,('GMW - Baseline'!$MC$2:$MC$200=P$3)*('GMW - Baseline'!$MB$2:$MB$200=P$4),0),$E319-1973)</f>
        <v>#N/A</v>
      </c>
      <c r="Q319" t="e" cm="1">
        <f t="array" ref="Q319">INDEX('GMW - Baseline'!$A$2:$MC$200,MATCH(1,('GMW - Baseline'!$MC$2:$MC$200=Q$3)*('GMW - Baseline'!$MB$2:$MB$200=Q$4),0),$E319-1973)</f>
        <v>#N/A</v>
      </c>
      <c r="R319" t="e" cm="1">
        <f t="array" ref="R319">INDEX('GMW - Baseline'!$A$2:$MC$200,MATCH(1,('GMW - Baseline'!$MC$2:$MC$200=R$3)*('GMW - Baseline'!$MB$2:$MB$200=R$4),0),$E319-1973)</f>
        <v>#N/A</v>
      </c>
      <c r="S319" t="e" cm="1">
        <f t="array" ref="S319">INDEX('GMW - Baseline'!$A$2:$MC$200,MATCH(1,('GMW - Baseline'!$MC$2:$MC$200=S$3)*('GMW - Baseline'!$MB$2:$MB$200=S$4),0),$E319-1973)</f>
        <v>#N/A</v>
      </c>
      <c r="T319" t="e" cm="1">
        <f t="array" ref="T319">INDEX('GMW - Baseline'!$A$2:$MC$200,MATCH(1,('GMW - Baseline'!$MC$2:$MC$200=T$3)*('GMW - Baseline'!$MB$2:$MB$200=T$4),0),$E319-1973)</f>
        <v>#N/A</v>
      </c>
    </row>
    <row r="320" spans="1:20" x14ac:dyDescent="0.25">
      <c r="B320">
        <f t="shared" si="25"/>
        <v>2058</v>
      </c>
      <c r="C320">
        <f t="shared" si="25"/>
        <v>2058</v>
      </c>
      <c r="E320">
        <f t="shared" si="21"/>
        <v>2293</v>
      </c>
      <c r="F320" t="str" cm="1">
        <f t="array" ref="F320">INDEX('GMW - Baseline'!$A$2:$MC$200,MATCH(1,('GMW - Baseline'!$MC$2:$MC$200=F$3)*('GMW - Baseline'!$MB$2:$MB$200=F$4),0),$E320-1973)</f>
        <v>NA</v>
      </c>
      <c r="G320" t="str" cm="1">
        <f t="array" ref="G320">INDEX('GMW - Baseline'!$A$2:$MC$200,MATCH(1,('GMW - Baseline'!$MC$2:$MC$200=G$3)*('GMW - Baseline'!$MB$2:$MB$200=G$4),0),$E320-1973)</f>
        <v>NA</v>
      </c>
      <c r="H320" t="str" cm="1">
        <f t="array" ref="H320">INDEX('GMW - Baseline'!$A$2:$MC$200,MATCH(1,('GMW - Baseline'!$MC$2:$MC$200=H$3)*('GMW - Baseline'!$MB$2:$MB$200=H$4),0),$E320-1973)</f>
        <v>NA</v>
      </c>
      <c r="I320" t="str" cm="1">
        <f t="array" ref="I320">INDEX('GMW - Baseline'!$A$2:$MC$200,MATCH(1,('GMW - Baseline'!$MC$2:$MC$200=I$3)*('GMW - Baseline'!$MB$2:$MB$200=I$4),0),$E320-1973)</f>
        <v>NA</v>
      </c>
      <c r="J320" t="e" cm="1">
        <f t="array" ref="J320">INDEX('GMW - Baseline'!$A$2:$MC$200,MATCH(1,('GMW - Baseline'!$MC$2:$MC$200=J$3)*('GMW - Baseline'!$MB$2:$MB$200=J$4),0),$E320-1973)</f>
        <v>#N/A</v>
      </c>
      <c r="K320" t="e" cm="1">
        <f t="array" ref="K320">INDEX('GMW - Baseline'!$A$2:$MC$200,MATCH(1,('GMW - Baseline'!$MC$2:$MC$200=K$3)*('GMW - Baseline'!$MB$2:$MB$200=K$4),0),$E320-1973)</f>
        <v>#N/A</v>
      </c>
      <c r="L320" t="e" cm="1">
        <f t="array" ref="L320">INDEX('GMW - Baseline'!$A$2:$MC$200,MATCH(1,('GMW - Baseline'!$MC$2:$MC$200=L$3)*('GMW - Baseline'!$MB$2:$MB$200=L$4),0),$E320-1973)</f>
        <v>#N/A</v>
      </c>
      <c r="M320" t="e" cm="1">
        <f t="array" ref="M320">INDEX('GMW - Baseline'!$A$2:$MC$200,MATCH(1,('GMW - Baseline'!$MC$2:$MC$200=M$3)*('GMW - Baseline'!$MB$2:$MB$200=M$4),0),$E320-1973)</f>
        <v>#N/A</v>
      </c>
      <c r="N320" t="e" cm="1">
        <f t="array" ref="N320">INDEX('GMW - Baseline'!$A$2:$MC$200,MATCH(1,('GMW - Baseline'!$MC$2:$MC$200=N$3)*('GMW - Baseline'!$MB$2:$MB$200=N$4),0),$E320-1973)</f>
        <v>#N/A</v>
      </c>
      <c r="O320" t="e" cm="1">
        <f t="array" ref="O320">INDEX('GMW - Baseline'!$A$2:$MC$200,MATCH(1,('GMW - Baseline'!$MC$2:$MC$200=O$3)*('GMW - Baseline'!$MB$2:$MB$200=O$4),0),$E320-1973)</f>
        <v>#N/A</v>
      </c>
      <c r="P320" t="e" cm="1">
        <f t="array" ref="P320">INDEX('GMW - Baseline'!$A$2:$MC$200,MATCH(1,('GMW - Baseline'!$MC$2:$MC$200=P$3)*('GMW - Baseline'!$MB$2:$MB$200=P$4),0),$E320-1973)</f>
        <v>#N/A</v>
      </c>
      <c r="Q320" t="e" cm="1">
        <f t="array" ref="Q320">INDEX('GMW - Baseline'!$A$2:$MC$200,MATCH(1,('GMW - Baseline'!$MC$2:$MC$200=Q$3)*('GMW - Baseline'!$MB$2:$MB$200=Q$4),0),$E320-1973)</f>
        <v>#N/A</v>
      </c>
      <c r="R320" t="e" cm="1">
        <f t="array" ref="R320">INDEX('GMW - Baseline'!$A$2:$MC$200,MATCH(1,('GMW - Baseline'!$MC$2:$MC$200=R$3)*('GMW - Baseline'!$MB$2:$MB$200=R$4),0),$E320-1973)</f>
        <v>#N/A</v>
      </c>
      <c r="S320" t="e" cm="1">
        <f t="array" ref="S320">INDEX('GMW - Baseline'!$A$2:$MC$200,MATCH(1,('GMW - Baseline'!$MC$2:$MC$200=S$3)*('GMW - Baseline'!$MB$2:$MB$200=S$4),0),$E320-1973)</f>
        <v>#N/A</v>
      </c>
      <c r="T320" t="e" cm="1">
        <f t="array" ref="T320">INDEX('GMW - Baseline'!$A$2:$MC$200,MATCH(1,('GMW - Baseline'!$MC$2:$MC$200=T$3)*('GMW - Baseline'!$MB$2:$MB$200=T$4),0),$E320-1973)</f>
        <v>#N/A</v>
      </c>
    </row>
    <row r="321" spans="1:20" x14ac:dyDescent="0.25">
      <c r="B321">
        <f t="shared" si="25"/>
        <v>2058</v>
      </c>
      <c r="C321">
        <f t="shared" si="25"/>
        <v>2058</v>
      </c>
      <c r="E321">
        <f t="shared" si="21"/>
        <v>2294</v>
      </c>
      <c r="F321" t="str" cm="1">
        <f t="array" ref="F321">INDEX('GMW - Baseline'!$A$2:$MC$200,MATCH(1,('GMW - Baseline'!$MC$2:$MC$200=F$3)*('GMW - Baseline'!$MB$2:$MB$200=F$4),0),$E321-1973)</f>
        <v>NA</v>
      </c>
      <c r="G321" t="str" cm="1">
        <f t="array" ref="G321">INDEX('GMW - Baseline'!$A$2:$MC$200,MATCH(1,('GMW - Baseline'!$MC$2:$MC$200=G$3)*('GMW - Baseline'!$MB$2:$MB$200=G$4),0),$E321-1973)</f>
        <v>NA</v>
      </c>
      <c r="H321" t="str" cm="1">
        <f t="array" ref="H321">INDEX('GMW - Baseline'!$A$2:$MC$200,MATCH(1,('GMW - Baseline'!$MC$2:$MC$200=H$3)*('GMW - Baseline'!$MB$2:$MB$200=H$4),0),$E321-1973)</f>
        <v>NA</v>
      </c>
      <c r="I321" t="str" cm="1">
        <f t="array" ref="I321">INDEX('GMW - Baseline'!$A$2:$MC$200,MATCH(1,('GMW - Baseline'!$MC$2:$MC$200=I$3)*('GMW - Baseline'!$MB$2:$MB$200=I$4),0),$E321-1973)</f>
        <v>NA</v>
      </c>
      <c r="J321" t="e" cm="1">
        <f t="array" ref="J321">INDEX('GMW - Baseline'!$A$2:$MC$200,MATCH(1,('GMW - Baseline'!$MC$2:$MC$200=J$3)*('GMW - Baseline'!$MB$2:$MB$200=J$4),0),$E321-1973)</f>
        <v>#N/A</v>
      </c>
      <c r="K321" t="e" cm="1">
        <f t="array" ref="K321">INDEX('GMW - Baseline'!$A$2:$MC$200,MATCH(1,('GMW - Baseline'!$MC$2:$MC$200=K$3)*('GMW - Baseline'!$MB$2:$MB$200=K$4),0),$E321-1973)</f>
        <v>#N/A</v>
      </c>
      <c r="L321" t="e" cm="1">
        <f t="array" ref="L321">INDEX('GMW - Baseline'!$A$2:$MC$200,MATCH(1,('GMW - Baseline'!$MC$2:$MC$200=L$3)*('GMW - Baseline'!$MB$2:$MB$200=L$4),0),$E321-1973)</f>
        <v>#N/A</v>
      </c>
      <c r="M321" t="e" cm="1">
        <f t="array" ref="M321">INDEX('GMW - Baseline'!$A$2:$MC$200,MATCH(1,('GMW - Baseline'!$MC$2:$MC$200=M$3)*('GMW - Baseline'!$MB$2:$MB$200=M$4),0),$E321-1973)</f>
        <v>#N/A</v>
      </c>
      <c r="N321" t="e" cm="1">
        <f t="array" ref="N321">INDEX('GMW - Baseline'!$A$2:$MC$200,MATCH(1,('GMW - Baseline'!$MC$2:$MC$200=N$3)*('GMW - Baseline'!$MB$2:$MB$200=N$4),0),$E321-1973)</f>
        <v>#N/A</v>
      </c>
      <c r="O321" t="e" cm="1">
        <f t="array" ref="O321">INDEX('GMW - Baseline'!$A$2:$MC$200,MATCH(1,('GMW - Baseline'!$MC$2:$MC$200=O$3)*('GMW - Baseline'!$MB$2:$MB$200=O$4),0),$E321-1973)</f>
        <v>#N/A</v>
      </c>
      <c r="P321" t="e" cm="1">
        <f t="array" ref="P321">INDEX('GMW - Baseline'!$A$2:$MC$200,MATCH(1,('GMW - Baseline'!$MC$2:$MC$200=P$3)*('GMW - Baseline'!$MB$2:$MB$200=P$4),0),$E321-1973)</f>
        <v>#N/A</v>
      </c>
      <c r="Q321" t="e" cm="1">
        <f t="array" ref="Q321">INDEX('GMW - Baseline'!$A$2:$MC$200,MATCH(1,('GMW - Baseline'!$MC$2:$MC$200=Q$3)*('GMW - Baseline'!$MB$2:$MB$200=Q$4),0),$E321-1973)</f>
        <v>#N/A</v>
      </c>
      <c r="R321" t="e" cm="1">
        <f t="array" ref="R321">INDEX('GMW - Baseline'!$A$2:$MC$200,MATCH(1,('GMW - Baseline'!$MC$2:$MC$200=R$3)*('GMW - Baseline'!$MB$2:$MB$200=R$4),0),$E321-1973)</f>
        <v>#N/A</v>
      </c>
      <c r="S321" t="e" cm="1">
        <f t="array" ref="S321">INDEX('GMW - Baseline'!$A$2:$MC$200,MATCH(1,('GMW - Baseline'!$MC$2:$MC$200=S$3)*('GMW - Baseline'!$MB$2:$MB$200=S$4),0),$E321-1973)</f>
        <v>#N/A</v>
      </c>
      <c r="T321" t="e" cm="1">
        <f t="array" ref="T321">INDEX('GMW - Baseline'!$A$2:$MC$200,MATCH(1,('GMW - Baseline'!$MC$2:$MC$200=T$3)*('GMW - Baseline'!$MB$2:$MB$200=T$4),0),$E321-1973)</f>
        <v>#N/A</v>
      </c>
    </row>
    <row r="322" spans="1:20" x14ac:dyDescent="0.25">
      <c r="B322">
        <f t="shared" si="25"/>
        <v>2058</v>
      </c>
      <c r="C322">
        <f t="shared" si="25"/>
        <v>2058</v>
      </c>
      <c r="E322">
        <f t="shared" si="21"/>
        <v>2295</v>
      </c>
      <c r="F322" t="str" cm="1">
        <f t="array" ref="F322">INDEX('GMW - Baseline'!$A$2:$MC$200,MATCH(1,('GMW - Baseline'!$MC$2:$MC$200=F$3)*('GMW - Baseline'!$MB$2:$MB$200=F$4),0),$E322-1973)</f>
        <v>NA</v>
      </c>
      <c r="G322" t="str" cm="1">
        <f t="array" ref="G322">INDEX('GMW - Baseline'!$A$2:$MC$200,MATCH(1,('GMW - Baseline'!$MC$2:$MC$200=G$3)*('GMW - Baseline'!$MB$2:$MB$200=G$4),0),$E322-1973)</f>
        <v>NA</v>
      </c>
      <c r="H322" t="str" cm="1">
        <f t="array" ref="H322">INDEX('GMW - Baseline'!$A$2:$MC$200,MATCH(1,('GMW - Baseline'!$MC$2:$MC$200=H$3)*('GMW - Baseline'!$MB$2:$MB$200=H$4),0),$E322-1973)</f>
        <v>NA</v>
      </c>
      <c r="I322" t="str" cm="1">
        <f t="array" ref="I322">INDEX('GMW - Baseline'!$A$2:$MC$200,MATCH(1,('GMW - Baseline'!$MC$2:$MC$200=I$3)*('GMW - Baseline'!$MB$2:$MB$200=I$4),0),$E322-1973)</f>
        <v>NA</v>
      </c>
      <c r="J322" t="e" cm="1">
        <f t="array" ref="J322">INDEX('GMW - Baseline'!$A$2:$MC$200,MATCH(1,('GMW - Baseline'!$MC$2:$MC$200=J$3)*('GMW - Baseline'!$MB$2:$MB$200=J$4),0),$E322-1973)</f>
        <v>#N/A</v>
      </c>
      <c r="K322" t="e" cm="1">
        <f t="array" ref="K322">INDEX('GMW - Baseline'!$A$2:$MC$200,MATCH(1,('GMW - Baseline'!$MC$2:$MC$200=K$3)*('GMW - Baseline'!$MB$2:$MB$200=K$4),0),$E322-1973)</f>
        <v>#N/A</v>
      </c>
      <c r="L322" t="e" cm="1">
        <f t="array" ref="L322">INDEX('GMW - Baseline'!$A$2:$MC$200,MATCH(1,('GMW - Baseline'!$MC$2:$MC$200=L$3)*('GMW - Baseline'!$MB$2:$MB$200=L$4),0),$E322-1973)</f>
        <v>#N/A</v>
      </c>
      <c r="M322" t="e" cm="1">
        <f t="array" ref="M322">INDEX('GMW - Baseline'!$A$2:$MC$200,MATCH(1,('GMW - Baseline'!$MC$2:$MC$200=M$3)*('GMW - Baseline'!$MB$2:$MB$200=M$4),0),$E322-1973)</f>
        <v>#N/A</v>
      </c>
      <c r="N322" t="e" cm="1">
        <f t="array" ref="N322">INDEX('GMW - Baseline'!$A$2:$MC$200,MATCH(1,('GMW - Baseline'!$MC$2:$MC$200=N$3)*('GMW - Baseline'!$MB$2:$MB$200=N$4),0),$E322-1973)</f>
        <v>#N/A</v>
      </c>
      <c r="O322" t="e" cm="1">
        <f t="array" ref="O322">INDEX('GMW - Baseline'!$A$2:$MC$200,MATCH(1,('GMW - Baseline'!$MC$2:$MC$200=O$3)*('GMW - Baseline'!$MB$2:$MB$200=O$4),0),$E322-1973)</f>
        <v>#N/A</v>
      </c>
      <c r="P322" t="e" cm="1">
        <f t="array" ref="P322">INDEX('GMW - Baseline'!$A$2:$MC$200,MATCH(1,('GMW - Baseline'!$MC$2:$MC$200=P$3)*('GMW - Baseline'!$MB$2:$MB$200=P$4),0),$E322-1973)</f>
        <v>#N/A</v>
      </c>
      <c r="Q322" t="e" cm="1">
        <f t="array" ref="Q322">INDEX('GMW - Baseline'!$A$2:$MC$200,MATCH(1,('GMW - Baseline'!$MC$2:$MC$200=Q$3)*('GMW - Baseline'!$MB$2:$MB$200=Q$4),0),$E322-1973)</f>
        <v>#N/A</v>
      </c>
      <c r="R322" t="e" cm="1">
        <f t="array" ref="R322">INDEX('GMW - Baseline'!$A$2:$MC$200,MATCH(1,('GMW - Baseline'!$MC$2:$MC$200=R$3)*('GMW - Baseline'!$MB$2:$MB$200=R$4),0),$E322-1973)</f>
        <v>#N/A</v>
      </c>
      <c r="S322" t="e" cm="1">
        <f t="array" ref="S322">INDEX('GMW - Baseline'!$A$2:$MC$200,MATCH(1,('GMW - Baseline'!$MC$2:$MC$200=S$3)*('GMW - Baseline'!$MB$2:$MB$200=S$4),0),$E322-1973)</f>
        <v>#N/A</v>
      </c>
      <c r="T322" t="e" cm="1">
        <f t="array" ref="T322">INDEX('GMW - Baseline'!$A$2:$MC$200,MATCH(1,('GMW - Baseline'!$MC$2:$MC$200=T$3)*('GMW - Baseline'!$MB$2:$MB$200=T$4),0),$E322-1973)</f>
        <v>#N/A</v>
      </c>
    </row>
    <row r="323" spans="1:20" x14ac:dyDescent="0.25">
      <c r="A323">
        <v>2059</v>
      </c>
      <c r="B323">
        <f t="shared" si="25"/>
        <v>2059</v>
      </c>
      <c r="C323">
        <f t="shared" si="25"/>
        <v>2058</v>
      </c>
      <c r="D323">
        <f t="shared" si="25"/>
        <v>2058</v>
      </c>
      <c r="E323">
        <f t="shared" si="21"/>
        <v>2296</v>
      </c>
      <c r="F323" t="str" cm="1">
        <f t="array" ref="F323">INDEX('GMW - Baseline'!$A$2:$MC$200,MATCH(1,('GMW - Baseline'!$MC$2:$MC$200=F$3)*('GMW - Baseline'!$MB$2:$MB$200=F$4),0),$E323-1973)</f>
        <v>NA</v>
      </c>
      <c r="G323" t="str" cm="1">
        <f t="array" ref="G323">INDEX('GMW - Baseline'!$A$2:$MC$200,MATCH(1,('GMW - Baseline'!$MC$2:$MC$200=G$3)*('GMW - Baseline'!$MB$2:$MB$200=G$4),0),$E323-1973)</f>
        <v>NA</v>
      </c>
      <c r="H323" t="str" cm="1">
        <f t="array" ref="H323">INDEX('GMW - Baseline'!$A$2:$MC$200,MATCH(1,('GMW - Baseline'!$MC$2:$MC$200=H$3)*('GMW - Baseline'!$MB$2:$MB$200=H$4),0),$E323-1973)</f>
        <v>NA</v>
      </c>
      <c r="I323" t="str" cm="1">
        <f t="array" ref="I323">INDEX('GMW - Baseline'!$A$2:$MC$200,MATCH(1,('GMW - Baseline'!$MC$2:$MC$200=I$3)*('GMW - Baseline'!$MB$2:$MB$200=I$4),0),$E323-1973)</f>
        <v>NA</v>
      </c>
      <c r="J323" t="e" cm="1">
        <f t="array" ref="J323">INDEX('GMW - Baseline'!$A$2:$MC$200,MATCH(1,('GMW - Baseline'!$MC$2:$MC$200=J$3)*('GMW - Baseline'!$MB$2:$MB$200=J$4),0),$E323-1973)</f>
        <v>#N/A</v>
      </c>
      <c r="K323" t="e" cm="1">
        <f t="array" ref="K323">INDEX('GMW - Baseline'!$A$2:$MC$200,MATCH(1,('GMW - Baseline'!$MC$2:$MC$200=K$3)*('GMW - Baseline'!$MB$2:$MB$200=K$4),0),$E323-1973)</f>
        <v>#N/A</v>
      </c>
      <c r="L323" t="e" cm="1">
        <f t="array" ref="L323">INDEX('GMW - Baseline'!$A$2:$MC$200,MATCH(1,('GMW - Baseline'!$MC$2:$MC$200=L$3)*('GMW - Baseline'!$MB$2:$MB$200=L$4),0),$E323-1973)</f>
        <v>#N/A</v>
      </c>
      <c r="M323" t="e" cm="1">
        <f t="array" ref="M323">INDEX('GMW - Baseline'!$A$2:$MC$200,MATCH(1,('GMW - Baseline'!$MC$2:$MC$200=M$3)*('GMW - Baseline'!$MB$2:$MB$200=M$4),0),$E323-1973)</f>
        <v>#N/A</v>
      </c>
      <c r="N323" t="e" cm="1">
        <f t="array" ref="N323">INDEX('GMW - Baseline'!$A$2:$MC$200,MATCH(1,('GMW - Baseline'!$MC$2:$MC$200=N$3)*('GMW - Baseline'!$MB$2:$MB$200=N$4),0),$E323-1973)</f>
        <v>#N/A</v>
      </c>
      <c r="O323" t="e" cm="1">
        <f t="array" ref="O323">INDEX('GMW - Baseline'!$A$2:$MC$200,MATCH(1,('GMW - Baseline'!$MC$2:$MC$200=O$3)*('GMW - Baseline'!$MB$2:$MB$200=O$4),0),$E323-1973)</f>
        <v>#N/A</v>
      </c>
      <c r="P323" t="e" cm="1">
        <f t="array" ref="P323">INDEX('GMW - Baseline'!$A$2:$MC$200,MATCH(1,('GMW - Baseline'!$MC$2:$MC$200=P$3)*('GMW - Baseline'!$MB$2:$MB$200=P$4),0),$E323-1973)</f>
        <v>#N/A</v>
      </c>
      <c r="Q323" t="e" cm="1">
        <f t="array" ref="Q323">INDEX('GMW - Baseline'!$A$2:$MC$200,MATCH(1,('GMW - Baseline'!$MC$2:$MC$200=Q$3)*('GMW - Baseline'!$MB$2:$MB$200=Q$4),0),$E323-1973)</f>
        <v>#N/A</v>
      </c>
      <c r="R323" t="e" cm="1">
        <f t="array" ref="R323">INDEX('GMW - Baseline'!$A$2:$MC$200,MATCH(1,('GMW - Baseline'!$MC$2:$MC$200=R$3)*('GMW - Baseline'!$MB$2:$MB$200=R$4),0),$E323-1973)</f>
        <v>#N/A</v>
      </c>
      <c r="S323" t="e" cm="1">
        <f t="array" ref="S323">INDEX('GMW - Baseline'!$A$2:$MC$200,MATCH(1,('GMW - Baseline'!$MC$2:$MC$200=S$3)*('GMW - Baseline'!$MB$2:$MB$200=S$4),0),$E323-1973)</f>
        <v>#N/A</v>
      </c>
      <c r="T323" t="e" cm="1">
        <f t="array" ref="T323">INDEX('GMW - Baseline'!$A$2:$MC$200,MATCH(1,('GMW - Baseline'!$MC$2:$MC$200=T$3)*('GMW - Baseline'!$MB$2:$MB$200=T$4),0),$E323-1973)</f>
        <v>#N/A</v>
      </c>
    </row>
    <row r="324" spans="1:20" x14ac:dyDescent="0.25">
      <c r="B324">
        <f t="shared" si="25"/>
        <v>2059</v>
      </c>
      <c r="C324">
        <f t="shared" si="25"/>
        <v>2059</v>
      </c>
      <c r="E324">
        <f t="shared" si="21"/>
        <v>2297</v>
      </c>
      <c r="F324" t="str" cm="1">
        <f t="array" ref="F324">INDEX('GMW - Baseline'!$A$2:$MC$200,MATCH(1,('GMW - Baseline'!$MC$2:$MC$200=F$3)*('GMW - Baseline'!$MB$2:$MB$200=F$4),0),$E324-1973)</f>
        <v>NA</v>
      </c>
      <c r="G324" t="str" cm="1">
        <f t="array" ref="G324">INDEX('GMW - Baseline'!$A$2:$MC$200,MATCH(1,('GMW - Baseline'!$MC$2:$MC$200=G$3)*('GMW - Baseline'!$MB$2:$MB$200=G$4),0),$E324-1973)</f>
        <v>NA</v>
      </c>
      <c r="H324" t="str" cm="1">
        <f t="array" ref="H324">INDEX('GMW - Baseline'!$A$2:$MC$200,MATCH(1,('GMW - Baseline'!$MC$2:$MC$200=H$3)*('GMW - Baseline'!$MB$2:$MB$200=H$4),0),$E324-1973)</f>
        <v>NA</v>
      </c>
      <c r="I324" t="str" cm="1">
        <f t="array" ref="I324">INDEX('GMW - Baseline'!$A$2:$MC$200,MATCH(1,('GMW - Baseline'!$MC$2:$MC$200=I$3)*('GMW - Baseline'!$MB$2:$MB$200=I$4),0),$E324-1973)</f>
        <v>NA</v>
      </c>
      <c r="J324" t="e" cm="1">
        <f t="array" ref="J324">INDEX('GMW - Baseline'!$A$2:$MC$200,MATCH(1,('GMW - Baseline'!$MC$2:$MC$200=J$3)*('GMW - Baseline'!$MB$2:$MB$200=J$4),0),$E324-1973)</f>
        <v>#N/A</v>
      </c>
      <c r="K324" t="e" cm="1">
        <f t="array" ref="K324">INDEX('GMW - Baseline'!$A$2:$MC$200,MATCH(1,('GMW - Baseline'!$MC$2:$MC$200=K$3)*('GMW - Baseline'!$MB$2:$MB$200=K$4),0),$E324-1973)</f>
        <v>#N/A</v>
      </c>
      <c r="L324" t="e" cm="1">
        <f t="array" ref="L324">INDEX('GMW - Baseline'!$A$2:$MC$200,MATCH(1,('GMW - Baseline'!$MC$2:$MC$200=L$3)*('GMW - Baseline'!$MB$2:$MB$200=L$4),0),$E324-1973)</f>
        <v>#N/A</v>
      </c>
      <c r="M324" t="e" cm="1">
        <f t="array" ref="M324">INDEX('GMW - Baseline'!$A$2:$MC$200,MATCH(1,('GMW - Baseline'!$MC$2:$MC$200=M$3)*('GMW - Baseline'!$MB$2:$MB$200=M$4),0),$E324-1973)</f>
        <v>#N/A</v>
      </c>
      <c r="N324" t="e" cm="1">
        <f t="array" ref="N324">INDEX('GMW - Baseline'!$A$2:$MC$200,MATCH(1,('GMW - Baseline'!$MC$2:$MC$200=N$3)*('GMW - Baseline'!$MB$2:$MB$200=N$4),0),$E324-1973)</f>
        <v>#N/A</v>
      </c>
      <c r="O324" t="e" cm="1">
        <f t="array" ref="O324">INDEX('GMW - Baseline'!$A$2:$MC$200,MATCH(1,('GMW - Baseline'!$MC$2:$MC$200=O$3)*('GMW - Baseline'!$MB$2:$MB$200=O$4),0),$E324-1973)</f>
        <v>#N/A</v>
      </c>
      <c r="P324" t="e" cm="1">
        <f t="array" ref="P324">INDEX('GMW - Baseline'!$A$2:$MC$200,MATCH(1,('GMW - Baseline'!$MC$2:$MC$200=P$3)*('GMW - Baseline'!$MB$2:$MB$200=P$4),0),$E324-1973)</f>
        <v>#N/A</v>
      </c>
      <c r="Q324" t="e" cm="1">
        <f t="array" ref="Q324">INDEX('GMW - Baseline'!$A$2:$MC$200,MATCH(1,('GMW - Baseline'!$MC$2:$MC$200=Q$3)*('GMW - Baseline'!$MB$2:$MB$200=Q$4),0),$E324-1973)</f>
        <v>#N/A</v>
      </c>
      <c r="R324" t="e" cm="1">
        <f t="array" ref="R324">INDEX('GMW - Baseline'!$A$2:$MC$200,MATCH(1,('GMW - Baseline'!$MC$2:$MC$200=R$3)*('GMW - Baseline'!$MB$2:$MB$200=R$4),0),$E324-1973)</f>
        <v>#N/A</v>
      </c>
      <c r="S324" t="e" cm="1">
        <f t="array" ref="S324">INDEX('GMW - Baseline'!$A$2:$MC$200,MATCH(1,('GMW - Baseline'!$MC$2:$MC$200=S$3)*('GMW - Baseline'!$MB$2:$MB$200=S$4),0),$E324-1973)</f>
        <v>#N/A</v>
      </c>
      <c r="T324" t="e" cm="1">
        <f t="array" ref="T324">INDEX('GMW - Baseline'!$A$2:$MC$200,MATCH(1,('GMW - Baseline'!$MC$2:$MC$200=T$3)*('GMW - Baseline'!$MB$2:$MB$200=T$4),0),$E324-1973)</f>
        <v>#N/A</v>
      </c>
    </row>
    <row r="325" spans="1:20" x14ac:dyDescent="0.25">
      <c r="B325">
        <f t="shared" si="25"/>
        <v>2059</v>
      </c>
      <c r="C325">
        <f t="shared" si="25"/>
        <v>2059</v>
      </c>
      <c r="E325">
        <f t="shared" si="21"/>
        <v>2298</v>
      </c>
      <c r="F325" t="str" cm="1">
        <f t="array" ref="F325">INDEX('GMW - Baseline'!$A$2:$MC$200,MATCH(1,('GMW - Baseline'!$MC$2:$MC$200=F$3)*('GMW - Baseline'!$MB$2:$MB$200=F$4),0),$E325-1973)</f>
        <v>NA</v>
      </c>
      <c r="G325" t="str" cm="1">
        <f t="array" ref="G325">INDEX('GMW - Baseline'!$A$2:$MC$200,MATCH(1,('GMW - Baseline'!$MC$2:$MC$200=G$3)*('GMW - Baseline'!$MB$2:$MB$200=G$4),0),$E325-1973)</f>
        <v>NA</v>
      </c>
      <c r="H325" t="str" cm="1">
        <f t="array" ref="H325">INDEX('GMW - Baseline'!$A$2:$MC$200,MATCH(1,('GMW - Baseline'!$MC$2:$MC$200=H$3)*('GMW - Baseline'!$MB$2:$MB$200=H$4),0),$E325-1973)</f>
        <v>NA</v>
      </c>
      <c r="I325" t="str" cm="1">
        <f t="array" ref="I325">INDEX('GMW - Baseline'!$A$2:$MC$200,MATCH(1,('GMW - Baseline'!$MC$2:$MC$200=I$3)*('GMW - Baseline'!$MB$2:$MB$200=I$4),0),$E325-1973)</f>
        <v>NA</v>
      </c>
      <c r="J325" t="e" cm="1">
        <f t="array" ref="J325">INDEX('GMW - Baseline'!$A$2:$MC$200,MATCH(1,('GMW - Baseline'!$MC$2:$MC$200=J$3)*('GMW - Baseline'!$MB$2:$MB$200=J$4),0),$E325-1973)</f>
        <v>#N/A</v>
      </c>
      <c r="K325" t="e" cm="1">
        <f t="array" ref="K325">INDEX('GMW - Baseline'!$A$2:$MC$200,MATCH(1,('GMW - Baseline'!$MC$2:$MC$200=K$3)*('GMW - Baseline'!$MB$2:$MB$200=K$4),0),$E325-1973)</f>
        <v>#N/A</v>
      </c>
      <c r="L325" t="e" cm="1">
        <f t="array" ref="L325">INDEX('GMW - Baseline'!$A$2:$MC$200,MATCH(1,('GMW - Baseline'!$MC$2:$MC$200=L$3)*('GMW - Baseline'!$MB$2:$MB$200=L$4),0),$E325-1973)</f>
        <v>#N/A</v>
      </c>
      <c r="M325" t="e" cm="1">
        <f t="array" ref="M325">INDEX('GMW - Baseline'!$A$2:$MC$200,MATCH(1,('GMW - Baseline'!$MC$2:$MC$200=M$3)*('GMW - Baseline'!$MB$2:$MB$200=M$4),0),$E325-1973)</f>
        <v>#N/A</v>
      </c>
      <c r="N325" t="e" cm="1">
        <f t="array" ref="N325">INDEX('GMW - Baseline'!$A$2:$MC$200,MATCH(1,('GMW - Baseline'!$MC$2:$MC$200=N$3)*('GMW - Baseline'!$MB$2:$MB$200=N$4),0),$E325-1973)</f>
        <v>#N/A</v>
      </c>
      <c r="O325" t="e" cm="1">
        <f t="array" ref="O325">INDEX('GMW - Baseline'!$A$2:$MC$200,MATCH(1,('GMW - Baseline'!$MC$2:$MC$200=O$3)*('GMW - Baseline'!$MB$2:$MB$200=O$4),0),$E325-1973)</f>
        <v>#N/A</v>
      </c>
      <c r="P325" t="e" cm="1">
        <f t="array" ref="P325">INDEX('GMW - Baseline'!$A$2:$MC$200,MATCH(1,('GMW - Baseline'!$MC$2:$MC$200=P$3)*('GMW - Baseline'!$MB$2:$MB$200=P$4),0),$E325-1973)</f>
        <v>#N/A</v>
      </c>
      <c r="Q325" t="e" cm="1">
        <f t="array" ref="Q325">INDEX('GMW - Baseline'!$A$2:$MC$200,MATCH(1,('GMW - Baseline'!$MC$2:$MC$200=Q$3)*('GMW - Baseline'!$MB$2:$MB$200=Q$4),0),$E325-1973)</f>
        <v>#N/A</v>
      </c>
      <c r="R325" t="e" cm="1">
        <f t="array" ref="R325">INDEX('GMW - Baseline'!$A$2:$MC$200,MATCH(1,('GMW - Baseline'!$MC$2:$MC$200=R$3)*('GMW - Baseline'!$MB$2:$MB$200=R$4),0),$E325-1973)</f>
        <v>#N/A</v>
      </c>
      <c r="S325" t="e" cm="1">
        <f t="array" ref="S325">INDEX('GMW - Baseline'!$A$2:$MC$200,MATCH(1,('GMW - Baseline'!$MC$2:$MC$200=S$3)*('GMW - Baseline'!$MB$2:$MB$200=S$4),0),$E325-1973)</f>
        <v>#N/A</v>
      </c>
      <c r="T325" t="e" cm="1">
        <f t="array" ref="T325">INDEX('GMW - Baseline'!$A$2:$MC$200,MATCH(1,('GMW - Baseline'!$MC$2:$MC$200=T$3)*('GMW - Baseline'!$MB$2:$MB$200=T$4),0),$E325-1973)</f>
        <v>#N/A</v>
      </c>
    </row>
    <row r="326" spans="1:20" x14ac:dyDescent="0.25">
      <c r="B326">
        <f t="shared" si="25"/>
        <v>2059</v>
      </c>
      <c r="C326">
        <f t="shared" si="25"/>
        <v>2059</v>
      </c>
      <c r="E326">
        <f t="shared" si="21"/>
        <v>2299</v>
      </c>
      <c r="F326" t="str" cm="1">
        <f t="array" ref="F326">INDEX('GMW - Baseline'!$A$2:$MC$200,MATCH(1,('GMW - Baseline'!$MC$2:$MC$200=F$3)*('GMW - Baseline'!$MB$2:$MB$200=F$4),0),$E326-1973)</f>
        <v>NA</v>
      </c>
      <c r="G326" t="str" cm="1">
        <f t="array" ref="G326">INDEX('GMW - Baseline'!$A$2:$MC$200,MATCH(1,('GMW - Baseline'!$MC$2:$MC$200=G$3)*('GMW - Baseline'!$MB$2:$MB$200=G$4),0),$E326-1973)</f>
        <v>NA</v>
      </c>
      <c r="H326" t="str" cm="1">
        <f t="array" ref="H326">INDEX('GMW - Baseline'!$A$2:$MC$200,MATCH(1,('GMW - Baseline'!$MC$2:$MC$200=H$3)*('GMW - Baseline'!$MB$2:$MB$200=H$4),0),$E326-1973)</f>
        <v>NA</v>
      </c>
      <c r="I326" t="str" cm="1">
        <f t="array" ref="I326">INDEX('GMW - Baseline'!$A$2:$MC$200,MATCH(1,('GMW - Baseline'!$MC$2:$MC$200=I$3)*('GMW - Baseline'!$MB$2:$MB$200=I$4),0),$E326-1973)</f>
        <v>NA</v>
      </c>
      <c r="J326" t="e" cm="1">
        <f t="array" ref="J326">INDEX('GMW - Baseline'!$A$2:$MC$200,MATCH(1,('GMW - Baseline'!$MC$2:$MC$200=J$3)*('GMW - Baseline'!$MB$2:$MB$200=J$4),0),$E326-1973)</f>
        <v>#N/A</v>
      </c>
      <c r="K326" t="e" cm="1">
        <f t="array" ref="K326">INDEX('GMW - Baseline'!$A$2:$MC$200,MATCH(1,('GMW - Baseline'!$MC$2:$MC$200=K$3)*('GMW - Baseline'!$MB$2:$MB$200=K$4),0),$E326-1973)</f>
        <v>#N/A</v>
      </c>
      <c r="L326" t="e" cm="1">
        <f t="array" ref="L326">INDEX('GMW - Baseline'!$A$2:$MC$200,MATCH(1,('GMW - Baseline'!$MC$2:$MC$200=L$3)*('GMW - Baseline'!$MB$2:$MB$200=L$4),0),$E326-1973)</f>
        <v>#N/A</v>
      </c>
      <c r="M326" t="e" cm="1">
        <f t="array" ref="M326">INDEX('GMW - Baseline'!$A$2:$MC$200,MATCH(1,('GMW - Baseline'!$MC$2:$MC$200=M$3)*('GMW - Baseline'!$MB$2:$MB$200=M$4),0),$E326-1973)</f>
        <v>#N/A</v>
      </c>
      <c r="N326" t="e" cm="1">
        <f t="array" ref="N326">INDEX('GMW - Baseline'!$A$2:$MC$200,MATCH(1,('GMW - Baseline'!$MC$2:$MC$200=N$3)*('GMW - Baseline'!$MB$2:$MB$200=N$4),0),$E326-1973)</f>
        <v>#N/A</v>
      </c>
      <c r="O326" t="e" cm="1">
        <f t="array" ref="O326">INDEX('GMW - Baseline'!$A$2:$MC$200,MATCH(1,('GMW - Baseline'!$MC$2:$MC$200=O$3)*('GMW - Baseline'!$MB$2:$MB$200=O$4),0),$E326-1973)</f>
        <v>#N/A</v>
      </c>
      <c r="P326" t="e" cm="1">
        <f t="array" ref="P326">INDEX('GMW - Baseline'!$A$2:$MC$200,MATCH(1,('GMW - Baseline'!$MC$2:$MC$200=P$3)*('GMW - Baseline'!$MB$2:$MB$200=P$4),0),$E326-1973)</f>
        <v>#N/A</v>
      </c>
      <c r="Q326" t="e" cm="1">
        <f t="array" ref="Q326">INDEX('GMW - Baseline'!$A$2:$MC$200,MATCH(1,('GMW - Baseline'!$MC$2:$MC$200=Q$3)*('GMW - Baseline'!$MB$2:$MB$200=Q$4),0),$E326-1973)</f>
        <v>#N/A</v>
      </c>
      <c r="R326" t="e" cm="1">
        <f t="array" ref="R326">INDEX('GMW - Baseline'!$A$2:$MC$200,MATCH(1,('GMW - Baseline'!$MC$2:$MC$200=R$3)*('GMW - Baseline'!$MB$2:$MB$200=R$4),0),$E326-1973)</f>
        <v>#N/A</v>
      </c>
      <c r="S326" t="e" cm="1">
        <f t="array" ref="S326">INDEX('GMW - Baseline'!$A$2:$MC$200,MATCH(1,('GMW - Baseline'!$MC$2:$MC$200=S$3)*('GMW - Baseline'!$MB$2:$MB$200=S$4),0),$E326-1973)</f>
        <v>#N/A</v>
      </c>
      <c r="T326" t="e" cm="1">
        <f t="array" ref="T326">INDEX('GMW - Baseline'!$A$2:$MC$200,MATCH(1,('GMW - Baseline'!$MC$2:$MC$200=T$3)*('GMW - Baseline'!$MB$2:$MB$200=T$4),0),$E326-1973)</f>
        <v>#N/A</v>
      </c>
    </row>
    <row r="327" spans="1:20" x14ac:dyDescent="0.25">
      <c r="A327">
        <v>2060</v>
      </c>
      <c r="B327">
        <f t="shared" si="25"/>
        <v>2060</v>
      </c>
      <c r="C327">
        <f t="shared" si="25"/>
        <v>2059</v>
      </c>
      <c r="D327">
        <f t="shared" si="25"/>
        <v>2059</v>
      </c>
      <c r="E327">
        <f t="shared" si="21"/>
        <v>2300</v>
      </c>
      <c r="F327" t="str" cm="1">
        <f t="array" ref="F327">INDEX('GMW - Baseline'!$A$2:$MC$200,MATCH(1,('GMW - Baseline'!$MC$2:$MC$200=F$3)*('GMW - Baseline'!$MB$2:$MB$200=F$4),0),$E327-1973)</f>
        <v>NA</v>
      </c>
      <c r="G327" t="str" cm="1">
        <f t="array" ref="G327">INDEX('GMW - Baseline'!$A$2:$MC$200,MATCH(1,('GMW - Baseline'!$MC$2:$MC$200=G$3)*('GMW - Baseline'!$MB$2:$MB$200=G$4),0),$E327-1973)</f>
        <v>NA</v>
      </c>
      <c r="H327" t="str" cm="1">
        <f t="array" ref="H327">INDEX('GMW - Baseline'!$A$2:$MC$200,MATCH(1,('GMW - Baseline'!$MC$2:$MC$200=H$3)*('GMW - Baseline'!$MB$2:$MB$200=H$4),0),$E327-1973)</f>
        <v>NA</v>
      </c>
      <c r="I327" t="str" cm="1">
        <f t="array" ref="I327">INDEX('GMW - Baseline'!$A$2:$MC$200,MATCH(1,('GMW - Baseline'!$MC$2:$MC$200=I$3)*('GMW - Baseline'!$MB$2:$MB$200=I$4),0),$E327-1973)</f>
        <v>NA</v>
      </c>
      <c r="J327" t="e" cm="1">
        <f t="array" ref="J327">INDEX('GMW - Baseline'!$A$2:$MC$200,MATCH(1,('GMW - Baseline'!$MC$2:$MC$200=J$3)*('GMW - Baseline'!$MB$2:$MB$200=J$4),0),$E327-1973)</f>
        <v>#N/A</v>
      </c>
      <c r="K327" t="e" cm="1">
        <f t="array" ref="K327">INDEX('GMW - Baseline'!$A$2:$MC$200,MATCH(1,('GMW - Baseline'!$MC$2:$MC$200=K$3)*('GMW - Baseline'!$MB$2:$MB$200=K$4),0),$E327-1973)</f>
        <v>#N/A</v>
      </c>
      <c r="L327" t="e" cm="1">
        <f t="array" ref="L327">INDEX('GMW - Baseline'!$A$2:$MC$200,MATCH(1,('GMW - Baseline'!$MC$2:$MC$200=L$3)*('GMW - Baseline'!$MB$2:$MB$200=L$4),0),$E327-1973)</f>
        <v>#N/A</v>
      </c>
      <c r="M327" t="e" cm="1">
        <f t="array" ref="M327">INDEX('GMW - Baseline'!$A$2:$MC$200,MATCH(1,('GMW - Baseline'!$MC$2:$MC$200=M$3)*('GMW - Baseline'!$MB$2:$MB$200=M$4),0),$E327-1973)</f>
        <v>#N/A</v>
      </c>
      <c r="N327" t="e" cm="1">
        <f t="array" ref="N327">INDEX('GMW - Baseline'!$A$2:$MC$200,MATCH(1,('GMW - Baseline'!$MC$2:$MC$200=N$3)*('GMW - Baseline'!$MB$2:$MB$200=N$4),0),$E327-1973)</f>
        <v>#N/A</v>
      </c>
      <c r="O327" t="e" cm="1">
        <f t="array" ref="O327">INDEX('GMW - Baseline'!$A$2:$MC$200,MATCH(1,('GMW - Baseline'!$MC$2:$MC$200=O$3)*('GMW - Baseline'!$MB$2:$MB$200=O$4),0),$E327-1973)</f>
        <v>#N/A</v>
      </c>
      <c r="P327" t="e" cm="1">
        <f t="array" ref="P327">INDEX('GMW - Baseline'!$A$2:$MC$200,MATCH(1,('GMW - Baseline'!$MC$2:$MC$200=P$3)*('GMW - Baseline'!$MB$2:$MB$200=P$4),0),$E327-1973)</f>
        <v>#N/A</v>
      </c>
      <c r="Q327" t="e" cm="1">
        <f t="array" ref="Q327">INDEX('GMW - Baseline'!$A$2:$MC$200,MATCH(1,('GMW - Baseline'!$MC$2:$MC$200=Q$3)*('GMW - Baseline'!$MB$2:$MB$200=Q$4),0),$E327-1973)</f>
        <v>#N/A</v>
      </c>
      <c r="R327" t="e" cm="1">
        <f t="array" ref="R327">INDEX('GMW - Baseline'!$A$2:$MC$200,MATCH(1,('GMW - Baseline'!$MC$2:$MC$200=R$3)*('GMW - Baseline'!$MB$2:$MB$200=R$4),0),$E327-1973)</f>
        <v>#N/A</v>
      </c>
      <c r="S327" t="e" cm="1">
        <f t="array" ref="S327">INDEX('GMW - Baseline'!$A$2:$MC$200,MATCH(1,('GMW - Baseline'!$MC$2:$MC$200=S$3)*('GMW - Baseline'!$MB$2:$MB$200=S$4),0),$E327-1973)</f>
        <v>#N/A</v>
      </c>
      <c r="T327" t="e" cm="1">
        <f t="array" ref="T327">INDEX('GMW - Baseline'!$A$2:$MC$200,MATCH(1,('GMW - Baseline'!$MC$2:$MC$200=T$3)*('GMW - Baseline'!$MB$2:$MB$200=T$4),0),$E327-1973)</f>
        <v>#N/A</v>
      </c>
    </row>
    <row r="328" spans="1:20" x14ac:dyDescent="0.25">
      <c r="B328">
        <f t="shared" si="25"/>
        <v>2060</v>
      </c>
      <c r="C328">
        <f t="shared" si="25"/>
        <v>2060</v>
      </c>
      <c r="E328">
        <f t="shared" si="21"/>
        <v>2301</v>
      </c>
      <c r="F328" t="str" cm="1">
        <f t="array" ref="F328">INDEX('GMW - Baseline'!$A$2:$MC$200,MATCH(1,('GMW - Baseline'!$MC$2:$MC$200=F$3)*('GMW - Baseline'!$MB$2:$MB$200=F$4),0),$E328-1973)</f>
        <v>NA</v>
      </c>
      <c r="G328" t="str" cm="1">
        <f t="array" ref="G328">INDEX('GMW - Baseline'!$A$2:$MC$200,MATCH(1,('GMW - Baseline'!$MC$2:$MC$200=G$3)*('GMW - Baseline'!$MB$2:$MB$200=G$4),0),$E328-1973)</f>
        <v>NA</v>
      </c>
      <c r="H328" t="str" cm="1">
        <f t="array" ref="H328">INDEX('GMW - Baseline'!$A$2:$MC$200,MATCH(1,('GMW - Baseline'!$MC$2:$MC$200=H$3)*('GMW - Baseline'!$MB$2:$MB$200=H$4),0),$E328-1973)</f>
        <v>NA</v>
      </c>
      <c r="I328" t="str" cm="1">
        <f t="array" ref="I328">INDEX('GMW - Baseline'!$A$2:$MC$200,MATCH(1,('GMW - Baseline'!$MC$2:$MC$200=I$3)*('GMW - Baseline'!$MB$2:$MB$200=I$4),0),$E328-1973)</f>
        <v>NA</v>
      </c>
      <c r="J328" t="e" cm="1">
        <f t="array" ref="J328">INDEX('GMW - Baseline'!$A$2:$MC$200,MATCH(1,('GMW - Baseline'!$MC$2:$MC$200=J$3)*('GMW - Baseline'!$MB$2:$MB$200=J$4),0),$E328-1973)</f>
        <v>#N/A</v>
      </c>
      <c r="K328" t="e" cm="1">
        <f t="array" ref="K328">INDEX('GMW - Baseline'!$A$2:$MC$200,MATCH(1,('GMW - Baseline'!$MC$2:$MC$200=K$3)*('GMW - Baseline'!$MB$2:$MB$200=K$4),0),$E328-1973)</f>
        <v>#N/A</v>
      </c>
      <c r="L328" t="e" cm="1">
        <f t="array" ref="L328">INDEX('GMW - Baseline'!$A$2:$MC$200,MATCH(1,('GMW - Baseline'!$MC$2:$MC$200=L$3)*('GMW - Baseline'!$MB$2:$MB$200=L$4),0),$E328-1973)</f>
        <v>#N/A</v>
      </c>
      <c r="M328" t="e" cm="1">
        <f t="array" ref="M328">INDEX('GMW - Baseline'!$A$2:$MC$200,MATCH(1,('GMW - Baseline'!$MC$2:$MC$200=M$3)*('GMW - Baseline'!$MB$2:$MB$200=M$4),0),$E328-1973)</f>
        <v>#N/A</v>
      </c>
      <c r="N328" t="e" cm="1">
        <f t="array" ref="N328">INDEX('GMW - Baseline'!$A$2:$MC$200,MATCH(1,('GMW - Baseline'!$MC$2:$MC$200=N$3)*('GMW - Baseline'!$MB$2:$MB$200=N$4),0),$E328-1973)</f>
        <v>#N/A</v>
      </c>
      <c r="O328" t="e" cm="1">
        <f t="array" ref="O328">INDEX('GMW - Baseline'!$A$2:$MC$200,MATCH(1,('GMW - Baseline'!$MC$2:$MC$200=O$3)*('GMW - Baseline'!$MB$2:$MB$200=O$4),0),$E328-1973)</f>
        <v>#N/A</v>
      </c>
      <c r="P328" t="e" cm="1">
        <f t="array" ref="P328">INDEX('GMW - Baseline'!$A$2:$MC$200,MATCH(1,('GMW - Baseline'!$MC$2:$MC$200=P$3)*('GMW - Baseline'!$MB$2:$MB$200=P$4),0),$E328-1973)</f>
        <v>#N/A</v>
      </c>
      <c r="Q328" t="e" cm="1">
        <f t="array" ref="Q328">INDEX('GMW - Baseline'!$A$2:$MC$200,MATCH(1,('GMW - Baseline'!$MC$2:$MC$200=Q$3)*('GMW - Baseline'!$MB$2:$MB$200=Q$4),0),$E328-1973)</f>
        <v>#N/A</v>
      </c>
      <c r="R328" t="e" cm="1">
        <f t="array" ref="R328">INDEX('GMW - Baseline'!$A$2:$MC$200,MATCH(1,('GMW - Baseline'!$MC$2:$MC$200=R$3)*('GMW - Baseline'!$MB$2:$MB$200=R$4),0),$E328-1973)</f>
        <v>#N/A</v>
      </c>
      <c r="S328" t="e" cm="1">
        <f t="array" ref="S328">INDEX('GMW - Baseline'!$A$2:$MC$200,MATCH(1,('GMW - Baseline'!$MC$2:$MC$200=S$3)*('GMW - Baseline'!$MB$2:$MB$200=S$4),0),$E328-1973)</f>
        <v>#N/A</v>
      </c>
      <c r="T328" t="e" cm="1">
        <f t="array" ref="T328">INDEX('GMW - Baseline'!$A$2:$MC$200,MATCH(1,('GMW - Baseline'!$MC$2:$MC$200=T$3)*('GMW - Baseline'!$MB$2:$MB$200=T$4),0),$E328-1973)</f>
        <v>#N/A</v>
      </c>
    </row>
    <row r="329" spans="1:20" x14ac:dyDescent="0.25">
      <c r="B329">
        <f t="shared" si="25"/>
        <v>2060</v>
      </c>
      <c r="C329">
        <f t="shared" si="25"/>
        <v>2060</v>
      </c>
      <c r="E329">
        <f t="shared" ref="E329:E330" si="26">+E328+1</f>
        <v>2302</v>
      </c>
      <c r="F329" t="str" cm="1">
        <f t="array" ref="F329">INDEX('GMW - Baseline'!$A$2:$MC$200,MATCH(1,('GMW - Baseline'!$MC$2:$MC$200=F$3)*('GMW - Baseline'!$MB$2:$MB$200=F$4),0),$E329-1973)</f>
        <v>NA</v>
      </c>
      <c r="G329" t="str" cm="1">
        <f t="array" ref="G329">INDEX('GMW - Baseline'!$A$2:$MC$200,MATCH(1,('GMW - Baseline'!$MC$2:$MC$200=G$3)*('GMW - Baseline'!$MB$2:$MB$200=G$4),0),$E329-1973)</f>
        <v>NA</v>
      </c>
      <c r="H329" t="str" cm="1">
        <f t="array" ref="H329">INDEX('GMW - Baseline'!$A$2:$MC$200,MATCH(1,('GMW - Baseline'!$MC$2:$MC$200=H$3)*('GMW - Baseline'!$MB$2:$MB$200=H$4),0),$E329-1973)</f>
        <v>NA</v>
      </c>
      <c r="I329" t="str" cm="1">
        <f t="array" ref="I329">INDEX('GMW - Baseline'!$A$2:$MC$200,MATCH(1,('GMW - Baseline'!$MC$2:$MC$200=I$3)*('GMW - Baseline'!$MB$2:$MB$200=I$4),0),$E329-1973)</f>
        <v>NA</v>
      </c>
      <c r="J329" t="e" cm="1">
        <f t="array" ref="J329">INDEX('GMW - Baseline'!$A$2:$MC$200,MATCH(1,('GMW - Baseline'!$MC$2:$MC$200=J$3)*('GMW - Baseline'!$MB$2:$MB$200=J$4),0),$E329-1973)</f>
        <v>#N/A</v>
      </c>
      <c r="K329" t="e" cm="1">
        <f t="array" ref="K329">INDEX('GMW - Baseline'!$A$2:$MC$200,MATCH(1,('GMW - Baseline'!$MC$2:$MC$200=K$3)*('GMW - Baseline'!$MB$2:$MB$200=K$4),0),$E329-1973)</f>
        <v>#N/A</v>
      </c>
      <c r="L329" t="e" cm="1">
        <f t="array" ref="L329">INDEX('GMW - Baseline'!$A$2:$MC$200,MATCH(1,('GMW - Baseline'!$MC$2:$MC$200=L$3)*('GMW - Baseline'!$MB$2:$MB$200=L$4),0),$E329-1973)</f>
        <v>#N/A</v>
      </c>
      <c r="M329" t="e" cm="1">
        <f t="array" ref="M329">INDEX('GMW - Baseline'!$A$2:$MC$200,MATCH(1,('GMW - Baseline'!$MC$2:$MC$200=M$3)*('GMW - Baseline'!$MB$2:$MB$200=M$4),0),$E329-1973)</f>
        <v>#N/A</v>
      </c>
      <c r="N329" t="e" cm="1">
        <f t="array" ref="N329">INDEX('GMW - Baseline'!$A$2:$MC$200,MATCH(1,('GMW - Baseline'!$MC$2:$MC$200=N$3)*('GMW - Baseline'!$MB$2:$MB$200=N$4),0),$E329-1973)</f>
        <v>#N/A</v>
      </c>
      <c r="O329" t="e" cm="1">
        <f t="array" ref="O329">INDEX('GMW - Baseline'!$A$2:$MC$200,MATCH(1,('GMW - Baseline'!$MC$2:$MC$200=O$3)*('GMW - Baseline'!$MB$2:$MB$200=O$4),0),$E329-1973)</f>
        <v>#N/A</v>
      </c>
      <c r="P329" t="e" cm="1">
        <f t="array" ref="P329">INDEX('GMW - Baseline'!$A$2:$MC$200,MATCH(1,('GMW - Baseline'!$MC$2:$MC$200=P$3)*('GMW - Baseline'!$MB$2:$MB$200=P$4),0),$E329-1973)</f>
        <v>#N/A</v>
      </c>
      <c r="Q329" t="e" cm="1">
        <f t="array" ref="Q329">INDEX('GMW - Baseline'!$A$2:$MC$200,MATCH(1,('GMW - Baseline'!$MC$2:$MC$200=Q$3)*('GMW - Baseline'!$MB$2:$MB$200=Q$4),0),$E329-1973)</f>
        <v>#N/A</v>
      </c>
      <c r="R329" t="e" cm="1">
        <f t="array" ref="R329">INDEX('GMW - Baseline'!$A$2:$MC$200,MATCH(1,('GMW - Baseline'!$MC$2:$MC$200=R$3)*('GMW - Baseline'!$MB$2:$MB$200=R$4),0),$E329-1973)</f>
        <v>#N/A</v>
      </c>
      <c r="S329" t="e" cm="1">
        <f t="array" ref="S329">INDEX('GMW - Baseline'!$A$2:$MC$200,MATCH(1,('GMW - Baseline'!$MC$2:$MC$200=S$3)*('GMW - Baseline'!$MB$2:$MB$200=S$4),0),$E329-1973)</f>
        <v>#N/A</v>
      </c>
      <c r="T329" t="e" cm="1">
        <f t="array" ref="T329">INDEX('GMW - Baseline'!$A$2:$MC$200,MATCH(1,('GMW - Baseline'!$MC$2:$MC$200=T$3)*('GMW - Baseline'!$MB$2:$MB$200=T$4),0),$E329-1973)</f>
        <v>#N/A</v>
      </c>
    </row>
    <row r="330" spans="1:20" x14ac:dyDescent="0.25">
      <c r="B330">
        <f t="shared" si="25"/>
        <v>2060</v>
      </c>
      <c r="C330">
        <f t="shared" si="25"/>
        <v>2060</v>
      </c>
      <c r="E330">
        <f t="shared" si="26"/>
        <v>2303</v>
      </c>
      <c r="F330" t="str" cm="1">
        <f t="array" ref="F330">INDEX('GMW - Baseline'!$A$2:$MC$200,MATCH(1,('GMW - Baseline'!$MC$2:$MC$200=F$3)*('GMW - Baseline'!$MB$2:$MB$200=F$4),0),$E330-1973)</f>
        <v>NA</v>
      </c>
      <c r="G330" t="str" cm="1">
        <f t="array" ref="G330">INDEX('GMW - Baseline'!$A$2:$MC$200,MATCH(1,('GMW - Baseline'!$MC$2:$MC$200=G$3)*('GMW - Baseline'!$MB$2:$MB$200=G$4),0),$E330-1973)</f>
        <v>NA</v>
      </c>
      <c r="H330" t="str" cm="1">
        <f t="array" ref="H330">INDEX('GMW - Baseline'!$A$2:$MC$200,MATCH(1,('GMW - Baseline'!$MC$2:$MC$200=H$3)*('GMW - Baseline'!$MB$2:$MB$200=H$4),0),$E330-1973)</f>
        <v>NA</v>
      </c>
      <c r="I330" t="str" cm="1">
        <f t="array" ref="I330">INDEX('GMW - Baseline'!$A$2:$MC$200,MATCH(1,('GMW - Baseline'!$MC$2:$MC$200=I$3)*('GMW - Baseline'!$MB$2:$MB$200=I$4),0),$E330-1973)</f>
        <v>NA</v>
      </c>
      <c r="J330" t="e" cm="1">
        <f t="array" ref="J330">INDEX('GMW - Baseline'!$A$2:$MC$200,MATCH(1,('GMW - Baseline'!$MC$2:$MC$200=J$3)*('GMW - Baseline'!$MB$2:$MB$200=J$4),0),$E330-1973)</f>
        <v>#N/A</v>
      </c>
      <c r="K330" t="e" cm="1">
        <f t="array" ref="K330">INDEX('GMW - Baseline'!$A$2:$MC$200,MATCH(1,('GMW - Baseline'!$MC$2:$MC$200=K$3)*('GMW - Baseline'!$MB$2:$MB$200=K$4),0),$E330-1973)</f>
        <v>#N/A</v>
      </c>
      <c r="L330" t="e" cm="1">
        <f t="array" ref="L330">INDEX('GMW - Baseline'!$A$2:$MC$200,MATCH(1,('GMW - Baseline'!$MC$2:$MC$200=L$3)*('GMW - Baseline'!$MB$2:$MB$200=L$4),0),$E330-1973)</f>
        <v>#N/A</v>
      </c>
      <c r="M330" t="e" cm="1">
        <f t="array" ref="M330">INDEX('GMW - Baseline'!$A$2:$MC$200,MATCH(1,('GMW - Baseline'!$MC$2:$MC$200=M$3)*('GMW - Baseline'!$MB$2:$MB$200=M$4),0),$E330-1973)</f>
        <v>#N/A</v>
      </c>
      <c r="N330" t="e" cm="1">
        <f t="array" ref="N330">INDEX('GMW - Baseline'!$A$2:$MC$200,MATCH(1,('GMW - Baseline'!$MC$2:$MC$200=N$3)*('GMW - Baseline'!$MB$2:$MB$200=N$4),0),$E330-1973)</f>
        <v>#N/A</v>
      </c>
      <c r="O330" t="e" cm="1">
        <f t="array" ref="O330">INDEX('GMW - Baseline'!$A$2:$MC$200,MATCH(1,('GMW - Baseline'!$MC$2:$MC$200=O$3)*('GMW - Baseline'!$MB$2:$MB$200=O$4),0),$E330-1973)</f>
        <v>#N/A</v>
      </c>
      <c r="P330" t="e" cm="1">
        <f t="array" ref="P330">INDEX('GMW - Baseline'!$A$2:$MC$200,MATCH(1,('GMW - Baseline'!$MC$2:$MC$200=P$3)*('GMW - Baseline'!$MB$2:$MB$200=P$4),0),$E330-1973)</f>
        <v>#N/A</v>
      </c>
      <c r="Q330" t="e" cm="1">
        <f t="array" ref="Q330">INDEX('GMW - Baseline'!$A$2:$MC$200,MATCH(1,('GMW - Baseline'!$MC$2:$MC$200=Q$3)*('GMW - Baseline'!$MB$2:$MB$200=Q$4),0),$E330-1973)</f>
        <v>#N/A</v>
      </c>
      <c r="R330" t="e" cm="1">
        <f t="array" ref="R330">INDEX('GMW - Baseline'!$A$2:$MC$200,MATCH(1,('GMW - Baseline'!$MC$2:$MC$200=R$3)*('GMW - Baseline'!$MB$2:$MB$200=R$4),0),$E330-1973)</f>
        <v>#N/A</v>
      </c>
      <c r="S330" t="e" cm="1">
        <f t="array" ref="S330">INDEX('GMW - Baseline'!$A$2:$MC$200,MATCH(1,('GMW - Baseline'!$MC$2:$MC$200=S$3)*('GMW - Baseline'!$MB$2:$MB$200=S$4),0),$E330-1973)</f>
        <v>#N/A</v>
      </c>
      <c r="T330" t="e" cm="1">
        <f t="array" ref="T330">INDEX('GMW - Baseline'!$A$2:$MC$200,MATCH(1,('GMW - Baseline'!$MC$2:$MC$200=T$3)*('GMW - Baseline'!$MB$2:$MB$200=T$4),0),$E330-1973)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AFB8-7B93-44B5-A620-0761FC9C61D2}">
  <dimension ref="A1:T330"/>
  <sheetViews>
    <sheetView workbookViewId="0">
      <pane xSplit="5" ySplit="6" topLeftCell="F7" activePane="bottomRight" state="frozen"/>
      <selection activeCell="T4" sqref="T4"/>
      <selection pane="topRight" activeCell="T4" sqref="T4"/>
      <selection pane="bottomLeft" activeCell="T4" sqref="T4"/>
      <selection pane="bottomRight" activeCell="H29" sqref="H29"/>
    </sheetView>
  </sheetViews>
  <sheetFormatPr defaultRowHeight="15" x14ac:dyDescent="0.25"/>
  <sheetData>
    <row r="1" spans="1:20" x14ac:dyDescent="0.25">
      <c r="B1" t="s">
        <v>374</v>
      </c>
      <c r="C1" t="s">
        <v>374</v>
      </c>
      <c r="D1" t="s">
        <v>374</v>
      </c>
      <c r="F1" s="6" t="str">
        <f>'GMW - $100 oil'!C2</f>
        <v>Oil_100</v>
      </c>
      <c r="G1" s="6" t="str">
        <f>$F$1</f>
        <v>Oil_100</v>
      </c>
      <c r="H1" s="6" t="str">
        <f t="shared" ref="H1:T1" si="0">$F$1</f>
        <v>Oil_100</v>
      </c>
      <c r="I1" s="6" t="str">
        <f t="shared" si="0"/>
        <v>Oil_100</v>
      </c>
      <c r="J1" s="6" t="str">
        <f t="shared" si="0"/>
        <v>Oil_100</v>
      </c>
      <c r="K1" s="6" t="str">
        <f t="shared" si="0"/>
        <v>Oil_100</v>
      </c>
      <c r="L1" s="6" t="str">
        <f t="shared" si="0"/>
        <v>Oil_100</v>
      </c>
      <c r="M1" s="6" t="str">
        <f t="shared" si="0"/>
        <v>Oil_100</v>
      </c>
      <c r="N1" s="6" t="str">
        <f t="shared" si="0"/>
        <v>Oil_100</v>
      </c>
      <c r="O1" s="6" t="str">
        <f t="shared" si="0"/>
        <v>Oil_100</v>
      </c>
      <c r="P1" s="6" t="str">
        <f t="shared" si="0"/>
        <v>Oil_100</v>
      </c>
      <c r="Q1" s="6" t="str">
        <f t="shared" si="0"/>
        <v>Oil_100</v>
      </c>
      <c r="R1" s="6" t="str">
        <f t="shared" si="0"/>
        <v>Oil_100</v>
      </c>
      <c r="S1" s="6" t="str">
        <f t="shared" si="0"/>
        <v>Oil_100</v>
      </c>
      <c r="T1" s="6" t="str">
        <f t="shared" si="0"/>
        <v>Oil_100</v>
      </c>
    </row>
    <row r="2" spans="1:20" x14ac:dyDescent="0.25">
      <c r="F2" t="s">
        <v>375</v>
      </c>
      <c r="G2" t="s">
        <v>375</v>
      </c>
      <c r="H2" t="s">
        <v>375</v>
      </c>
      <c r="I2" t="s">
        <v>375</v>
      </c>
      <c r="J2" t="s">
        <v>375</v>
      </c>
      <c r="K2" t="s">
        <v>375</v>
      </c>
      <c r="L2" t="s">
        <v>375</v>
      </c>
      <c r="M2" t="s">
        <v>375</v>
      </c>
      <c r="N2" t="s">
        <v>375</v>
      </c>
      <c r="O2" t="s">
        <v>375</v>
      </c>
      <c r="P2" t="s">
        <v>375</v>
      </c>
      <c r="Q2" t="s">
        <v>375</v>
      </c>
      <c r="R2" t="s">
        <v>375</v>
      </c>
      <c r="S2" t="s">
        <v>375</v>
      </c>
      <c r="T2" t="s">
        <v>375</v>
      </c>
    </row>
    <row r="3" spans="1:20" x14ac:dyDescent="0.25">
      <c r="F3" t="s">
        <v>365</v>
      </c>
      <c r="G3" t="s">
        <v>361</v>
      </c>
      <c r="H3" t="s">
        <v>353</v>
      </c>
      <c r="I3" t="s">
        <v>371</v>
      </c>
    </row>
    <row r="4" spans="1:20" x14ac:dyDescent="0.25">
      <c r="F4" t="s">
        <v>352</v>
      </c>
      <c r="G4" t="s">
        <v>352</v>
      </c>
      <c r="H4" t="s">
        <v>352</v>
      </c>
      <c r="I4" t="s">
        <v>352</v>
      </c>
      <c r="J4" t="s">
        <v>352</v>
      </c>
      <c r="K4" t="s">
        <v>352</v>
      </c>
      <c r="L4" t="s">
        <v>352</v>
      </c>
      <c r="M4" t="s">
        <v>352</v>
      </c>
      <c r="N4" t="s">
        <v>352</v>
      </c>
      <c r="O4" t="s">
        <v>352</v>
      </c>
      <c r="P4" t="s">
        <v>352</v>
      </c>
      <c r="Q4" t="s">
        <v>352</v>
      </c>
      <c r="R4" t="s">
        <v>352</v>
      </c>
      <c r="S4" t="s">
        <v>352</v>
      </c>
      <c r="T4" t="s">
        <v>352</v>
      </c>
    </row>
    <row r="5" spans="1:20" x14ac:dyDescent="0.25">
      <c r="F5" t="s">
        <v>376</v>
      </c>
      <c r="G5" t="s">
        <v>376</v>
      </c>
      <c r="H5" t="s">
        <v>376</v>
      </c>
      <c r="I5" t="s">
        <v>376</v>
      </c>
      <c r="J5" t="s">
        <v>376</v>
      </c>
      <c r="K5" t="s">
        <v>376</v>
      </c>
      <c r="L5" t="s">
        <v>376</v>
      </c>
      <c r="M5" t="s">
        <v>376</v>
      </c>
      <c r="N5" t="s">
        <v>376</v>
      </c>
      <c r="O5" t="s">
        <v>376</v>
      </c>
      <c r="P5" t="s">
        <v>376</v>
      </c>
      <c r="Q5" t="s">
        <v>376</v>
      </c>
      <c r="R5" t="s">
        <v>376</v>
      </c>
      <c r="S5" t="s">
        <v>376</v>
      </c>
      <c r="T5" t="s">
        <v>376</v>
      </c>
    </row>
    <row r="6" spans="1:20" x14ac:dyDescent="0.25">
      <c r="B6" t="s">
        <v>377</v>
      </c>
      <c r="C6" t="s">
        <v>378</v>
      </c>
      <c r="D6" t="s">
        <v>379</v>
      </c>
      <c r="E6">
        <f>E330+5</f>
        <v>2308</v>
      </c>
      <c r="F6" s="7" t="str" cm="1">
        <f t="array" ref="F6">_xlfn.CONCAT(INDEX('GMW - $100 oil'!$A$2:$MC$200,MATCH(1,('GMW - $100 oil'!$MC$2:$MC$200=F$3)*('GMW - $100 oil'!$MB$2:$MB$200=F$4),0),$E6-1973),"0",(INDEX('GMW - $100 oil'!$A$2:$MC$200,MATCH(1,('GMW - $100 oil'!$MC$2:$MC$200=F$3)*('GMW - $100 oil'!$MB$2:$MB$200=F$4),0),$E6-1972)))</f>
        <v>202504</v>
      </c>
      <c r="G6" s="7" t="str" cm="1">
        <f t="array" ref="G6">_xlfn.CONCAT(INDEX('GMW - $100 oil'!$A$2:$MC$200,MATCH(1,('GMW - $100 oil'!$MC$2:$MC$200=G$3)*('GMW - $100 oil'!$MB$2:$MB$200=G$4),0),$E6-1973),"0",(INDEX('GMW - $100 oil'!$A$2:$MC$200,MATCH(1,('GMW - $100 oil'!$MC$2:$MC$200=G$3)*('GMW - $100 oil'!$MB$2:$MB$200=G$4),0),$E6-1972)))</f>
        <v>202504</v>
      </c>
      <c r="H6" s="7" t="str" cm="1">
        <f t="array" ref="H6">_xlfn.CONCAT(INDEX('GMW - $100 oil'!$A$2:$MC$200,MATCH(1,('GMW - $100 oil'!$MC$2:$MC$200=H$3)*('GMW - $100 oil'!$MB$2:$MB$200=H$4),0),$E6-1973),"0",(INDEX('GMW - $100 oil'!$A$2:$MC$200,MATCH(1,('GMW - $100 oil'!$MC$2:$MC$200=H$3)*('GMW - $100 oil'!$MB$2:$MB$200=H$4),0),$E6-1972)))</f>
        <v>202504</v>
      </c>
      <c r="I6" s="7" t="str" cm="1">
        <f t="array" ref="I6">_xlfn.CONCAT(INDEX('GMW - $100 oil'!$A$2:$MC$200,MATCH(1,('GMW - $100 oil'!$MC$2:$MC$200=I$3)*('GMW - $100 oil'!$MB$2:$MB$200=I$4),0),$E6-1973),"0",(INDEX('GMW - $100 oil'!$A$2:$MC$200,MATCH(1,('GMW - $100 oil'!$MC$2:$MC$200=I$3)*('GMW - $100 oil'!$MB$2:$MB$200=I$4),0),$E6-1972)))</f>
        <v>202504</v>
      </c>
      <c r="J6" s="7" t="e" cm="1">
        <f t="array" ref="J6">_xlfn.CONCAT(INDEX('GMW - $100 oil'!$A$2:$MC$200,MATCH(1,('GMW - $100 oil'!$MC$2:$MC$200=J$3)*('GMW - $100 oil'!$MB$2:$MB$200=J$4),0),$E6-1973),"0",(INDEX('GMW - $100 oil'!$A$2:$MC$200,MATCH(1,('GMW - $100 oil'!$MC$2:$MC$200=J$3)*('GMW - $100 oil'!$MB$2:$MB$200=J$4),0),$E6-1972)))</f>
        <v>#N/A</v>
      </c>
      <c r="K6" s="7" t="e" cm="1">
        <f t="array" ref="K6">_xlfn.CONCAT(INDEX('GMW - $100 oil'!$A$2:$MC$200,MATCH(1,('GMW - $100 oil'!$MC$2:$MC$200=K$3)*('GMW - $100 oil'!$MB$2:$MB$200=K$4),0),$E6-1973),"0",(INDEX('GMW - $100 oil'!$A$2:$MC$200,MATCH(1,('GMW - $100 oil'!$MC$2:$MC$200=K$3)*('GMW - $100 oil'!$MB$2:$MB$200=K$4),0),$E6-1972)))</f>
        <v>#N/A</v>
      </c>
      <c r="L6" s="7" t="e" cm="1">
        <f t="array" ref="L6">_xlfn.CONCAT(INDEX('GMW - $100 oil'!$A$2:$MC$200,MATCH(1,('GMW - $100 oil'!$MC$2:$MC$200=L$3)*('GMW - $100 oil'!$MB$2:$MB$200=L$4),0),$E6-1973),"0",(INDEX('GMW - $100 oil'!$A$2:$MC$200,MATCH(1,('GMW - $100 oil'!$MC$2:$MC$200=L$3)*('GMW - $100 oil'!$MB$2:$MB$200=L$4),0),$E6-1972)))</f>
        <v>#N/A</v>
      </c>
      <c r="M6" s="7" t="e" cm="1">
        <f t="array" ref="M6">_xlfn.CONCAT(INDEX('GMW - $100 oil'!$A$2:$MC$200,MATCH(1,('GMW - $100 oil'!$MC$2:$MC$200=M$3)*('GMW - $100 oil'!$MB$2:$MB$200=M$4),0),$E6-1973),"0",(INDEX('GMW - $100 oil'!$A$2:$MC$200,MATCH(1,('GMW - $100 oil'!$MC$2:$MC$200=M$3)*('GMW - $100 oil'!$MB$2:$MB$200=M$4),0),$E6-1972)))</f>
        <v>#N/A</v>
      </c>
      <c r="N6" s="7" t="e" cm="1">
        <f t="array" ref="N6">_xlfn.CONCAT(INDEX('GMW - $100 oil'!$A$2:$MC$200,MATCH(1,('GMW - $100 oil'!$MC$2:$MC$200=N$3)*('GMW - $100 oil'!$MB$2:$MB$200=N$4),0),$E6-1973),"0",(INDEX('GMW - $100 oil'!$A$2:$MC$200,MATCH(1,('GMW - $100 oil'!$MC$2:$MC$200=N$3)*('GMW - $100 oil'!$MB$2:$MB$200=N$4),0),$E6-1972)))</f>
        <v>#N/A</v>
      </c>
      <c r="O6" s="7" t="e" cm="1">
        <f t="array" ref="O6">_xlfn.CONCAT(INDEX('GMW - $100 oil'!$A$2:$MC$200,MATCH(1,('GMW - $100 oil'!$MC$2:$MC$200=O$3)*('GMW - $100 oil'!$MB$2:$MB$200=O$4),0),$E6-1973),"0",(INDEX('GMW - $100 oil'!$A$2:$MC$200,MATCH(1,('GMW - $100 oil'!$MC$2:$MC$200=O$3)*('GMW - $100 oil'!$MB$2:$MB$200=O$4),0),$E6-1972)))</f>
        <v>#N/A</v>
      </c>
      <c r="P6" s="7" t="e" cm="1">
        <f t="array" ref="P6">_xlfn.CONCAT(INDEX('GMW - $100 oil'!$A$2:$MC$200,MATCH(1,('GMW - $100 oil'!$MC$2:$MC$200=P$3)*('GMW - $100 oil'!$MB$2:$MB$200=P$4),0),$E6-1973),"0",(INDEX('GMW - $100 oil'!$A$2:$MC$200,MATCH(1,('GMW - $100 oil'!$MC$2:$MC$200=P$3)*('GMW - $100 oil'!$MB$2:$MB$200=P$4),0),$E6-1972)))</f>
        <v>#N/A</v>
      </c>
      <c r="Q6" s="7" t="e" cm="1">
        <f t="array" ref="Q6">_xlfn.CONCAT(INDEX('GMW - $100 oil'!$A$2:$MC$200,MATCH(1,('GMW - $100 oil'!$MC$2:$MC$200=Q$3)*('GMW - $100 oil'!$MB$2:$MB$200=Q$4),0),$E6-1973),"0",(INDEX('GMW - $100 oil'!$A$2:$MC$200,MATCH(1,('GMW - $100 oil'!$MC$2:$MC$200=Q$3)*('GMW - $100 oil'!$MB$2:$MB$200=Q$4),0),$E6-1972)))</f>
        <v>#N/A</v>
      </c>
      <c r="R6" s="7" t="e" cm="1">
        <f t="array" ref="R6">_xlfn.CONCAT(INDEX('GMW - $100 oil'!$A$2:$MC$200,MATCH(1,('GMW - $100 oil'!$MC$2:$MC$200=R$3)*('GMW - $100 oil'!$MB$2:$MB$200=R$4),0),$E6-1973),"0",(INDEX('GMW - $100 oil'!$A$2:$MC$200,MATCH(1,('GMW - $100 oil'!$MC$2:$MC$200=R$3)*('GMW - $100 oil'!$MB$2:$MB$200=R$4),0),$E6-1972)))</f>
        <v>#N/A</v>
      </c>
      <c r="S6" s="7" t="e" cm="1">
        <f t="array" ref="S6">_xlfn.CONCAT(INDEX('GMW - $100 oil'!$A$2:$MC$200,MATCH(1,('GMW - $100 oil'!$MC$2:$MC$200=S$3)*('GMW - $100 oil'!$MB$2:$MB$200=S$4),0),$E6-1973),"0",(INDEX('GMW - $100 oil'!$A$2:$MC$200,MATCH(1,('GMW - $100 oil'!$MC$2:$MC$200=S$3)*('GMW - $100 oil'!$MB$2:$MB$200=S$4),0),$E6-1972)))</f>
        <v>#N/A</v>
      </c>
      <c r="T6" s="7" t="e" cm="1">
        <f t="array" ref="T6">_xlfn.CONCAT(INDEX('GMW - $100 oil'!$A$2:$MC$200,MATCH(1,('GMW - $100 oil'!$MC$2:$MC$200=T$3)*('GMW - $100 oil'!$MB$2:$MB$200=T$4),0),$E6-1973),"0",(INDEX('GMW - $100 oil'!$A$2:$MC$200,MATCH(1,('GMW - $100 oil'!$MC$2:$MC$200=T$3)*('GMW - $100 oil'!$MB$2:$MB$200=T$4),0),$E6-1972)))</f>
        <v>#N/A</v>
      </c>
    </row>
    <row r="7" spans="1:20" x14ac:dyDescent="0.25">
      <c r="A7">
        <v>1980</v>
      </c>
      <c r="B7">
        <v>1980</v>
      </c>
      <c r="E7">
        <v>1980</v>
      </c>
      <c r="F7" cm="1">
        <f t="array" ref="F7">INDEX('GMW - $100 oil'!$A$2:$MC$200,MATCH(1,('GMW - $100 oil'!$MC$2:$MC$200=F$3)*('GMW - $100 oil'!$MB$2:$MB$200=F$4),0),$E7-1973)</f>
        <v>290378</v>
      </c>
      <c r="G7" cm="1">
        <f t="array" ref="G7">INDEX('GMW - $100 oil'!$A$2:$MC$200,MATCH(1,('GMW - $100 oil'!$MC$2:$MC$200=G$3)*('GMW - $100 oil'!$MB$2:$MB$200=G$4),0),$E7-1973)</f>
        <v>153439</v>
      </c>
      <c r="H7" cm="1">
        <f t="array" ref="H7">INDEX('GMW - $100 oil'!$A$2:$MC$200,MATCH(1,('GMW - $100 oil'!$MC$2:$MC$200=H$3)*('GMW - $100 oil'!$MB$2:$MB$200=H$4),0),$E7-1973)</f>
        <v>30.605080000000001</v>
      </c>
      <c r="I7" cm="1">
        <f t="array" ref="I7">INDEX('GMW - $100 oil'!$A$2:$MC$200,MATCH(1,('GMW - $100 oil'!$MC$2:$MC$200=I$3)*('GMW - $100 oil'!$MB$2:$MB$200=I$4),0),$E7-1973)</f>
        <v>17</v>
      </c>
      <c r="J7" t="e" cm="1">
        <f t="array" ref="J7">INDEX('GMW - $100 oil'!$A$2:$MC$200,MATCH(1,('GMW - $100 oil'!$MC$2:$MC$200=J$3)*('GMW - $100 oil'!$MB$2:$MB$200=J$4),0),$E7-1973)</f>
        <v>#N/A</v>
      </c>
      <c r="K7" t="e" cm="1">
        <f t="array" ref="K7">INDEX('GMW - $100 oil'!$A$2:$MC$200,MATCH(1,('GMW - $100 oil'!$MC$2:$MC$200=K$3)*('GMW - $100 oil'!$MB$2:$MB$200=K$4),0),$E7-1973)</f>
        <v>#N/A</v>
      </c>
      <c r="L7" t="e" cm="1">
        <f t="array" ref="L7">INDEX('GMW - $100 oil'!$A$2:$MC$200,MATCH(1,('GMW - $100 oil'!$MC$2:$MC$200=L$3)*('GMW - $100 oil'!$MB$2:$MB$200=L$4),0),$E7-1973)</f>
        <v>#N/A</v>
      </c>
      <c r="M7" t="e" cm="1">
        <f t="array" ref="M7">INDEX('GMW - $100 oil'!$A$2:$MC$200,MATCH(1,('GMW - $100 oil'!$MC$2:$MC$200=M$3)*('GMW - $100 oil'!$MB$2:$MB$200=M$4),0),$E7-1973)</f>
        <v>#N/A</v>
      </c>
      <c r="N7" t="e" cm="1">
        <f t="array" ref="N7">INDEX('GMW - $100 oil'!$A$2:$MC$200,MATCH(1,('GMW - $100 oil'!$MC$2:$MC$200=N$3)*('GMW - $100 oil'!$MB$2:$MB$200=N$4),0),$E7-1973)</f>
        <v>#N/A</v>
      </c>
      <c r="O7" t="e" cm="1">
        <f t="array" ref="O7">INDEX('GMW - $100 oil'!$A$2:$MC$200,MATCH(1,('GMW - $100 oil'!$MC$2:$MC$200=O$3)*('GMW - $100 oil'!$MB$2:$MB$200=O$4),0),$E7-1973)</f>
        <v>#N/A</v>
      </c>
      <c r="P7" t="e" cm="1">
        <f t="array" ref="P7">INDEX('GMW - $100 oil'!$A$2:$MC$200,MATCH(1,('GMW - $100 oil'!$MC$2:$MC$200=P$3)*('GMW - $100 oil'!$MB$2:$MB$200=P$4),0),$E7-1973)</f>
        <v>#N/A</v>
      </c>
      <c r="Q7" t="e" cm="1">
        <f t="array" ref="Q7">INDEX('GMW - $100 oil'!$A$2:$MC$200,MATCH(1,('GMW - $100 oil'!$MC$2:$MC$200=Q$3)*('GMW - $100 oil'!$MB$2:$MB$200=Q$4),0),$E7-1973)</f>
        <v>#N/A</v>
      </c>
      <c r="R7" t="e" cm="1">
        <f t="array" ref="R7">INDEX('GMW - $100 oil'!$A$2:$MC$200,MATCH(1,('GMW - $100 oil'!$MC$2:$MC$200=R$3)*('GMW - $100 oil'!$MB$2:$MB$200=R$4),0),$E7-1973)</f>
        <v>#N/A</v>
      </c>
      <c r="S7" t="e" cm="1">
        <f t="array" ref="S7">INDEX('GMW - $100 oil'!$A$2:$MC$200,MATCH(1,('GMW - $100 oil'!$MC$2:$MC$200=S$3)*('GMW - $100 oil'!$MB$2:$MB$200=S$4),0),$E7-1973)</f>
        <v>#N/A</v>
      </c>
      <c r="T7" t="e" cm="1">
        <f t="array" ref="T7">INDEX('GMW - $100 oil'!$A$2:$MC$200,MATCH(1,('GMW - $100 oil'!$MC$2:$MC$200=T$3)*('GMW - $100 oil'!$MB$2:$MB$200=T$4),0),$E7-1973)</f>
        <v>#N/A</v>
      </c>
    </row>
    <row r="8" spans="1:20" x14ac:dyDescent="0.25">
      <c r="B8">
        <v>1980</v>
      </c>
      <c r="C8">
        <v>1980</v>
      </c>
      <c r="E8">
        <f>+E7+1</f>
        <v>1981</v>
      </c>
      <c r="F8" cm="1">
        <f t="array" ref="F8">INDEX('GMW - $100 oil'!$A$2:$MC$200,MATCH(1,('GMW - $100 oil'!$MC$2:$MC$200=F$3)*('GMW - $100 oil'!$MB$2:$MB$200=F$4),0),$E8-1973)</f>
        <v>284713</v>
      </c>
      <c r="G8" cm="1">
        <f t="array" ref="G8">INDEX('GMW - $100 oil'!$A$2:$MC$200,MATCH(1,('GMW - $100 oil'!$MC$2:$MC$200=G$3)*('GMW - $100 oil'!$MB$2:$MB$200=G$4),0),$E8-1973)</f>
        <v>149443</v>
      </c>
      <c r="H8" cm="1">
        <f t="array" ref="H8">INDEX('GMW - $100 oil'!$A$2:$MC$200,MATCH(1,('GMW - $100 oil'!$MC$2:$MC$200=H$3)*('GMW - $100 oil'!$MB$2:$MB$200=H$4),0),$E8-1973)</f>
        <v>32.247430000000001</v>
      </c>
      <c r="I8" cm="1">
        <f t="array" ref="I8">INDEX('GMW - $100 oil'!$A$2:$MC$200,MATCH(1,('GMW - $100 oil'!$MC$2:$MC$200=I$3)*('GMW - $100 oil'!$MB$2:$MB$200=I$4),0),$E8-1973)</f>
        <v>17</v>
      </c>
      <c r="J8" t="e" cm="1">
        <f t="array" ref="J8">INDEX('GMW - $100 oil'!$A$2:$MC$200,MATCH(1,('GMW - $100 oil'!$MC$2:$MC$200=J$3)*('GMW - $100 oil'!$MB$2:$MB$200=J$4),0),$E8-1973)</f>
        <v>#N/A</v>
      </c>
      <c r="K8" t="e" cm="1">
        <f t="array" ref="K8">INDEX('GMW - $100 oil'!$A$2:$MC$200,MATCH(1,('GMW - $100 oil'!$MC$2:$MC$200=K$3)*('GMW - $100 oil'!$MB$2:$MB$200=K$4),0),$E8-1973)</f>
        <v>#N/A</v>
      </c>
      <c r="L8" t="e" cm="1">
        <f t="array" ref="L8">INDEX('GMW - $100 oil'!$A$2:$MC$200,MATCH(1,('GMW - $100 oil'!$MC$2:$MC$200=L$3)*('GMW - $100 oil'!$MB$2:$MB$200=L$4),0),$E8-1973)</f>
        <v>#N/A</v>
      </c>
      <c r="M8" t="e" cm="1">
        <f t="array" ref="M8">INDEX('GMW - $100 oil'!$A$2:$MC$200,MATCH(1,('GMW - $100 oil'!$MC$2:$MC$200=M$3)*('GMW - $100 oil'!$MB$2:$MB$200=M$4),0),$E8-1973)</f>
        <v>#N/A</v>
      </c>
      <c r="N8" t="e" cm="1">
        <f t="array" ref="N8">INDEX('GMW - $100 oil'!$A$2:$MC$200,MATCH(1,('GMW - $100 oil'!$MC$2:$MC$200=N$3)*('GMW - $100 oil'!$MB$2:$MB$200=N$4),0),$E8-1973)</f>
        <v>#N/A</v>
      </c>
      <c r="O8" t="e" cm="1">
        <f t="array" ref="O8">INDEX('GMW - $100 oil'!$A$2:$MC$200,MATCH(1,('GMW - $100 oil'!$MC$2:$MC$200=O$3)*('GMW - $100 oil'!$MB$2:$MB$200=O$4),0),$E8-1973)</f>
        <v>#N/A</v>
      </c>
      <c r="P8" t="e" cm="1">
        <f t="array" ref="P8">INDEX('GMW - $100 oil'!$A$2:$MC$200,MATCH(1,('GMW - $100 oil'!$MC$2:$MC$200=P$3)*('GMW - $100 oil'!$MB$2:$MB$200=P$4),0),$E8-1973)</f>
        <v>#N/A</v>
      </c>
      <c r="Q8" t="e" cm="1">
        <f t="array" ref="Q8">INDEX('GMW - $100 oil'!$A$2:$MC$200,MATCH(1,('GMW - $100 oil'!$MC$2:$MC$200=Q$3)*('GMW - $100 oil'!$MB$2:$MB$200=Q$4),0),$E8-1973)</f>
        <v>#N/A</v>
      </c>
      <c r="R8" t="e" cm="1">
        <f t="array" ref="R8">INDEX('GMW - $100 oil'!$A$2:$MC$200,MATCH(1,('GMW - $100 oil'!$MC$2:$MC$200=R$3)*('GMW - $100 oil'!$MB$2:$MB$200=R$4),0),$E8-1973)</f>
        <v>#N/A</v>
      </c>
      <c r="S8" t="e" cm="1">
        <f t="array" ref="S8">INDEX('GMW - $100 oil'!$A$2:$MC$200,MATCH(1,('GMW - $100 oil'!$MC$2:$MC$200=S$3)*('GMW - $100 oil'!$MB$2:$MB$200=S$4),0),$E8-1973)</f>
        <v>#N/A</v>
      </c>
      <c r="T8" t="e" cm="1">
        <f t="array" ref="T8">INDEX('GMW - $100 oil'!$A$2:$MC$200,MATCH(1,('GMW - $100 oil'!$MC$2:$MC$200=T$3)*('GMW - $100 oil'!$MB$2:$MB$200=T$4),0),$E8-1973)</f>
        <v>#N/A</v>
      </c>
    </row>
    <row r="9" spans="1:20" x14ac:dyDescent="0.25">
      <c r="B9">
        <v>1980</v>
      </c>
      <c r="C9">
        <v>1980</v>
      </c>
      <c r="E9">
        <f t="shared" ref="E9:E72" si="1">+E8+1</f>
        <v>1982</v>
      </c>
      <c r="F9" cm="1">
        <f t="array" ref="F9">INDEX('GMW - $100 oil'!$A$2:$MC$200,MATCH(1,('GMW - $100 oil'!$MC$2:$MC$200=F$3)*('GMW - $100 oil'!$MB$2:$MB$200=F$4),0),$E9-1973)</f>
        <v>284402</v>
      </c>
      <c r="G9" cm="1">
        <f t="array" ref="G9">INDEX('GMW - $100 oil'!$A$2:$MC$200,MATCH(1,('GMW - $100 oil'!$MC$2:$MC$200=G$3)*('GMW - $100 oil'!$MB$2:$MB$200=G$4),0),$E9-1973)</f>
        <v>151403</v>
      </c>
      <c r="H9" cm="1">
        <f t="array" ref="H9">INDEX('GMW - $100 oil'!$A$2:$MC$200,MATCH(1,('GMW - $100 oil'!$MC$2:$MC$200=H$3)*('GMW - $100 oil'!$MB$2:$MB$200=H$4),0),$E9-1973)</f>
        <v>32.951300000000003</v>
      </c>
      <c r="I9" cm="1">
        <f t="array" ref="I9">INDEX('GMW - $100 oil'!$A$2:$MC$200,MATCH(1,('GMW - $100 oil'!$MC$2:$MC$200=I$3)*('GMW - $100 oil'!$MB$2:$MB$200=I$4),0),$E9-1973)</f>
        <v>16.0303</v>
      </c>
      <c r="J9" t="e" cm="1">
        <f t="array" ref="J9">INDEX('GMW - $100 oil'!$A$2:$MC$200,MATCH(1,('GMW - $100 oil'!$MC$2:$MC$200=J$3)*('GMW - $100 oil'!$MB$2:$MB$200=J$4),0),$E9-1973)</f>
        <v>#N/A</v>
      </c>
      <c r="K9" t="e" cm="1">
        <f t="array" ref="K9">INDEX('GMW - $100 oil'!$A$2:$MC$200,MATCH(1,('GMW - $100 oil'!$MC$2:$MC$200=K$3)*('GMW - $100 oil'!$MB$2:$MB$200=K$4),0),$E9-1973)</f>
        <v>#N/A</v>
      </c>
      <c r="L9" t="e" cm="1">
        <f t="array" ref="L9">INDEX('GMW - $100 oil'!$A$2:$MC$200,MATCH(1,('GMW - $100 oil'!$MC$2:$MC$200=L$3)*('GMW - $100 oil'!$MB$2:$MB$200=L$4),0),$E9-1973)</f>
        <v>#N/A</v>
      </c>
      <c r="M9" t="e" cm="1">
        <f t="array" ref="M9">INDEX('GMW - $100 oil'!$A$2:$MC$200,MATCH(1,('GMW - $100 oil'!$MC$2:$MC$200=M$3)*('GMW - $100 oil'!$MB$2:$MB$200=M$4),0),$E9-1973)</f>
        <v>#N/A</v>
      </c>
      <c r="N9" t="e" cm="1">
        <f t="array" ref="N9">INDEX('GMW - $100 oil'!$A$2:$MC$200,MATCH(1,('GMW - $100 oil'!$MC$2:$MC$200=N$3)*('GMW - $100 oil'!$MB$2:$MB$200=N$4),0),$E9-1973)</f>
        <v>#N/A</v>
      </c>
      <c r="O9" t="e" cm="1">
        <f t="array" ref="O9">INDEX('GMW - $100 oil'!$A$2:$MC$200,MATCH(1,('GMW - $100 oil'!$MC$2:$MC$200=O$3)*('GMW - $100 oil'!$MB$2:$MB$200=O$4),0),$E9-1973)</f>
        <v>#N/A</v>
      </c>
      <c r="P9" t="e" cm="1">
        <f t="array" ref="P9">INDEX('GMW - $100 oil'!$A$2:$MC$200,MATCH(1,('GMW - $100 oil'!$MC$2:$MC$200=P$3)*('GMW - $100 oil'!$MB$2:$MB$200=P$4),0),$E9-1973)</f>
        <v>#N/A</v>
      </c>
      <c r="Q9" t="e" cm="1">
        <f t="array" ref="Q9">INDEX('GMW - $100 oil'!$A$2:$MC$200,MATCH(1,('GMW - $100 oil'!$MC$2:$MC$200=Q$3)*('GMW - $100 oil'!$MB$2:$MB$200=Q$4),0),$E9-1973)</f>
        <v>#N/A</v>
      </c>
      <c r="R9" t="e" cm="1">
        <f t="array" ref="R9">INDEX('GMW - $100 oil'!$A$2:$MC$200,MATCH(1,('GMW - $100 oil'!$MC$2:$MC$200=R$3)*('GMW - $100 oil'!$MB$2:$MB$200=R$4),0),$E9-1973)</f>
        <v>#N/A</v>
      </c>
      <c r="S9" t="e" cm="1">
        <f t="array" ref="S9">INDEX('GMW - $100 oil'!$A$2:$MC$200,MATCH(1,('GMW - $100 oil'!$MC$2:$MC$200=S$3)*('GMW - $100 oil'!$MB$2:$MB$200=S$4),0),$E9-1973)</f>
        <v>#N/A</v>
      </c>
      <c r="T9" t="e" cm="1">
        <f t="array" ref="T9">INDEX('GMW - $100 oil'!$A$2:$MC$200,MATCH(1,('GMW - $100 oil'!$MC$2:$MC$200=T$3)*('GMW - $100 oil'!$MB$2:$MB$200=T$4),0),$E9-1973)</f>
        <v>#N/A</v>
      </c>
    </row>
    <row r="10" spans="1:20" x14ac:dyDescent="0.25">
      <c r="B10">
        <v>1980</v>
      </c>
      <c r="C10">
        <v>1980</v>
      </c>
      <c r="E10">
        <f t="shared" si="1"/>
        <v>1983</v>
      </c>
      <c r="F10" cm="1">
        <f t="array" ref="F10">INDEX('GMW - $100 oil'!$A$2:$MC$200,MATCH(1,('GMW - $100 oil'!$MC$2:$MC$200=F$3)*('GMW - $100 oil'!$MB$2:$MB$200=F$4),0),$E10-1973)</f>
        <v>281496</v>
      </c>
      <c r="G10" cm="1">
        <f t="array" ref="G10">INDEX('GMW - $100 oil'!$A$2:$MC$200,MATCH(1,('GMW - $100 oil'!$MC$2:$MC$200=G$3)*('GMW - $100 oil'!$MB$2:$MB$200=G$4),0),$E10-1973)</f>
        <v>148523</v>
      </c>
      <c r="H10" cm="1">
        <f t="array" ref="H10">INDEX('GMW - $100 oil'!$A$2:$MC$200,MATCH(1,('GMW - $100 oil'!$MC$2:$MC$200=H$3)*('GMW - $100 oil'!$MB$2:$MB$200=H$4),0),$E10-1973)</f>
        <v>33.550879999999999</v>
      </c>
      <c r="I10" cm="1">
        <f t="array" ref="I10">INDEX('GMW - $100 oil'!$A$2:$MC$200,MATCH(1,('GMW - $100 oil'!$MC$2:$MC$200=I$3)*('GMW - $100 oil'!$MB$2:$MB$200=I$4),0),$E10-1973)</f>
        <v>15.18182</v>
      </c>
      <c r="J10" t="e" cm="1">
        <f t="array" ref="J10">INDEX('GMW - $100 oil'!$A$2:$MC$200,MATCH(1,('GMW - $100 oil'!$MC$2:$MC$200=J$3)*('GMW - $100 oil'!$MB$2:$MB$200=J$4),0),$E10-1973)</f>
        <v>#N/A</v>
      </c>
      <c r="K10" t="e" cm="1">
        <f t="array" ref="K10">INDEX('GMW - $100 oil'!$A$2:$MC$200,MATCH(1,('GMW - $100 oil'!$MC$2:$MC$200=K$3)*('GMW - $100 oil'!$MB$2:$MB$200=K$4),0),$E10-1973)</f>
        <v>#N/A</v>
      </c>
      <c r="L10" t="e" cm="1">
        <f t="array" ref="L10">INDEX('GMW - $100 oil'!$A$2:$MC$200,MATCH(1,('GMW - $100 oil'!$MC$2:$MC$200=L$3)*('GMW - $100 oil'!$MB$2:$MB$200=L$4),0),$E10-1973)</f>
        <v>#N/A</v>
      </c>
      <c r="M10" t="e" cm="1">
        <f t="array" ref="M10">INDEX('GMW - $100 oil'!$A$2:$MC$200,MATCH(1,('GMW - $100 oil'!$MC$2:$MC$200=M$3)*('GMW - $100 oil'!$MB$2:$MB$200=M$4),0),$E10-1973)</f>
        <v>#N/A</v>
      </c>
      <c r="N10" t="e" cm="1">
        <f t="array" ref="N10">INDEX('GMW - $100 oil'!$A$2:$MC$200,MATCH(1,('GMW - $100 oil'!$MC$2:$MC$200=N$3)*('GMW - $100 oil'!$MB$2:$MB$200=N$4),0),$E10-1973)</f>
        <v>#N/A</v>
      </c>
      <c r="O10" t="e" cm="1">
        <f t="array" ref="O10">INDEX('GMW - $100 oil'!$A$2:$MC$200,MATCH(1,('GMW - $100 oil'!$MC$2:$MC$200=O$3)*('GMW - $100 oil'!$MB$2:$MB$200=O$4),0),$E10-1973)</f>
        <v>#N/A</v>
      </c>
      <c r="P10" t="e" cm="1">
        <f t="array" ref="P10">INDEX('GMW - $100 oil'!$A$2:$MC$200,MATCH(1,('GMW - $100 oil'!$MC$2:$MC$200=P$3)*('GMW - $100 oil'!$MB$2:$MB$200=P$4),0),$E10-1973)</f>
        <v>#N/A</v>
      </c>
      <c r="Q10" t="e" cm="1">
        <f t="array" ref="Q10">INDEX('GMW - $100 oil'!$A$2:$MC$200,MATCH(1,('GMW - $100 oil'!$MC$2:$MC$200=Q$3)*('GMW - $100 oil'!$MB$2:$MB$200=Q$4),0),$E10-1973)</f>
        <v>#N/A</v>
      </c>
      <c r="R10" t="e" cm="1">
        <f t="array" ref="R10">INDEX('GMW - $100 oil'!$A$2:$MC$200,MATCH(1,('GMW - $100 oil'!$MC$2:$MC$200=R$3)*('GMW - $100 oil'!$MB$2:$MB$200=R$4),0),$E10-1973)</f>
        <v>#N/A</v>
      </c>
      <c r="S10" t="e" cm="1">
        <f t="array" ref="S10">INDEX('GMW - $100 oil'!$A$2:$MC$200,MATCH(1,('GMW - $100 oil'!$MC$2:$MC$200=S$3)*('GMW - $100 oil'!$MB$2:$MB$200=S$4),0),$E10-1973)</f>
        <v>#N/A</v>
      </c>
      <c r="T10" t="e" cm="1">
        <f t="array" ref="T10">INDEX('GMW - $100 oil'!$A$2:$MC$200,MATCH(1,('GMW - $100 oil'!$MC$2:$MC$200=T$3)*('GMW - $100 oil'!$MB$2:$MB$200=T$4),0),$E10-1973)</f>
        <v>#N/A</v>
      </c>
    </row>
    <row r="11" spans="1:20" x14ac:dyDescent="0.25">
      <c r="A11">
        <v>1981</v>
      </c>
      <c r="B11">
        <f>+B7+1</f>
        <v>1981</v>
      </c>
      <c r="C11">
        <v>1980</v>
      </c>
      <c r="D11">
        <v>1980</v>
      </c>
      <c r="E11">
        <f t="shared" si="1"/>
        <v>1984</v>
      </c>
      <c r="F11" cm="1">
        <f t="array" ref="F11">INDEX('GMW - $100 oil'!$A$2:$MC$200,MATCH(1,('GMW - $100 oil'!$MC$2:$MC$200=F$3)*('GMW - $100 oil'!$MB$2:$MB$200=F$4),0),$E11-1973)</f>
        <v>281257</v>
      </c>
      <c r="G11" cm="1">
        <f t="array" ref="G11">INDEX('GMW - $100 oil'!$A$2:$MC$200,MATCH(1,('GMW - $100 oil'!$MC$2:$MC$200=G$3)*('GMW - $100 oil'!$MB$2:$MB$200=G$4),0),$E11-1973)</f>
        <v>151234</v>
      </c>
      <c r="H11" cm="1">
        <f t="array" ref="H11">INDEX('GMW - $100 oil'!$A$2:$MC$200,MATCH(1,('GMW - $100 oil'!$MC$2:$MC$200=H$3)*('GMW - $100 oil'!$MB$2:$MB$200=H$4),0),$E11-1973)</f>
        <v>34.385100000000001</v>
      </c>
      <c r="I11" cm="1">
        <f t="array" ref="I11">INDEX('GMW - $100 oil'!$A$2:$MC$200,MATCH(1,('GMW - $100 oil'!$MC$2:$MC$200=I$3)*('GMW - $100 oil'!$MB$2:$MB$200=I$4),0),$E11-1973)</f>
        <v>13.53125</v>
      </c>
      <c r="J11" t="e" cm="1">
        <f t="array" ref="J11">INDEX('GMW - $100 oil'!$A$2:$MC$200,MATCH(1,('GMW - $100 oil'!$MC$2:$MC$200=J$3)*('GMW - $100 oil'!$MB$2:$MB$200=J$4),0),$E11-1973)</f>
        <v>#N/A</v>
      </c>
      <c r="K11" t="e" cm="1">
        <f t="array" ref="K11">INDEX('GMW - $100 oil'!$A$2:$MC$200,MATCH(1,('GMW - $100 oil'!$MC$2:$MC$200=K$3)*('GMW - $100 oil'!$MB$2:$MB$200=K$4),0),$E11-1973)</f>
        <v>#N/A</v>
      </c>
      <c r="L11" t="e" cm="1">
        <f t="array" ref="L11">INDEX('GMW - $100 oil'!$A$2:$MC$200,MATCH(1,('GMW - $100 oil'!$MC$2:$MC$200=L$3)*('GMW - $100 oil'!$MB$2:$MB$200=L$4),0),$E11-1973)</f>
        <v>#N/A</v>
      </c>
      <c r="M11" t="e" cm="1">
        <f t="array" ref="M11">INDEX('GMW - $100 oil'!$A$2:$MC$200,MATCH(1,('GMW - $100 oil'!$MC$2:$MC$200=M$3)*('GMW - $100 oil'!$MB$2:$MB$200=M$4),0),$E11-1973)</f>
        <v>#N/A</v>
      </c>
      <c r="N11" t="e" cm="1">
        <f t="array" ref="N11">INDEX('GMW - $100 oil'!$A$2:$MC$200,MATCH(1,('GMW - $100 oil'!$MC$2:$MC$200=N$3)*('GMW - $100 oil'!$MB$2:$MB$200=N$4),0),$E11-1973)</f>
        <v>#N/A</v>
      </c>
      <c r="O11" t="e" cm="1">
        <f t="array" ref="O11">INDEX('GMW - $100 oil'!$A$2:$MC$200,MATCH(1,('GMW - $100 oil'!$MC$2:$MC$200=O$3)*('GMW - $100 oil'!$MB$2:$MB$200=O$4),0),$E11-1973)</f>
        <v>#N/A</v>
      </c>
      <c r="P11" t="e" cm="1">
        <f t="array" ref="P11">INDEX('GMW - $100 oil'!$A$2:$MC$200,MATCH(1,('GMW - $100 oil'!$MC$2:$MC$200=P$3)*('GMW - $100 oil'!$MB$2:$MB$200=P$4),0),$E11-1973)</f>
        <v>#N/A</v>
      </c>
      <c r="Q11" t="e" cm="1">
        <f t="array" ref="Q11">INDEX('GMW - $100 oil'!$A$2:$MC$200,MATCH(1,('GMW - $100 oil'!$MC$2:$MC$200=Q$3)*('GMW - $100 oil'!$MB$2:$MB$200=Q$4),0),$E11-1973)</f>
        <v>#N/A</v>
      </c>
      <c r="R11" t="e" cm="1">
        <f t="array" ref="R11">INDEX('GMW - $100 oil'!$A$2:$MC$200,MATCH(1,('GMW - $100 oil'!$MC$2:$MC$200=R$3)*('GMW - $100 oil'!$MB$2:$MB$200=R$4),0),$E11-1973)</f>
        <v>#N/A</v>
      </c>
      <c r="S11" t="e" cm="1">
        <f t="array" ref="S11">INDEX('GMW - $100 oil'!$A$2:$MC$200,MATCH(1,('GMW - $100 oil'!$MC$2:$MC$200=S$3)*('GMW - $100 oil'!$MB$2:$MB$200=S$4),0),$E11-1973)</f>
        <v>#N/A</v>
      </c>
      <c r="T11" t="e" cm="1">
        <f t="array" ref="T11">INDEX('GMW - $100 oil'!$A$2:$MC$200,MATCH(1,('GMW - $100 oil'!$MC$2:$MC$200=T$3)*('GMW - $100 oil'!$MB$2:$MB$200=T$4),0),$E11-1973)</f>
        <v>#N/A</v>
      </c>
    </row>
    <row r="12" spans="1:20" x14ac:dyDescent="0.25">
      <c r="B12">
        <f t="shared" ref="B12:D27" si="2">+B8+1</f>
        <v>1981</v>
      </c>
      <c r="C12">
        <f t="shared" si="2"/>
        <v>1981</v>
      </c>
      <c r="E12">
        <f t="shared" si="1"/>
        <v>1985</v>
      </c>
      <c r="F12" cm="1">
        <f t="array" ref="F12">INDEX('GMW - $100 oil'!$A$2:$MC$200,MATCH(1,('GMW - $100 oil'!$MC$2:$MC$200=F$3)*('GMW - $100 oil'!$MB$2:$MB$200=F$4),0),$E12-1973)</f>
        <v>282155</v>
      </c>
      <c r="G12" cm="1">
        <f t="array" ref="G12">INDEX('GMW - $100 oil'!$A$2:$MC$200,MATCH(1,('GMW - $100 oil'!$MC$2:$MC$200=G$3)*('GMW - $100 oil'!$MB$2:$MB$200=G$4),0),$E12-1973)</f>
        <v>151164</v>
      </c>
      <c r="H12" cm="1">
        <f t="array" ref="H12">INDEX('GMW - $100 oil'!$A$2:$MC$200,MATCH(1,('GMW - $100 oil'!$MC$2:$MC$200=H$3)*('GMW - $100 oil'!$MB$2:$MB$200=H$4),0),$E12-1973)</f>
        <v>36.079590000000003</v>
      </c>
      <c r="I12" cm="1">
        <f t="array" ref="I12">INDEX('GMW - $100 oil'!$A$2:$MC$200,MATCH(1,('GMW - $100 oil'!$MC$2:$MC$200=I$3)*('GMW - $100 oil'!$MB$2:$MB$200=I$4),0),$E12-1973)</f>
        <v>12</v>
      </c>
      <c r="J12" t="e" cm="1">
        <f t="array" ref="J12">INDEX('GMW - $100 oil'!$A$2:$MC$200,MATCH(1,('GMW - $100 oil'!$MC$2:$MC$200=J$3)*('GMW - $100 oil'!$MB$2:$MB$200=J$4),0),$E12-1973)</f>
        <v>#N/A</v>
      </c>
      <c r="K12" t="e" cm="1">
        <f t="array" ref="K12">INDEX('GMW - $100 oil'!$A$2:$MC$200,MATCH(1,('GMW - $100 oil'!$MC$2:$MC$200=K$3)*('GMW - $100 oil'!$MB$2:$MB$200=K$4),0),$E12-1973)</f>
        <v>#N/A</v>
      </c>
      <c r="L12" t="e" cm="1">
        <f t="array" ref="L12">INDEX('GMW - $100 oil'!$A$2:$MC$200,MATCH(1,('GMW - $100 oil'!$MC$2:$MC$200=L$3)*('GMW - $100 oil'!$MB$2:$MB$200=L$4),0),$E12-1973)</f>
        <v>#N/A</v>
      </c>
      <c r="M12" t="e" cm="1">
        <f t="array" ref="M12">INDEX('GMW - $100 oil'!$A$2:$MC$200,MATCH(1,('GMW - $100 oil'!$MC$2:$MC$200=M$3)*('GMW - $100 oil'!$MB$2:$MB$200=M$4),0),$E12-1973)</f>
        <v>#N/A</v>
      </c>
      <c r="N12" t="e" cm="1">
        <f t="array" ref="N12">INDEX('GMW - $100 oil'!$A$2:$MC$200,MATCH(1,('GMW - $100 oil'!$MC$2:$MC$200=N$3)*('GMW - $100 oil'!$MB$2:$MB$200=N$4),0),$E12-1973)</f>
        <v>#N/A</v>
      </c>
      <c r="O12" t="e" cm="1">
        <f t="array" ref="O12">INDEX('GMW - $100 oil'!$A$2:$MC$200,MATCH(1,('GMW - $100 oil'!$MC$2:$MC$200=O$3)*('GMW - $100 oil'!$MB$2:$MB$200=O$4),0),$E12-1973)</f>
        <v>#N/A</v>
      </c>
      <c r="P12" t="e" cm="1">
        <f t="array" ref="P12">INDEX('GMW - $100 oil'!$A$2:$MC$200,MATCH(1,('GMW - $100 oil'!$MC$2:$MC$200=P$3)*('GMW - $100 oil'!$MB$2:$MB$200=P$4),0),$E12-1973)</f>
        <v>#N/A</v>
      </c>
      <c r="Q12" t="e" cm="1">
        <f t="array" ref="Q12">INDEX('GMW - $100 oil'!$A$2:$MC$200,MATCH(1,('GMW - $100 oil'!$MC$2:$MC$200=Q$3)*('GMW - $100 oil'!$MB$2:$MB$200=Q$4),0),$E12-1973)</f>
        <v>#N/A</v>
      </c>
      <c r="R12" t="e" cm="1">
        <f t="array" ref="R12">INDEX('GMW - $100 oil'!$A$2:$MC$200,MATCH(1,('GMW - $100 oil'!$MC$2:$MC$200=R$3)*('GMW - $100 oil'!$MB$2:$MB$200=R$4),0),$E12-1973)</f>
        <v>#N/A</v>
      </c>
      <c r="S12" t="e" cm="1">
        <f t="array" ref="S12">INDEX('GMW - $100 oil'!$A$2:$MC$200,MATCH(1,('GMW - $100 oil'!$MC$2:$MC$200=S$3)*('GMW - $100 oil'!$MB$2:$MB$200=S$4),0),$E12-1973)</f>
        <v>#N/A</v>
      </c>
      <c r="T12" t="e" cm="1">
        <f t="array" ref="T12">INDEX('GMW - $100 oil'!$A$2:$MC$200,MATCH(1,('GMW - $100 oil'!$MC$2:$MC$200=T$3)*('GMW - $100 oil'!$MB$2:$MB$200=T$4),0),$E12-1973)</f>
        <v>#N/A</v>
      </c>
    </row>
    <row r="13" spans="1:20" x14ac:dyDescent="0.25">
      <c r="B13">
        <f t="shared" si="2"/>
        <v>1981</v>
      </c>
      <c r="C13">
        <f t="shared" si="2"/>
        <v>1981</v>
      </c>
      <c r="E13">
        <f t="shared" si="1"/>
        <v>1986</v>
      </c>
      <c r="F13" cm="1">
        <f t="array" ref="F13">INDEX('GMW - $100 oil'!$A$2:$MC$200,MATCH(1,('GMW - $100 oil'!$MC$2:$MC$200=F$3)*('GMW - $100 oil'!$MB$2:$MB$200=F$4),0),$E13-1973)</f>
        <v>285437</v>
      </c>
      <c r="G13" cm="1">
        <f t="array" ref="G13">INDEX('GMW - $100 oil'!$A$2:$MC$200,MATCH(1,('GMW - $100 oil'!$MC$2:$MC$200=G$3)*('GMW - $100 oil'!$MB$2:$MB$200=G$4),0),$E13-1973)</f>
        <v>151269</v>
      </c>
      <c r="H13" cm="1">
        <f t="array" ref="H13">INDEX('GMW - $100 oil'!$A$2:$MC$200,MATCH(1,('GMW - $100 oil'!$MC$2:$MC$200=H$3)*('GMW - $100 oil'!$MB$2:$MB$200=H$4),0),$E13-1973)</f>
        <v>36.731310000000001</v>
      </c>
      <c r="I13" cm="1">
        <f t="array" ref="I13">INDEX('GMW - $100 oil'!$A$2:$MC$200,MATCH(1,('GMW - $100 oil'!$MC$2:$MC$200=I$3)*('GMW - $100 oil'!$MB$2:$MB$200=I$4),0),$E13-1973)</f>
        <v>12.51989</v>
      </c>
      <c r="J13" t="e" cm="1">
        <f t="array" ref="J13">INDEX('GMW - $100 oil'!$A$2:$MC$200,MATCH(1,('GMW - $100 oil'!$MC$2:$MC$200=J$3)*('GMW - $100 oil'!$MB$2:$MB$200=J$4),0),$E13-1973)</f>
        <v>#N/A</v>
      </c>
      <c r="K13" t="e" cm="1">
        <f t="array" ref="K13">INDEX('GMW - $100 oil'!$A$2:$MC$200,MATCH(1,('GMW - $100 oil'!$MC$2:$MC$200=K$3)*('GMW - $100 oil'!$MB$2:$MB$200=K$4),0),$E13-1973)</f>
        <v>#N/A</v>
      </c>
      <c r="L13" t="e" cm="1">
        <f t="array" ref="L13">INDEX('GMW - $100 oil'!$A$2:$MC$200,MATCH(1,('GMW - $100 oil'!$MC$2:$MC$200=L$3)*('GMW - $100 oil'!$MB$2:$MB$200=L$4),0),$E13-1973)</f>
        <v>#N/A</v>
      </c>
      <c r="M13" t="e" cm="1">
        <f t="array" ref="M13">INDEX('GMW - $100 oil'!$A$2:$MC$200,MATCH(1,('GMW - $100 oil'!$MC$2:$MC$200=M$3)*('GMW - $100 oil'!$MB$2:$MB$200=M$4),0),$E13-1973)</f>
        <v>#N/A</v>
      </c>
      <c r="N13" t="e" cm="1">
        <f t="array" ref="N13">INDEX('GMW - $100 oil'!$A$2:$MC$200,MATCH(1,('GMW - $100 oil'!$MC$2:$MC$200=N$3)*('GMW - $100 oil'!$MB$2:$MB$200=N$4),0),$E13-1973)</f>
        <v>#N/A</v>
      </c>
      <c r="O13" t="e" cm="1">
        <f t="array" ref="O13">INDEX('GMW - $100 oil'!$A$2:$MC$200,MATCH(1,('GMW - $100 oil'!$MC$2:$MC$200=O$3)*('GMW - $100 oil'!$MB$2:$MB$200=O$4),0),$E13-1973)</f>
        <v>#N/A</v>
      </c>
      <c r="P13" t="e" cm="1">
        <f t="array" ref="P13">INDEX('GMW - $100 oil'!$A$2:$MC$200,MATCH(1,('GMW - $100 oil'!$MC$2:$MC$200=P$3)*('GMW - $100 oil'!$MB$2:$MB$200=P$4),0),$E13-1973)</f>
        <v>#N/A</v>
      </c>
      <c r="Q13" t="e" cm="1">
        <f t="array" ref="Q13">INDEX('GMW - $100 oil'!$A$2:$MC$200,MATCH(1,('GMW - $100 oil'!$MC$2:$MC$200=Q$3)*('GMW - $100 oil'!$MB$2:$MB$200=Q$4),0),$E13-1973)</f>
        <v>#N/A</v>
      </c>
      <c r="R13" t="e" cm="1">
        <f t="array" ref="R13">INDEX('GMW - $100 oil'!$A$2:$MC$200,MATCH(1,('GMW - $100 oil'!$MC$2:$MC$200=R$3)*('GMW - $100 oil'!$MB$2:$MB$200=R$4),0),$E13-1973)</f>
        <v>#N/A</v>
      </c>
      <c r="S13" t="e" cm="1">
        <f t="array" ref="S13">INDEX('GMW - $100 oil'!$A$2:$MC$200,MATCH(1,('GMW - $100 oil'!$MC$2:$MC$200=S$3)*('GMW - $100 oil'!$MB$2:$MB$200=S$4),0),$E13-1973)</f>
        <v>#N/A</v>
      </c>
      <c r="T13" t="e" cm="1">
        <f t="array" ref="T13">INDEX('GMW - $100 oil'!$A$2:$MC$200,MATCH(1,('GMW - $100 oil'!$MC$2:$MC$200=T$3)*('GMW - $100 oil'!$MB$2:$MB$200=T$4),0),$E13-1973)</f>
        <v>#N/A</v>
      </c>
    </row>
    <row r="14" spans="1:20" x14ac:dyDescent="0.25">
      <c r="B14">
        <f t="shared" si="2"/>
        <v>1981</v>
      </c>
      <c r="C14">
        <f t="shared" si="2"/>
        <v>1981</v>
      </c>
      <c r="E14">
        <f t="shared" si="1"/>
        <v>1987</v>
      </c>
      <c r="F14" cm="1">
        <f t="array" ref="F14">INDEX('GMW - $100 oil'!$A$2:$MC$200,MATCH(1,('GMW - $100 oil'!$MC$2:$MC$200=F$3)*('GMW - $100 oil'!$MB$2:$MB$200=F$4),0),$E14-1973)</f>
        <v>285814</v>
      </c>
      <c r="G14" cm="1">
        <f t="array" ref="G14">INDEX('GMW - $100 oil'!$A$2:$MC$200,MATCH(1,('GMW - $100 oil'!$MC$2:$MC$200=G$3)*('GMW - $100 oil'!$MB$2:$MB$200=G$4),0),$E14-1973)</f>
        <v>150853</v>
      </c>
      <c r="H14" cm="1">
        <f t="array" ref="H14">INDEX('GMW - $100 oil'!$A$2:$MC$200,MATCH(1,('GMW - $100 oil'!$MC$2:$MC$200=H$3)*('GMW - $100 oil'!$MB$2:$MB$200=H$4),0),$E14-1973)</f>
        <v>37.435180000000003</v>
      </c>
      <c r="I14" cm="1">
        <f t="array" ref="I14">INDEX('GMW - $100 oil'!$A$2:$MC$200,MATCH(1,('GMW - $100 oil'!$MC$2:$MC$200=I$3)*('GMW - $100 oil'!$MB$2:$MB$200=I$4),0),$E14-1973)</f>
        <v>14.60417</v>
      </c>
      <c r="J14" t="e" cm="1">
        <f t="array" ref="J14">INDEX('GMW - $100 oil'!$A$2:$MC$200,MATCH(1,('GMW - $100 oil'!$MC$2:$MC$200=J$3)*('GMW - $100 oil'!$MB$2:$MB$200=J$4),0),$E14-1973)</f>
        <v>#N/A</v>
      </c>
      <c r="K14" t="e" cm="1">
        <f t="array" ref="K14">INDEX('GMW - $100 oil'!$A$2:$MC$200,MATCH(1,('GMW - $100 oil'!$MC$2:$MC$200=K$3)*('GMW - $100 oil'!$MB$2:$MB$200=K$4),0),$E14-1973)</f>
        <v>#N/A</v>
      </c>
      <c r="L14" t="e" cm="1">
        <f t="array" ref="L14">INDEX('GMW - $100 oil'!$A$2:$MC$200,MATCH(1,('GMW - $100 oil'!$MC$2:$MC$200=L$3)*('GMW - $100 oil'!$MB$2:$MB$200=L$4),0),$E14-1973)</f>
        <v>#N/A</v>
      </c>
      <c r="M14" t="e" cm="1">
        <f t="array" ref="M14">INDEX('GMW - $100 oil'!$A$2:$MC$200,MATCH(1,('GMW - $100 oil'!$MC$2:$MC$200=M$3)*('GMW - $100 oil'!$MB$2:$MB$200=M$4),0),$E14-1973)</f>
        <v>#N/A</v>
      </c>
      <c r="N14" t="e" cm="1">
        <f t="array" ref="N14">INDEX('GMW - $100 oil'!$A$2:$MC$200,MATCH(1,('GMW - $100 oil'!$MC$2:$MC$200=N$3)*('GMW - $100 oil'!$MB$2:$MB$200=N$4),0),$E14-1973)</f>
        <v>#N/A</v>
      </c>
      <c r="O14" t="e" cm="1">
        <f t="array" ref="O14">INDEX('GMW - $100 oil'!$A$2:$MC$200,MATCH(1,('GMW - $100 oil'!$MC$2:$MC$200=O$3)*('GMW - $100 oil'!$MB$2:$MB$200=O$4),0),$E14-1973)</f>
        <v>#N/A</v>
      </c>
      <c r="P14" t="e" cm="1">
        <f t="array" ref="P14">INDEX('GMW - $100 oil'!$A$2:$MC$200,MATCH(1,('GMW - $100 oil'!$MC$2:$MC$200=P$3)*('GMW - $100 oil'!$MB$2:$MB$200=P$4),0),$E14-1973)</f>
        <v>#N/A</v>
      </c>
      <c r="Q14" t="e" cm="1">
        <f t="array" ref="Q14">INDEX('GMW - $100 oil'!$A$2:$MC$200,MATCH(1,('GMW - $100 oil'!$MC$2:$MC$200=Q$3)*('GMW - $100 oil'!$MB$2:$MB$200=Q$4),0),$E14-1973)</f>
        <v>#N/A</v>
      </c>
      <c r="R14" t="e" cm="1">
        <f t="array" ref="R14">INDEX('GMW - $100 oil'!$A$2:$MC$200,MATCH(1,('GMW - $100 oil'!$MC$2:$MC$200=R$3)*('GMW - $100 oil'!$MB$2:$MB$200=R$4),0),$E14-1973)</f>
        <v>#N/A</v>
      </c>
      <c r="S14" t="e" cm="1">
        <f t="array" ref="S14">INDEX('GMW - $100 oil'!$A$2:$MC$200,MATCH(1,('GMW - $100 oil'!$MC$2:$MC$200=S$3)*('GMW - $100 oil'!$MB$2:$MB$200=S$4),0),$E14-1973)</f>
        <v>#N/A</v>
      </c>
      <c r="T14" t="e" cm="1">
        <f t="array" ref="T14">INDEX('GMW - $100 oil'!$A$2:$MC$200,MATCH(1,('GMW - $100 oil'!$MC$2:$MC$200=T$3)*('GMW - $100 oil'!$MB$2:$MB$200=T$4),0),$E14-1973)</f>
        <v>#N/A</v>
      </c>
    </row>
    <row r="15" spans="1:20" x14ac:dyDescent="0.25">
      <c r="A15">
        <v>1982</v>
      </c>
      <c r="B15">
        <f t="shared" si="2"/>
        <v>1982</v>
      </c>
      <c r="C15">
        <f t="shared" si="2"/>
        <v>1981</v>
      </c>
      <c r="D15">
        <f t="shared" si="2"/>
        <v>1981</v>
      </c>
      <c r="E15">
        <f t="shared" si="1"/>
        <v>1988</v>
      </c>
      <c r="F15" cm="1">
        <f t="array" ref="F15">INDEX('GMW - $100 oil'!$A$2:$MC$200,MATCH(1,('GMW - $100 oil'!$MC$2:$MC$200=F$3)*('GMW - $100 oil'!$MB$2:$MB$200=F$4),0),$E15-1973)</f>
        <v>286275</v>
      </c>
      <c r="G15" cm="1">
        <f t="array" ref="G15">INDEX('GMW - $100 oil'!$A$2:$MC$200,MATCH(1,('GMW - $100 oil'!$MC$2:$MC$200=G$3)*('GMW - $100 oil'!$MB$2:$MB$200=G$4),0),$E15-1973)</f>
        <v>151361</v>
      </c>
      <c r="H15" cm="1">
        <f t="array" ref="H15">INDEX('GMW - $100 oil'!$A$2:$MC$200,MATCH(1,('GMW - $100 oil'!$MC$2:$MC$200=H$3)*('GMW - $100 oil'!$MB$2:$MB$200=H$4),0),$E15-1973)</f>
        <v>37.878349999999998</v>
      </c>
      <c r="I15" cm="1">
        <f t="array" ref="I15">INDEX('GMW - $100 oil'!$A$2:$MC$200,MATCH(1,('GMW - $100 oil'!$MC$2:$MC$200=I$3)*('GMW - $100 oil'!$MB$2:$MB$200=I$4),0),$E15-1973)</f>
        <v>13.785159999999999</v>
      </c>
      <c r="J15" t="e" cm="1">
        <f t="array" ref="J15">INDEX('GMW - $100 oil'!$A$2:$MC$200,MATCH(1,('GMW - $100 oil'!$MC$2:$MC$200=J$3)*('GMW - $100 oil'!$MB$2:$MB$200=J$4),0),$E15-1973)</f>
        <v>#N/A</v>
      </c>
      <c r="K15" t="e" cm="1">
        <f t="array" ref="K15">INDEX('GMW - $100 oil'!$A$2:$MC$200,MATCH(1,('GMW - $100 oil'!$MC$2:$MC$200=K$3)*('GMW - $100 oil'!$MB$2:$MB$200=K$4),0),$E15-1973)</f>
        <v>#N/A</v>
      </c>
      <c r="L15" t="e" cm="1">
        <f t="array" ref="L15">INDEX('GMW - $100 oil'!$A$2:$MC$200,MATCH(1,('GMW - $100 oil'!$MC$2:$MC$200=L$3)*('GMW - $100 oil'!$MB$2:$MB$200=L$4),0),$E15-1973)</f>
        <v>#N/A</v>
      </c>
      <c r="M15" t="e" cm="1">
        <f t="array" ref="M15">INDEX('GMW - $100 oil'!$A$2:$MC$200,MATCH(1,('GMW - $100 oil'!$MC$2:$MC$200=M$3)*('GMW - $100 oil'!$MB$2:$MB$200=M$4),0),$E15-1973)</f>
        <v>#N/A</v>
      </c>
      <c r="N15" t="e" cm="1">
        <f t="array" ref="N15">INDEX('GMW - $100 oil'!$A$2:$MC$200,MATCH(1,('GMW - $100 oil'!$MC$2:$MC$200=N$3)*('GMW - $100 oil'!$MB$2:$MB$200=N$4),0),$E15-1973)</f>
        <v>#N/A</v>
      </c>
      <c r="O15" t="e" cm="1">
        <f t="array" ref="O15">INDEX('GMW - $100 oil'!$A$2:$MC$200,MATCH(1,('GMW - $100 oil'!$MC$2:$MC$200=O$3)*('GMW - $100 oil'!$MB$2:$MB$200=O$4),0),$E15-1973)</f>
        <v>#N/A</v>
      </c>
      <c r="P15" t="e" cm="1">
        <f t="array" ref="P15">INDEX('GMW - $100 oil'!$A$2:$MC$200,MATCH(1,('GMW - $100 oil'!$MC$2:$MC$200=P$3)*('GMW - $100 oil'!$MB$2:$MB$200=P$4),0),$E15-1973)</f>
        <v>#N/A</v>
      </c>
      <c r="Q15" t="e" cm="1">
        <f t="array" ref="Q15">INDEX('GMW - $100 oil'!$A$2:$MC$200,MATCH(1,('GMW - $100 oil'!$MC$2:$MC$200=Q$3)*('GMW - $100 oil'!$MB$2:$MB$200=Q$4),0),$E15-1973)</f>
        <v>#N/A</v>
      </c>
      <c r="R15" t="e" cm="1">
        <f t="array" ref="R15">INDEX('GMW - $100 oil'!$A$2:$MC$200,MATCH(1,('GMW - $100 oil'!$MC$2:$MC$200=R$3)*('GMW - $100 oil'!$MB$2:$MB$200=R$4),0),$E15-1973)</f>
        <v>#N/A</v>
      </c>
      <c r="S15" t="e" cm="1">
        <f t="array" ref="S15">INDEX('GMW - $100 oil'!$A$2:$MC$200,MATCH(1,('GMW - $100 oil'!$MC$2:$MC$200=S$3)*('GMW - $100 oil'!$MB$2:$MB$200=S$4),0),$E15-1973)</f>
        <v>#N/A</v>
      </c>
      <c r="T15" t="e" cm="1">
        <f t="array" ref="T15">INDEX('GMW - $100 oil'!$A$2:$MC$200,MATCH(1,('GMW - $100 oil'!$MC$2:$MC$200=T$3)*('GMW - $100 oil'!$MB$2:$MB$200=T$4),0),$E15-1973)</f>
        <v>#N/A</v>
      </c>
    </row>
    <row r="16" spans="1:20" x14ac:dyDescent="0.25">
      <c r="B16">
        <f t="shared" si="2"/>
        <v>1982</v>
      </c>
      <c r="C16">
        <f t="shared" si="2"/>
        <v>1982</v>
      </c>
      <c r="E16">
        <f t="shared" si="1"/>
        <v>1989</v>
      </c>
      <c r="F16" cm="1">
        <f t="array" ref="F16">INDEX('GMW - $100 oil'!$A$2:$MC$200,MATCH(1,('GMW - $100 oil'!$MC$2:$MC$200=F$3)*('GMW - $100 oil'!$MB$2:$MB$200=F$4),0),$E16-1973)</f>
        <v>289232</v>
      </c>
      <c r="G16" cm="1">
        <f t="array" ref="G16">INDEX('GMW - $100 oil'!$A$2:$MC$200,MATCH(1,('GMW - $100 oil'!$MC$2:$MC$200=G$3)*('GMW - $100 oil'!$MB$2:$MB$200=G$4),0),$E16-1973)</f>
        <v>151251</v>
      </c>
      <c r="H16" cm="1">
        <f t="array" ref="H16">INDEX('GMW - $100 oil'!$A$2:$MC$200,MATCH(1,('GMW - $100 oil'!$MC$2:$MC$200=H$3)*('GMW - $100 oil'!$MB$2:$MB$200=H$4),0),$E16-1973)</f>
        <v>39.181800000000003</v>
      </c>
      <c r="I16" cm="1">
        <f t="array" ref="I16">INDEX('GMW - $100 oil'!$A$2:$MC$200,MATCH(1,('GMW - $100 oil'!$MC$2:$MC$200=I$3)*('GMW - $100 oil'!$MB$2:$MB$200=I$4),0),$E16-1973)</f>
        <v>13.01346</v>
      </c>
      <c r="J16" t="e" cm="1">
        <f t="array" ref="J16">INDEX('GMW - $100 oil'!$A$2:$MC$200,MATCH(1,('GMW - $100 oil'!$MC$2:$MC$200=J$3)*('GMW - $100 oil'!$MB$2:$MB$200=J$4),0),$E16-1973)</f>
        <v>#N/A</v>
      </c>
      <c r="K16" t="e" cm="1">
        <f t="array" ref="K16">INDEX('GMW - $100 oil'!$A$2:$MC$200,MATCH(1,('GMW - $100 oil'!$MC$2:$MC$200=K$3)*('GMW - $100 oil'!$MB$2:$MB$200=K$4),0),$E16-1973)</f>
        <v>#N/A</v>
      </c>
      <c r="L16" t="e" cm="1">
        <f t="array" ref="L16">INDEX('GMW - $100 oil'!$A$2:$MC$200,MATCH(1,('GMW - $100 oil'!$MC$2:$MC$200=L$3)*('GMW - $100 oil'!$MB$2:$MB$200=L$4),0),$E16-1973)</f>
        <v>#N/A</v>
      </c>
      <c r="M16" t="e" cm="1">
        <f t="array" ref="M16">INDEX('GMW - $100 oil'!$A$2:$MC$200,MATCH(1,('GMW - $100 oil'!$MC$2:$MC$200=M$3)*('GMW - $100 oil'!$MB$2:$MB$200=M$4),0),$E16-1973)</f>
        <v>#N/A</v>
      </c>
      <c r="N16" t="e" cm="1">
        <f t="array" ref="N16">INDEX('GMW - $100 oil'!$A$2:$MC$200,MATCH(1,('GMW - $100 oil'!$MC$2:$MC$200=N$3)*('GMW - $100 oil'!$MB$2:$MB$200=N$4),0),$E16-1973)</f>
        <v>#N/A</v>
      </c>
      <c r="O16" t="e" cm="1">
        <f t="array" ref="O16">INDEX('GMW - $100 oil'!$A$2:$MC$200,MATCH(1,('GMW - $100 oil'!$MC$2:$MC$200=O$3)*('GMW - $100 oil'!$MB$2:$MB$200=O$4),0),$E16-1973)</f>
        <v>#N/A</v>
      </c>
      <c r="P16" t="e" cm="1">
        <f t="array" ref="P16">INDEX('GMW - $100 oil'!$A$2:$MC$200,MATCH(1,('GMW - $100 oil'!$MC$2:$MC$200=P$3)*('GMW - $100 oil'!$MB$2:$MB$200=P$4),0),$E16-1973)</f>
        <v>#N/A</v>
      </c>
      <c r="Q16" t="e" cm="1">
        <f t="array" ref="Q16">INDEX('GMW - $100 oil'!$A$2:$MC$200,MATCH(1,('GMW - $100 oil'!$MC$2:$MC$200=Q$3)*('GMW - $100 oil'!$MB$2:$MB$200=Q$4),0),$E16-1973)</f>
        <v>#N/A</v>
      </c>
      <c r="R16" t="e" cm="1">
        <f t="array" ref="R16">INDEX('GMW - $100 oil'!$A$2:$MC$200,MATCH(1,('GMW - $100 oil'!$MC$2:$MC$200=R$3)*('GMW - $100 oil'!$MB$2:$MB$200=R$4),0),$E16-1973)</f>
        <v>#N/A</v>
      </c>
      <c r="S16" t="e" cm="1">
        <f t="array" ref="S16">INDEX('GMW - $100 oil'!$A$2:$MC$200,MATCH(1,('GMW - $100 oil'!$MC$2:$MC$200=S$3)*('GMW - $100 oil'!$MB$2:$MB$200=S$4),0),$E16-1973)</f>
        <v>#N/A</v>
      </c>
      <c r="T16" t="e" cm="1">
        <f t="array" ref="T16">INDEX('GMW - $100 oil'!$A$2:$MC$200,MATCH(1,('GMW - $100 oil'!$MC$2:$MC$200=T$3)*('GMW - $100 oil'!$MB$2:$MB$200=T$4),0),$E16-1973)</f>
        <v>#N/A</v>
      </c>
    </row>
    <row r="17" spans="1:20" x14ac:dyDescent="0.25">
      <c r="B17">
        <f t="shared" si="2"/>
        <v>1982</v>
      </c>
      <c r="C17">
        <f t="shared" si="2"/>
        <v>1982</v>
      </c>
      <c r="E17">
        <f t="shared" si="1"/>
        <v>1990</v>
      </c>
      <c r="F17" cm="1">
        <f t="array" ref="F17">INDEX('GMW - $100 oil'!$A$2:$MC$200,MATCH(1,('GMW - $100 oil'!$MC$2:$MC$200=F$3)*('GMW - $100 oil'!$MB$2:$MB$200=F$4),0),$E17-1973)</f>
        <v>289852</v>
      </c>
      <c r="G17" cm="1">
        <f t="array" ref="G17">INDEX('GMW - $100 oil'!$A$2:$MC$200,MATCH(1,('GMW - $100 oil'!$MC$2:$MC$200=G$3)*('GMW - $100 oil'!$MB$2:$MB$200=G$4),0),$E17-1973)</f>
        <v>153796</v>
      </c>
      <c r="H17" cm="1">
        <f t="array" ref="H17">INDEX('GMW - $100 oil'!$A$2:$MC$200,MATCH(1,('GMW - $100 oil'!$MC$2:$MC$200=H$3)*('GMW - $100 oil'!$MB$2:$MB$200=H$4),0),$E17-1973)</f>
        <v>39.416420000000002</v>
      </c>
      <c r="I17" cm="1">
        <f t="array" ref="I17">INDEX('GMW - $100 oil'!$A$2:$MC$200,MATCH(1,('GMW - $100 oil'!$MC$2:$MC$200=I$3)*('GMW - $100 oil'!$MB$2:$MB$200=I$4),0),$E17-1973)</f>
        <v>11.3428</v>
      </c>
      <c r="J17" t="e" cm="1">
        <f t="array" ref="J17">INDEX('GMW - $100 oil'!$A$2:$MC$200,MATCH(1,('GMW - $100 oil'!$MC$2:$MC$200=J$3)*('GMW - $100 oil'!$MB$2:$MB$200=J$4),0),$E17-1973)</f>
        <v>#N/A</v>
      </c>
      <c r="K17" t="e" cm="1">
        <f t="array" ref="K17">INDEX('GMW - $100 oil'!$A$2:$MC$200,MATCH(1,('GMW - $100 oil'!$MC$2:$MC$200=K$3)*('GMW - $100 oil'!$MB$2:$MB$200=K$4),0),$E17-1973)</f>
        <v>#N/A</v>
      </c>
      <c r="L17" t="e" cm="1">
        <f t="array" ref="L17">INDEX('GMW - $100 oil'!$A$2:$MC$200,MATCH(1,('GMW - $100 oil'!$MC$2:$MC$200=L$3)*('GMW - $100 oil'!$MB$2:$MB$200=L$4),0),$E17-1973)</f>
        <v>#N/A</v>
      </c>
      <c r="M17" t="e" cm="1">
        <f t="array" ref="M17">INDEX('GMW - $100 oil'!$A$2:$MC$200,MATCH(1,('GMW - $100 oil'!$MC$2:$MC$200=M$3)*('GMW - $100 oil'!$MB$2:$MB$200=M$4),0),$E17-1973)</f>
        <v>#N/A</v>
      </c>
      <c r="N17" t="e" cm="1">
        <f t="array" ref="N17">INDEX('GMW - $100 oil'!$A$2:$MC$200,MATCH(1,('GMW - $100 oil'!$MC$2:$MC$200=N$3)*('GMW - $100 oil'!$MB$2:$MB$200=N$4),0),$E17-1973)</f>
        <v>#N/A</v>
      </c>
      <c r="O17" t="e" cm="1">
        <f t="array" ref="O17">INDEX('GMW - $100 oil'!$A$2:$MC$200,MATCH(1,('GMW - $100 oil'!$MC$2:$MC$200=O$3)*('GMW - $100 oil'!$MB$2:$MB$200=O$4),0),$E17-1973)</f>
        <v>#N/A</v>
      </c>
      <c r="P17" t="e" cm="1">
        <f t="array" ref="P17">INDEX('GMW - $100 oil'!$A$2:$MC$200,MATCH(1,('GMW - $100 oil'!$MC$2:$MC$200=P$3)*('GMW - $100 oil'!$MB$2:$MB$200=P$4),0),$E17-1973)</f>
        <v>#N/A</v>
      </c>
      <c r="Q17" t="e" cm="1">
        <f t="array" ref="Q17">INDEX('GMW - $100 oil'!$A$2:$MC$200,MATCH(1,('GMW - $100 oil'!$MC$2:$MC$200=Q$3)*('GMW - $100 oil'!$MB$2:$MB$200=Q$4),0),$E17-1973)</f>
        <v>#N/A</v>
      </c>
      <c r="R17" t="e" cm="1">
        <f t="array" ref="R17">INDEX('GMW - $100 oil'!$A$2:$MC$200,MATCH(1,('GMW - $100 oil'!$MC$2:$MC$200=R$3)*('GMW - $100 oil'!$MB$2:$MB$200=R$4),0),$E17-1973)</f>
        <v>#N/A</v>
      </c>
      <c r="S17" t="e" cm="1">
        <f t="array" ref="S17">INDEX('GMW - $100 oil'!$A$2:$MC$200,MATCH(1,('GMW - $100 oil'!$MC$2:$MC$200=S$3)*('GMW - $100 oil'!$MB$2:$MB$200=S$4),0),$E17-1973)</f>
        <v>#N/A</v>
      </c>
      <c r="T17" t="e" cm="1">
        <f t="array" ref="T17">INDEX('GMW - $100 oil'!$A$2:$MC$200,MATCH(1,('GMW - $100 oil'!$MC$2:$MC$200=T$3)*('GMW - $100 oil'!$MB$2:$MB$200=T$4),0),$E17-1973)</f>
        <v>#N/A</v>
      </c>
    </row>
    <row r="18" spans="1:20" x14ac:dyDescent="0.25">
      <c r="B18">
        <f t="shared" si="2"/>
        <v>1982</v>
      </c>
      <c r="C18">
        <f t="shared" si="2"/>
        <v>1982</v>
      </c>
      <c r="E18">
        <f t="shared" si="1"/>
        <v>1991</v>
      </c>
      <c r="F18" cm="1">
        <f t="array" ref="F18">INDEX('GMW - $100 oil'!$A$2:$MC$200,MATCH(1,('GMW - $100 oil'!$MC$2:$MC$200=F$3)*('GMW - $100 oil'!$MB$2:$MB$200=F$4),0),$E18-1973)</f>
        <v>291832</v>
      </c>
      <c r="G18" cm="1">
        <f t="array" ref="G18">INDEX('GMW - $100 oil'!$A$2:$MC$200,MATCH(1,('GMW - $100 oil'!$MC$2:$MC$200=G$3)*('GMW - $100 oil'!$MB$2:$MB$200=G$4),0),$E18-1973)</f>
        <v>155106</v>
      </c>
      <c r="H18" cm="1">
        <f t="array" ref="H18">INDEX('GMW - $100 oil'!$A$2:$MC$200,MATCH(1,('GMW - $100 oil'!$MC$2:$MC$200=H$3)*('GMW - $100 oil'!$MB$2:$MB$200=H$4),0),$E18-1973)</f>
        <v>39.885669999999998</v>
      </c>
      <c r="I18" cm="1">
        <f t="array" ref="I18">INDEX('GMW - $100 oil'!$A$2:$MC$200,MATCH(1,('GMW - $100 oil'!$MC$2:$MC$200=I$3)*('GMW - $100 oil'!$MB$2:$MB$200=I$4),0),$E18-1973)</f>
        <v>9.6856059999999999</v>
      </c>
      <c r="J18" t="e" cm="1">
        <f t="array" ref="J18">INDEX('GMW - $100 oil'!$A$2:$MC$200,MATCH(1,('GMW - $100 oil'!$MC$2:$MC$200=J$3)*('GMW - $100 oil'!$MB$2:$MB$200=J$4),0),$E18-1973)</f>
        <v>#N/A</v>
      </c>
      <c r="K18" t="e" cm="1">
        <f t="array" ref="K18">INDEX('GMW - $100 oil'!$A$2:$MC$200,MATCH(1,('GMW - $100 oil'!$MC$2:$MC$200=K$3)*('GMW - $100 oil'!$MB$2:$MB$200=K$4),0),$E18-1973)</f>
        <v>#N/A</v>
      </c>
      <c r="L18" t="e" cm="1">
        <f t="array" ref="L18">INDEX('GMW - $100 oil'!$A$2:$MC$200,MATCH(1,('GMW - $100 oil'!$MC$2:$MC$200=L$3)*('GMW - $100 oil'!$MB$2:$MB$200=L$4),0),$E18-1973)</f>
        <v>#N/A</v>
      </c>
      <c r="M18" t="e" cm="1">
        <f t="array" ref="M18">INDEX('GMW - $100 oil'!$A$2:$MC$200,MATCH(1,('GMW - $100 oil'!$MC$2:$MC$200=M$3)*('GMW - $100 oil'!$MB$2:$MB$200=M$4),0),$E18-1973)</f>
        <v>#N/A</v>
      </c>
      <c r="N18" t="e" cm="1">
        <f t="array" ref="N18">INDEX('GMW - $100 oil'!$A$2:$MC$200,MATCH(1,('GMW - $100 oil'!$MC$2:$MC$200=N$3)*('GMW - $100 oil'!$MB$2:$MB$200=N$4),0),$E18-1973)</f>
        <v>#N/A</v>
      </c>
      <c r="O18" t="e" cm="1">
        <f t="array" ref="O18">INDEX('GMW - $100 oil'!$A$2:$MC$200,MATCH(1,('GMW - $100 oil'!$MC$2:$MC$200=O$3)*('GMW - $100 oil'!$MB$2:$MB$200=O$4),0),$E18-1973)</f>
        <v>#N/A</v>
      </c>
      <c r="P18" t="e" cm="1">
        <f t="array" ref="P18">INDEX('GMW - $100 oil'!$A$2:$MC$200,MATCH(1,('GMW - $100 oil'!$MC$2:$MC$200=P$3)*('GMW - $100 oil'!$MB$2:$MB$200=P$4),0),$E18-1973)</f>
        <v>#N/A</v>
      </c>
      <c r="Q18" t="e" cm="1">
        <f t="array" ref="Q18">INDEX('GMW - $100 oil'!$A$2:$MC$200,MATCH(1,('GMW - $100 oil'!$MC$2:$MC$200=Q$3)*('GMW - $100 oil'!$MB$2:$MB$200=Q$4),0),$E18-1973)</f>
        <v>#N/A</v>
      </c>
      <c r="R18" t="e" cm="1">
        <f t="array" ref="R18">INDEX('GMW - $100 oil'!$A$2:$MC$200,MATCH(1,('GMW - $100 oil'!$MC$2:$MC$200=R$3)*('GMW - $100 oil'!$MB$2:$MB$200=R$4),0),$E18-1973)</f>
        <v>#N/A</v>
      </c>
      <c r="S18" t="e" cm="1">
        <f t="array" ref="S18">INDEX('GMW - $100 oil'!$A$2:$MC$200,MATCH(1,('GMW - $100 oil'!$MC$2:$MC$200=S$3)*('GMW - $100 oil'!$MB$2:$MB$200=S$4),0),$E18-1973)</f>
        <v>#N/A</v>
      </c>
      <c r="T18" t="e" cm="1">
        <f t="array" ref="T18">INDEX('GMW - $100 oil'!$A$2:$MC$200,MATCH(1,('GMW - $100 oil'!$MC$2:$MC$200=T$3)*('GMW - $100 oil'!$MB$2:$MB$200=T$4),0),$E18-1973)</f>
        <v>#N/A</v>
      </c>
    </row>
    <row r="19" spans="1:20" x14ac:dyDescent="0.25">
      <c r="A19">
        <v>1983</v>
      </c>
      <c r="B19">
        <f t="shared" si="2"/>
        <v>1983</v>
      </c>
      <c r="C19">
        <f t="shared" si="2"/>
        <v>1982</v>
      </c>
      <c r="D19">
        <f t="shared" si="2"/>
        <v>1982</v>
      </c>
      <c r="E19">
        <f t="shared" si="1"/>
        <v>1992</v>
      </c>
      <c r="F19" cm="1">
        <f t="array" ref="F19">INDEX('GMW - $100 oil'!$A$2:$MC$200,MATCH(1,('GMW - $100 oil'!$MC$2:$MC$200=F$3)*('GMW - $100 oil'!$MB$2:$MB$200=F$4),0),$E19-1973)</f>
        <v>297563</v>
      </c>
      <c r="G19" cm="1">
        <f t="array" ref="G19">INDEX('GMW - $100 oil'!$A$2:$MC$200,MATCH(1,('GMW - $100 oil'!$MC$2:$MC$200=G$3)*('GMW - $100 oil'!$MB$2:$MB$200=G$4),0),$E19-1973)</f>
        <v>157443</v>
      </c>
      <c r="H19" cm="1">
        <f t="array" ref="H19">INDEX('GMW - $100 oil'!$A$2:$MC$200,MATCH(1,('GMW - $100 oil'!$MC$2:$MC$200=H$3)*('GMW - $100 oil'!$MB$2:$MB$200=H$4),0),$E19-1973)</f>
        <v>40.172429999999999</v>
      </c>
      <c r="I19" cm="1">
        <f t="array" ref="I19">INDEX('GMW - $100 oil'!$A$2:$MC$200,MATCH(1,('GMW - $100 oil'!$MC$2:$MC$200=I$3)*('GMW - $100 oil'!$MB$2:$MB$200=I$4),0),$E19-1973)</f>
        <v>10.80176</v>
      </c>
      <c r="J19" t="e" cm="1">
        <f t="array" ref="J19">INDEX('GMW - $100 oil'!$A$2:$MC$200,MATCH(1,('GMW - $100 oil'!$MC$2:$MC$200=J$3)*('GMW - $100 oil'!$MB$2:$MB$200=J$4),0),$E19-1973)</f>
        <v>#N/A</v>
      </c>
      <c r="K19" t="e" cm="1">
        <f t="array" ref="K19">INDEX('GMW - $100 oil'!$A$2:$MC$200,MATCH(1,('GMW - $100 oil'!$MC$2:$MC$200=K$3)*('GMW - $100 oil'!$MB$2:$MB$200=K$4),0),$E19-1973)</f>
        <v>#N/A</v>
      </c>
      <c r="L19" t="e" cm="1">
        <f t="array" ref="L19">INDEX('GMW - $100 oil'!$A$2:$MC$200,MATCH(1,('GMW - $100 oil'!$MC$2:$MC$200=L$3)*('GMW - $100 oil'!$MB$2:$MB$200=L$4),0),$E19-1973)</f>
        <v>#N/A</v>
      </c>
      <c r="M19" t="e" cm="1">
        <f t="array" ref="M19">INDEX('GMW - $100 oil'!$A$2:$MC$200,MATCH(1,('GMW - $100 oil'!$MC$2:$MC$200=M$3)*('GMW - $100 oil'!$MB$2:$MB$200=M$4),0),$E19-1973)</f>
        <v>#N/A</v>
      </c>
      <c r="N19" t="e" cm="1">
        <f t="array" ref="N19">INDEX('GMW - $100 oil'!$A$2:$MC$200,MATCH(1,('GMW - $100 oil'!$MC$2:$MC$200=N$3)*('GMW - $100 oil'!$MB$2:$MB$200=N$4),0),$E19-1973)</f>
        <v>#N/A</v>
      </c>
      <c r="O19" t="e" cm="1">
        <f t="array" ref="O19">INDEX('GMW - $100 oil'!$A$2:$MC$200,MATCH(1,('GMW - $100 oil'!$MC$2:$MC$200=O$3)*('GMW - $100 oil'!$MB$2:$MB$200=O$4),0),$E19-1973)</f>
        <v>#N/A</v>
      </c>
      <c r="P19" t="e" cm="1">
        <f t="array" ref="P19">INDEX('GMW - $100 oil'!$A$2:$MC$200,MATCH(1,('GMW - $100 oil'!$MC$2:$MC$200=P$3)*('GMW - $100 oil'!$MB$2:$MB$200=P$4),0),$E19-1973)</f>
        <v>#N/A</v>
      </c>
      <c r="Q19" t="e" cm="1">
        <f t="array" ref="Q19">INDEX('GMW - $100 oil'!$A$2:$MC$200,MATCH(1,('GMW - $100 oil'!$MC$2:$MC$200=Q$3)*('GMW - $100 oil'!$MB$2:$MB$200=Q$4),0),$E19-1973)</f>
        <v>#N/A</v>
      </c>
      <c r="R19" t="e" cm="1">
        <f t="array" ref="R19">INDEX('GMW - $100 oil'!$A$2:$MC$200,MATCH(1,('GMW - $100 oil'!$MC$2:$MC$200=R$3)*('GMW - $100 oil'!$MB$2:$MB$200=R$4),0),$E19-1973)</f>
        <v>#N/A</v>
      </c>
      <c r="S19" t="e" cm="1">
        <f t="array" ref="S19">INDEX('GMW - $100 oil'!$A$2:$MC$200,MATCH(1,('GMW - $100 oil'!$MC$2:$MC$200=S$3)*('GMW - $100 oil'!$MB$2:$MB$200=S$4),0),$E19-1973)</f>
        <v>#N/A</v>
      </c>
      <c r="T19" t="e" cm="1">
        <f t="array" ref="T19">INDEX('GMW - $100 oil'!$A$2:$MC$200,MATCH(1,('GMW - $100 oil'!$MC$2:$MC$200=T$3)*('GMW - $100 oil'!$MB$2:$MB$200=T$4),0),$E19-1973)</f>
        <v>#N/A</v>
      </c>
    </row>
    <row r="20" spans="1:20" x14ac:dyDescent="0.25">
      <c r="B20">
        <f t="shared" si="2"/>
        <v>1983</v>
      </c>
      <c r="C20">
        <f t="shared" si="2"/>
        <v>1983</v>
      </c>
      <c r="E20">
        <f t="shared" si="1"/>
        <v>1993</v>
      </c>
      <c r="F20" cm="1">
        <f t="array" ref="F20">INDEX('GMW - $100 oil'!$A$2:$MC$200,MATCH(1,('GMW - $100 oil'!$MC$2:$MC$200=F$3)*('GMW - $100 oil'!$MB$2:$MB$200=F$4),0),$E20-1973)</f>
        <v>299623</v>
      </c>
      <c r="G20" cm="1">
        <f t="array" ref="G20">INDEX('GMW - $100 oil'!$A$2:$MC$200,MATCH(1,('GMW - $100 oil'!$MC$2:$MC$200=G$3)*('GMW - $100 oil'!$MB$2:$MB$200=G$4),0),$E20-1973)</f>
        <v>158445</v>
      </c>
      <c r="H20" cm="1">
        <f t="array" ref="H20">INDEX('GMW - $100 oil'!$A$2:$MC$200,MATCH(1,('GMW - $100 oil'!$MC$2:$MC$200=H$3)*('GMW - $100 oil'!$MB$2:$MB$200=H$4),0),$E20-1973)</f>
        <v>40.85022</v>
      </c>
      <c r="I20" cm="1">
        <f t="array" ref="I20">INDEX('GMW - $100 oil'!$A$2:$MC$200,MATCH(1,('GMW - $100 oil'!$MC$2:$MC$200=I$3)*('GMW - $100 oil'!$MB$2:$MB$200=I$4),0),$E20-1973)</f>
        <v>10.024039999999999</v>
      </c>
      <c r="J20" t="e" cm="1">
        <f t="array" ref="J20">INDEX('GMW - $100 oil'!$A$2:$MC$200,MATCH(1,('GMW - $100 oil'!$MC$2:$MC$200=J$3)*('GMW - $100 oil'!$MB$2:$MB$200=J$4),0),$E20-1973)</f>
        <v>#N/A</v>
      </c>
      <c r="K20" t="e" cm="1">
        <f t="array" ref="K20">INDEX('GMW - $100 oil'!$A$2:$MC$200,MATCH(1,('GMW - $100 oil'!$MC$2:$MC$200=K$3)*('GMW - $100 oil'!$MB$2:$MB$200=K$4),0),$E20-1973)</f>
        <v>#N/A</v>
      </c>
      <c r="L20" t="e" cm="1">
        <f t="array" ref="L20">INDEX('GMW - $100 oil'!$A$2:$MC$200,MATCH(1,('GMW - $100 oil'!$MC$2:$MC$200=L$3)*('GMW - $100 oil'!$MB$2:$MB$200=L$4),0),$E20-1973)</f>
        <v>#N/A</v>
      </c>
      <c r="M20" t="e" cm="1">
        <f t="array" ref="M20">INDEX('GMW - $100 oil'!$A$2:$MC$200,MATCH(1,('GMW - $100 oil'!$MC$2:$MC$200=M$3)*('GMW - $100 oil'!$MB$2:$MB$200=M$4),0),$E20-1973)</f>
        <v>#N/A</v>
      </c>
      <c r="N20" t="e" cm="1">
        <f t="array" ref="N20">INDEX('GMW - $100 oil'!$A$2:$MC$200,MATCH(1,('GMW - $100 oil'!$MC$2:$MC$200=N$3)*('GMW - $100 oil'!$MB$2:$MB$200=N$4),0),$E20-1973)</f>
        <v>#N/A</v>
      </c>
      <c r="O20" t="e" cm="1">
        <f t="array" ref="O20">INDEX('GMW - $100 oil'!$A$2:$MC$200,MATCH(1,('GMW - $100 oil'!$MC$2:$MC$200=O$3)*('GMW - $100 oil'!$MB$2:$MB$200=O$4),0),$E20-1973)</f>
        <v>#N/A</v>
      </c>
      <c r="P20" t="e" cm="1">
        <f t="array" ref="P20">INDEX('GMW - $100 oil'!$A$2:$MC$200,MATCH(1,('GMW - $100 oil'!$MC$2:$MC$200=P$3)*('GMW - $100 oil'!$MB$2:$MB$200=P$4),0),$E20-1973)</f>
        <v>#N/A</v>
      </c>
      <c r="Q20" t="e" cm="1">
        <f t="array" ref="Q20">INDEX('GMW - $100 oil'!$A$2:$MC$200,MATCH(1,('GMW - $100 oil'!$MC$2:$MC$200=Q$3)*('GMW - $100 oil'!$MB$2:$MB$200=Q$4),0),$E20-1973)</f>
        <v>#N/A</v>
      </c>
      <c r="R20" t="e" cm="1">
        <f t="array" ref="R20">INDEX('GMW - $100 oil'!$A$2:$MC$200,MATCH(1,('GMW - $100 oil'!$MC$2:$MC$200=R$3)*('GMW - $100 oil'!$MB$2:$MB$200=R$4),0),$E20-1973)</f>
        <v>#N/A</v>
      </c>
      <c r="S20" t="e" cm="1">
        <f t="array" ref="S20">INDEX('GMW - $100 oil'!$A$2:$MC$200,MATCH(1,('GMW - $100 oil'!$MC$2:$MC$200=S$3)*('GMW - $100 oil'!$MB$2:$MB$200=S$4),0),$E20-1973)</f>
        <v>#N/A</v>
      </c>
      <c r="T20" t="e" cm="1">
        <f t="array" ref="T20">INDEX('GMW - $100 oil'!$A$2:$MC$200,MATCH(1,('GMW - $100 oil'!$MC$2:$MC$200=T$3)*('GMW - $100 oil'!$MB$2:$MB$200=T$4),0),$E20-1973)</f>
        <v>#N/A</v>
      </c>
    </row>
    <row r="21" spans="1:20" x14ac:dyDescent="0.25">
      <c r="B21">
        <f t="shared" si="2"/>
        <v>1983</v>
      </c>
      <c r="C21">
        <f t="shared" si="2"/>
        <v>1983</v>
      </c>
      <c r="E21">
        <f t="shared" si="1"/>
        <v>1994</v>
      </c>
      <c r="F21" cm="1">
        <f t="array" ref="F21">INDEX('GMW - $100 oil'!$A$2:$MC$200,MATCH(1,('GMW - $100 oil'!$MC$2:$MC$200=F$3)*('GMW - $100 oil'!$MB$2:$MB$200=F$4),0),$E21-1973)</f>
        <v>303085</v>
      </c>
      <c r="G21" cm="1">
        <f t="array" ref="G21">INDEX('GMW - $100 oil'!$A$2:$MC$200,MATCH(1,('GMW - $100 oil'!$MC$2:$MC$200=G$3)*('GMW - $100 oil'!$MB$2:$MB$200=G$4),0),$E21-1973)</f>
        <v>161027</v>
      </c>
      <c r="H21" cm="1">
        <f t="array" ref="H21">INDEX('GMW - $100 oil'!$A$2:$MC$200,MATCH(1,('GMW - $100 oil'!$MC$2:$MC$200=H$3)*('GMW - $100 oil'!$MB$2:$MB$200=H$4),0),$E21-1973)</f>
        <v>41.293399999999998</v>
      </c>
      <c r="I21" cm="1">
        <f t="array" ref="I21">INDEX('GMW - $100 oil'!$A$2:$MC$200,MATCH(1,('GMW - $100 oil'!$MC$2:$MC$200=I$3)*('GMW - $100 oil'!$MB$2:$MB$200=I$4),0),$E21-1973)</f>
        <v>9.5606059999999999</v>
      </c>
      <c r="J21" t="e" cm="1">
        <f t="array" ref="J21">INDEX('GMW - $100 oil'!$A$2:$MC$200,MATCH(1,('GMW - $100 oil'!$MC$2:$MC$200=J$3)*('GMW - $100 oil'!$MB$2:$MB$200=J$4),0),$E21-1973)</f>
        <v>#N/A</v>
      </c>
      <c r="K21" t="e" cm="1">
        <f t="array" ref="K21">INDEX('GMW - $100 oil'!$A$2:$MC$200,MATCH(1,('GMW - $100 oil'!$MC$2:$MC$200=K$3)*('GMW - $100 oil'!$MB$2:$MB$200=K$4),0),$E21-1973)</f>
        <v>#N/A</v>
      </c>
      <c r="L21" t="e" cm="1">
        <f t="array" ref="L21">INDEX('GMW - $100 oil'!$A$2:$MC$200,MATCH(1,('GMW - $100 oil'!$MC$2:$MC$200=L$3)*('GMW - $100 oil'!$MB$2:$MB$200=L$4),0),$E21-1973)</f>
        <v>#N/A</v>
      </c>
      <c r="M21" t="e" cm="1">
        <f t="array" ref="M21">INDEX('GMW - $100 oil'!$A$2:$MC$200,MATCH(1,('GMW - $100 oil'!$MC$2:$MC$200=M$3)*('GMW - $100 oil'!$MB$2:$MB$200=M$4),0),$E21-1973)</f>
        <v>#N/A</v>
      </c>
      <c r="N21" t="e" cm="1">
        <f t="array" ref="N21">INDEX('GMW - $100 oil'!$A$2:$MC$200,MATCH(1,('GMW - $100 oil'!$MC$2:$MC$200=N$3)*('GMW - $100 oil'!$MB$2:$MB$200=N$4),0),$E21-1973)</f>
        <v>#N/A</v>
      </c>
      <c r="O21" t="e" cm="1">
        <f t="array" ref="O21">INDEX('GMW - $100 oil'!$A$2:$MC$200,MATCH(1,('GMW - $100 oil'!$MC$2:$MC$200=O$3)*('GMW - $100 oil'!$MB$2:$MB$200=O$4),0),$E21-1973)</f>
        <v>#N/A</v>
      </c>
      <c r="P21" t="e" cm="1">
        <f t="array" ref="P21">INDEX('GMW - $100 oil'!$A$2:$MC$200,MATCH(1,('GMW - $100 oil'!$MC$2:$MC$200=P$3)*('GMW - $100 oil'!$MB$2:$MB$200=P$4),0),$E21-1973)</f>
        <v>#N/A</v>
      </c>
      <c r="Q21" t="e" cm="1">
        <f t="array" ref="Q21">INDEX('GMW - $100 oil'!$A$2:$MC$200,MATCH(1,('GMW - $100 oil'!$MC$2:$MC$200=Q$3)*('GMW - $100 oil'!$MB$2:$MB$200=Q$4),0),$E21-1973)</f>
        <v>#N/A</v>
      </c>
      <c r="R21" t="e" cm="1">
        <f t="array" ref="R21">INDEX('GMW - $100 oil'!$A$2:$MC$200,MATCH(1,('GMW - $100 oil'!$MC$2:$MC$200=R$3)*('GMW - $100 oil'!$MB$2:$MB$200=R$4),0),$E21-1973)</f>
        <v>#N/A</v>
      </c>
      <c r="S21" t="e" cm="1">
        <f t="array" ref="S21">INDEX('GMW - $100 oil'!$A$2:$MC$200,MATCH(1,('GMW - $100 oil'!$MC$2:$MC$200=S$3)*('GMW - $100 oil'!$MB$2:$MB$200=S$4),0),$E21-1973)</f>
        <v>#N/A</v>
      </c>
      <c r="T21" t="e" cm="1">
        <f t="array" ref="T21">INDEX('GMW - $100 oil'!$A$2:$MC$200,MATCH(1,('GMW - $100 oil'!$MC$2:$MC$200=T$3)*('GMW - $100 oil'!$MB$2:$MB$200=T$4),0),$E21-1973)</f>
        <v>#N/A</v>
      </c>
    </row>
    <row r="22" spans="1:20" x14ac:dyDescent="0.25">
      <c r="B22">
        <f t="shared" si="2"/>
        <v>1983</v>
      </c>
      <c r="C22">
        <f t="shared" si="2"/>
        <v>1983</v>
      </c>
      <c r="E22">
        <f t="shared" si="1"/>
        <v>1995</v>
      </c>
      <c r="F22" cm="1">
        <f t="array" ref="F22">INDEX('GMW - $100 oil'!$A$2:$MC$200,MATCH(1,('GMW - $100 oil'!$MC$2:$MC$200=F$3)*('GMW - $100 oil'!$MB$2:$MB$200=F$4),0),$E22-1973)</f>
        <v>305361</v>
      </c>
      <c r="G22" cm="1">
        <f t="array" ref="G22">INDEX('GMW - $100 oil'!$A$2:$MC$200,MATCH(1,('GMW - $100 oil'!$MC$2:$MC$200=G$3)*('GMW - $100 oil'!$MB$2:$MB$200=G$4),0),$E22-1973)</f>
        <v>161090</v>
      </c>
      <c r="H22" cm="1">
        <f t="array" ref="H22">INDEX('GMW - $100 oil'!$A$2:$MC$200,MATCH(1,('GMW - $100 oil'!$MC$2:$MC$200=H$3)*('GMW - $100 oil'!$MB$2:$MB$200=H$4),0),$E22-1973)</f>
        <v>41.762639999999998</v>
      </c>
      <c r="I22" cm="1">
        <f t="array" ref="I22">INDEX('GMW - $100 oil'!$A$2:$MC$200,MATCH(1,('GMW - $100 oil'!$MC$2:$MC$200=I$3)*('GMW - $100 oil'!$MB$2:$MB$200=I$4),0),$E22-1973)</f>
        <v>9.0625</v>
      </c>
      <c r="J22" t="e" cm="1">
        <f t="array" ref="J22">INDEX('GMW - $100 oil'!$A$2:$MC$200,MATCH(1,('GMW - $100 oil'!$MC$2:$MC$200=J$3)*('GMW - $100 oil'!$MB$2:$MB$200=J$4),0),$E22-1973)</f>
        <v>#N/A</v>
      </c>
      <c r="K22" t="e" cm="1">
        <f t="array" ref="K22">INDEX('GMW - $100 oil'!$A$2:$MC$200,MATCH(1,('GMW - $100 oil'!$MC$2:$MC$200=K$3)*('GMW - $100 oil'!$MB$2:$MB$200=K$4),0),$E22-1973)</f>
        <v>#N/A</v>
      </c>
      <c r="L22" t="e" cm="1">
        <f t="array" ref="L22">INDEX('GMW - $100 oil'!$A$2:$MC$200,MATCH(1,('GMW - $100 oil'!$MC$2:$MC$200=L$3)*('GMW - $100 oil'!$MB$2:$MB$200=L$4),0),$E22-1973)</f>
        <v>#N/A</v>
      </c>
      <c r="M22" t="e" cm="1">
        <f t="array" ref="M22">INDEX('GMW - $100 oil'!$A$2:$MC$200,MATCH(1,('GMW - $100 oil'!$MC$2:$MC$200=M$3)*('GMW - $100 oil'!$MB$2:$MB$200=M$4),0),$E22-1973)</f>
        <v>#N/A</v>
      </c>
      <c r="N22" t="e" cm="1">
        <f t="array" ref="N22">INDEX('GMW - $100 oil'!$A$2:$MC$200,MATCH(1,('GMW - $100 oil'!$MC$2:$MC$200=N$3)*('GMW - $100 oil'!$MB$2:$MB$200=N$4),0),$E22-1973)</f>
        <v>#N/A</v>
      </c>
      <c r="O22" t="e" cm="1">
        <f t="array" ref="O22">INDEX('GMW - $100 oil'!$A$2:$MC$200,MATCH(1,('GMW - $100 oil'!$MC$2:$MC$200=O$3)*('GMW - $100 oil'!$MB$2:$MB$200=O$4),0),$E22-1973)</f>
        <v>#N/A</v>
      </c>
      <c r="P22" t="e" cm="1">
        <f t="array" ref="P22">INDEX('GMW - $100 oil'!$A$2:$MC$200,MATCH(1,('GMW - $100 oil'!$MC$2:$MC$200=P$3)*('GMW - $100 oil'!$MB$2:$MB$200=P$4),0),$E22-1973)</f>
        <v>#N/A</v>
      </c>
      <c r="Q22" t="e" cm="1">
        <f t="array" ref="Q22">INDEX('GMW - $100 oil'!$A$2:$MC$200,MATCH(1,('GMW - $100 oil'!$MC$2:$MC$200=Q$3)*('GMW - $100 oil'!$MB$2:$MB$200=Q$4),0),$E22-1973)</f>
        <v>#N/A</v>
      </c>
      <c r="R22" t="e" cm="1">
        <f t="array" ref="R22">INDEX('GMW - $100 oil'!$A$2:$MC$200,MATCH(1,('GMW - $100 oil'!$MC$2:$MC$200=R$3)*('GMW - $100 oil'!$MB$2:$MB$200=R$4),0),$E22-1973)</f>
        <v>#N/A</v>
      </c>
      <c r="S22" t="e" cm="1">
        <f t="array" ref="S22">INDEX('GMW - $100 oil'!$A$2:$MC$200,MATCH(1,('GMW - $100 oil'!$MC$2:$MC$200=S$3)*('GMW - $100 oil'!$MB$2:$MB$200=S$4),0),$E22-1973)</f>
        <v>#N/A</v>
      </c>
      <c r="T22" t="e" cm="1">
        <f t="array" ref="T22">INDEX('GMW - $100 oil'!$A$2:$MC$200,MATCH(1,('GMW - $100 oil'!$MC$2:$MC$200=T$3)*('GMW - $100 oil'!$MB$2:$MB$200=T$4),0),$E22-1973)</f>
        <v>#N/A</v>
      </c>
    </row>
    <row r="23" spans="1:20" x14ac:dyDescent="0.25">
      <c r="A23">
        <v>1984</v>
      </c>
      <c r="B23">
        <f t="shared" si="2"/>
        <v>1984</v>
      </c>
      <c r="C23">
        <f t="shared" si="2"/>
        <v>1983</v>
      </c>
      <c r="D23">
        <f t="shared" si="2"/>
        <v>1983</v>
      </c>
      <c r="E23">
        <f t="shared" si="1"/>
        <v>1996</v>
      </c>
      <c r="F23" cm="1">
        <f t="array" ref="F23">INDEX('GMW - $100 oil'!$A$2:$MC$200,MATCH(1,('GMW - $100 oil'!$MC$2:$MC$200=F$3)*('GMW - $100 oil'!$MB$2:$MB$200=F$4),0),$E23-1973)</f>
        <v>307964</v>
      </c>
      <c r="G23" cm="1">
        <f t="array" ref="G23">INDEX('GMW - $100 oil'!$A$2:$MC$200,MATCH(1,('GMW - $100 oil'!$MC$2:$MC$200=G$3)*('GMW - $100 oil'!$MB$2:$MB$200=G$4),0),$E23-1973)</f>
        <v>162074</v>
      </c>
      <c r="H23" cm="1">
        <f t="array" ref="H23">INDEX('GMW - $100 oil'!$A$2:$MC$200,MATCH(1,('GMW - $100 oil'!$MC$2:$MC$200=H$3)*('GMW - $100 oil'!$MB$2:$MB$200=H$4),0),$E23-1973)</f>
        <v>41.86692</v>
      </c>
      <c r="I23" cm="1">
        <f t="array" ref="I23">INDEX('GMW - $100 oil'!$A$2:$MC$200,MATCH(1,('GMW - $100 oil'!$MC$2:$MC$200=I$3)*('GMW - $100 oil'!$MB$2:$MB$200=I$4),0),$E23-1973)</f>
        <v>8.9432690000000008</v>
      </c>
      <c r="J23" t="e" cm="1">
        <f t="array" ref="J23">INDEX('GMW - $100 oil'!$A$2:$MC$200,MATCH(1,('GMW - $100 oil'!$MC$2:$MC$200=J$3)*('GMW - $100 oil'!$MB$2:$MB$200=J$4),0),$E23-1973)</f>
        <v>#N/A</v>
      </c>
      <c r="K23" t="e" cm="1">
        <f t="array" ref="K23">INDEX('GMW - $100 oil'!$A$2:$MC$200,MATCH(1,('GMW - $100 oil'!$MC$2:$MC$200=K$3)*('GMW - $100 oil'!$MB$2:$MB$200=K$4),0),$E23-1973)</f>
        <v>#N/A</v>
      </c>
      <c r="L23" t="e" cm="1">
        <f t="array" ref="L23">INDEX('GMW - $100 oil'!$A$2:$MC$200,MATCH(1,('GMW - $100 oil'!$MC$2:$MC$200=L$3)*('GMW - $100 oil'!$MB$2:$MB$200=L$4),0),$E23-1973)</f>
        <v>#N/A</v>
      </c>
      <c r="M23" t="e" cm="1">
        <f t="array" ref="M23">INDEX('GMW - $100 oil'!$A$2:$MC$200,MATCH(1,('GMW - $100 oil'!$MC$2:$MC$200=M$3)*('GMW - $100 oil'!$MB$2:$MB$200=M$4),0),$E23-1973)</f>
        <v>#N/A</v>
      </c>
      <c r="N23" t="e" cm="1">
        <f t="array" ref="N23">INDEX('GMW - $100 oil'!$A$2:$MC$200,MATCH(1,('GMW - $100 oil'!$MC$2:$MC$200=N$3)*('GMW - $100 oil'!$MB$2:$MB$200=N$4),0),$E23-1973)</f>
        <v>#N/A</v>
      </c>
      <c r="O23" t="e" cm="1">
        <f t="array" ref="O23">INDEX('GMW - $100 oil'!$A$2:$MC$200,MATCH(1,('GMW - $100 oil'!$MC$2:$MC$200=O$3)*('GMW - $100 oil'!$MB$2:$MB$200=O$4),0),$E23-1973)</f>
        <v>#N/A</v>
      </c>
      <c r="P23" t="e" cm="1">
        <f t="array" ref="P23">INDEX('GMW - $100 oil'!$A$2:$MC$200,MATCH(1,('GMW - $100 oil'!$MC$2:$MC$200=P$3)*('GMW - $100 oil'!$MB$2:$MB$200=P$4),0),$E23-1973)</f>
        <v>#N/A</v>
      </c>
      <c r="Q23" t="e" cm="1">
        <f t="array" ref="Q23">INDEX('GMW - $100 oil'!$A$2:$MC$200,MATCH(1,('GMW - $100 oil'!$MC$2:$MC$200=Q$3)*('GMW - $100 oil'!$MB$2:$MB$200=Q$4),0),$E23-1973)</f>
        <v>#N/A</v>
      </c>
      <c r="R23" t="e" cm="1">
        <f t="array" ref="R23">INDEX('GMW - $100 oil'!$A$2:$MC$200,MATCH(1,('GMW - $100 oil'!$MC$2:$MC$200=R$3)*('GMW - $100 oil'!$MB$2:$MB$200=R$4),0),$E23-1973)</f>
        <v>#N/A</v>
      </c>
      <c r="S23" t="e" cm="1">
        <f t="array" ref="S23">INDEX('GMW - $100 oil'!$A$2:$MC$200,MATCH(1,('GMW - $100 oil'!$MC$2:$MC$200=S$3)*('GMW - $100 oil'!$MB$2:$MB$200=S$4),0),$E23-1973)</f>
        <v>#N/A</v>
      </c>
      <c r="T23" t="e" cm="1">
        <f t="array" ref="T23">INDEX('GMW - $100 oil'!$A$2:$MC$200,MATCH(1,('GMW - $100 oil'!$MC$2:$MC$200=T$3)*('GMW - $100 oil'!$MB$2:$MB$200=T$4),0),$E23-1973)</f>
        <v>#N/A</v>
      </c>
    </row>
    <row r="24" spans="1:20" x14ac:dyDescent="0.25">
      <c r="B24">
        <f t="shared" si="2"/>
        <v>1984</v>
      </c>
      <c r="C24">
        <f t="shared" si="2"/>
        <v>1984</v>
      </c>
      <c r="E24">
        <f t="shared" si="1"/>
        <v>1997</v>
      </c>
      <c r="F24" cm="1">
        <f t="array" ref="F24">INDEX('GMW - $100 oil'!$A$2:$MC$200,MATCH(1,('GMW - $100 oil'!$MC$2:$MC$200=F$3)*('GMW - $100 oil'!$MB$2:$MB$200=F$4),0),$E24-1973)</f>
        <v>304892</v>
      </c>
      <c r="G24" cm="1">
        <f t="array" ref="G24">INDEX('GMW - $100 oil'!$A$2:$MC$200,MATCH(1,('GMW - $100 oil'!$MC$2:$MC$200=G$3)*('GMW - $100 oil'!$MB$2:$MB$200=G$4),0),$E24-1973)</f>
        <v>163369</v>
      </c>
      <c r="H24" cm="1">
        <f t="array" ref="H24">INDEX('GMW - $100 oil'!$A$2:$MC$200,MATCH(1,('GMW - $100 oil'!$MC$2:$MC$200=H$3)*('GMW - $100 oil'!$MB$2:$MB$200=H$4),0),$E24-1973)</f>
        <v>42.779339999999998</v>
      </c>
      <c r="I24" cm="1">
        <f t="array" ref="I24">INDEX('GMW - $100 oil'!$A$2:$MC$200,MATCH(1,('GMW - $100 oil'!$MC$2:$MC$200=I$3)*('GMW - $100 oil'!$MB$2:$MB$200=I$4),0),$E24-1973)</f>
        <v>8.8442310000000006</v>
      </c>
      <c r="J24" t="e" cm="1">
        <f t="array" ref="J24">INDEX('GMW - $100 oil'!$A$2:$MC$200,MATCH(1,('GMW - $100 oil'!$MC$2:$MC$200=J$3)*('GMW - $100 oil'!$MB$2:$MB$200=J$4),0),$E24-1973)</f>
        <v>#N/A</v>
      </c>
      <c r="K24" t="e" cm="1">
        <f t="array" ref="K24">INDEX('GMW - $100 oil'!$A$2:$MC$200,MATCH(1,('GMW - $100 oil'!$MC$2:$MC$200=K$3)*('GMW - $100 oil'!$MB$2:$MB$200=K$4),0),$E24-1973)</f>
        <v>#N/A</v>
      </c>
      <c r="L24" t="e" cm="1">
        <f t="array" ref="L24">INDEX('GMW - $100 oil'!$A$2:$MC$200,MATCH(1,('GMW - $100 oil'!$MC$2:$MC$200=L$3)*('GMW - $100 oil'!$MB$2:$MB$200=L$4),0),$E24-1973)</f>
        <v>#N/A</v>
      </c>
      <c r="M24" t="e" cm="1">
        <f t="array" ref="M24">INDEX('GMW - $100 oil'!$A$2:$MC$200,MATCH(1,('GMW - $100 oil'!$MC$2:$MC$200=M$3)*('GMW - $100 oil'!$MB$2:$MB$200=M$4),0),$E24-1973)</f>
        <v>#N/A</v>
      </c>
      <c r="N24" t="e" cm="1">
        <f t="array" ref="N24">INDEX('GMW - $100 oil'!$A$2:$MC$200,MATCH(1,('GMW - $100 oil'!$MC$2:$MC$200=N$3)*('GMW - $100 oil'!$MB$2:$MB$200=N$4),0),$E24-1973)</f>
        <v>#N/A</v>
      </c>
      <c r="O24" t="e" cm="1">
        <f t="array" ref="O24">INDEX('GMW - $100 oil'!$A$2:$MC$200,MATCH(1,('GMW - $100 oil'!$MC$2:$MC$200=O$3)*('GMW - $100 oil'!$MB$2:$MB$200=O$4),0),$E24-1973)</f>
        <v>#N/A</v>
      </c>
      <c r="P24" t="e" cm="1">
        <f t="array" ref="P24">INDEX('GMW - $100 oil'!$A$2:$MC$200,MATCH(1,('GMW - $100 oil'!$MC$2:$MC$200=P$3)*('GMW - $100 oil'!$MB$2:$MB$200=P$4),0),$E24-1973)</f>
        <v>#N/A</v>
      </c>
      <c r="Q24" t="e" cm="1">
        <f t="array" ref="Q24">INDEX('GMW - $100 oil'!$A$2:$MC$200,MATCH(1,('GMW - $100 oil'!$MC$2:$MC$200=Q$3)*('GMW - $100 oil'!$MB$2:$MB$200=Q$4),0),$E24-1973)</f>
        <v>#N/A</v>
      </c>
      <c r="R24" t="e" cm="1">
        <f t="array" ref="R24">INDEX('GMW - $100 oil'!$A$2:$MC$200,MATCH(1,('GMW - $100 oil'!$MC$2:$MC$200=R$3)*('GMW - $100 oil'!$MB$2:$MB$200=R$4),0),$E24-1973)</f>
        <v>#N/A</v>
      </c>
      <c r="S24" t="e" cm="1">
        <f t="array" ref="S24">INDEX('GMW - $100 oil'!$A$2:$MC$200,MATCH(1,('GMW - $100 oil'!$MC$2:$MC$200=S$3)*('GMW - $100 oil'!$MB$2:$MB$200=S$4),0),$E24-1973)</f>
        <v>#N/A</v>
      </c>
      <c r="T24" t="e" cm="1">
        <f t="array" ref="T24">INDEX('GMW - $100 oil'!$A$2:$MC$200,MATCH(1,('GMW - $100 oil'!$MC$2:$MC$200=T$3)*('GMW - $100 oil'!$MB$2:$MB$200=T$4),0),$E24-1973)</f>
        <v>#N/A</v>
      </c>
    </row>
    <row r="25" spans="1:20" x14ac:dyDescent="0.25">
      <c r="B25">
        <f t="shared" si="2"/>
        <v>1984</v>
      </c>
      <c r="C25">
        <f t="shared" si="2"/>
        <v>1984</v>
      </c>
      <c r="E25">
        <f t="shared" si="1"/>
        <v>1998</v>
      </c>
      <c r="F25" cm="1">
        <f t="array" ref="F25">INDEX('GMW - $100 oil'!$A$2:$MC$200,MATCH(1,('GMW - $100 oil'!$MC$2:$MC$200=F$3)*('GMW - $100 oil'!$MB$2:$MB$200=F$4),0),$E25-1973)</f>
        <v>307122</v>
      </c>
      <c r="G25" cm="1">
        <f t="array" ref="G25">INDEX('GMW - $100 oil'!$A$2:$MC$200,MATCH(1,('GMW - $100 oil'!$MC$2:$MC$200=G$3)*('GMW - $100 oil'!$MB$2:$MB$200=G$4),0),$E25-1973)</f>
        <v>162507</v>
      </c>
      <c r="H25" cm="1">
        <f t="array" ref="H25">INDEX('GMW - $100 oil'!$A$2:$MC$200,MATCH(1,('GMW - $100 oil'!$MC$2:$MC$200=H$3)*('GMW - $100 oil'!$MB$2:$MB$200=H$4),0),$E25-1973)</f>
        <v>42.98789</v>
      </c>
      <c r="I25" cm="1">
        <f t="array" ref="I25">INDEX('GMW - $100 oil'!$A$2:$MC$200,MATCH(1,('GMW - $100 oil'!$MC$2:$MC$200=I$3)*('GMW - $100 oil'!$MB$2:$MB$200=I$4),0),$E25-1973)</f>
        <v>10.89615</v>
      </c>
      <c r="J25" t="e" cm="1">
        <f t="array" ref="J25">INDEX('GMW - $100 oil'!$A$2:$MC$200,MATCH(1,('GMW - $100 oil'!$MC$2:$MC$200=J$3)*('GMW - $100 oil'!$MB$2:$MB$200=J$4),0),$E25-1973)</f>
        <v>#N/A</v>
      </c>
      <c r="K25" t="e" cm="1">
        <f t="array" ref="K25">INDEX('GMW - $100 oil'!$A$2:$MC$200,MATCH(1,('GMW - $100 oil'!$MC$2:$MC$200=K$3)*('GMW - $100 oil'!$MB$2:$MB$200=K$4),0),$E25-1973)</f>
        <v>#N/A</v>
      </c>
      <c r="L25" t="e" cm="1">
        <f t="array" ref="L25">INDEX('GMW - $100 oil'!$A$2:$MC$200,MATCH(1,('GMW - $100 oil'!$MC$2:$MC$200=L$3)*('GMW - $100 oil'!$MB$2:$MB$200=L$4),0),$E25-1973)</f>
        <v>#N/A</v>
      </c>
      <c r="M25" t="e" cm="1">
        <f t="array" ref="M25">INDEX('GMW - $100 oil'!$A$2:$MC$200,MATCH(1,('GMW - $100 oil'!$MC$2:$MC$200=M$3)*('GMW - $100 oil'!$MB$2:$MB$200=M$4),0),$E25-1973)</f>
        <v>#N/A</v>
      </c>
      <c r="N25" t="e" cm="1">
        <f t="array" ref="N25">INDEX('GMW - $100 oil'!$A$2:$MC$200,MATCH(1,('GMW - $100 oil'!$MC$2:$MC$200=N$3)*('GMW - $100 oil'!$MB$2:$MB$200=N$4),0),$E25-1973)</f>
        <v>#N/A</v>
      </c>
      <c r="O25" t="e" cm="1">
        <f t="array" ref="O25">INDEX('GMW - $100 oil'!$A$2:$MC$200,MATCH(1,('GMW - $100 oil'!$MC$2:$MC$200=O$3)*('GMW - $100 oil'!$MB$2:$MB$200=O$4),0),$E25-1973)</f>
        <v>#N/A</v>
      </c>
      <c r="P25" t="e" cm="1">
        <f t="array" ref="P25">INDEX('GMW - $100 oil'!$A$2:$MC$200,MATCH(1,('GMW - $100 oil'!$MC$2:$MC$200=P$3)*('GMW - $100 oil'!$MB$2:$MB$200=P$4),0),$E25-1973)</f>
        <v>#N/A</v>
      </c>
      <c r="Q25" t="e" cm="1">
        <f t="array" ref="Q25">INDEX('GMW - $100 oil'!$A$2:$MC$200,MATCH(1,('GMW - $100 oil'!$MC$2:$MC$200=Q$3)*('GMW - $100 oil'!$MB$2:$MB$200=Q$4),0),$E25-1973)</f>
        <v>#N/A</v>
      </c>
      <c r="R25" t="e" cm="1">
        <f t="array" ref="R25">INDEX('GMW - $100 oil'!$A$2:$MC$200,MATCH(1,('GMW - $100 oil'!$MC$2:$MC$200=R$3)*('GMW - $100 oil'!$MB$2:$MB$200=R$4),0),$E25-1973)</f>
        <v>#N/A</v>
      </c>
      <c r="S25" t="e" cm="1">
        <f t="array" ref="S25">INDEX('GMW - $100 oil'!$A$2:$MC$200,MATCH(1,('GMW - $100 oil'!$MC$2:$MC$200=S$3)*('GMW - $100 oil'!$MB$2:$MB$200=S$4),0),$E25-1973)</f>
        <v>#N/A</v>
      </c>
      <c r="T25" t="e" cm="1">
        <f t="array" ref="T25">INDEX('GMW - $100 oil'!$A$2:$MC$200,MATCH(1,('GMW - $100 oil'!$MC$2:$MC$200=T$3)*('GMW - $100 oil'!$MB$2:$MB$200=T$4),0),$E25-1973)</f>
        <v>#N/A</v>
      </c>
    </row>
    <row r="26" spans="1:20" x14ac:dyDescent="0.25">
      <c r="B26">
        <f t="shared" si="2"/>
        <v>1984</v>
      </c>
      <c r="C26">
        <f t="shared" si="2"/>
        <v>1984</v>
      </c>
      <c r="E26">
        <f t="shared" si="1"/>
        <v>1999</v>
      </c>
      <c r="F26" cm="1">
        <f t="array" ref="F26">INDEX('GMW - $100 oil'!$A$2:$MC$200,MATCH(1,('GMW - $100 oil'!$MC$2:$MC$200=F$3)*('GMW - $100 oil'!$MB$2:$MB$200=F$4),0),$E26-1973)</f>
        <v>312697</v>
      </c>
      <c r="G26" cm="1">
        <f t="array" ref="G26">INDEX('GMW - $100 oil'!$A$2:$MC$200,MATCH(1,('GMW - $100 oil'!$MC$2:$MC$200=G$3)*('GMW - $100 oil'!$MB$2:$MB$200=G$4),0),$E26-1973)</f>
        <v>165575</v>
      </c>
      <c r="H26" cm="1">
        <f t="array" ref="H26">INDEX('GMW - $100 oil'!$A$2:$MC$200,MATCH(1,('GMW - $100 oil'!$MC$2:$MC$200=H$3)*('GMW - $100 oil'!$MB$2:$MB$200=H$4),0),$E26-1973)</f>
        <v>43.431060000000002</v>
      </c>
      <c r="I26" cm="1">
        <f t="array" ref="I26">INDEX('GMW - $100 oil'!$A$2:$MC$200,MATCH(1,('GMW - $100 oil'!$MC$2:$MC$200=I$3)*('GMW - $100 oil'!$MB$2:$MB$200=I$4),0),$E26-1973)</f>
        <v>9.969697</v>
      </c>
      <c r="J26" t="e" cm="1">
        <f t="array" ref="J26">INDEX('GMW - $100 oil'!$A$2:$MC$200,MATCH(1,('GMW - $100 oil'!$MC$2:$MC$200=J$3)*('GMW - $100 oil'!$MB$2:$MB$200=J$4),0),$E26-1973)</f>
        <v>#N/A</v>
      </c>
      <c r="K26" t="e" cm="1">
        <f t="array" ref="K26">INDEX('GMW - $100 oil'!$A$2:$MC$200,MATCH(1,('GMW - $100 oil'!$MC$2:$MC$200=K$3)*('GMW - $100 oil'!$MB$2:$MB$200=K$4),0),$E26-1973)</f>
        <v>#N/A</v>
      </c>
      <c r="L26" t="e" cm="1">
        <f t="array" ref="L26">INDEX('GMW - $100 oil'!$A$2:$MC$200,MATCH(1,('GMW - $100 oil'!$MC$2:$MC$200=L$3)*('GMW - $100 oil'!$MB$2:$MB$200=L$4),0),$E26-1973)</f>
        <v>#N/A</v>
      </c>
      <c r="M26" t="e" cm="1">
        <f t="array" ref="M26">INDEX('GMW - $100 oil'!$A$2:$MC$200,MATCH(1,('GMW - $100 oil'!$MC$2:$MC$200=M$3)*('GMW - $100 oil'!$MB$2:$MB$200=M$4),0),$E26-1973)</f>
        <v>#N/A</v>
      </c>
      <c r="N26" t="e" cm="1">
        <f t="array" ref="N26">INDEX('GMW - $100 oil'!$A$2:$MC$200,MATCH(1,('GMW - $100 oil'!$MC$2:$MC$200=N$3)*('GMW - $100 oil'!$MB$2:$MB$200=N$4),0),$E26-1973)</f>
        <v>#N/A</v>
      </c>
      <c r="O26" t="e" cm="1">
        <f t="array" ref="O26">INDEX('GMW - $100 oil'!$A$2:$MC$200,MATCH(1,('GMW - $100 oil'!$MC$2:$MC$200=O$3)*('GMW - $100 oil'!$MB$2:$MB$200=O$4),0),$E26-1973)</f>
        <v>#N/A</v>
      </c>
      <c r="P26" t="e" cm="1">
        <f t="array" ref="P26">INDEX('GMW - $100 oil'!$A$2:$MC$200,MATCH(1,('GMW - $100 oil'!$MC$2:$MC$200=P$3)*('GMW - $100 oil'!$MB$2:$MB$200=P$4),0),$E26-1973)</f>
        <v>#N/A</v>
      </c>
      <c r="Q26" t="e" cm="1">
        <f t="array" ref="Q26">INDEX('GMW - $100 oil'!$A$2:$MC$200,MATCH(1,('GMW - $100 oil'!$MC$2:$MC$200=Q$3)*('GMW - $100 oil'!$MB$2:$MB$200=Q$4),0),$E26-1973)</f>
        <v>#N/A</v>
      </c>
      <c r="R26" t="e" cm="1">
        <f t="array" ref="R26">INDEX('GMW - $100 oil'!$A$2:$MC$200,MATCH(1,('GMW - $100 oil'!$MC$2:$MC$200=R$3)*('GMW - $100 oil'!$MB$2:$MB$200=R$4),0),$E26-1973)</f>
        <v>#N/A</v>
      </c>
      <c r="S26" t="e" cm="1">
        <f t="array" ref="S26">INDEX('GMW - $100 oil'!$A$2:$MC$200,MATCH(1,('GMW - $100 oil'!$MC$2:$MC$200=S$3)*('GMW - $100 oil'!$MB$2:$MB$200=S$4),0),$E26-1973)</f>
        <v>#N/A</v>
      </c>
      <c r="T26" t="e" cm="1">
        <f t="array" ref="T26">INDEX('GMW - $100 oil'!$A$2:$MC$200,MATCH(1,('GMW - $100 oil'!$MC$2:$MC$200=T$3)*('GMW - $100 oil'!$MB$2:$MB$200=T$4),0),$E26-1973)</f>
        <v>#N/A</v>
      </c>
    </row>
    <row r="27" spans="1:20" x14ac:dyDescent="0.25">
      <c r="A27">
        <v>1985</v>
      </c>
      <c r="B27">
        <f t="shared" si="2"/>
        <v>1985</v>
      </c>
      <c r="C27">
        <f t="shared" si="2"/>
        <v>1984</v>
      </c>
      <c r="D27">
        <f t="shared" si="2"/>
        <v>1984</v>
      </c>
      <c r="E27">
        <f t="shared" si="1"/>
        <v>2000</v>
      </c>
      <c r="F27" cm="1">
        <f t="array" ref="F27">INDEX('GMW - $100 oil'!$A$2:$MC$200,MATCH(1,('GMW - $100 oil'!$MC$2:$MC$200=F$3)*('GMW - $100 oil'!$MB$2:$MB$200=F$4),0),$E27-1973)</f>
        <v>315753</v>
      </c>
      <c r="G27" cm="1">
        <f t="array" ref="G27">INDEX('GMW - $100 oil'!$A$2:$MC$200,MATCH(1,('GMW - $100 oil'!$MC$2:$MC$200=G$3)*('GMW - $100 oil'!$MB$2:$MB$200=G$4),0),$E27-1973)</f>
        <v>169390</v>
      </c>
      <c r="H27" cm="1">
        <f t="array" ref="H27">INDEX('GMW - $100 oil'!$A$2:$MC$200,MATCH(1,('GMW - $100 oil'!$MC$2:$MC$200=H$3)*('GMW - $100 oil'!$MB$2:$MB$200=H$4),0),$E27-1973)</f>
        <v>43.874229999999997</v>
      </c>
      <c r="I27" cm="1">
        <f t="array" ref="I27">INDEX('GMW - $100 oil'!$A$2:$MC$200,MATCH(1,('GMW - $100 oil'!$MC$2:$MC$200=I$3)*('GMW - $100 oil'!$MB$2:$MB$200=I$4),0),$E27-1973)</f>
        <v>12.86914</v>
      </c>
      <c r="J27" t="e" cm="1">
        <f t="array" ref="J27">INDEX('GMW - $100 oil'!$A$2:$MC$200,MATCH(1,('GMW - $100 oil'!$MC$2:$MC$200=J$3)*('GMW - $100 oil'!$MB$2:$MB$200=J$4),0),$E27-1973)</f>
        <v>#N/A</v>
      </c>
      <c r="K27" t="e" cm="1">
        <f t="array" ref="K27">INDEX('GMW - $100 oil'!$A$2:$MC$200,MATCH(1,('GMW - $100 oil'!$MC$2:$MC$200=K$3)*('GMW - $100 oil'!$MB$2:$MB$200=K$4),0),$E27-1973)</f>
        <v>#N/A</v>
      </c>
      <c r="L27" t="e" cm="1">
        <f t="array" ref="L27">INDEX('GMW - $100 oil'!$A$2:$MC$200,MATCH(1,('GMW - $100 oil'!$MC$2:$MC$200=L$3)*('GMW - $100 oil'!$MB$2:$MB$200=L$4),0),$E27-1973)</f>
        <v>#N/A</v>
      </c>
      <c r="M27" t="e" cm="1">
        <f t="array" ref="M27">INDEX('GMW - $100 oil'!$A$2:$MC$200,MATCH(1,('GMW - $100 oil'!$MC$2:$MC$200=M$3)*('GMW - $100 oil'!$MB$2:$MB$200=M$4),0),$E27-1973)</f>
        <v>#N/A</v>
      </c>
      <c r="N27" t="e" cm="1">
        <f t="array" ref="N27">INDEX('GMW - $100 oil'!$A$2:$MC$200,MATCH(1,('GMW - $100 oil'!$MC$2:$MC$200=N$3)*('GMW - $100 oil'!$MB$2:$MB$200=N$4),0),$E27-1973)</f>
        <v>#N/A</v>
      </c>
      <c r="O27" t="e" cm="1">
        <f t="array" ref="O27">INDEX('GMW - $100 oil'!$A$2:$MC$200,MATCH(1,('GMW - $100 oil'!$MC$2:$MC$200=O$3)*('GMW - $100 oil'!$MB$2:$MB$200=O$4),0),$E27-1973)</f>
        <v>#N/A</v>
      </c>
      <c r="P27" t="e" cm="1">
        <f t="array" ref="P27">INDEX('GMW - $100 oil'!$A$2:$MC$200,MATCH(1,('GMW - $100 oil'!$MC$2:$MC$200=P$3)*('GMW - $100 oil'!$MB$2:$MB$200=P$4),0),$E27-1973)</f>
        <v>#N/A</v>
      </c>
      <c r="Q27" t="e" cm="1">
        <f t="array" ref="Q27">INDEX('GMW - $100 oil'!$A$2:$MC$200,MATCH(1,('GMW - $100 oil'!$MC$2:$MC$200=Q$3)*('GMW - $100 oil'!$MB$2:$MB$200=Q$4),0),$E27-1973)</f>
        <v>#N/A</v>
      </c>
      <c r="R27" t="e" cm="1">
        <f t="array" ref="R27">INDEX('GMW - $100 oil'!$A$2:$MC$200,MATCH(1,('GMW - $100 oil'!$MC$2:$MC$200=R$3)*('GMW - $100 oil'!$MB$2:$MB$200=R$4),0),$E27-1973)</f>
        <v>#N/A</v>
      </c>
      <c r="S27" t="e" cm="1">
        <f t="array" ref="S27">INDEX('GMW - $100 oil'!$A$2:$MC$200,MATCH(1,('GMW - $100 oil'!$MC$2:$MC$200=S$3)*('GMW - $100 oil'!$MB$2:$MB$200=S$4),0),$E27-1973)</f>
        <v>#N/A</v>
      </c>
      <c r="T27" t="e" cm="1">
        <f t="array" ref="T27">INDEX('GMW - $100 oil'!$A$2:$MC$200,MATCH(1,('GMW - $100 oil'!$MC$2:$MC$200=T$3)*('GMW - $100 oil'!$MB$2:$MB$200=T$4),0),$E27-1973)</f>
        <v>#N/A</v>
      </c>
    </row>
    <row r="28" spans="1:20" x14ac:dyDescent="0.25">
      <c r="B28">
        <f t="shared" ref="B28:D43" si="3">+B24+1</f>
        <v>1985</v>
      </c>
      <c r="C28">
        <f t="shared" si="3"/>
        <v>1985</v>
      </c>
      <c r="E28">
        <f t="shared" si="1"/>
        <v>2001</v>
      </c>
      <c r="F28" cm="1">
        <f t="array" ref="F28">INDEX('GMW - $100 oil'!$A$2:$MC$200,MATCH(1,('GMW - $100 oil'!$MC$2:$MC$200=F$3)*('GMW - $100 oil'!$MB$2:$MB$200=F$4),0),$E28-1973)</f>
        <v>322451</v>
      </c>
      <c r="G28" cm="1">
        <f t="array" ref="G28">INDEX('GMW - $100 oil'!$A$2:$MC$200,MATCH(1,('GMW - $100 oil'!$MC$2:$MC$200=G$3)*('GMW - $100 oil'!$MB$2:$MB$200=G$4),0),$E28-1973)</f>
        <v>170284</v>
      </c>
      <c r="H28" cm="1">
        <f t="array" ref="H28">INDEX('GMW - $100 oil'!$A$2:$MC$200,MATCH(1,('GMW - $100 oil'!$MC$2:$MC$200=H$3)*('GMW - $100 oil'!$MB$2:$MB$200=H$4),0),$E28-1973)</f>
        <v>44.995199999999997</v>
      </c>
      <c r="I28" cm="1">
        <f t="array" ref="I28">INDEX('GMW - $100 oil'!$A$2:$MC$200,MATCH(1,('GMW - $100 oil'!$MC$2:$MC$200=I$3)*('GMW - $100 oil'!$MB$2:$MB$200=I$4),0),$E28-1973)</f>
        <v>12.48269</v>
      </c>
      <c r="J28" t="e" cm="1">
        <f t="array" ref="J28">INDEX('GMW - $100 oil'!$A$2:$MC$200,MATCH(1,('GMW - $100 oil'!$MC$2:$MC$200=J$3)*('GMW - $100 oil'!$MB$2:$MB$200=J$4),0),$E28-1973)</f>
        <v>#N/A</v>
      </c>
      <c r="K28" t="e" cm="1">
        <f t="array" ref="K28">INDEX('GMW - $100 oil'!$A$2:$MC$200,MATCH(1,('GMW - $100 oil'!$MC$2:$MC$200=K$3)*('GMW - $100 oil'!$MB$2:$MB$200=K$4),0),$E28-1973)</f>
        <v>#N/A</v>
      </c>
      <c r="L28" t="e" cm="1">
        <f t="array" ref="L28">INDEX('GMW - $100 oil'!$A$2:$MC$200,MATCH(1,('GMW - $100 oil'!$MC$2:$MC$200=L$3)*('GMW - $100 oil'!$MB$2:$MB$200=L$4),0),$E28-1973)</f>
        <v>#N/A</v>
      </c>
      <c r="M28" t="e" cm="1">
        <f t="array" ref="M28">INDEX('GMW - $100 oil'!$A$2:$MC$200,MATCH(1,('GMW - $100 oil'!$MC$2:$MC$200=M$3)*('GMW - $100 oil'!$MB$2:$MB$200=M$4),0),$E28-1973)</f>
        <v>#N/A</v>
      </c>
      <c r="N28" t="e" cm="1">
        <f t="array" ref="N28">INDEX('GMW - $100 oil'!$A$2:$MC$200,MATCH(1,('GMW - $100 oil'!$MC$2:$MC$200=N$3)*('GMW - $100 oil'!$MB$2:$MB$200=N$4),0),$E28-1973)</f>
        <v>#N/A</v>
      </c>
      <c r="O28" t="e" cm="1">
        <f t="array" ref="O28">INDEX('GMW - $100 oil'!$A$2:$MC$200,MATCH(1,('GMW - $100 oil'!$MC$2:$MC$200=O$3)*('GMW - $100 oil'!$MB$2:$MB$200=O$4),0),$E28-1973)</f>
        <v>#N/A</v>
      </c>
      <c r="P28" t="e" cm="1">
        <f t="array" ref="P28">INDEX('GMW - $100 oil'!$A$2:$MC$200,MATCH(1,('GMW - $100 oil'!$MC$2:$MC$200=P$3)*('GMW - $100 oil'!$MB$2:$MB$200=P$4),0),$E28-1973)</f>
        <v>#N/A</v>
      </c>
      <c r="Q28" t="e" cm="1">
        <f t="array" ref="Q28">INDEX('GMW - $100 oil'!$A$2:$MC$200,MATCH(1,('GMW - $100 oil'!$MC$2:$MC$200=Q$3)*('GMW - $100 oil'!$MB$2:$MB$200=Q$4),0),$E28-1973)</f>
        <v>#N/A</v>
      </c>
      <c r="R28" t="e" cm="1">
        <f t="array" ref="R28">INDEX('GMW - $100 oil'!$A$2:$MC$200,MATCH(1,('GMW - $100 oil'!$MC$2:$MC$200=R$3)*('GMW - $100 oil'!$MB$2:$MB$200=R$4),0),$E28-1973)</f>
        <v>#N/A</v>
      </c>
      <c r="S28" t="e" cm="1">
        <f t="array" ref="S28">INDEX('GMW - $100 oil'!$A$2:$MC$200,MATCH(1,('GMW - $100 oil'!$MC$2:$MC$200=S$3)*('GMW - $100 oil'!$MB$2:$MB$200=S$4),0),$E28-1973)</f>
        <v>#N/A</v>
      </c>
      <c r="T28" t="e" cm="1">
        <f t="array" ref="T28">INDEX('GMW - $100 oil'!$A$2:$MC$200,MATCH(1,('GMW - $100 oil'!$MC$2:$MC$200=T$3)*('GMW - $100 oil'!$MB$2:$MB$200=T$4),0),$E28-1973)</f>
        <v>#N/A</v>
      </c>
    </row>
    <row r="29" spans="1:20" x14ac:dyDescent="0.25">
      <c r="B29">
        <f t="shared" si="3"/>
        <v>1985</v>
      </c>
      <c r="C29">
        <f t="shared" si="3"/>
        <v>1985</v>
      </c>
      <c r="E29">
        <f t="shared" si="1"/>
        <v>2002</v>
      </c>
      <c r="F29" cm="1">
        <f t="array" ref="F29">INDEX('GMW - $100 oil'!$A$2:$MC$200,MATCH(1,('GMW - $100 oil'!$MC$2:$MC$200=F$3)*('GMW - $100 oil'!$MB$2:$MB$200=F$4),0),$E29-1973)</f>
        <v>322392</v>
      </c>
      <c r="G29" cm="1">
        <f t="array" ref="G29">INDEX('GMW - $100 oil'!$A$2:$MC$200,MATCH(1,('GMW - $100 oil'!$MC$2:$MC$200=G$3)*('GMW - $100 oil'!$MB$2:$MB$200=G$4),0),$E29-1973)</f>
        <v>172709</v>
      </c>
      <c r="H29" cm="1">
        <f t="array" ref="H29">INDEX('GMW - $100 oil'!$A$2:$MC$200,MATCH(1,('GMW - $100 oil'!$MC$2:$MC$200=H$3)*('GMW - $100 oil'!$MB$2:$MB$200=H$4),0),$E29-1973)</f>
        <v>45.125549999999997</v>
      </c>
      <c r="I29" cm="1">
        <f t="array" ref="I29">INDEX('GMW - $100 oil'!$A$2:$MC$200,MATCH(1,('GMW - $100 oil'!$MC$2:$MC$200=I$3)*('GMW - $100 oil'!$MB$2:$MB$200=I$4),0),$E29-1973)</f>
        <v>11.579549999999999</v>
      </c>
      <c r="J29" t="e" cm="1">
        <f t="array" ref="J29">INDEX('GMW - $100 oil'!$A$2:$MC$200,MATCH(1,('GMW - $100 oil'!$MC$2:$MC$200=J$3)*('GMW - $100 oil'!$MB$2:$MB$200=J$4),0),$E29-1973)</f>
        <v>#N/A</v>
      </c>
      <c r="K29" t="e" cm="1">
        <f t="array" ref="K29">INDEX('GMW - $100 oil'!$A$2:$MC$200,MATCH(1,('GMW - $100 oil'!$MC$2:$MC$200=K$3)*('GMW - $100 oil'!$MB$2:$MB$200=K$4),0),$E29-1973)</f>
        <v>#N/A</v>
      </c>
      <c r="L29" t="e" cm="1">
        <f t="array" ref="L29">INDEX('GMW - $100 oil'!$A$2:$MC$200,MATCH(1,('GMW - $100 oil'!$MC$2:$MC$200=L$3)*('GMW - $100 oil'!$MB$2:$MB$200=L$4),0),$E29-1973)</f>
        <v>#N/A</v>
      </c>
      <c r="M29" t="e" cm="1">
        <f t="array" ref="M29">INDEX('GMW - $100 oil'!$A$2:$MC$200,MATCH(1,('GMW - $100 oil'!$MC$2:$MC$200=M$3)*('GMW - $100 oil'!$MB$2:$MB$200=M$4),0),$E29-1973)</f>
        <v>#N/A</v>
      </c>
      <c r="N29" t="e" cm="1">
        <f t="array" ref="N29">INDEX('GMW - $100 oil'!$A$2:$MC$200,MATCH(1,('GMW - $100 oil'!$MC$2:$MC$200=N$3)*('GMW - $100 oil'!$MB$2:$MB$200=N$4),0),$E29-1973)</f>
        <v>#N/A</v>
      </c>
      <c r="O29" t="e" cm="1">
        <f t="array" ref="O29">INDEX('GMW - $100 oil'!$A$2:$MC$200,MATCH(1,('GMW - $100 oil'!$MC$2:$MC$200=O$3)*('GMW - $100 oil'!$MB$2:$MB$200=O$4),0),$E29-1973)</f>
        <v>#N/A</v>
      </c>
      <c r="P29" t="e" cm="1">
        <f t="array" ref="P29">INDEX('GMW - $100 oil'!$A$2:$MC$200,MATCH(1,('GMW - $100 oil'!$MC$2:$MC$200=P$3)*('GMW - $100 oil'!$MB$2:$MB$200=P$4),0),$E29-1973)</f>
        <v>#N/A</v>
      </c>
      <c r="Q29" t="e" cm="1">
        <f t="array" ref="Q29">INDEX('GMW - $100 oil'!$A$2:$MC$200,MATCH(1,('GMW - $100 oil'!$MC$2:$MC$200=Q$3)*('GMW - $100 oil'!$MB$2:$MB$200=Q$4),0),$E29-1973)</f>
        <v>#N/A</v>
      </c>
      <c r="R29" t="e" cm="1">
        <f t="array" ref="R29">INDEX('GMW - $100 oil'!$A$2:$MC$200,MATCH(1,('GMW - $100 oil'!$MC$2:$MC$200=R$3)*('GMW - $100 oil'!$MB$2:$MB$200=R$4),0),$E29-1973)</f>
        <v>#N/A</v>
      </c>
      <c r="S29" t="e" cm="1">
        <f t="array" ref="S29">INDEX('GMW - $100 oil'!$A$2:$MC$200,MATCH(1,('GMW - $100 oil'!$MC$2:$MC$200=S$3)*('GMW - $100 oil'!$MB$2:$MB$200=S$4),0),$E29-1973)</f>
        <v>#N/A</v>
      </c>
      <c r="T29" t="e" cm="1">
        <f t="array" ref="T29">INDEX('GMW - $100 oil'!$A$2:$MC$200,MATCH(1,('GMW - $100 oil'!$MC$2:$MC$200=T$3)*('GMW - $100 oil'!$MB$2:$MB$200=T$4),0),$E29-1973)</f>
        <v>#N/A</v>
      </c>
    </row>
    <row r="30" spans="1:20" x14ac:dyDescent="0.25">
      <c r="B30">
        <f t="shared" si="3"/>
        <v>1985</v>
      </c>
      <c r="C30">
        <f t="shared" si="3"/>
        <v>1985</v>
      </c>
      <c r="E30">
        <f t="shared" si="1"/>
        <v>2003</v>
      </c>
      <c r="F30" cm="1">
        <f t="array" ref="F30">INDEX('GMW - $100 oil'!$A$2:$MC$200,MATCH(1,('GMW - $100 oil'!$MC$2:$MC$200=F$3)*('GMW - $100 oil'!$MB$2:$MB$200=F$4),0),$E30-1973)</f>
        <v>322604</v>
      </c>
      <c r="G30" cm="1">
        <f t="array" ref="G30">INDEX('GMW - $100 oil'!$A$2:$MC$200,MATCH(1,('GMW - $100 oil'!$MC$2:$MC$200=G$3)*('GMW - $100 oil'!$MB$2:$MB$200=G$4),0),$E30-1973)</f>
        <v>174066</v>
      </c>
      <c r="H30" cm="1">
        <f t="array" ref="H30">INDEX('GMW - $100 oil'!$A$2:$MC$200,MATCH(1,('GMW - $100 oil'!$MC$2:$MC$200=H$3)*('GMW - $100 oil'!$MB$2:$MB$200=H$4),0),$E30-1973)</f>
        <v>45.490519999999997</v>
      </c>
      <c r="I30" cm="1">
        <f t="array" ref="I30">INDEX('GMW - $100 oil'!$A$2:$MC$200,MATCH(1,('GMW - $100 oil'!$MC$2:$MC$200=I$3)*('GMW - $100 oil'!$MB$2:$MB$200=I$4),0),$E30-1973)</f>
        <v>11.375</v>
      </c>
      <c r="J30" t="e" cm="1">
        <f t="array" ref="J30">INDEX('GMW - $100 oil'!$A$2:$MC$200,MATCH(1,('GMW - $100 oil'!$MC$2:$MC$200=J$3)*('GMW - $100 oil'!$MB$2:$MB$200=J$4),0),$E30-1973)</f>
        <v>#N/A</v>
      </c>
      <c r="K30" t="e" cm="1">
        <f t="array" ref="K30">INDEX('GMW - $100 oil'!$A$2:$MC$200,MATCH(1,('GMW - $100 oil'!$MC$2:$MC$200=K$3)*('GMW - $100 oil'!$MB$2:$MB$200=K$4),0),$E30-1973)</f>
        <v>#N/A</v>
      </c>
      <c r="L30" t="e" cm="1">
        <f t="array" ref="L30">INDEX('GMW - $100 oil'!$A$2:$MC$200,MATCH(1,('GMW - $100 oil'!$MC$2:$MC$200=L$3)*('GMW - $100 oil'!$MB$2:$MB$200=L$4),0),$E30-1973)</f>
        <v>#N/A</v>
      </c>
      <c r="M30" t="e" cm="1">
        <f t="array" ref="M30">INDEX('GMW - $100 oil'!$A$2:$MC$200,MATCH(1,('GMW - $100 oil'!$MC$2:$MC$200=M$3)*('GMW - $100 oil'!$MB$2:$MB$200=M$4),0),$E30-1973)</f>
        <v>#N/A</v>
      </c>
      <c r="N30" t="e" cm="1">
        <f t="array" ref="N30">INDEX('GMW - $100 oil'!$A$2:$MC$200,MATCH(1,('GMW - $100 oil'!$MC$2:$MC$200=N$3)*('GMW - $100 oil'!$MB$2:$MB$200=N$4),0),$E30-1973)</f>
        <v>#N/A</v>
      </c>
      <c r="O30" t="e" cm="1">
        <f t="array" ref="O30">INDEX('GMW - $100 oil'!$A$2:$MC$200,MATCH(1,('GMW - $100 oil'!$MC$2:$MC$200=O$3)*('GMW - $100 oil'!$MB$2:$MB$200=O$4),0),$E30-1973)</f>
        <v>#N/A</v>
      </c>
      <c r="P30" t="e" cm="1">
        <f t="array" ref="P30">INDEX('GMW - $100 oil'!$A$2:$MC$200,MATCH(1,('GMW - $100 oil'!$MC$2:$MC$200=P$3)*('GMW - $100 oil'!$MB$2:$MB$200=P$4),0),$E30-1973)</f>
        <v>#N/A</v>
      </c>
      <c r="Q30" t="e" cm="1">
        <f t="array" ref="Q30">INDEX('GMW - $100 oil'!$A$2:$MC$200,MATCH(1,('GMW - $100 oil'!$MC$2:$MC$200=Q$3)*('GMW - $100 oil'!$MB$2:$MB$200=Q$4),0),$E30-1973)</f>
        <v>#N/A</v>
      </c>
      <c r="R30" t="e" cm="1">
        <f t="array" ref="R30">INDEX('GMW - $100 oil'!$A$2:$MC$200,MATCH(1,('GMW - $100 oil'!$MC$2:$MC$200=R$3)*('GMW - $100 oil'!$MB$2:$MB$200=R$4),0),$E30-1973)</f>
        <v>#N/A</v>
      </c>
      <c r="S30" t="e" cm="1">
        <f t="array" ref="S30">INDEX('GMW - $100 oil'!$A$2:$MC$200,MATCH(1,('GMW - $100 oil'!$MC$2:$MC$200=S$3)*('GMW - $100 oil'!$MB$2:$MB$200=S$4),0),$E30-1973)</f>
        <v>#N/A</v>
      </c>
      <c r="T30" t="e" cm="1">
        <f t="array" ref="T30">INDEX('GMW - $100 oil'!$A$2:$MC$200,MATCH(1,('GMW - $100 oil'!$MC$2:$MC$200=T$3)*('GMW - $100 oil'!$MB$2:$MB$200=T$4),0),$E30-1973)</f>
        <v>#N/A</v>
      </c>
    </row>
    <row r="31" spans="1:20" x14ac:dyDescent="0.25">
      <c r="A31">
        <v>1986</v>
      </c>
      <c r="B31">
        <f t="shared" si="3"/>
        <v>1986</v>
      </c>
      <c r="C31">
        <f t="shared" si="3"/>
        <v>1985</v>
      </c>
      <c r="D31">
        <f t="shared" si="3"/>
        <v>1985</v>
      </c>
      <c r="E31">
        <f t="shared" si="1"/>
        <v>2004</v>
      </c>
      <c r="F31" cm="1">
        <f t="array" ref="F31">INDEX('GMW - $100 oil'!$A$2:$MC$200,MATCH(1,('GMW - $100 oil'!$MC$2:$MC$200=F$3)*('GMW - $100 oil'!$MB$2:$MB$200=F$4),0),$E31-1973)</f>
        <v>325968</v>
      </c>
      <c r="G31" cm="1">
        <f t="array" ref="G31">INDEX('GMW - $100 oil'!$A$2:$MC$200,MATCH(1,('GMW - $100 oil'!$MC$2:$MC$200=G$3)*('GMW - $100 oil'!$MB$2:$MB$200=G$4),0),$E31-1973)</f>
        <v>178852</v>
      </c>
      <c r="H31" cm="1">
        <f t="array" ref="H31">INDEX('GMW - $100 oil'!$A$2:$MC$200,MATCH(1,('GMW - $100 oil'!$MC$2:$MC$200=H$3)*('GMW - $100 oil'!$MB$2:$MB$200=H$4),0),$E31-1973)</f>
        <v>45.646929999999998</v>
      </c>
      <c r="I31" cm="1">
        <f t="array" ref="I31">INDEX('GMW - $100 oil'!$A$2:$MC$200,MATCH(1,('GMW - $100 oil'!$MC$2:$MC$200=I$3)*('GMW - $100 oil'!$MB$2:$MB$200=I$4),0),$E31-1973)</f>
        <v>12.07813</v>
      </c>
      <c r="J31" t="e" cm="1">
        <f t="array" ref="J31">INDEX('GMW - $100 oil'!$A$2:$MC$200,MATCH(1,('GMW - $100 oil'!$MC$2:$MC$200=J$3)*('GMW - $100 oil'!$MB$2:$MB$200=J$4),0),$E31-1973)</f>
        <v>#N/A</v>
      </c>
      <c r="K31" t="e" cm="1">
        <f t="array" ref="K31">INDEX('GMW - $100 oil'!$A$2:$MC$200,MATCH(1,('GMW - $100 oil'!$MC$2:$MC$200=K$3)*('GMW - $100 oil'!$MB$2:$MB$200=K$4),0),$E31-1973)</f>
        <v>#N/A</v>
      </c>
      <c r="L31" t="e" cm="1">
        <f t="array" ref="L31">INDEX('GMW - $100 oil'!$A$2:$MC$200,MATCH(1,('GMW - $100 oil'!$MC$2:$MC$200=L$3)*('GMW - $100 oil'!$MB$2:$MB$200=L$4),0),$E31-1973)</f>
        <v>#N/A</v>
      </c>
      <c r="M31" t="e" cm="1">
        <f t="array" ref="M31">INDEX('GMW - $100 oil'!$A$2:$MC$200,MATCH(1,('GMW - $100 oil'!$MC$2:$MC$200=M$3)*('GMW - $100 oil'!$MB$2:$MB$200=M$4),0),$E31-1973)</f>
        <v>#N/A</v>
      </c>
      <c r="N31" t="e" cm="1">
        <f t="array" ref="N31">INDEX('GMW - $100 oil'!$A$2:$MC$200,MATCH(1,('GMW - $100 oil'!$MC$2:$MC$200=N$3)*('GMW - $100 oil'!$MB$2:$MB$200=N$4),0),$E31-1973)</f>
        <v>#N/A</v>
      </c>
      <c r="O31" t="e" cm="1">
        <f t="array" ref="O31">INDEX('GMW - $100 oil'!$A$2:$MC$200,MATCH(1,('GMW - $100 oil'!$MC$2:$MC$200=O$3)*('GMW - $100 oil'!$MB$2:$MB$200=O$4),0),$E31-1973)</f>
        <v>#N/A</v>
      </c>
      <c r="P31" t="e" cm="1">
        <f t="array" ref="P31">INDEX('GMW - $100 oil'!$A$2:$MC$200,MATCH(1,('GMW - $100 oil'!$MC$2:$MC$200=P$3)*('GMW - $100 oil'!$MB$2:$MB$200=P$4),0),$E31-1973)</f>
        <v>#N/A</v>
      </c>
      <c r="Q31" t="e" cm="1">
        <f t="array" ref="Q31">INDEX('GMW - $100 oil'!$A$2:$MC$200,MATCH(1,('GMW - $100 oil'!$MC$2:$MC$200=Q$3)*('GMW - $100 oil'!$MB$2:$MB$200=Q$4),0),$E31-1973)</f>
        <v>#N/A</v>
      </c>
      <c r="R31" t="e" cm="1">
        <f t="array" ref="R31">INDEX('GMW - $100 oil'!$A$2:$MC$200,MATCH(1,('GMW - $100 oil'!$MC$2:$MC$200=R$3)*('GMW - $100 oil'!$MB$2:$MB$200=R$4),0),$E31-1973)</f>
        <v>#N/A</v>
      </c>
      <c r="S31" t="e" cm="1">
        <f t="array" ref="S31">INDEX('GMW - $100 oil'!$A$2:$MC$200,MATCH(1,('GMW - $100 oil'!$MC$2:$MC$200=S$3)*('GMW - $100 oil'!$MB$2:$MB$200=S$4),0),$E31-1973)</f>
        <v>#N/A</v>
      </c>
      <c r="T31" t="e" cm="1">
        <f t="array" ref="T31">INDEX('GMW - $100 oil'!$A$2:$MC$200,MATCH(1,('GMW - $100 oil'!$MC$2:$MC$200=T$3)*('GMW - $100 oil'!$MB$2:$MB$200=T$4),0),$E31-1973)</f>
        <v>#N/A</v>
      </c>
    </row>
    <row r="32" spans="1:20" x14ac:dyDescent="0.25">
      <c r="B32">
        <f t="shared" si="3"/>
        <v>1986</v>
      </c>
      <c r="C32">
        <f t="shared" si="3"/>
        <v>1986</v>
      </c>
      <c r="E32">
        <f t="shared" si="1"/>
        <v>2005</v>
      </c>
      <c r="F32" cm="1">
        <f t="array" ref="F32">INDEX('GMW - $100 oil'!$A$2:$MC$200,MATCH(1,('GMW - $100 oil'!$MC$2:$MC$200=F$3)*('GMW - $100 oil'!$MB$2:$MB$200=F$4),0),$E32-1973)</f>
        <v>328872</v>
      </c>
      <c r="G32" cm="1">
        <f t="array" ref="G32">INDEX('GMW - $100 oil'!$A$2:$MC$200,MATCH(1,('GMW - $100 oil'!$MC$2:$MC$200=G$3)*('GMW - $100 oil'!$MB$2:$MB$200=G$4),0),$E32-1973)</f>
        <v>181672</v>
      </c>
      <c r="H32" cm="1">
        <f t="array" ref="H32">INDEX('GMW - $100 oil'!$A$2:$MC$200,MATCH(1,('GMW - $100 oil'!$MC$2:$MC$200=H$3)*('GMW - $100 oil'!$MB$2:$MB$200=H$4),0),$E32-1973)</f>
        <v>46.3508</v>
      </c>
      <c r="I32" cm="1">
        <f t="array" ref="I32">INDEX('GMW - $100 oil'!$A$2:$MC$200,MATCH(1,('GMW - $100 oil'!$MC$2:$MC$200=I$3)*('GMW - $100 oil'!$MB$2:$MB$200=I$4),0),$E32-1973)</f>
        <v>10.328849999999999</v>
      </c>
      <c r="J32" t="e" cm="1">
        <f t="array" ref="J32">INDEX('GMW - $100 oil'!$A$2:$MC$200,MATCH(1,('GMW - $100 oil'!$MC$2:$MC$200=J$3)*('GMW - $100 oil'!$MB$2:$MB$200=J$4),0),$E32-1973)</f>
        <v>#N/A</v>
      </c>
      <c r="K32" t="e" cm="1">
        <f t="array" ref="K32">INDEX('GMW - $100 oil'!$A$2:$MC$200,MATCH(1,('GMW - $100 oil'!$MC$2:$MC$200=K$3)*('GMW - $100 oil'!$MB$2:$MB$200=K$4),0),$E32-1973)</f>
        <v>#N/A</v>
      </c>
      <c r="L32" t="e" cm="1">
        <f t="array" ref="L32">INDEX('GMW - $100 oil'!$A$2:$MC$200,MATCH(1,('GMW - $100 oil'!$MC$2:$MC$200=L$3)*('GMW - $100 oil'!$MB$2:$MB$200=L$4),0),$E32-1973)</f>
        <v>#N/A</v>
      </c>
      <c r="M32" t="e" cm="1">
        <f t="array" ref="M32">INDEX('GMW - $100 oil'!$A$2:$MC$200,MATCH(1,('GMW - $100 oil'!$MC$2:$MC$200=M$3)*('GMW - $100 oil'!$MB$2:$MB$200=M$4),0),$E32-1973)</f>
        <v>#N/A</v>
      </c>
      <c r="N32" t="e" cm="1">
        <f t="array" ref="N32">INDEX('GMW - $100 oil'!$A$2:$MC$200,MATCH(1,('GMW - $100 oil'!$MC$2:$MC$200=N$3)*('GMW - $100 oil'!$MB$2:$MB$200=N$4),0),$E32-1973)</f>
        <v>#N/A</v>
      </c>
      <c r="O32" t="e" cm="1">
        <f t="array" ref="O32">INDEX('GMW - $100 oil'!$A$2:$MC$200,MATCH(1,('GMW - $100 oil'!$MC$2:$MC$200=O$3)*('GMW - $100 oil'!$MB$2:$MB$200=O$4),0),$E32-1973)</f>
        <v>#N/A</v>
      </c>
      <c r="P32" t="e" cm="1">
        <f t="array" ref="P32">INDEX('GMW - $100 oil'!$A$2:$MC$200,MATCH(1,('GMW - $100 oil'!$MC$2:$MC$200=P$3)*('GMW - $100 oil'!$MB$2:$MB$200=P$4),0),$E32-1973)</f>
        <v>#N/A</v>
      </c>
      <c r="Q32" t="e" cm="1">
        <f t="array" ref="Q32">INDEX('GMW - $100 oil'!$A$2:$MC$200,MATCH(1,('GMW - $100 oil'!$MC$2:$MC$200=Q$3)*('GMW - $100 oil'!$MB$2:$MB$200=Q$4),0),$E32-1973)</f>
        <v>#N/A</v>
      </c>
      <c r="R32" t="e" cm="1">
        <f t="array" ref="R32">INDEX('GMW - $100 oil'!$A$2:$MC$200,MATCH(1,('GMW - $100 oil'!$MC$2:$MC$200=R$3)*('GMW - $100 oil'!$MB$2:$MB$200=R$4),0),$E32-1973)</f>
        <v>#N/A</v>
      </c>
      <c r="S32" t="e" cm="1">
        <f t="array" ref="S32">INDEX('GMW - $100 oil'!$A$2:$MC$200,MATCH(1,('GMW - $100 oil'!$MC$2:$MC$200=S$3)*('GMW - $100 oil'!$MB$2:$MB$200=S$4),0),$E32-1973)</f>
        <v>#N/A</v>
      </c>
      <c r="T32" t="e" cm="1">
        <f t="array" ref="T32">INDEX('GMW - $100 oil'!$A$2:$MC$200,MATCH(1,('GMW - $100 oil'!$MC$2:$MC$200=T$3)*('GMW - $100 oil'!$MB$2:$MB$200=T$4),0),$E32-1973)</f>
        <v>#N/A</v>
      </c>
    </row>
    <row r="33" spans="1:20" x14ac:dyDescent="0.25">
      <c r="B33">
        <f t="shared" si="3"/>
        <v>1986</v>
      </c>
      <c r="C33">
        <f t="shared" si="3"/>
        <v>1986</v>
      </c>
      <c r="E33">
        <f t="shared" si="1"/>
        <v>2006</v>
      </c>
      <c r="F33" cm="1">
        <f t="array" ref="F33">INDEX('GMW - $100 oil'!$A$2:$MC$200,MATCH(1,('GMW - $100 oil'!$MC$2:$MC$200=F$3)*('GMW - $100 oil'!$MB$2:$MB$200=F$4),0),$E33-1973)</f>
        <v>330966</v>
      </c>
      <c r="G33" cm="1">
        <f t="array" ref="G33">INDEX('GMW - $100 oil'!$A$2:$MC$200,MATCH(1,('GMW - $100 oil'!$MC$2:$MC$200=G$3)*('GMW - $100 oil'!$MB$2:$MB$200=G$4),0),$E33-1973)</f>
        <v>182857</v>
      </c>
      <c r="H33" cm="1">
        <f t="array" ref="H33">INDEX('GMW - $100 oil'!$A$2:$MC$200,MATCH(1,('GMW - $100 oil'!$MC$2:$MC$200=H$3)*('GMW - $100 oil'!$MB$2:$MB$200=H$4),0),$E33-1973)</f>
        <v>46.533279999999998</v>
      </c>
      <c r="I33" cm="1">
        <f t="array" ref="I33">INDEX('GMW - $100 oil'!$A$2:$MC$200,MATCH(1,('GMW - $100 oil'!$MC$2:$MC$200=I$3)*('GMW - $100 oil'!$MB$2:$MB$200=I$4),0),$E33-1973)</f>
        <v>9.875</v>
      </c>
      <c r="J33" t="e" cm="1">
        <f t="array" ref="J33">INDEX('GMW - $100 oil'!$A$2:$MC$200,MATCH(1,('GMW - $100 oil'!$MC$2:$MC$200=J$3)*('GMW - $100 oil'!$MB$2:$MB$200=J$4),0),$E33-1973)</f>
        <v>#N/A</v>
      </c>
      <c r="K33" t="e" cm="1">
        <f t="array" ref="K33">INDEX('GMW - $100 oil'!$A$2:$MC$200,MATCH(1,('GMW - $100 oil'!$MC$2:$MC$200=K$3)*('GMW - $100 oil'!$MB$2:$MB$200=K$4),0),$E33-1973)</f>
        <v>#N/A</v>
      </c>
      <c r="L33" t="e" cm="1">
        <f t="array" ref="L33">INDEX('GMW - $100 oil'!$A$2:$MC$200,MATCH(1,('GMW - $100 oil'!$MC$2:$MC$200=L$3)*('GMW - $100 oil'!$MB$2:$MB$200=L$4),0),$E33-1973)</f>
        <v>#N/A</v>
      </c>
      <c r="M33" t="e" cm="1">
        <f t="array" ref="M33">INDEX('GMW - $100 oil'!$A$2:$MC$200,MATCH(1,('GMW - $100 oil'!$MC$2:$MC$200=M$3)*('GMW - $100 oil'!$MB$2:$MB$200=M$4),0),$E33-1973)</f>
        <v>#N/A</v>
      </c>
      <c r="N33" t="e" cm="1">
        <f t="array" ref="N33">INDEX('GMW - $100 oil'!$A$2:$MC$200,MATCH(1,('GMW - $100 oil'!$MC$2:$MC$200=N$3)*('GMW - $100 oil'!$MB$2:$MB$200=N$4),0),$E33-1973)</f>
        <v>#N/A</v>
      </c>
      <c r="O33" t="e" cm="1">
        <f t="array" ref="O33">INDEX('GMW - $100 oil'!$A$2:$MC$200,MATCH(1,('GMW - $100 oil'!$MC$2:$MC$200=O$3)*('GMW - $100 oil'!$MB$2:$MB$200=O$4),0),$E33-1973)</f>
        <v>#N/A</v>
      </c>
      <c r="P33" t="e" cm="1">
        <f t="array" ref="P33">INDEX('GMW - $100 oil'!$A$2:$MC$200,MATCH(1,('GMW - $100 oil'!$MC$2:$MC$200=P$3)*('GMW - $100 oil'!$MB$2:$MB$200=P$4),0),$E33-1973)</f>
        <v>#N/A</v>
      </c>
      <c r="Q33" t="e" cm="1">
        <f t="array" ref="Q33">INDEX('GMW - $100 oil'!$A$2:$MC$200,MATCH(1,('GMW - $100 oil'!$MC$2:$MC$200=Q$3)*('GMW - $100 oil'!$MB$2:$MB$200=Q$4),0),$E33-1973)</f>
        <v>#N/A</v>
      </c>
      <c r="R33" t="e" cm="1">
        <f t="array" ref="R33">INDEX('GMW - $100 oil'!$A$2:$MC$200,MATCH(1,('GMW - $100 oil'!$MC$2:$MC$200=R$3)*('GMW - $100 oil'!$MB$2:$MB$200=R$4),0),$E33-1973)</f>
        <v>#N/A</v>
      </c>
      <c r="S33" t="e" cm="1">
        <f t="array" ref="S33">INDEX('GMW - $100 oil'!$A$2:$MC$200,MATCH(1,('GMW - $100 oil'!$MC$2:$MC$200=S$3)*('GMW - $100 oil'!$MB$2:$MB$200=S$4),0),$E33-1973)</f>
        <v>#N/A</v>
      </c>
      <c r="T33" t="e" cm="1">
        <f t="array" ref="T33">INDEX('GMW - $100 oil'!$A$2:$MC$200,MATCH(1,('GMW - $100 oil'!$MC$2:$MC$200=T$3)*('GMW - $100 oil'!$MB$2:$MB$200=T$4),0),$E33-1973)</f>
        <v>#N/A</v>
      </c>
    </row>
    <row r="34" spans="1:20" x14ac:dyDescent="0.25">
      <c r="B34">
        <f t="shared" si="3"/>
        <v>1986</v>
      </c>
      <c r="C34">
        <f t="shared" si="3"/>
        <v>1986</v>
      </c>
      <c r="E34">
        <f t="shared" si="1"/>
        <v>2007</v>
      </c>
      <c r="F34" cm="1">
        <f t="array" ref="F34">INDEX('GMW - $100 oil'!$A$2:$MC$200,MATCH(1,('GMW - $100 oil'!$MC$2:$MC$200=F$3)*('GMW - $100 oil'!$MB$2:$MB$200=F$4),0),$E34-1973)</f>
        <v>337367</v>
      </c>
      <c r="G34" cm="1">
        <f t="array" ref="G34">INDEX('GMW - $100 oil'!$A$2:$MC$200,MATCH(1,('GMW - $100 oil'!$MC$2:$MC$200=G$3)*('GMW - $100 oil'!$MB$2:$MB$200=G$4),0),$E34-1973)</f>
        <v>183752</v>
      </c>
      <c r="H34" cm="1">
        <f t="array" ref="H34">INDEX('GMW - $100 oil'!$A$2:$MC$200,MATCH(1,('GMW - $100 oil'!$MC$2:$MC$200=H$3)*('GMW - $100 oil'!$MB$2:$MB$200=H$4),0),$E34-1973)</f>
        <v>46.924320000000002</v>
      </c>
      <c r="I34" cm="1">
        <f t="array" ref="I34">INDEX('GMW - $100 oil'!$A$2:$MC$200,MATCH(1,('GMW - $100 oil'!$MC$2:$MC$200=I$3)*('GMW - $100 oil'!$MB$2:$MB$200=I$4),0),$E34-1973)</f>
        <v>10.72348</v>
      </c>
      <c r="J34" t="e" cm="1">
        <f t="array" ref="J34">INDEX('GMW - $100 oil'!$A$2:$MC$200,MATCH(1,('GMW - $100 oil'!$MC$2:$MC$200=J$3)*('GMW - $100 oil'!$MB$2:$MB$200=J$4),0),$E34-1973)</f>
        <v>#N/A</v>
      </c>
      <c r="K34" t="e" cm="1">
        <f t="array" ref="K34">INDEX('GMW - $100 oil'!$A$2:$MC$200,MATCH(1,('GMW - $100 oil'!$MC$2:$MC$200=K$3)*('GMW - $100 oil'!$MB$2:$MB$200=K$4),0),$E34-1973)</f>
        <v>#N/A</v>
      </c>
      <c r="L34" t="e" cm="1">
        <f t="array" ref="L34">INDEX('GMW - $100 oil'!$A$2:$MC$200,MATCH(1,('GMW - $100 oil'!$MC$2:$MC$200=L$3)*('GMW - $100 oil'!$MB$2:$MB$200=L$4),0),$E34-1973)</f>
        <v>#N/A</v>
      </c>
      <c r="M34" t="e" cm="1">
        <f t="array" ref="M34">INDEX('GMW - $100 oil'!$A$2:$MC$200,MATCH(1,('GMW - $100 oil'!$MC$2:$MC$200=M$3)*('GMW - $100 oil'!$MB$2:$MB$200=M$4),0),$E34-1973)</f>
        <v>#N/A</v>
      </c>
      <c r="N34" t="e" cm="1">
        <f t="array" ref="N34">INDEX('GMW - $100 oil'!$A$2:$MC$200,MATCH(1,('GMW - $100 oil'!$MC$2:$MC$200=N$3)*('GMW - $100 oil'!$MB$2:$MB$200=N$4),0),$E34-1973)</f>
        <v>#N/A</v>
      </c>
      <c r="O34" t="e" cm="1">
        <f t="array" ref="O34">INDEX('GMW - $100 oil'!$A$2:$MC$200,MATCH(1,('GMW - $100 oil'!$MC$2:$MC$200=O$3)*('GMW - $100 oil'!$MB$2:$MB$200=O$4),0),$E34-1973)</f>
        <v>#N/A</v>
      </c>
      <c r="P34" t="e" cm="1">
        <f t="array" ref="P34">INDEX('GMW - $100 oil'!$A$2:$MC$200,MATCH(1,('GMW - $100 oil'!$MC$2:$MC$200=P$3)*('GMW - $100 oil'!$MB$2:$MB$200=P$4),0),$E34-1973)</f>
        <v>#N/A</v>
      </c>
      <c r="Q34" t="e" cm="1">
        <f t="array" ref="Q34">INDEX('GMW - $100 oil'!$A$2:$MC$200,MATCH(1,('GMW - $100 oil'!$MC$2:$MC$200=Q$3)*('GMW - $100 oil'!$MB$2:$MB$200=Q$4),0),$E34-1973)</f>
        <v>#N/A</v>
      </c>
      <c r="R34" t="e" cm="1">
        <f t="array" ref="R34">INDEX('GMW - $100 oil'!$A$2:$MC$200,MATCH(1,('GMW - $100 oil'!$MC$2:$MC$200=R$3)*('GMW - $100 oil'!$MB$2:$MB$200=R$4),0),$E34-1973)</f>
        <v>#N/A</v>
      </c>
      <c r="S34" t="e" cm="1">
        <f t="array" ref="S34">INDEX('GMW - $100 oil'!$A$2:$MC$200,MATCH(1,('GMW - $100 oil'!$MC$2:$MC$200=S$3)*('GMW - $100 oil'!$MB$2:$MB$200=S$4),0),$E34-1973)</f>
        <v>#N/A</v>
      </c>
      <c r="T34" t="e" cm="1">
        <f t="array" ref="T34">INDEX('GMW - $100 oil'!$A$2:$MC$200,MATCH(1,('GMW - $100 oil'!$MC$2:$MC$200=T$3)*('GMW - $100 oil'!$MB$2:$MB$200=T$4),0),$E34-1973)</f>
        <v>#N/A</v>
      </c>
    </row>
    <row r="35" spans="1:20" x14ac:dyDescent="0.25">
      <c r="A35">
        <v>1987</v>
      </c>
      <c r="B35">
        <f t="shared" si="3"/>
        <v>1987</v>
      </c>
      <c r="C35">
        <f t="shared" si="3"/>
        <v>1986</v>
      </c>
      <c r="D35">
        <f t="shared" si="3"/>
        <v>1986</v>
      </c>
      <c r="E35">
        <f t="shared" si="1"/>
        <v>2008</v>
      </c>
      <c r="F35" cm="1">
        <f t="array" ref="F35">INDEX('GMW - $100 oil'!$A$2:$MC$200,MATCH(1,('GMW - $100 oil'!$MC$2:$MC$200=F$3)*('GMW - $100 oil'!$MB$2:$MB$200=F$4),0),$E35-1973)</f>
        <v>339754</v>
      </c>
      <c r="G35" cm="1">
        <f t="array" ref="G35">INDEX('GMW - $100 oil'!$A$2:$MC$200,MATCH(1,('GMW - $100 oil'!$MC$2:$MC$200=G$3)*('GMW - $100 oil'!$MB$2:$MB$200=G$4),0),$E35-1973)</f>
        <v>185943</v>
      </c>
      <c r="H35" cm="1">
        <f t="array" ref="H35">INDEX('GMW - $100 oil'!$A$2:$MC$200,MATCH(1,('GMW - $100 oil'!$MC$2:$MC$200=H$3)*('GMW - $100 oil'!$MB$2:$MB$200=H$4),0),$E35-1973)</f>
        <v>47.237139999999997</v>
      </c>
      <c r="I35" cm="1">
        <f t="array" ref="I35">INDEX('GMW - $100 oil'!$A$2:$MC$200,MATCH(1,('GMW - $100 oil'!$MC$2:$MC$200=I$3)*('GMW - $100 oil'!$MB$2:$MB$200=I$4),0),$E35-1973)</f>
        <v>10.664059999999999</v>
      </c>
      <c r="J35" t="e" cm="1">
        <f t="array" ref="J35">INDEX('GMW - $100 oil'!$A$2:$MC$200,MATCH(1,('GMW - $100 oil'!$MC$2:$MC$200=J$3)*('GMW - $100 oil'!$MB$2:$MB$200=J$4),0),$E35-1973)</f>
        <v>#N/A</v>
      </c>
      <c r="K35" t="e" cm="1">
        <f t="array" ref="K35">INDEX('GMW - $100 oil'!$A$2:$MC$200,MATCH(1,('GMW - $100 oil'!$MC$2:$MC$200=K$3)*('GMW - $100 oil'!$MB$2:$MB$200=K$4),0),$E35-1973)</f>
        <v>#N/A</v>
      </c>
      <c r="L35" t="e" cm="1">
        <f t="array" ref="L35">INDEX('GMW - $100 oil'!$A$2:$MC$200,MATCH(1,('GMW - $100 oil'!$MC$2:$MC$200=L$3)*('GMW - $100 oil'!$MB$2:$MB$200=L$4),0),$E35-1973)</f>
        <v>#N/A</v>
      </c>
      <c r="M35" t="e" cm="1">
        <f t="array" ref="M35">INDEX('GMW - $100 oil'!$A$2:$MC$200,MATCH(1,('GMW - $100 oil'!$MC$2:$MC$200=M$3)*('GMW - $100 oil'!$MB$2:$MB$200=M$4),0),$E35-1973)</f>
        <v>#N/A</v>
      </c>
      <c r="N35" t="e" cm="1">
        <f t="array" ref="N35">INDEX('GMW - $100 oil'!$A$2:$MC$200,MATCH(1,('GMW - $100 oil'!$MC$2:$MC$200=N$3)*('GMW - $100 oil'!$MB$2:$MB$200=N$4),0),$E35-1973)</f>
        <v>#N/A</v>
      </c>
      <c r="O35" t="e" cm="1">
        <f t="array" ref="O35">INDEX('GMW - $100 oil'!$A$2:$MC$200,MATCH(1,('GMW - $100 oil'!$MC$2:$MC$200=O$3)*('GMW - $100 oil'!$MB$2:$MB$200=O$4),0),$E35-1973)</f>
        <v>#N/A</v>
      </c>
      <c r="P35" t="e" cm="1">
        <f t="array" ref="P35">INDEX('GMW - $100 oil'!$A$2:$MC$200,MATCH(1,('GMW - $100 oil'!$MC$2:$MC$200=P$3)*('GMW - $100 oil'!$MB$2:$MB$200=P$4),0),$E35-1973)</f>
        <v>#N/A</v>
      </c>
      <c r="Q35" t="e" cm="1">
        <f t="array" ref="Q35">INDEX('GMW - $100 oil'!$A$2:$MC$200,MATCH(1,('GMW - $100 oil'!$MC$2:$MC$200=Q$3)*('GMW - $100 oil'!$MB$2:$MB$200=Q$4),0),$E35-1973)</f>
        <v>#N/A</v>
      </c>
      <c r="R35" t="e" cm="1">
        <f t="array" ref="R35">INDEX('GMW - $100 oil'!$A$2:$MC$200,MATCH(1,('GMW - $100 oil'!$MC$2:$MC$200=R$3)*('GMW - $100 oil'!$MB$2:$MB$200=R$4),0),$E35-1973)</f>
        <v>#N/A</v>
      </c>
      <c r="S35" t="e" cm="1">
        <f t="array" ref="S35">INDEX('GMW - $100 oil'!$A$2:$MC$200,MATCH(1,('GMW - $100 oil'!$MC$2:$MC$200=S$3)*('GMW - $100 oil'!$MB$2:$MB$200=S$4),0),$E35-1973)</f>
        <v>#N/A</v>
      </c>
      <c r="T35" t="e" cm="1">
        <f t="array" ref="T35">INDEX('GMW - $100 oil'!$A$2:$MC$200,MATCH(1,('GMW - $100 oil'!$MC$2:$MC$200=T$3)*('GMW - $100 oil'!$MB$2:$MB$200=T$4),0),$E35-1973)</f>
        <v>#N/A</v>
      </c>
    </row>
    <row r="36" spans="1:20" x14ac:dyDescent="0.25">
      <c r="B36">
        <f t="shared" si="3"/>
        <v>1987</v>
      </c>
      <c r="C36">
        <f t="shared" si="3"/>
        <v>1987</v>
      </c>
      <c r="E36">
        <f t="shared" si="1"/>
        <v>2009</v>
      </c>
      <c r="F36" cm="1">
        <f t="array" ref="F36">INDEX('GMW - $100 oil'!$A$2:$MC$200,MATCH(1,('GMW - $100 oil'!$MC$2:$MC$200=F$3)*('GMW - $100 oil'!$MB$2:$MB$200=F$4),0),$E36-1973)</f>
        <v>344795</v>
      </c>
      <c r="G36" cm="1">
        <f t="array" ref="G36">INDEX('GMW - $100 oil'!$A$2:$MC$200,MATCH(1,('GMW - $100 oil'!$MC$2:$MC$200=G$3)*('GMW - $100 oil'!$MB$2:$MB$200=G$4),0),$E36-1973)</f>
        <v>189091</v>
      </c>
      <c r="H36" cm="1">
        <f t="array" ref="H36">INDEX('GMW - $100 oil'!$A$2:$MC$200,MATCH(1,('GMW - $100 oil'!$MC$2:$MC$200=H$3)*('GMW - $100 oil'!$MB$2:$MB$200=H$4),0),$E36-1973)</f>
        <v>47.836730000000003</v>
      </c>
      <c r="I36" cm="1">
        <f t="array" ref="I36">INDEX('GMW - $100 oil'!$A$2:$MC$200,MATCH(1,('GMW - $100 oil'!$MC$2:$MC$200=I$3)*('GMW - $100 oil'!$MB$2:$MB$200=I$4),0),$E36-1973)</f>
        <v>9.228847</v>
      </c>
      <c r="J36" t="e" cm="1">
        <f t="array" ref="J36">INDEX('GMW - $100 oil'!$A$2:$MC$200,MATCH(1,('GMW - $100 oil'!$MC$2:$MC$200=J$3)*('GMW - $100 oil'!$MB$2:$MB$200=J$4),0),$E36-1973)</f>
        <v>#N/A</v>
      </c>
      <c r="K36" t="e" cm="1">
        <f t="array" ref="K36">INDEX('GMW - $100 oil'!$A$2:$MC$200,MATCH(1,('GMW - $100 oil'!$MC$2:$MC$200=K$3)*('GMW - $100 oil'!$MB$2:$MB$200=K$4),0),$E36-1973)</f>
        <v>#N/A</v>
      </c>
      <c r="L36" t="e" cm="1">
        <f t="array" ref="L36">INDEX('GMW - $100 oil'!$A$2:$MC$200,MATCH(1,('GMW - $100 oil'!$MC$2:$MC$200=L$3)*('GMW - $100 oil'!$MB$2:$MB$200=L$4),0),$E36-1973)</f>
        <v>#N/A</v>
      </c>
      <c r="M36" t="e" cm="1">
        <f t="array" ref="M36">INDEX('GMW - $100 oil'!$A$2:$MC$200,MATCH(1,('GMW - $100 oil'!$MC$2:$MC$200=M$3)*('GMW - $100 oil'!$MB$2:$MB$200=M$4),0),$E36-1973)</f>
        <v>#N/A</v>
      </c>
      <c r="N36" t="e" cm="1">
        <f t="array" ref="N36">INDEX('GMW - $100 oil'!$A$2:$MC$200,MATCH(1,('GMW - $100 oil'!$MC$2:$MC$200=N$3)*('GMW - $100 oil'!$MB$2:$MB$200=N$4),0),$E36-1973)</f>
        <v>#N/A</v>
      </c>
      <c r="O36" t="e" cm="1">
        <f t="array" ref="O36">INDEX('GMW - $100 oil'!$A$2:$MC$200,MATCH(1,('GMW - $100 oil'!$MC$2:$MC$200=O$3)*('GMW - $100 oil'!$MB$2:$MB$200=O$4),0),$E36-1973)</f>
        <v>#N/A</v>
      </c>
      <c r="P36" t="e" cm="1">
        <f t="array" ref="P36">INDEX('GMW - $100 oil'!$A$2:$MC$200,MATCH(1,('GMW - $100 oil'!$MC$2:$MC$200=P$3)*('GMW - $100 oil'!$MB$2:$MB$200=P$4),0),$E36-1973)</f>
        <v>#N/A</v>
      </c>
      <c r="Q36" t="e" cm="1">
        <f t="array" ref="Q36">INDEX('GMW - $100 oil'!$A$2:$MC$200,MATCH(1,('GMW - $100 oil'!$MC$2:$MC$200=Q$3)*('GMW - $100 oil'!$MB$2:$MB$200=Q$4),0),$E36-1973)</f>
        <v>#N/A</v>
      </c>
      <c r="R36" t="e" cm="1">
        <f t="array" ref="R36">INDEX('GMW - $100 oil'!$A$2:$MC$200,MATCH(1,('GMW - $100 oil'!$MC$2:$MC$200=R$3)*('GMW - $100 oil'!$MB$2:$MB$200=R$4),0),$E36-1973)</f>
        <v>#N/A</v>
      </c>
      <c r="S36" t="e" cm="1">
        <f t="array" ref="S36">INDEX('GMW - $100 oil'!$A$2:$MC$200,MATCH(1,('GMW - $100 oil'!$MC$2:$MC$200=S$3)*('GMW - $100 oil'!$MB$2:$MB$200=S$4),0),$E36-1973)</f>
        <v>#N/A</v>
      </c>
      <c r="T36" t="e" cm="1">
        <f t="array" ref="T36">INDEX('GMW - $100 oil'!$A$2:$MC$200,MATCH(1,('GMW - $100 oil'!$MC$2:$MC$200=T$3)*('GMW - $100 oil'!$MB$2:$MB$200=T$4),0),$E36-1973)</f>
        <v>#N/A</v>
      </c>
    </row>
    <row r="37" spans="1:20" x14ac:dyDescent="0.25">
      <c r="B37">
        <f t="shared" si="3"/>
        <v>1987</v>
      </c>
      <c r="C37">
        <f t="shared" si="3"/>
        <v>1987</v>
      </c>
      <c r="E37">
        <f t="shared" si="1"/>
        <v>2010</v>
      </c>
      <c r="F37" cm="1">
        <f t="array" ref="F37">INDEX('GMW - $100 oil'!$A$2:$MC$200,MATCH(1,('GMW - $100 oil'!$MC$2:$MC$200=F$3)*('GMW - $100 oil'!$MB$2:$MB$200=F$4),0),$E37-1973)</f>
        <v>353365</v>
      </c>
      <c r="G37" cm="1">
        <f t="array" ref="G37">INDEX('GMW - $100 oil'!$A$2:$MC$200,MATCH(1,('GMW - $100 oil'!$MC$2:$MC$200=G$3)*('GMW - $100 oil'!$MB$2:$MB$200=G$4),0),$E37-1973)</f>
        <v>193017</v>
      </c>
      <c r="H37" cm="1">
        <f t="array" ref="H37">INDEX('GMW - $100 oil'!$A$2:$MC$200,MATCH(1,('GMW - $100 oil'!$MC$2:$MC$200=H$3)*('GMW - $100 oil'!$MB$2:$MB$200=H$4),0),$E37-1973)</f>
        <v>47.888869999999997</v>
      </c>
      <c r="I37" cm="1">
        <f t="array" ref="I37">INDEX('GMW - $100 oil'!$A$2:$MC$200,MATCH(1,('GMW - $100 oil'!$MC$2:$MC$200=I$3)*('GMW - $100 oil'!$MB$2:$MB$200=I$4),0),$E37-1973)</f>
        <v>9.4810610000000004</v>
      </c>
      <c r="J37" t="e" cm="1">
        <f t="array" ref="J37">INDEX('GMW - $100 oil'!$A$2:$MC$200,MATCH(1,('GMW - $100 oil'!$MC$2:$MC$200=J$3)*('GMW - $100 oil'!$MB$2:$MB$200=J$4),0),$E37-1973)</f>
        <v>#N/A</v>
      </c>
      <c r="K37" t="e" cm="1">
        <f t="array" ref="K37">INDEX('GMW - $100 oil'!$A$2:$MC$200,MATCH(1,('GMW - $100 oil'!$MC$2:$MC$200=K$3)*('GMW - $100 oil'!$MB$2:$MB$200=K$4),0),$E37-1973)</f>
        <v>#N/A</v>
      </c>
      <c r="L37" t="e" cm="1">
        <f t="array" ref="L37">INDEX('GMW - $100 oil'!$A$2:$MC$200,MATCH(1,('GMW - $100 oil'!$MC$2:$MC$200=L$3)*('GMW - $100 oil'!$MB$2:$MB$200=L$4),0),$E37-1973)</f>
        <v>#N/A</v>
      </c>
      <c r="M37" t="e" cm="1">
        <f t="array" ref="M37">INDEX('GMW - $100 oil'!$A$2:$MC$200,MATCH(1,('GMW - $100 oil'!$MC$2:$MC$200=M$3)*('GMW - $100 oil'!$MB$2:$MB$200=M$4),0),$E37-1973)</f>
        <v>#N/A</v>
      </c>
      <c r="N37" t="e" cm="1">
        <f t="array" ref="N37">INDEX('GMW - $100 oil'!$A$2:$MC$200,MATCH(1,('GMW - $100 oil'!$MC$2:$MC$200=N$3)*('GMW - $100 oil'!$MB$2:$MB$200=N$4),0),$E37-1973)</f>
        <v>#N/A</v>
      </c>
      <c r="O37" t="e" cm="1">
        <f t="array" ref="O37">INDEX('GMW - $100 oil'!$A$2:$MC$200,MATCH(1,('GMW - $100 oil'!$MC$2:$MC$200=O$3)*('GMW - $100 oil'!$MB$2:$MB$200=O$4),0),$E37-1973)</f>
        <v>#N/A</v>
      </c>
      <c r="P37" t="e" cm="1">
        <f t="array" ref="P37">INDEX('GMW - $100 oil'!$A$2:$MC$200,MATCH(1,('GMW - $100 oil'!$MC$2:$MC$200=P$3)*('GMW - $100 oil'!$MB$2:$MB$200=P$4),0),$E37-1973)</f>
        <v>#N/A</v>
      </c>
      <c r="Q37" t="e" cm="1">
        <f t="array" ref="Q37">INDEX('GMW - $100 oil'!$A$2:$MC$200,MATCH(1,('GMW - $100 oil'!$MC$2:$MC$200=Q$3)*('GMW - $100 oil'!$MB$2:$MB$200=Q$4),0),$E37-1973)</f>
        <v>#N/A</v>
      </c>
      <c r="R37" t="e" cm="1">
        <f t="array" ref="R37">INDEX('GMW - $100 oil'!$A$2:$MC$200,MATCH(1,('GMW - $100 oil'!$MC$2:$MC$200=R$3)*('GMW - $100 oil'!$MB$2:$MB$200=R$4),0),$E37-1973)</f>
        <v>#N/A</v>
      </c>
      <c r="S37" t="e" cm="1">
        <f t="array" ref="S37">INDEX('GMW - $100 oil'!$A$2:$MC$200,MATCH(1,('GMW - $100 oil'!$MC$2:$MC$200=S$3)*('GMW - $100 oil'!$MB$2:$MB$200=S$4),0),$E37-1973)</f>
        <v>#N/A</v>
      </c>
      <c r="T37" t="e" cm="1">
        <f t="array" ref="T37">INDEX('GMW - $100 oil'!$A$2:$MC$200,MATCH(1,('GMW - $100 oil'!$MC$2:$MC$200=T$3)*('GMW - $100 oil'!$MB$2:$MB$200=T$4),0),$E37-1973)</f>
        <v>#N/A</v>
      </c>
    </row>
    <row r="38" spans="1:20" x14ac:dyDescent="0.25">
      <c r="B38">
        <f t="shared" si="3"/>
        <v>1987</v>
      </c>
      <c r="C38">
        <f t="shared" si="3"/>
        <v>1987</v>
      </c>
      <c r="E38">
        <f t="shared" si="1"/>
        <v>2011</v>
      </c>
      <c r="F38" cm="1">
        <f t="array" ref="F38">INDEX('GMW - $100 oil'!$A$2:$MC$200,MATCH(1,('GMW - $100 oil'!$MC$2:$MC$200=F$3)*('GMW - $100 oil'!$MB$2:$MB$200=F$4),0),$E38-1973)</f>
        <v>357439</v>
      </c>
      <c r="G38" cm="1">
        <f t="array" ref="G38">INDEX('GMW - $100 oil'!$A$2:$MC$200,MATCH(1,('GMW - $100 oil'!$MC$2:$MC$200=G$3)*('GMW - $100 oil'!$MB$2:$MB$200=G$4),0),$E38-1973)</f>
        <v>197212</v>
      </c>
      <c r="H38" cm="1">
        <f t="array" ref="H38">INDEX('GMW - $100 oil'!$A$2:$MC$200,MATCH(1,('GMW - $100 oil'!$MC$2:$MC$200=H$3)*('GMW - $100 oil'!$MB$2:$MB$200=H$4),0),$E38-1973)</f>
        <v>48.436320000000002</v>
      </c>
      <c r="I38" cm="1">
        <f t="array" ref="I38">INDEX('GMW - $100 oil'!$A$2:$MC$200,MATCH(1,('GMW - $100 oil'!$MC$2:$MC$200=I$3)*('GMW - $100 oil'!$MB$2:$MB$200=I$4),0),$E38-1973)</f>
        <v>9.0189389999999996</v>
      </c>
      <c r="J38" t="e" cm="1">
        <f t="array" ref="J38">INDEX('GMW - $100 oil'!$A$2:$MC$200,MATCH(1,('GMW - $100 oil'!$MC$2:$MC$200=J$3)*('GMW - $100 oil'!$MB$2:$MB$200=J$4),0),$E38-1973)</f>
        <v>#N/A</v>
      </c>
      <c r="K38" t="e" cm="1">
        <f t="array" ref="K38">INDEX('GMW - $100 oil'!$A$2:$MC$200,MATCH(1,('GMW - $100 oil'!$MC$2:$MC$200=K$3)*('GMW - $100 oil'!$MB$2:$MB$200=K$4),0),$E38-1973)</f>
        <v>#N/A</v>
      </c>
      <c r="L38" t="e" cm="1">
        <f t="array" ref="L38">INDEX('GMW - $100 oil'!$A$2:$MC$200,MATCH(1,('GMW - $100 oil'!$MC$2:$MC$200=L$3)*('GMW - $100 oil'!$MB$2:$MB$200=L$4),0),$E38-1973)</f>
        <v>#N/A</v>
      </c>
      <c r="M38" t="e" cm="1">
        <f t="array" ref="M38">INDEX('GMW - $100 oil'!$A$2:$MC$200,MATCH(1,('GMW - $100 oil'!$MC$2:$MC$200=M$3)*('GMW - $100 oil'!$MB$2:$MB$200=M$4),0),$E38-1973)</f>
        <v>#N/A</v>
      </c>
      <c r="N38" t="e" cm="1">
        <f t="array" ref="N38">INDEX('GMW - $100 oil'!$A$2:$MC$200,MATCH(1,('GMW - $100 oil'!$MC$2:$MC$200=N$3)*('GMW - $100 oil'!$MB$2:$MB$200=N$4),0),$E38-1973)</f>
        <v>#N/A</v>
      </c>
      <c r="O38" t="e" cm="1">
        <f t="array" ref="O38">INDEX('GMW - $100 oil'!$A$2:$MC$200,MATCH(1,('GMW - $100 oil'!$MC$2:$MC$200=O$3)*('GMW - $100 oil'!$MB$2:$MB$200=O$4),0),$E38-1973)</f>
        <v>#N/A</v>
      </c>
      <c r="P38" t="e" cm="1">
        <f t="array" ref="P38">INDEX('GMW - $100 oil'!$A$2:$MC$200,MATCH(1,('GMW - $100 oil'!$MC$2:$MC$200=P$3)*('GMW - $100 oil'!$MB$2:$MB$200=P$4),0),$E38-1973)</f>
        <v>#N/A</v>
      </c>
      <c r="Q38" t="e" cm="1">
        <f t="array" ref="Q38">INDEX('GMW - $100 oil'!$A$2:$MC$200,MATCH(1,('GMW - $100 oil'!$MC$2:$MC$200=Q$3)*('GMW - $100 oil'!$MB$2:$MB$200=Q$4),0),$E38-1973)</f>
        <v>#N/A</v>
      </c>
      <c r="R38" t="e" cm="1">
        <f t="array" ref="R38">INDEX('GMW - $100 oil'!$A$2:$MC$200,MATCH(1,('GMW - $100 oil'!$MC$2:$MC$200=R$3)*('GMW - $100 oil'!$MB$2:$MB$200=R$4),0),$E38-1973)</f>
        <v>#N/A</v>
      </c>
      <c r="S38" t="e" cm="1">
        <f t="array" ref="S38">INDEX('GMW - $100 oil'!$A$2:$MC$200,MATCH(1,('GMW - $100 oil'!$MC$2:$MC$200=S$3)*('GMW - $100 oil'!$MB$2:$MB$200=S$4),0),$E38-1973)</f>
        <v>#N/A</v>
      </c>
      <c r="T38" t="e" cm="1">
        <f t="array" ref="T38">INDEX('GMW - $100 oil'!$A$2:$MC$200,MATCH(1,('GMW - $100 oil'!$MC$2:$MC$200=T$3)*('GMW - $100 oil'!$MB$2:$MB$200=T$4),0),$E38-1973)</f>
        <v>#N/A</v>
      </c>
    </row>
    <row r="39" spans="1:20" x14ac:dyDescent="0.25">
      <c r="A39">
        <v>1988</v>
      </c>
      <c r="B39">
        <f t="shared" si="3"/>
        <v>1988</v>
      </c>
      <c r="C39">
        <f t="shared" si="3"/>
        <v>1987</v>
      </c>
      <c r="D39">
        <f t="shared" si="3"/>
        <v>1987</v>
      </c>
      <c r="E39">
        <f t="shared" si="1"/>
        <v>2012</v>
      </c>
      <c r="F39" cm="1">
        <f t="array" ref="F39">INDEX('GMW - $100 oil'!$A$2:$MC$200,MATCH(1,('GMW - $100 oil'!$MC$2:$MC$200=F$3)*('GMW - $100 oil'!$MB$2:$MB$200=F$4),0),$E39-1973)</f>
        <v>363267</v>
      </c>
      <c r="G39" cm="1">
        <f t="array" ref="G39">INDEX('GMW - $100 oil'!$A$2:$MC$200,MATCH(1,('GMW - $100 oil'!$MC$2:$MC$200=G$3)*('GMW - $100 oil'!$MB$2:$MB$200=G$4),0),$E39-1973)</f>
        <v>199926</v>
      </c>
      <c r="H39" cm="1">
        <f t="array" ref="H39">INDEX('GMW - $100 oil'!$A$2:$MC$200,MATCH(1,('GMW - $100 oil'!$MC$2:$MC$200=H$3)*('GMW - $100 oil'!$MB$2:$MB$200=H$4),0),$E39-1973)</f>
        <v>48.566670000000002</v>
      </c>
      <c r="I39" cm="1">
        <f t="array" ref="I39">INDEX('GMW - $100 oil'!$A$2:$MC$200,MATCH(1,('GMW - $100 oil'!$MC$2:$MC$200=I$3)*('GMW - $100 oil'!$MB$2:$MB$200=I$4),0),$E39-1973)</f>
        <v>8.6288459999999993</v>
      </c>
      <c r="J39" t="e" cm="1">
        <f t="array" ref="J39">INDEX('GMW - $100 oil'!$A$2:$MC$200,MATCH(1,('GMW - $100 oil'!$MC$2:$MC$200=J$3)*('GMW - $100 oil'!$MB$2:$MB$200=J$4),0),$E39-1973)</f>
        <v>#N/A</v>
      </c>
      <c r="K39" t="e" cm="1">
        <f t="array" ref="K39">INDEX('GMW - $100 oil'!$A$2:$MC$200,MATCH(1,('GMW - $100 oil'!$MC$2:$MC$200=K$3)*('GMW - $100 oil'!$MB$2:$MB$200=K$4),0),$E39-1973)</f>
        <v>#N/A</v>
      </c>
      <c r="L39" t="e" cm="1">
        <f t="array" ref="L39">INDEX('GMW - $100 oil'!$A$2:$MC$200,MATCH(1,('GMW - $100 oil'!$MC$2:$MC$200=L$3)*('GMW - $100 oil'!$MB$2:$MB$200=L$4),0),$E39-1973)</f>
        <v>#N/A</v>
      </c>
      <c r="M39" t="e" cm="1">
        <f t="array" ref="M39">INDEX('GMW - $100 oil'!$A$2:$MC$200,MATCH(1,('GMW - $100 oil'!$MC$2:$MC$200=M$3)*('GMW - $100 oil'!$MB$2:$MB$200=M$4),0),$E39-1973)</f>
        <v>#N/A</v>
      </c>
      <c r="N39" t="e" cm="1">
        <f t="array" ref="N39">INDEX('GMW - $100 oil'!$A$2:$MC$200,MATCH(1,('GMW - $100 oil'!$MC$2:$MC$200=N$3)*('GMW - $100 oil'!$MB$2:$MB$200=N$4),0),$E39-1973)</f>
        <v>#N/A</v>
      </c>
      <c r="O39" t="e" cm="1">
        <f t="array" ref="O39">INDEX('GMW - $100 oil'!$A$2:$MC$200,MATCH(1,('GMW - $100 oil'!$MC$2:$MC$200=O$3)*('GMW - $100 oil'!$MB$2:$MB$200=O$4),0),$E39-1973)</f>
        <v>#N/A</v>
      </c>
      <c r="P39" t="e" cm="1">
        <f t="array" ref="P39">INDEX('GMW - $100 oil'!$A$2:$MC$200,MATCH(1,('GMW - $100 oil'!$MC$2:$MC$200=P$3)*('GMW - $100 oil'!$MB$2:$MB$200=P$4),0),$E39-1973)</f>
        <v>#N/A</v>
      </c>
      <c r="Q39" t="e" cm="1">
        <f t="array" ref="Q39">INDEX('GMW - $100 oil'!$A$2:$MC$200,MATCH(1,('GMW - $100 oil'!$MC$2:$MC$200=Q$3)*('GMW - $100 oil'!$MB$2:$MB$200=Q$4),0),$E39-1973)</f>
        <v>#N/A</v>
      </c>
      <c r="R39" t="e" cm="1">
        <f t="array" ref="R39">INDEX('GMW - $100 oil'!$A$2:$MC$200,MATCH(1,('GMW - $100 oil'!$MC$2:$MC$200=R$3)*('GMW - $100 oil'!$MB$2:$MB$200=R$4),0),$E39-1973)</f>
        <v>#N/A</v>
      </c>
      <c r="S39" t="e" cm="1">
        <f t="array" ref="S39">INDEX('GMW - $100 oil'!$A$2:$MC$200,MATCH(1,('GMW - $100 oil'!$MC$2:$MC$200=S$3)*('GMW - $100 oil'!$MB$2:$MB$200=S$4),0),$E39-1973)</f>
        <v>#N/A</v>
      </c>
      <c r="T39" t="e" cm="1">
        <f t="array" ref="T39">INDEX('GMW - $100 oil'!$A$2:$MC$200,MATCH(1,('GMW - $100 oil'!$MC$2:$MC$200=T$3)*('GMW - $100 oil'!$MB$2:$MB$200=T$4),0),$E39-1973)</f>
        <v>#N/A</v>
      </c>
    </row>
    <row r="40" spans="1:20" x14ac:dyDescent="0.25">
      <c r="B40">
        <f t="shared" si="3"/>
        <v>1988</v>
      </c>
      <c r="C40">
        <f t="shared" si="3"/>
        <v>1988</v>
      </c>
      <c r="E40">
        <f t="shared" si="1"/>
        <v>2013</v>
      </c>
      <c r="F40" cm="1">
        <f t="array" ref="F40">INDEX('GMW - $100 oil'!$A$2:$MC$200,MATCH(1,('GMW - $100 oil'!$MC$2:$MC$200=F$3)*('GMW - $100 oil'!$MB$2:$MB$200=F$4),0),$E40-1973)</f>
        <v>365209</v>
      </c>
      <c r="G40" cm="1">
        <f t="array" ref="G40">INDEX('GMW - $100 oil'!$A$2:$MC$200,MATCH(1,('GMW - $100 oil'!$MC$2:$MC$200=G$3)*('GMW - $100 oil'!$MB$2:$MB$200=G$4),0),$E40-1973)</f>
        <v>202789</v>
      </c>
      <c r="H40" cm="1">
        <f t="array" ref="H40">INDEX('GMW - $100 oil'!$A$2:$MC$200,MATCH(1,('GMW - $100 oil'!$MC$2:$MC$200=H$3)*('GMW - $100 oil'!$MB$2:$MB$200=H$4),0),$E40-1973)</f>
        <v>49.5</v>
      </c>
      <c r="I40" cm="1">
        <f t="array" ref="I40">INDEX('GMW - $100 oil'!$A$2:$MC$200,MATCH(1,('GMW - $100 oil'!$MC$2:$MC$200=I$3)*('GMW - $100 oil'!$MB$2:$MB$200=I$4),0),$E40-1973)</f>
        <v>7.9673080000000001</v>
      </c>
      <c r="J40" t="e" cm="1">
        <f t="array" ref="J40">INDEX('GMW - $100 oil'!$A$2:$MC$200,MATCH(1,('GMW - $100 oil'!$MC$2:$MC$200=J$3)*('GMW - $100 oil'!$MB$2:$MB$200=J$4),0),$E40-1973)</f>
        <v>#N/A</v>
      </c>
      <c r="K40" t="e" cm="1">
        <f t="array" ref="K40">INDEX('GMW - $100 oil'!$A$2:$MC$200,MATCH(1,('GMW - $100 oil'!$MC$2:$MC$200=K$3)*('GMW - $100 oil'!$MB$2:$MB$200=K$4),0),$E40-1973)</f>
        <v>#N/A</v>
      </c>
      <c r="L40" t="e" cm="1">
        <f t="array" ref="L40">INDEX('GMW - $100 oil'!$A$2:$MC$200,MATCH(1,('GMW - $100 oil'!$MC$2:$MC$200=L$3)*('GMW - $100 oil'!$MB$2:$MB$200=L$4),0),$E40-1973)</f>
        <v>#N/A</v>
      </c>
      <c r="M40" t="e" cm="1">
        <f t="array" ref="M40">INDEX('GMW - $100 oil'!$A$2:$MC$200,MATCH(1,('GMW - $100 oil'!$MC$2:$MC$200=M$3)*('GMW - $100 oil'!$MB$2:$MB$200=M$4),0),$E40-1973)</f>
        <v>#N/A</v>
      </c>
      <c r="N40" t="e" cm="1">
        <f t="array" ref="N40">INDEX('GMW - $100 oil'!$A$2:$MC$200,MATCH(1,('GMW - $100 oil'!$MC$2:$MC$200=N$3)*('GMW - $100 oil'!$MB$2:$MB$200=N$4),0),$E40-1973)</f>
        <v>#N/A</v>
      </c>
      <c r="O40" t="e" cm="1">
        <f t="array" ref="O40">INDEX('GMW - $100 oil'!$A$2:$MC$200,MATCH(1,('GMW - $100 oil'!$MC$2:$MC$200=O$3)*('GMW - $100 oil'!$MB$2:$MB$200=O$4),0),$E40-1973)</f>
        <v>#N/A</v>
      </c>
      <c r="P40" t="e" cm="1">
        <f t="array" ref="P40">INDEX('GMW - $100 oil'!$A$2:$MC$200,MATCH(1,('GMW - $100 oil'!$MC$2:$MC$200=P$3)*('GMW - $100 oil'!$MB$2:$MB$200=P$4),0),$E40-1973)</f>
        <v>#N/A</v>
      </c>
      <c r="Q40" t="e" cm="1">
        <f t="array" ref="Q40">INDEX('GMW - $100 oil'!$A$2:$MC$200,MATCH(1,('GMW - $100 oil'!$MC$2:$MC$200=Q$3)*('GMW - $100 oil'!$MB$2:$MB$200=Q$4),0),$E40-1973)</f>
        <v>#N/A</v>
      </c>
      <c r="R40" t="e" cm="1">
        <f t="array" ref="R40">INDEX('GMW - $100 oil'!$A$2:$MC$200,MATCH(1,('GMW - $100 oil'!$MC$2:$MC$200=R$3)*('GMW - $100 oil'!$MB$2:$MB$200=R$4),0),$E40-1973)</f>
        <v>#N/A</v>
      </c>
      <c r="S40" t="e" cm="1">
        <f t="array" ref="S40">INDEX('GMW - $100 oil'!$A$2:$MC$200,MATCH(1,('GMW - $100 oil'!$MC$2:$MC$200=S$3)*('GMW - $100 oil'!$MB$2:$MB$200=S$4),0),$E40-1973)</f>
        <v>#N/A</v>
      </c>
      <c r="T40" t="e" cm="1">
        <f t="array" ref="T40">INDEX('GMW - $100 oil'!$A$2:$MC$200,MATCH(1,('GMW - $100 oil'!$MC$2:$MC$200=T$3)*('GMW - $100 oil'!$MB$2:$MB$200=T$4),0),$E40-1973)</f>
        <v>#N/A</v>
      </c>
    </row>
    <row r="41" spans="1:20" x14ac:dyDescent="0.25">
      <c r="B41">
        <f t="shared" si="3"/>
        <v>1988</v>
      </c>
      <c r="C41">
        <f t="shared" si="3"/>
        <v>1988</v>
      </c>
      <c r="E41">
        <f t="shared" si="1"/>
        <v>2014</v>
      </c>
      <c r="F41" cm="1">
        <f t="array" ref="F41">INDEX('GMW - $100 oil'!$A$2:$MC$200,MATCH(1,('GMW - $100 oil'!$MC$2:$MC$200=F$3)*('GMW - $100 oil'!$MB$2:$MB$200=F$4),0),$E41-1973)</f>
        <v>369774</v>
      </c>
      <c r="G41" cm="1">
        <f t="array" ref="G41">INDEX('GMW - $100 oil'!$A$2:$MC$200,MATCH(1,('GMW - $100 oil'!$MC$2:$MC$200=G$3)*('GMW - $100 oil'!$MB$2:$MB$200=G$4),0),$E41-1973)</f>
        <v>207502</v>
      </c>
      <c r="H41" cm="1">
        <f t="array" ref="H41">INDEX('GMW - $100 oil'!$A$2:$MC$200,MATCH(1,('GMW - $100 oil'!$MC$2:$MC$200=H$3)*('GMW - $100 oil'!$MB$2:$MB$200=H$4),0),$E41-1973)</f>
        <v>49.9</v>
      </c>
      <c r="I41" cm="1">
        <f t="array" ref="I41">INDEX('GMW - $100 oil'!$A$2:$MC$200,MATCH(1,('GMW - $100 oil'!$MC$2:$MC$200=I$3)*('GMW - $100 oil'!$MB$2:$MB$200=I$4),0),$E41-1973)</f>
        <v>10.920450000000001</v>
      </c>
      <c r="J41" t="e" cm="1">
        <f t="array" ref="J41">INDEX('GMW - $100 oil'!$A$2:$MC$200,MATCH(1,('GMW - $100 oil'!$MC$2:$MC$200=J$3)*('GMW - $100 oil'!$MB$2:$MB$200=J$4),0),$E41-1973)</f>
        <v>#N/A</v>
      </c>
      <c r="K41" t="e" cm="1">
        <f t="array" ref="K41">INDEX('GMW - $100 oil'!$A$2:$MC$200,MATCH(1,('GMW - $100 oil'!$MC$2:$MC$200=K$3)*('GMW - $100 oil'!$MB$2:$MB$200=K$4),0),$E41-1973)</f>
        <v>#N/A</v>
      </c>
      <c r="L41" t="e" cm="1">
        <f t="array" ref="L41">INDEX('GMW - $100 oil'!$A$2:$MC$200,MATCH(1,('GMW - $100 oil'!$MC$2:$MC$200=L$3)*('GMW - $100 oil'!$MB$2:$MB$200=L$4),0),$E41-1973)</f>
        <v>#N/A</v>
      </c>
      <c r="M41" t="e" cm="1">
        <f t="array" ref="M41">INDEX('GMW - $100 oil'!$A$2:$MC$200,MATCH(1,('GMW - $100 oil'!$MC$2:$MC$200=M$3)*('GMW - $100 oil'!$MB$2:$MB$200=M$4),0),$E41-1973)</f>
        <v>#N/A</v>
      </c>
      <c r="N41" t="e" cm="1">
        <f t="array" ref="N41">INDEX('GMW - $100 oil'!$A$2:$MC$200,MATCH(1,('GMW - $100 oil'!$MC$2:$MC$200=N$3)*('GMW - $100 oil'!$MB$2:$MB$200=N$4),0),$E41-1973)</f>
        <v>#N/A</v>
      </c>
      <c r="O41" t="e" cm="1">
        <f t="array" ref="O41">INDEX('GMW - $100 oil'!$A$2:$MC$200,MATCH(1,('GMW - $100 oil'!$MC$2:$MC$200=O$3)*('GMW - $100 oil'!$MB$2:$MB$200=O$4),0),$E41-1973)</f>
        <v>#N/A</v>
      </c>
      <c r="P41" t="e" cm="1">
        <f t="array" ref="P41">INDEX('GMW - $100 oil'!$A$2:$MC$200,MATCH(1,('GMW - $100 oil'!$MC$2:$MC$200=P$3)*('GMW - $100 oil'!$MB$2:$MB$200=P$4),0),$E41-1973)</f>
        <v>#N/A</v>
      </c>
      <c r="Q41" t="e" cm="1">
        <f t="array" ref="Q41">INDEX('GMW - $100 oil'!$A$2:$MC$200,MATCH(1,('GMW - $100 oil'!$MC$2:$MC$200=Q$3)*('GMW - $100 oil'!$MB$2:$MB$200=Q$4),0),$E41-1973)</f>
        <v>#N/A</v>
      </c>
      <c r="R41" t="e" cm="1">
        <f t="array" ref="R41">INDEX('GMW - $100 oil'!$A$2:$MC$200,MATCH(1,('GMW - $100 oil'!$MC$2:$MC$200=R$3)*('GMW - $100 oil'!$MB$2:$MB$200=R$4),0),$E41-1973)</f>
        <v>#N/A</v>
      </c>
      <c r="S41" t="e" cm="1">
        <f t="array" ref="S41">INDEX('GMW - $100 oil'!$A$2:$MC$200,MATCH(1,('GMW - $100 oil'!$MC$2:$MC$200=S$3)*('GMW - $100 oil'!$MB$2:$MB$200=S$4),0),$E41-1973)</f>
        <v>#N/A</v>
      </c>
      <c r="T41" t="e" cm="1">
        <f t="array" ref="T41">INDEX('GMW - $100 oil'!$A$2:$MC$200,MATCH(1,('GMW - $100 oil'!$MC$2:$MC$200=T$3)*('GMW - $100 oil'!$MB$2:$MB$200=T$4),0),$E41-1973)</f>
        <v>#N/A</v>
      </c>
    </row>
    <row r="42" spans="1:20" x14ac:dyDescent="0.25">
      <c r="B42">
        <f t="shared" si="3"/>
        <v>1988</v>
      </c>
      <c r="C42">
        <f t="shared" si="3"/>
        <v>1988</v>
      </c>
      <c r="E42">
        <f t="shared" si="1"/>
        <v>2015</v>
      </c>
      <c r="F42" cm="1">
        <f t="array" ref="F42">INDEX('GMW - $100 oil'!$A$2:$MC$200,MATCH(1,('GMW - $100 oil'!$MC$2:$MC$200=F$3)*('GMW - $100 oil'!$MB$2:$MB$200=F$4),0),$E42-1973)</f>
        <v>372752</v>
      </c>
      <c r="G42" cm="1">
        <f t="array" ref="G42">INDEX('GMW - $100 oil'!$A$2:$MC$200,MATCH(1,('GMW - $100 oil'!$MC$2:$MC$200=G$3)*('GMW - $100 oil'!$MB$2:$MB$200=G$4),0),$E42-1973)</f>
        <v>209369</v>
      </c>
      <c r="H42" cm="1">
        <f t="array" ref="H42">INDEX('GMW - $100 oil'!$A$2:$MC$200,MATCH(1,('GMW - $100 oil'!$MC$2:$MC$200=H$3)*('GMW - $100 oil'!$MB$2:$MB$200=H$4),0),$E42-1973)</f>
        <v>50.466670000000001</v>
      </c>
      <c r="I42" cm="1">
        <f t="array" ref="I42">INDEX('GMW - $100 oil'!$A$2:$MC$200,MATCH(1,('GMW - $100 oil'!$MC$2:$MC$200=I$3)*('GMW - $100 oil'!$MB$2:$MB$200=I$4),0),$E42-1973)</f>
        <v>12.275</v>
      </c>
      <c r="J42" t="e" cm="1">
        <f t="array" ref="J42">INDEX('GMW - $100 oil'!$A$2:$MC$200,MATCH(1,('GMW - $100 oil'!$MC$2:$MC$200=J$3)*('GMW - $100 oil'!$MB$2:$MB$200=J$4),0),$E42-1973)</f>
        <v>#N/A</v>
      </c>
      <c r="K42" t="e" cm="1">
        <f t="array" ref="K42">INDEX('GMW - $100 oil'!$A$2:$MC$200,MATCH(1,('GMW - $100 oil'!$MC$2:$MC$200=K$3)*('GMW - $100 oil'!$MB$2:$MB$200=K$4),0),$E42-1973)</f>
        <v>#N/A</v>
      </c>
      <c r="L42" t="e" cm="1">
        <f t="array" ref="L42">INDEX('GMW - $100 oil'!$A$2:$MC$200,MATCH(1,('GMW - $100 oil'!$MC$2:$MC$200=L$3)*('GMW - $100 oil'!$MB$2:$MB$200=L$4),0),$E42-1973)</f>
        <v>#N/A</v>
      </c>
      <c r="M42" t="e" cm="1">
        <f t="array" ref="M42">INDEX('GMW - $100 oil'!$A$2:$MC$200,MATCH(1,('GMW - $100 oil'!$MC$2:$MC$200=M$3)*('GMW - $100 oil'!$MB$2:$MB$200=M$4),0),$E42-1973)</f>
        <v>#N/A</v>
      </c>
      <c r="N42" t="e" cm="1">
        <f t="array" ref="N42">INDEX('GMW - $100 oil'!$A$2:$MC$200,MATCH(1,('GMW - $100 oil'!$MC$2:$MC$200=N$3)*('GMW - $100 oil'!$MB$2:$MB$200=N$4),0),$E42-1973)</f>
        <v>#N/A</v>
      </c>
      <c r="O42" t="e" cm="1">
        <f t="array" ref="O42">INDEX('GMW - $100 oil'!$A$2:$MC$200,MATCH(1,('GMW - $100 oil'!$MC$2:$MC$200=O$3)*('GMW - $100 oil'!$MB$2:$MB$200=O$4),0),$E42-1973)</f>
        <v>#N/A</v>
      </c>
      <c r="P42" t="e" cm="1">
        <f t="array" ref="P42">INDEX('GMW - $100 oil'!$A$2:$MC$200,MATCH(1,('GMW - $100 oil'!$MC$2:$MC$200=P$3)*('GMW - $100 oil'!$MB$2:$MB$200=P$4),0),$E42-1973)</f>
        <v>#N/A</v>
      </c>
      <c r="Q42" t="e" cm="1">
        <f t="array" ref="Q42">INDEX('GMW - $100 oil'!$A$2:$MC$200,MATCH(1,('GMW - $100 oil'!$MC$2:$MC$200=Q$3)*('GMW - $100 oil'!$MB$2:$MB$200=Q$4),0),$E42-1973)</f>
        <v>#N/A</v>
      </c>
      <c r="R42" t="e" cm="1">
        <f t="array" ref="R42">INDEX('GMW - $100 oil'!$A$2:$MC$200,MATCH(1,('GMW - $100 oil'!$MC$2:$MC$200=R$3)*('GMW - $100 oil'!$MB$2:$MB$200=R$4),0),$E42-1973)</f>
        <v>#N/A</v>
      </c>
      <c r="S42" t="e" cm="1">
        <f t="array" ref="S42">INDEX('GMW - $100 oil'!$A$2:$MC$200,MATCH(1,('GMW - $100 oil'!$MC$2:$MC$200=S$3)*('GMW - $100 oil'!$MB$2:$MB$200=S$4),0),$E42-1973)</f>
        <v>#N/A</v>
      </c>
      <c r="T42" t="e" cm="1">
        <f t="array" ref="T42">INDEX('GMW - $100 oil'!$A$2:$MC$200,MATCH(1,('GMW - $100 oil'!$MC$2:$MC$200=T$3)*('GMW - $100 oil'!$MB$2:$MB$200=T$4),0),$E42-1973)</f>
        <v>#N/A</v>
      </c>
    </row>
    <row r="43" spans="1:20" x14ac:dyDescent="0.25">
      <c r="A43">
        <v>1989</v>
      </c>
      <c r="B43">
        <f t="shared" si="3"/>
        <v>1989</v>
      </c>
      <c r="C43">
        <f t="shared" si="3"/>
        <v>1988</v>
      </c>
      <c r="D43">
        <f t="shared" si="3"/>
        <v>1988</v>
      </c>
      <c r="E43">
        <f t="shared" si="1"/>
        <v>2016</v>
      </c>
      <c r="F43" cm="1">
        <f t="array" ref="F43">INDEX('GMW - $100 oil'!$A$2:$MC$200,MATCH(1,('GMW - $100 oil'!$MC$2:$MC$200=F$3)*('GMW - $100 oil'!$MB$2:$MB$200=F$4),0),$E43-1973)</f>
        <v>374612</v>
      </c>
      <c r="G43" cm="1">
        <f t="array" ref="G43">INDEX('GMW - $100 oil'!$A$2:$MC$200,MATCH(1,('GMW - $100 oil'!$MC$2:$MC$200=G$3)*('GMW - $100 oil'!$MB$2:$MB$200=G$4),0),$E43-1973)</f>
        <v>211167</v>
      </c>
      <c r="H43" cm="1">
        <f t="array" ref="H43">INDEX('GMW - $100 oil'!$A$2:$MC$200,MATCH(1,('GMW - $100 oil'!$MC$2:$MC$200=H$3)*('GMW - $100 oil'!$MB$2:$MB$200=H$4),0),$E43-1973)</f>
        <v>51</v>
      </c>
      <c r="I43" cm="1">
        <f t="array" ref="I43">INDEX('GMW - $100 oil'!$A$2:$MC$200,MATCH(1,('GMW - $100 oil'!$MC$2:$MC$200=I$3)*('GMW - $100 oil'!$MB$2:$MB$200=I$4),0),$E43-1973)</f>
        <v>12.875</v>
      </c>
      <c r="J43" t="e" cm="1">
        <f t="array" ref="J43">INDEX('GMW - $100 oil'!$A$2:$MC$200,MATCH(1,('GMW - $100 oil'!$MC$2:$MC$200=J$3)*('GMW - $100 oil'!$MB$2:$MB$200=J$4),0),$E43-1973)</f>
        <v>#N/A</v>
      </c>
      <c r="K43" t="e" cm="1">
        <f t="array" ref="K43">INDEX('GMW - $100 oil'!$A$2:$MC$200,MATCH(1,('GMW - $100 oil'!$MC$2:$MC$200=K$3)*('GMW - $100 oil'!$MB$2:$MB$200=K$4),0),$E43-1973)</f>
        <v>#N/A</v>
      </c>
      <c r="L43" t="e" cm="1">
        <f t="array" ref="L43">INDEX('GMW - $100 oil'!$A$2:$MC$200,MATCH(1,('GMW - $100 oil'!$MC$2:$MC$200=L$3)*('GMW - $100 oil'!$MB$2:$MB$200=L$4),0),$E43-1973)</f>
        <v>#N/A</v>
      </c>
      <c r="M43" t="e" cm="1">
        <f t="array" ref="M43">INDEX('GMW - $100 oil'!$A$2:$MC$200,MATCH(1,('GMW - $100 oil'!$MC$2:$MC$200=M$3)*('GMW - $100 oil'!$MB$2:$MB$200=M$4),0),$E43-1973)</f>
        <v>#N/A</v>
      </c>
      <c r="N43" t="e" cm="1">
        <f t="array" ref="N43">INDEX('GMW - $100 oil'!$A$2:$MC$200,MATCH(1,('GMW - $100 oil'!$MC$2:$MC$200=N$3)*('GMW - $100 oil'!$MB$2:$MB$200=N$4),0),$E43-1973)</f>
        <v>#N/A</v>
      </c>
      <c r="O43" t="e" cm="1">
        <f t="array" ref="O43">INDEX('GMW - $100 oil'!$A$2:$MC$200,MATCH(1,('GMW - $100 oil'!$MC$2:$MC$200=O$3)*('GMW - $100 oil'!$MB$2:$MB$200=O$4),0),$E43-1973)</f>
        <v>#N/A</v>
      </c>
      <c r="P43" t="e" cm="1">
        <f t="array" ref="P43">INDEX('GMW - $100 oil'!$A$2:$MC$200,MATCH(1,('GMW - $100 oil'!$MC$2:$MC$200=P$3)*('GMW - $100 oil'!$MB$2:$MB$200=P$4),0),$E43-1973)</f>
        <v>#N/A</v>
      </c>
      <c r="Q43" t="e" cm="1">
        <f t="array" ref="Q43">INDEX('GMW - $100 oil'!$A$2:$MC$200,MATCH(1,('GMW - $100 oil'!$MC$2:$MC$200=Q$3)*('GMW - $100 oil'!$MB$2:$MB$200=Q$4),0),$E43-1973)</f>
        <v>#N/A</v>
      </c>
      <c r="R43" t="e" cm="1">
        <f t="array" ref="R43">INDEX('GMW - $100 oil'!$A$2:$MC$200,MATCH(1,('GMW - $100 oil'!$MC$2:$MC$200=R$3)*('GMW - $100 oil'!$MB$2:$MB$200=R$4),0),$E43-1973)</f>
        <v>#N/A</v>
      </c>
      <c r="S43" t="e" cm="1">
        <f t="array" ref="S43">INDEX('GMW - $100 oil'!$A$2:$MC$200,MATCH(1,('GMW - $100 oil'!$MC$2:$MC$200=S$3)*('GMW - $100 oil'!$MB$2:$MB$200=S$4),0),$E43-1973)</f>
        <v>#N/A</v>
      </c>
      <c r="T43" t="e" cm="1">
        <f t="array" ref="T43">INDEX('GMW - $100 oil'!$A$2:$MC$200,MATCH(1,('GMW - $100 oil'!$MC$2:$MC$200=T$3)*('GMW - $100 oil'!$MB$2:$MB$200=T$4),0),$E43-1973)</f>
        <v>#N/A</v>
      </c>
    </row>
    <row r="44" spans="1:20" x14ac:dyDescent="0.25">
      <c r="B44">
        <f t="shared" ref="B44:D59" si="4">+B40+1</f>
        <v>1989</v>
      </c>
      <c r="C44">
        <f t="shared" si="4"/>
        <v>1989</v>
      </c>
      <c r="E44">
        <f t="shared" si="1"/>
        <v>2017</v>
      </c>
      <c r="F44" cm="1">
        <f t="array" ref="F44">INDEX('GMW - $100 oil'!$A$2:$MC$200,MATCH(1,('GMW - $100 oil'!$MC$2:$MC$200=F$3)*('GMW - $100 oil'!$MB$2:$MB$200=F$4),0),$E44-1973)</f>
        <v>376951</v>
      </c>
      <c r="G44" cm="1">
        <f t="array" ref="G44">INDEX('GMW - $100 oil'!$A$2:$MC$200,MATCH(1,('GMW - $100 oil'!$MC$2:$MC$200=G$3)*('GMW - $100 oil'!$MB$2:$MB$200=G$4),0),$E44-1973)</f>
        <v>212989</v>
      </c>
      <c r="H44" cm="1">
        <f t="array" ref="H44">INDEX('GMW - $100 oil'!$A$2:$MC$200,MATCH(1,('GMW - $100 oil'!$MC$2:$MC$200=H$3)*('GMW - $100 oil'!$MB$2:$MB$200=H$4),0),$E44-1973)</f>
        <v>52.133339999999997</v>
      </c>
      <c r="I44" cm="1">
        <f t="array" ref="I44">INDEX('GMW - $100 oil'!$A$2:$MC$200,MATCH(1,('GMW - $100 oil'!$MC$2:$MC$200=I$3)*('GMW - $100 oil'!$MB$2:$MB$200=I$4),0),$E44-1973)</f>
        <v>13.23846</v>
      </c>
      <c r="J44" t="e" cm="1">
        <f t="array" ref="J44">INDEX('GMW - $100 oil'!$A$2:$MC$200,MATCH(1,('GMW - $100 oil'!$MC$2:$MC$200=J$3)*('GMW - $100 oil'!$MB$2:$MB$200=J$4),0),$E44-1973)</f>
        <v>#N/A</v>
      </c>
      <c r="K44" t="e" cm="1">
        <f t="array" ref="K44">INDEX('GMW - $100 oil'!$A$2:$MC$200,MATCH(1,('GMW - $100 oil'!$MC$2:$MC$200=K$3)*('GMW - $100 oil'!$MB$2:$MB$200=K$4),0),$E44-1973)</f>
        <v>#N/A</v>
      </c>
      <c r="L44" t="e" cm="1">
        <f t="array" ref="L44">INDEX('GMW - $100 oil'!$A$2:$MC$200,MATCH(1,('GMW - $100 oil'!$MC$2:$MC$200=L$3)*('GMW - $100 oil'!$MB$2:$MB$200=L$4),0),$E44-1973)</f>
        <v>#N/A</v>
      </c>
      <c r="M44" t="e" cm="1">
        <f t="array" ref="M44">INDEX('GMW - $100 oil'!$A$2:$MC$200,MATCH(1,('GMW - $100 oil'!$MC$2:$MC$200=M$3)*('GMW - $100 oil'!$MB$2:$MB$200=M$4),0),$E44-1973)</f>
        <v>#N/A</v>
      </c>
      <c r="N44" t="e" cm="1">
        <f t="array" ref="N44">INDEX('GMW - $100 oil'!$A$2:$MC$200,MATCH(1,('GMW - $100 oil'!$MC$2:$MC$200=N$3)*('GMW - $100 oil'!$MB$2:$MB$200=N$4),0),$E44-1973)</f>
        <v>#N/A</v>
      </c>
      <c r="O44" t="e" cm="1">
        <f t="array" ref="O44">INDEX('GMW - $100 oil'!$A$2:$MC$200,MATCH(1,('GMW - $100 oil'!$MC$2:$MC$200=O$3)*('GMW - $100 oil'!$MB$2:$MB$200=O$4),0),$E44-1973)</f>
        <v>#N/A</v>
      </c>
      <c r="P44" t="e" cm="1">
        <f t="array" ref="P44">INDEX('GMW - $100 oil'!$A$2:$MC$200,MATCH(1,('GMW - $100 oil'!$MC$2:$MC$200=P$3)*('GMW - $100 oil'!$MB$2:$MB$200=P$4),0),$E44-1973)</f>
        <v>#N/A</v>
      </c>
      <c r="Q44" t="e" cm="1">
        <f t="array" ref="Q44">INDEX('GMW - $100 oil'!$A$2:$MC$200,MATCH(1,('GMW - $100 oil'!$MC$2:$MC$200=Q$3)*('GMW - $100 oil'!$MB$2:$MB$200=Q$4),0),$E44-1973)</f>
        <v>#N/A</v>
      </c>
      <c r="R44" t="e" cm="1">
        <f t="array" ref="R44">INDEX('GMW - $100 oil'!$A$2:$MC$200,MATCH(1,('GMW - $100 oil'!$MC$2:$MC$200=R$3)*('GMW - $100 oil'!$MB$2:$MB$200=R$4),0),$E44-1973)</f>
        <v>#N/A</v>
      </c>
      <c r="S44" t="e" cm="1">
        <f t="array" ref="S44">INDEX('GMW - $100 oil'!$A$2:$MC$200,MATCH(1,('GMW - $100 oil'!$MC$2:$MC$200=S$3)*('GMW - $100 oil'!$MB$2:$MB$200=S$4),0),$E44-1973)</f>
        <v>#N/A</v>
      </c>
      <c r="T44" t="e" cm="1">
        <f t="array" ref="T44">INDEX('GMW - $100 oil'!$A$2:$MC$200,MATCH(1,('GMW - $100 oil'!$MC$2:$MC$200=T$3)*('GMW - $100 oil'!$MB$2:$MB$200=T$4),0),$E44-1973)</f>
        <v>#N/A</v>
      </c>
    </row>
    <row r="45" spans="1:20" x14ac:dyDescent="0.25">
      <c r="B45">
        <f t="shared" si="4"/>
        <v>1989</v>
      </c>
      <c r="C45">
        <f t="shared" si="4"/>
        <v>1989</v>
      </c>
      <c r="E45">
        <f t="shared" si="1"/>
        <v>2018</v>
      </c>
      <c r="F45" cm="1">
        <f t="array" ref="F45">INDEX('GMW - $100 oil'!$A$2:$MC$200,MATCH(1,('GMW - $100 oil'!$MC$2:$MC$200=F$3)*('GMW - $100 oil'!$MB$2:$MB$200=F$4),0),$E45-1973)</f>
        <v>377573</v>
      </c>
      <c r="G45" cm="1">
        <f t="array" ref="G45">INDEX('GMW - $100 oil'!$A$2:$MC$200,MATCH(1,('GMW - $100 oil'!$MC$2:$MC$200=G$3)*('GMW - $100 oil'!$MB$2:$MB$200=G$4),0),$E45-1973)</f>
        <v>212810</v>
      </c>
      <c r="H45" cm="1">
        <f t="array" ref="H45">INDEX('GMW - $100 oil'!$A$2:$MC$200,MATCH(1,('GMW - $100 oil'!$MC$2:$MC$200=H$3)*('GMW - $100 oil'!$MB$2:$MB$200=H$4),0),$E45-1973)</f>
        <v>52.466670000000001</v>
      </c>
      <c r="I45" cm="1">
        <f t="array" ref="I45">INDEX('GMW - $100 oil'!$A$2:$MC$200,MATCH(1,('GMW - $100 oil'!$MC$2:$MC$200=I$3)*('GMW - $100 oil'!$MB$2:$MB$200=I$4),0),$E45-1973)</f>
        <v>13.760579999999999</v>
      </c>
      <c r="J45" t="e" cm="1">
        <f t="array" ref="J45">INDEX('GMW - $100 oil'!$A$2:$MC$200,MATCH(1,('GMW - $100 oil'!$MC$2:$MC$200=J$3)*('GMW - $100 oil'!$MB$2:$MB$200=J$4),0),$E45-1973)</f>
        <v>#N/A</v>
      </c>
      <c r="K45" t="e" cm="1">
        <f t="array" ref="K45">INDEX('GMW - $100 oil'!$A$2:$MC$200,MATCH(1,('GMW - $100 oil'!$MC$2:$MC$200=K$3)*('GMW - $100 oil'!$MB$2:$MB$200=K$4),0),$E45-1973)</f>
        <v>#N/A</v>
      </c>
      <c r="L45" t="e" cm="1">
        <f t="array" ref="L45">INDEX('GMW - $100 oil'!$A$2:$MC$200,MATCH(1,('GMW - $100 oil'!$MC$2:$MC$200=L$3)*('GMW - $100 oil'!$MB$2:$MB$200=L$4),0),$E45-1973)</f>
        <v>#N/A</v>
      </c>
      <c r="M45" t="e" cm="1">
        <f t="array" ref="M45">INDEX('GMW - $100 oil'!$A$2:$MC$200,MATCH(1,('GMW - $100 oil'!$MC$2:$MC$200=M$3)*('GMW - $100 oil'!$MB$2:$MB$200=M$4),0),$E45-1973)</f>
        <v>#N/A</v>
      </c>
      <c r="N45" t="e" cm="1">
        <f t="array" ref="N45">INDEX('GMW - $100 oil'!$A$2:$MC$200,MATCH(1,('GMW - $100 oil'!$MC$2:$MC$200=N$3)*('GMW - $100 oil'!$MB$2:$MB$200=N$4),0),$E45-1973)</f>
        <v>#N/A</v>
      </c>
      <c r="O45" t="e" cm="1">
        <f t="array" ref="O45">INDEX('GMW - $100 oil'!$A$2:$MC$200,MATCH(1,('GMW - $100 oil'!$MC$2:$MC$200=O$3)*('GMW - $100 oil'!$MB$2:$MB$200=O$4),0),$E45-1973)</f>
        <v>#N/A</v>
      </c>
      <c r="P45" t="e" cm="1">
        <f t="array" ref="P45">INDEX('GMW - $100 oil'!$A$2:$MC$200,MATCH(1,('GMW - $100 oil'!$MC$2:$MC$200=P$3)*('GMW - $100 oil'!$MB$2:$MB$200=P$4),0),$E45-1973)</f>
        <v>#N/A</v>
      </c>
      <c r="Q45" t="e" cm="1">
        <f t="array" ref="Q45">INDEX('GMW - $100 oil'!$A$2:$MC$200,MATCH(1,('GMW - $100 oil'!$MC$2:$MC$200=Q$3)*('GMW - $100 oil'!$MB$2:$MB$200=Q$4),0),$E45-1973)</f>
        <v>#N/A</v>
      </c>
      <c r="R45" t="e" cm="1">
        <f t="array" ref="R45">INDEX('GMW - $100 oil'!$A$2:$MC$200,MATCH(1,('GMW - $100 oil'!$MC$2:$MC$200=R$3)*('GMW - $100 oil'!$MB$2:$MB$200=R$4),0),$E45-1973)</f>
        <v>#N/A</v>
      </c>
      <c r="S45" t="e" cm="1">
        <f t="array" ref="S45">INDEX('GMW - $100 oil'!$A$2:$MC$200,MATCH(1,('GMW - $100 oil'!$MC$2:$MC$200=S$3)*('GMW - $100 oil'!$MB$2:$MB$200=S$4),0),$E45-1973)</f>
        <v>#N/A</v>
      </c>
      <c r="T45" t="e" cm="1">
        <f t="array" ref="T45">INDEX('GMW - $100 oil'!$A$2:$MC$200,MATCH(1,('GMW - $100 oil'!$MC$2:$MC$200=T$3)*('GMW - $100 oil'!$MB$2:$MB$200=T$4),0),$E45-1973)</f>
        <v>#N/A</v>
      </c>
    </row>
    <row r="46" spans="1:20" x14ac:dyDescent="0.25">
      <c r="B46">
        <f t="shared" si="4"/>
        <v>1989</v>
      </c>
      <c r="C46">
        <f t="shared" si="4"/>
        <v>1989</v>
      </c>
      <c r="E46">
        <f t="shared" si="1"/>
        <v>2019</v>
      </c>
      <c r="F46" cm="1">
        <f t="array" ref="F46">INDEX('GMW - $100 oil'!$A$2:$MC$200,MATCH(1,('GMW - $100 oil'!$MC$2:$MC$200=F$3)*('GMW - $100 oil'!$MB$2:$MB$200=F$4),0),$E46-1973)</f>
        <v>377508</v>
      </c>
      <c r="G46" cm="1">
        <f t="array" ref="G46">INDEX('GMW - $100 oil'!$A$2:$MC$200,MATCH(1,('GMW - $100 oil'!$MC$2:$MC$200=G$3)*('GMW - $100 oil'!$MB$2:$MB$200=G$4),0),$E46-1973)</f>
        <v>213685</v>
      </c>
      <c r="H46" cm="1">
        <f t="array" ref="H46">INDEX('GMW - $100 oil'!$A$2:$MC$200,MATCH(1,('GMW - $100 oil'!$MC$2:$MC$200=H$3)*('GMW - $100 oil'!$MB$2:$MB$200=H$4),0),$E46-1973)</f>
        <v>53.266669999999998</v>
      </c>
      <c r="I46" cm="1">
        <f t="array" ref="I46">INDEX('GMW - $100 oil'!$A$2:$MC$200,MATCH(1,('GMW - $100 oil'!$MC$2:$MC$200=I$3)*('GMW - $100 oil'!$MB$2:$MB$200=I$4),0),$E46-1973)</f>
        <v>14.805770000000001</v>
      </c>
      <c r="J46" t="e" cm="1">
        <f t="array" ref="J46">INDEX('GMW - $100 oil'!$A$2:$MC$200,MATCH(1,('GMW - $100 oil'!$MC$2:$MC$200=J$3)*('GMW - $100 oil'!$MB$2:$MB$200=J$4),0),$E46-1973)</f>
        <v>#N/A</v>
      </c>
      <c r="K46" t="e" cm="1">
        <f t="array" ref="K46">INDEX('GMW - $100 oil'!$A$2:$MC$200,MATCH(1,('GMW - $100 oil'!$MC$2:$MC$200=K$3)*('GMW - $100 oil'!$MB$2:$MB$200=K$4),0),$E46-1973)</f>
        <v>#N/A</v>
      </c>
      <c r="L46" t="e" cm="1">
        <f t="array" ref="L46">INDEX('GMW - $100 oil'!$A$2:$MC$200,MATCH(1,('GMW - $100 oil'!$MC$2:$MC$200=L$3)*('GMW - $100 oil'!$MB$2:$MB$200=L$4),0),$E46-1973)</f>
        <v>#N/A</v>
      </c>
      <c r="M46" t="e" cm="1">
        <f t="array" ref="M46">INDEX('GMW - $100 oil'!$A$2:$MC$200,MATCH(1,('GMW - $100 oil'!$MC$2:$MC$200=M$3)*('GMW - $100 oil'!$MB$2:$MB$200=M$4),0),$E46-1973)</f>
        <v>#N/A</v>
      </c>
      <c r="N46" t="e" cm="1">
        <f t="array" ref="N46">INDEX('GMW - $100 oil'!$A$2:$MC$200,MATCH(1,('GMW - $100 oil'!$MC$2:$MC$200=N$3)*('GMW - $100 oil'!$MB$2:$MB$200=N$4),0),$E46-1973)</f>
        <v>#N/A</v>
      </c>
      <c r="O46" t="e" cm="1">
        <f t="array" ref="O46">INDEX('GMW - $100 oil'!$A$2:$MC$200,MATCH(1,('GMW - $100 oil'!$MC$2:$MC$200=O$3)*('GMW - $100 oil'!$MB$2:$MB$200=O$4),0),$E46-1973)</f>
        <v>#N/A</v>
      </c>
      <c r="P46" t="e" cm="1">
        <f t="array" ref="P46">INDEX('GMW - $100 oil'!$A$2:$MC$200,MATCH(1,('GMW - $100 oil'!$MC$2:$MC$200=P$3)*('GMW - $100 oil'!$MB$2:$MB$200=P$4),0),$E46-1973)</f>
        <v>#N/A</v>
      </c>
      <c r="Q46" t="e" cm="1">
        <f t="array" ref="Q46">INDEX('GMW - $100 oil'!$A$2:$MC$200,MATCH(1,('GMW - $100 oil'!$MC$2:$MC$200=Q$3)*('GMW - $100 oil'!$MB$2:$MB$200=Q$4),0),$E46-1973)</f>
        <v>#N/A</v>
      </c>
      <c r="R46" t="e" cm="1">
        <f t="array" ref="R46">INDEX('GMW - $100 oil'!$A$2:$MC$200,MATCH(1,('GMW - $100 oil'!$MC$2:$MC$200=R$3)*('GMW - $100 oil'!$MB$2:$MB$200=R$4),0),$E46-1973)</f>
        <v>#N/A</v>
      </c>
      <c r="S46" t="e" cm="1">
        <f t="array" ref="S46">INDEX('GMW - $100 oil'!$A$2:$MC$200,MATCH(1,('GMW - $100 oil'!$MC$2:$MC$200=S$3)*('GMW - $100 oil'!$MB$2:$MB$200=S$4),0),$E46-1973)</f>
        <v>#N/A</v>
      </c>
      <c r="T46" t="e" cm="1">
        <f t="array" ref="T46">INDEX('GMW - $100 oil'!$A$2:$MC$200,MATCH(1,('GMW - $100 oil'!$MC$2:$MC$200=T$3)*('GMW - $100 oil'!$MB$2:$MB$200=T$4),0),$E46-1973)</f>
        <v>#N/A</v>
      </c>
    </row>
    <row r="47" spans="1:20" x14ac:dyDescent="0.25">
      <c r="A47">
        <v>1990</v>
      </c>
      <c r="B47">
        <f t="shared" si="4"/>
        <v>1990</v>
      </c>
      <c r="C47">
        <f t="shared" si="4"/>
        <v>1989</v>
      </c>
      <c r="D47">
        <f t="shared" si="4"/>
        <v>1989</v>
      </c>
      <c r="E47">
        <f t="shared" si="1"/>
        <v>2020</v>
      </c>
      <c r="F47" cm="1">
        <f t="array" ref="F47">INDEX('GMW - $100 oil'!$A$2:$MC$200,MATCH(1,('GMW - $100 oil'!$MC$2:$MC$200=F$3)*('GMW - $100 oil'!$MB$2:$MB$200=F$4),0),$E47-1973)</f>
        <v>379458</v>
      </c>
      <c r="G47" cm="1">
        <f t="array" ref="G47">INDEX('GMW - $100 oil'!$A$2:$MC$200,MATCH(1,('GMW - $100 oil'!$MC$2:$MC$200=G$3)*('GMW - $100 oil'!$MB$2:$MB$200=G$4),0),$E47-1973)</f>
        <v>215861</v>
      </c>
      <c r="H47" cm="1">
        <f t="array" ref="H47">INDEX('GMW - $100 oil'!$A$2:$MC$200,MATCH(1,('GMW - $100 oil'!$MC$2:$MC$200=H$3)*('GMW - $100 oil'!$MB$2:$MB$200=H$4),0),$E47-1973)</f>
        <v>53.933329999999998</v>
      </c>
      <c r="I47" cm="1">
        <f t="array" ref="I47">INDEX('GMW - $100 oil'!$A$2:$MC$200,MATCH(1,('GMW - $100 oil'!$MC$2:$MC$200=I$3)*('GMW - $100 oil'!$MB$2:$MB$200=I$4),0),$E47-1973)</f>
        <v>14.875</v>
      </c>
      <c r="J47" t="e" cm="1">
        <f t="array" ref="J47">INDEX('GMW - $100 oil'!$A$2:$MC$200,MATCH(1,('GMW - $100 oil'!$MC$2:$MC$200=J$3)*('GMW - $100 oil'!$MB$2:$MB$200=J$4),0),$E47-1973)</f>
        <v>#N/A</v>
      </c>
      <c r="K47" t="e" cm="1">
        <f t="array" ref="K47">INDEX('GMW - $100 oil'!$A$2:$MC$200,MATCH(1,('GMW - $100 oil'!$MC$2:$MC$200=K$3)*('GMW - $100 oil'!$MB$2:$MB$200=K$4),0),$E47-1973)</f>
        <v>#N/A</v>
      </c>
      <c r="L47" t="e" cm="1">
        <f t="array" ref="L47">INDEX('GMW - $100 oil'!$A$2:$MC$200,MATCH(1,('GMW - $100 oil'!$MC$2:$MC$200=L$3)*('GMW - $100 oil'!$MB$2:$MB$200=L$4),0),$E47-1973)</f>
        <v>#N/A</v>
      </c>
      <c r="M47" t="e" cm="1">
        <f t="array" ref="M47">INDEX('GMW - $100 oil'!$A$2:$MC$200,MATCH(1,('GMW - $100 oil'!$MC$2:$MC$200=M$3)*('GMW - $100 oil'!$MB$2:$MB$200=M$4),0),$E47-1973)</f>
        <v>#N/A</v>
      </c>
      <c r="N47" t="e" cm="1">
        <f t="array" ref="N47">INDEX('GMW - $100 oil'!$A$2:$MC$200,MATCH(1,('GMW - $100 oil'!$MC$2:$MC$200=N$3)*('GMW - $100 oil'!$MB$2:$MB$200=N$4),0),$E47-1973)</f>
        <v>#N/A</v>
      </c>
      <c r="O47" t="e" cm="1">
        <f t="array" ref="O47">INDEX('GMW - $100 oil'!$A$2:$MC$200,MATCH(1,('GMW - $100 oil'!$MC$2:$MC$200=O$3)*('GMW - $100 oil'!$MB$2:$MB$200=O$4),0),$E47-1973)</f>
        <v>#N/A</v>
      </c>
      <c r="P47" t="e" cm="1">
        <f t="array" ref="P47">INDEX('GMW - $100 oil'!$A$2:$MC$200,MATCH(1,('GMW - $100 oil'!$MC$2:$MC$200=P$3)*('GMW - $100 oil'!$MB$2:$MB$200=P$4),0),$E47-1973)</f>
        <v>#N/A</v>
      </c>
      <c r="Q47" t="e" cm="1">
        <f t="array" ref="Q47">INDEX('GMW - $100 oil'!$A$2:$MC$200,MATCH(1,('GMW - $100 oil'!$MC$2:$MC$200=Q$3)*('GMW - $100 oil'!$MB$2:$MB$200=Q$4),0),$E47-1973)</f>
        <v>#N/A</v>
      </c>
      <c r="R47" t="e" cm="1">
        <f t="array" ref="R47">INDEX('GMW - $100 oil'!$A$2:$MC$200,MATCH(1,('GMW - $100 oil'!$MC$2:$MC$200=R$3)*('GMW - $100 oil'!$MB$2:$MB$200=R$4),0),$E47-1973)</f>
        <v>#N/A</v>
      </c>
      <c r="S47" t="e" cm="1">
        <f t="array" ref="S47">INDEX('GMW - $100 oil'!$A$2:$MC$200,MATCH(1,('GMW - $100 oil'!$MC$2:$MC$200=S$3)*('GMW - $100 oil'!$MB$2:$MB$200=S$4),0),$E47-1973)</f>
        <v>#N/A</v>
      </c>
      <c r="T47" t="e" cm="1">
        <f t="array" ref="T47">INDEX('GMW - $100 oil'!$A$2:$MC$200,MATCH(1,('GMW - $100 oil'!$MC$2:$MC$200=T$3)*('GMW - $100 oil'!$MB$2:$MB$200=T$4),0),$E47-1973)</f>
        <v>#N/A</v>
      </c>
    </row>
    <row r="48" spans="1:20" x14ac:dyDescent="0.25">
      <c r="B48">
        <f t="shared" si="4"/>
        <v>1990</v>
      </c>
      <c r="C48">
        <f t="shared" si="4"/>
        <v>1990</v>
      </c>
      <c r="E48">
        <f t="shared" si="1"/>
        <v>2021</v>
      </c>
      <c r="F48" cm="1">
        <f t="array" ref="F48">INDEX('GMW - $100 oil'!$A$2:$MC$200,MATCH(1,('GMW - $100 oil'!$MC$2:$MC$200=F$3)*('GMW - $100 oil'!$MB$2:$MB$200=F$4),0),$E48-1973)</f>
        <v>381997</v>
      </c>
      <c r="G48" cm="1">
        <f t="array" ref="G48">INDEX('GMW - $100 oil'!$A$2:$MC$200,MATCH(1,('GMW - $100 oil'!$MC$2:$MC$200=G$3)*('GMW - $100 oil'!$MB$2:$MB$200=G$4),0),$E48-1973)</f>
        <v>216571</v>
      </c>
      <c r="H48" cm="1">
        <f t="array" ref="H48">INDEX('GMW - $100 oil'!$A$2:$MC$200,MATCH(1,('GMW - $100 oil'!$MC$2:$MC$200=H$3)*('GMW - $100 oil'!$MB$2:$MB$200=H$4),0),$E48-1973)</f>
        <v>55.6</v>
      </c>
      <c r="I48" cm="1">
        <f t="array" ref="I48">INDEX('GMW - $100 oil'!$A$2:$MC$200,MATCH(1,('GMW - $100 oil'!$MC$2:$MC$200=I$3)*('GMW - $100 oil'!$MB$2:$MB$200=I$4),0),$E48-1973)</f>
        <v>14.875</v>
      </c>
      <c r="J48" t="e" cm="1">
        <f t="array" ref="J48">INDEX('GMW - $100 oil'!$A$2:$MC$200,MATCH(1,('GMW - $100 oil'!$MC$2:$MC$200=J$3)*('GMW - $100 oil'!$MB$2:$MB$200=J$4),0),$E48-1973)</f>
        <v>#N/A</v>
      </c>
      <c r="K48" t="e" cm="1">
        <f t="array" ref="K48">INDEX('GMW - $100 oil'!$A$2:$MC$200,MATCH(1,('GMW - $100 oil'!$MC$2:$MC$200=K$3)*('GMW - $100 oil'!$MB$2:$MB$200=K$4),0),$E48-1973)</f>
        <v>#N/A</v>
      </c>
      <c r="L48" t="e" cm="1">
        <f t="array" ref="L48">INDEX('GMW - $100 oil'!$A$2:$MC$200,MATCH(1,('GMW - $100 oil'!$MC$2:$MC$200=L$3)*('GMW - $100 oil'!$MB$2:$MB$200=L$4),0),$E48-1973)</f>
        <v>#N/A</v>
      </c>
      <c r="M48" t="e" cm="1">
        <f t="array" ref="M48">INDEX('GMW - $100 oil'!$A$2:$MC$200,MATCH(1,('GMW - $100 oil'!$MC$2:$MC$200=M$3)*('GMW - $100 oil'!$MB$2:$MB$200=M$4),0),$E48-1973)</f>
        <v>#N/A</v>
      </c>
      <c r="N48" t="e" cm="1">
        <f t="array" ref="N48">INDEX('GMW - $100 oil'!$A$2:$MC$200,MATCH(1,('GMW - $100 oil'!$MC$2:$MC$200=N$3)*('GMW - $100 oil'!$MB$2:$MB$200=N$4),0),$E48-1973)</f>
        <v>#N/A</v>
      </c>
      <c r="O48" t="e" cm="1">
        <f t="array" ref="O48">INDEX('GMW - $100 oil'!$A$2:$MC$200,MATCH(1,('GMW - $100 oil'!$MC$2:$MC$200=O$3)*('GMW - $100 oil'!$MB$2:$MB$200=O$4),0),$E48-1973)</f>
        <v>#N/A</v>
      </c>
      <c r="P48" t="e" cm="1">
        <f t="array" ref="P48">INDEX('GMW - $100 oil'!$A$2:$MC$200,MATCH(1,('GMW - $100 oil'!$MC$2:$MC$200=P$3)*('GMW - $100 oil'!$MB$2:$MB$200=P$4),0),$E48-1973)</f>
        <v>#N/A</v>
      </c>
      <c r="Q48" t="e" cm="1">
        <f t="array" ref="Q48">INDEX('GMW - $100 oil'!$A$2:$MC$200,MATCH(1,('GMW - $100 oil'!$MC$2:$MC$200=Q$3)*('GMW - $100 oil'!$MB$2:$MB$200=Q$4),0),$E48-1973)</f>
        <v>#N/A</v>
      </c>
      <c r="R48" t="e" cm="1">
        <f t="array" ref="R48">INDEX('GMW - $100 oil'!$A$2:$MC$200,MATCH(1,('GMW - $100 oil'!$MC$2:$MC$200=R$3)*('GMW - $100 oil'!$MB$2:$MB$200=R$4),0),$E48-1973)</f>
        <v>#N/A</v>
      </c>
      <c r="S48" t="e" cm="1">
        <f t="array" ref="S48">INDEX('GMW - $100 oil'!$A$2:$MC$200,MATCH(1,('GMW - $100 oil'!$MC$2:$MC$200=S$3)*('GMW - $100 oil'!$MB$2:$MB$200=S$4),0),$E48-1973)</f>
        <v>#N/A</v>
      </c>
      <c r="T48" t="e" cm="1">
        <f t="array" ref="T48">INDEX('GMW - $100 oil'!$A$2:$MC$200,MATCH(1,('GMW - $100 oil'!$MC$2:$MC$200=T$3)*('GMW - $100 oil'!$MB$2:$MB$200=T$4),0),$E48-1973)</f>
        <v>#N/A</v>
      </c>
    </row>
    <row r="49" spans="1:20" x14ac:dyDescent="0.25">
      <c r="B49">
        <f t="shared" si="4"/>
        <v>1990</v>
      </c>
      <c r="C49">
        <f t="shared" si="4"/>
        <v>1990</v>
      </c>
      <c r="E49">
        <f t="shared" si="1"/>
        <v>2022</v>
      </c>
      <c r="F49" cm="1">
        <f t="array" ref="F49">INDEX('GMW - $100 oil'!$A$2:$MC$200,MATCH(1,('GMW - $100 oil'!$MC$2:$MC$200=F$3)*('GMW - $100 oil'!$MB$2:$MB$200=F$4),0),$E49-1973)</f>
        <v>377831</v>
      </c>
      <c r="G49" cm="1">
        <f t="array" ref="G49">INDEX('GMW - $100 oil'!$A$2:$MC$200,MATCH(1,('GMW - $100 oil'!$MC$2:$MC$200=G$3)*('GMW - $100 oil'!$MB$2:$MB$200=G$4),0),$E49-1973)</f>
        <v>215211</v>
      </c>
      <c r="H49" cm="1">
        <f t="array" ref="H49">INDEX('GMW - $100 oil'!$A$2:$MC$200,MATCH(1,('GMW - $100 oil'!$MC$2:$MC$200=H$3)*('GMW - $100 oil'!$MB$2:$MB$200=H$4),0),$E49-1973)</f>
        <v>56.4</v>
      </c>
      <c r="I49" cm="1">
        <f t="array" ref="I49">INDEX('GMW - $100 oil'!$A$2:$MC$200,MATCH(1,('GMW - $100 oil'!$MC$2:$MC$200=I$3)*('GMW - $100 oil'!$MB$2:$MB$200=I$4),0),$E49-1973)</f>
        <v>14.875</v>
      </c>
      <c r="J49" t="e" cm="1">
        <f t="array" ref="J49">INDEX('GMW - $100 oil'!$A$2:$MC$200,MATCH(1,('GMW - $100 oil'!$MC$2:$MC$200=J$3)*('GMW - $100 oil'!$MB$2:$MB$200=J$4),0),$E49-1973)</f>
        <v>#N/A</v>
      </c>
      <c r="K49" t="e" cm="1">
        <f t="array" ref="K49">INDEX('GMW - $100 oil'!$A$2:$MC$200,MATCH(1,('GMW - $100 oil'!$MC$2:$MC$200=K$3)*('GMW - $100 oil'!$MB$2:$MB$200=K$4),0),$E49-1973)</f>
        <v>#N/A</v>
      </c>
      <c r="L49" t="e" cm="1">
        <f t="array" ref="L49">INDEX('GMW - $100 oil'!$A$2:$MC$200,MATCH(1,('GMW - $100 oil'!$MC$2:$MC$200=L$3)*('GMW - $100 oil'!$MB$2:$MB$200=L$4),0),$E49-1973)</f>
        <v>#N/A</v>
      </c>
      <c r="M49" t="e" cm="1">
        <f t="array" ref="M49">INDEX('GMW - $100 oil'!$A$2:$MC$200,MATCH(1,('GMW - $100 oil'!$MC$2:$MC$200=M$3)*('GMW - $100 oil'!$MB$2:$MB$200=M$4),0),$E49-1973)</f>
        <v>#N/A</v>
      </c>
      <c r="N49" t="e" cm="1">
        <f t="array" ref="N49">INDEX('GMW - $100 oil'!$A$2:$MC$200,MATCH(1,('GMW - $100 oil'!$MC$2:$MC$200=N$3)*('GMW - $100 oil'!$MB$2:$MB$200=N$4),0),$E49-1973)</f>
        <v>#N/A</v>
      </c>
      <c r="O49" t="e" cm="1">
        <f t="array" ref="O49">INDEX('GMW - $100 oil'!$A$2:$MC$200,MATCH(1,('GMW - $100 oil'!$MC$2:$MC$200=O$3)*('GMW - $100 oil'!$MB$2:$MB$200=O$4),0),$E49-1973)</f>
        <v>#N/A</v>
      </c>
      <c r="P49" t="e" cm="1">
        <f t="array" ref="P49">INDEX('GMW - $100 oil'!$A$2:$MC$200,MATCH(1,('GMW - $100 oil'!$MC$2:$MC$200=P$3)*('GMW - $100 oil'!$MB$2:$MB$200=P$4),0),$E49-1973)</f>
        <v>#N/A</v>
      </c>
      <c r="Q49" t="e" cm="1">
        <f t="array" ref="Q49">INDEX('GMW - $100 oil'!$A$2:$MC$200,MATCH(1,('GMW - $100 oil'!$MC$2:$MC$200=Q$3)*('GMW - $100 oil'!$MB$2:$MB$200=Q$4),0),$E49-1973)</f>
        <v>#N/A</v>
      </c>
      <c r="R49" t="e" cm="1">
        <f t="array" ref="R49">INDEX('GMW - $100 oil'!$A$2:$MC$200,MATCH(1,('GMW - $100 oil'!$MC$2:$MC$200=R$3)*('GMW - $100 oil'!$MB$2:$MB$200=R$4),0),$E49-1973)</f>
        <v>#N/A</v>
      </c>
      <c r="S49" t="e" cm="1">
        <f t="array" ref="S49">INDEX('GMW - $100 oil'!$A$2:$MC$200,MATCH(1,('GMW - $100 oil'!$MC$2:$MC$200=S$3)*('GMW - $100 oil'!$MB$2:$MB$200=S$4),0),$E49-1973)</f>
        <v>#N/A</v>
      </c>
      <c r="T49" t="e" cm="1">
        <f t="array" ref="T49">INDEX('GMW - $100 oil'!$A$2:$MC$200,MATCH(1,('GMW - $100 oil'!$MC$2:$MC$200=T$3)*('GMW - $100 oil'!$MB$2:$MB$200=T$4),0),$E49-1973)</f>
        <v>#N/A</v>
      </c>
    </row>
    <row r="50" spans="1:20" x14ac:dyDescent="0.25">
      <c r="B50">
        <f t="shared" si="4"/>
        <v>1990</v>
      </c>
      <c r="C50">
        <f t="shared" si="4"/>
        <v>1990</v>
      </c>
      <c r="E50">
        <f t="shared" si="1"/>
        <v>2023</v>
      </c>
      <c r="F50" cm="1">
        <f t="array" ref="F50">INDEX('GMW - $100 oil'!$A$2:$MC$200,MATCH(1,('GMW - $100 oil'!$MC$2:$MC$200=F$3)*('GMW - $100 oil'!$MB$2:$MB$200=F$4),0),$E50-1973)</f>
        <v>375916</v>
      </c>
      <c r="G50" cm="1">
        <f t="array" ref="G50">INDEX('GMW - $100 oil'!$A$2:$MC$200,MATCH(1,('GMW - $100 oil'!$MC$2:$MC$200=G$3)*('GMW - $100 oil'!$MB$2:$MB$200=G$4),0),$E50-1973)</f>
        <v>215007</v>
      </c>
      <c r="H50" cm="1">
        <f t="array" ref="H50">INDEX('GMW - $100 oil'!$A$2:$MC$200,MATCH(1,('GMW - $100 oil'!$MC$2:$MC$200=H$3)*('GMW - $100 oil'!$MB$2:$MB$200=H$4),0),$E50-1973)</f>
        <v>57.466670000000001</v>
      </c>
      <c r="I50" cm="1">
        <f t="array" ref="I50">INDEX('GMW - $100 oil'!$A$2:$MC$200,MATCH(1,('GMW - $100 oil'!$MC$2:$MC$200=I$3)*('GMW - $100 oil'!$MB$2:$MB$200=I$4),0),$E50-1973)</f>
        <v>13.950760000000001</v>
      </c>
      <c r="J50" t="e" cm="1">
        <f t="array" ref="J50">INDEX('GMW - $100 oil'!$A$2:$MC$200,MATCH(1,('GMW - $100 oil'!$MC$2:$MC$200=J$3)*('GMW - $100 oil'!$MB$2:$MB$200=J$4),0),$E50-1973)</f>
        <v>#N/A</v>
      </c>
      <c r="K50" t="e" cm="1">
        <f t="array" ref="K50">INDEX('GMW - $100 oil'!$A$2:$MC$200,MATCH(1,('GMW - $100 oil'!$MC$2:$MC$200=K$3)*('GMW - $100 oil'!$MB$2:$MB$200=K$4),0),$E50-1973)</f>
        <v>#N/A</v>
      </c>
      <c r="L50" t="e" cm="1">
        <f t="array" ref="L50">INDEX('GMW - $100 oil'!$A$2:$MC$200,MATCH(1,('GMW - $100 oil'!$MC$2:$MC$200=L$3)*('GMW - $100 oil'!$MB$2:$MB$200=L$4),0),$E50-1973)</f>
        <v>#N/A</v>
      </c>
      <c r="M50" t="e" cm="1">
        <f t="array" ref="M50">INDEX('GMW - $100 oil'!$A$2:$MC$200,MATCH(1,('GMW - $100 oil'!$MC$2:$MC$200=M$3)*('GMW - $100 oil'!$MB$2:$MB$200=M$4),0),$E50-1973)</f>
        <v>#N/A</v>
      </c>
      <c r="N50" t="e" cm="1">
        <f t="array" ref="N50">INDEX('GMW - $100 oil'!$A$2:$MC$200,MATCH(1,('GMW - $100 oil'!$MC$2:$MC$200=N$3)*('GMW - $100 oil'!$MB$2:$MB$200=N$4),0),$E50-1973)</f>
        <v>#N/A</v>
      </c>
      <c r="O50" t="e" cm="1">
        <f t="array" ref="O50">INDEX('GMW - $100 oil'!$A$2:$MC$200,MATCH(1,('GMW - $100 oil'!$MC$2:$MC$200=O$3)*('GMW - $100 oil'!$MB$2:$MB$200=O$4),0),$E50-1973)</f>
        <v>#N/A</v>
      </c>
      <c r="P50" t="e" cm="1">
        <f t="array" ref="P50">INDEX('GMW - $100 oil'!$A$2:$MC$200,MATCH(1,('GMW - $100 oil'!$MC$2:$MC$200=P$3)*('GMW - $100 oil'!$MB$2:$MB$200=P$4),0),$E50-1973)</f>
        <v>#N/A</v>
      </c>
      <c r="Q50" t="e" cm="1">
        <f t="array" ref="Q50">INDEX('GMW - $100 oil'!$A$2:$MC$200,MATCH(1,('GMW - $100 oil'!$MC$2:$MC$200=Q$3)*('GMW - $100 oil'!$MB$2:$MB$200=Q$4),0),$E50-1973)</f>
        <v>#N/A</v>
      </c>
      <c r="R50" t="e" cm="1">
        <f t="array" ref="R50">INDEX('GMW - $100 oil'!$A$2:$MC$200,MATCH(1,('GMW - $100 oil'!$MC$2:$MC$200=R$3)*('GMW - $100 oil'!$MB$2:$MB$200=R$4),0),$E50-1973)</f>
        <v>#N/A</v>
      </c>
      <c r="S50" t="e" cm="1">
        <f t="array" ref="S50">INDEX('GMW - $100 oil'!$A$2:$MC$200,MATCH(1,('GMW - $100 oil'!$MC$2:$MC$200=S$3)*('GMW - $100 oil'!$MB$2:$MB$200=S$4),0),$E50-1973)</f>
        <v>#N/A</v>
      </c>
      <c r="T50" t="e" cm="1">
        <f t="array" ref="T50">INDEX('GMW - $100 oil'!$A$2:$MC$200,MATCH(1,('GMW - $100 oil'!$MC$2:$MC$200=T$3)*('GMW - $100 oil'!$MB$2:$MB$200=T$4),0),$E50-1973)</f>
        <v>#N/A</v>
      </c>
    </row>
    <row r="51" spans="1:20" x14ac:dyDescent="0.25">
      <c r="A51">
        <v>1991</v>
      </c>
      <c r="B51">
        <f t="shared" si="4"/>
        <v>1991</v>
      </c>
      <c r="C51">
        <f t="shared" si="4"/>
        <v>1990</v>
      </c>
      <c r="D51">
        <f t="shared" si="4"/>
        <v>1990</v>
      </c>
      <c r="E51">
        <f t="shared" si="1"/>
        <v>2024</v>
      </c>
      <c r="F51" cm="1">
        <f t="array" ref="F51">INDEX('GMW - $100 oil'!$A$2:$MC$200,MATCH(1,('GMW - $100 oil'!$MC$2:$MC$200=F$3)*('GMW - $100 oil'!$MB$2:$MB$200=F$4),0),$E51-1973)</f>
        <v>374060</v>
      </c>
      <c r="G51" cm="1">
        <f t="array" ref="G51">INDEX('GMW - $100 oil'!$A$2:$MC$200,MATCH(1,('GMW - $100 oil'!$MC$2:$MC$200=G$3)*('GMW - $100 oil'!$MB$2:$MB$200=G$4),0),$E51-1973)</f>
        <v>214735</v>
      </c>
      <c r="H51" cm="1">
        <f t="array" ref="H51">INDEX('GMW - $100 oil'!$A$2:$MC$200,MATCH(1,('GMW - $100 oil'!$MC$2:$MC$200=H$3)*('GMW - $100 oil'!$MB$2:$MB$200=H$4),0),$E51-1973)</f>
        <v>57.666670000000003</v>
      </c>
      <c r="I51" cm="1">
        <f t="array" ref="I51">INDEX('GMW - $100 oil'!$A$2:$MC$200,MATCH(1,('GMW - $100 oil'!$MC$2:$MC$200=I$3)*('GMW - $100 oil'!$MB$2:$MB$200=I$4),0),$E51-1973)</f>
        <v>13.39063</v>
      </c>
      <c r="J51" t="e" cm="1">
        <f t="array" ref="J51">INDEX('GMW - $100 oil'!$A$2:$MC$200,MATCH(1,('GMW - $100 oil'!$MC$2:$MC$200=J$3)*('GMW - $100 oil'!$MB$2:$MB$200=J$4),0),$E51-1973)</f>
        <v>#N/A</v>
      </c>
      <c r="K51" t="e" cm="1">
        <f t="array" ref="K51">INDEX('GMW - $100 oil'!$A$2:$MC$200,MATCH(1,('GMW - $100 oil'!$MC$2:$MC$200=K$3)*('GMW - $100 oil'!$MB$2:$MB$200=K$4),0),$E51-1973)</f>
        <v>#N/A</v>
      </c>
      <c r="L51" t="e" cm="1">
        <f t="array" ref="L51">INDEX('GMW - $100 oil'!$A$2:$MC$200,MATCH(1,('GMW - $100 oil'!$MC$2:$MC$200=L$3)*('GMW - $100 oil'!$MB$2:$MB$200=L$4),0),$E51-1973)</f>
        <v>#N/A</v>
      </c>
      <c r="M51" t="e" cm="1">
        <f t="array" ref="M51">INDEX('GMW - $100 oil'!$A$2:$MC$200,MATCH(1,('GMW - $100 oil'!$MC$2:$MC$200=M$3)*('GMW - $100 oil'!$MB$2:$MB$200=M$4),0),$E51-1973)</f>
        <v>#N/A</v>
      </c>
      <c r="N51" t="e" cm="1">
        <f t="array" ref="N51">INDEX('GMW - $100 oil'!$A$2:$MC$200,MATCH(1,('GMW - $100 oil'!$MC$2:$MC$200=N$3)*('GMW - $100 oil'!$MB$2:$MB$200=N$4),0),$E51-1973)</f>
        <v>#N/A</v>
      </c>
      <c r="O51" t="e" cm="1">
        <f t="array" ref="O51">INDEX('GMW - $100 oil'!$A$2:$MC$200,MATCH(1,('GMW - $100 oil'!$MC$2:$MC$200=O$3)*('GMW - $100 oil'!$MB$2:$MB$200=O$4),0),$E51-1973)</f>
        <v>#N/A</v>
      </c>
      <c r="P51" t="e" cm="1">
        <f t="array" ref="P51">INDEX('GMW - $100 oil'!$A$2:$MC$200,MATCH(1,('GMW - $100 oil'!$MC$2:$MC$200=P$3)*('GMW - $100 oil'!$MB$2:$MB$200=P$4),0),$E51-1973)</f>
        <v>#N/A</v>
      </c>
      <c r="Q51" t="e" cm="1">
        <f t="array" ref="Q51">INDEX('GMW - $100 oil'!$A$2:$MC$200,MATCH(1,('GMW - $100 oil'!$MC$2:$MC$200=Q$3)*('GMW - $100 oil'!$MB$2:$MB$200=Q$4),0),$E51-1973)</f>
        <v>#N/A</v>
      </c>
      <c r="R51" t="e" cm="1">
        <f t="array" ref="R51">INDEX('GMW - $100 oil'!$A$2:$MC$200,MATCH(1,('GMW - $100 oil'!$MC$2:$MC$200=R$3)*('GMW - $100 oil'!$MB$2:$MB$200=R$4),0),$E51-1973)</f>
        <v>#N/A</v>
      </c>
      <c r="S51" t="e" cm="1">
        <f t="array" ref="S51">INDEX('GMW - $100 oil'!$A$2:$MC$200,MATCH(1,('GMW - $100 oil'!$MC$2:$MC$200=S$3)*('GMW - $100 oil'!$MB$2:$MB$200=S$4),0),$E51-1973)</f>
        <v>#N/A</v>
      </c>
      <c r="T51" t="e" cm="1">
        <f t="array" ref="T51">INDEX('GMW - $100 oil'!$A$2:$MC$200,MATCH(1,('GMW - $100 oil'!$MC$2:$MC$200=T$3)*('GMW - $100 oil'!$MB$2:$MB$200=T$4),0),$E51-1973)</f>
        <v>#N/A</v>
      </c>
    </row>
    <row r="52" spans="1:20" x14ac:dyDescent="0.25">
      <c r="B52">
        <f t="shared" si="4"/>
        <v>1991</v>
      </c>
      <c r="C52">
        <f t="shared" si="4"/>
        <v>1991</v>
      </c>
      <c r="E52">
        <f t="shared" si="1"/>
        <v>2025</v>
      </c>
      <c r="F52" cm="1">
        <f t="array" ref="F52">INDEX('GMW - $100 oil'!$A$2:$MC$200,MATCH(1,('GMW - $100 oil'!$MC$2:$MC$200=F$3)*('GMW - $100 oil'!$MB$2:$MB$200=F$4),0),$E52-1973)</f>
        <v>373608</v>
      </c>
      <c r="G52" cm="1">
        <f t="array" ref="G52">INDEX('GMW - $100 oil'!$A$2:$MC$200,MATCH(1,('GMW - $100 oil'!$MC$2:$MC$200=G$3)*('GMW - $100 oil'!$MB$2:$MB$200=G$4),0),$E52-1973)</f>
        <v>213315</v>
      </c>
      <c r="H52" cm="1">
        <f t="array" ref="H52">INDEX('GMW - $100 oil'!$A$2:$MC$200,MATCH(1,('GMW - $100 oil'!$MC$2:$MC$200=H$3)*('GMW - $100 oil'!$MB$2:$MB$200=H$4),0),$E52-1973)</f>
        <v>60.266669999999998</v>
      </c>
      <c r="I52" cm="1">
        <f t="array" ref="I52">INDEX('GMW - $100 oil'!$A$2:$MC$200,MATCH(1,('GMW - $100 oil'!$MC$2:$MC$200=I$3)*('GMW - $100 oil'!$MB$2:$MB$200=I$4),0),$E52-1973)</f>
        <v>11.74423</v>
      </c>
      <c r="J52" t="e" cm="1">
        <f t="array" ref="J52">INDEX('GMW - $100 oil'!$A$2:$MC$200,MATCH(1,('GMW - $100 oil'!$MC$2:$MC$200=J$3)*('GMW - $100 oil'!$MB$2:$MB$200=J$4),0),$E52-1973)</f>
        <v>#N/A</v>
      </c>
      <c r="K52" t="e" cm="1">
        <f t="array" ref="K52">INDEX('GMW - $100 oil'!$A$2:$MC$200,MATCH(1,('GMW - $100 oil'!$MC$2:$MC$200=K$3)*('GMW - $100 oil'!$MB$2:$MB$200=K$4),0),$E52-1973)</f>
        <v>#N/A</v>
      </c>
      <c r="L52" t="e" cm="1">
        <f t="array" ref="L52">INDEX('GMW - $100 oil'!$A$2:$MC$200,MATCH(1,('GMW - $100 oil'!$MC$2:$MC$200=L$3)*('GMW - $100 oil'!$MB$2:$MB$200=L$4),0),$E52-1973)</f>
        <v>#N/A</v>
      </c>
      <c r="M52" t="e" cm="1">
        <f t="array" ref="M52">INDEX('GMW - $100 oil'!$A$2:$MC$200,MATCH(1,('GMW - $100 oil'!$MC$2:$MC$200=M$3)*('GMW - $100 oil'!$MB$2:$MB$200=M$4),0),$E52-1973)</f>
        <v>#N/A</v>
      </c>
      <c r="N52" t="e" cm="1">
        <f t="array" ref="N52">INDEX('GMW - $100 oil'!$A$2:$MC$200,MATCH(1,('GMW - $100 oil'!$MC$2:$MC$200=N$3)*('GMW - $100 oil'!$MB$2:$MB$200=N$4),0),$E52-1973)</f>
        <v>#N/A</v>
      </c>
      <c r="O52" t="e" cm="1">
        <f t="array" ref="O52">INDEX('GMW - $100 oil'!$A$2:$MC$200,MATCH(1,('GMW - $100 oil'!$MC$2:$MC$200=O$3)*('GMW - $100 oil'!$MB$2:$MB$200=O$4),0),$E52-1973)</f>
        <v>#N/A</v>
      </c>
      <c r="P52" t="e" cm="1">
        <f t="array" ref="P52">INDEX('GMW - $100 oil'!$A$2:$MC$200,MATCH(1,('GMW - $100 oil'!$MC$2:$MC$200=P$3)*('GMW - $100 oil'!$MB$2:$MB$200=P$4),0),$E52-1973)</f>
        <v>#N/A</v>
      </c>
      <c r="Q52" t="e" cm="1">
        <f t="array" ref="Q52">INDEX('GMW - $100 oil'!$A$2:$MC$200,MATCH(1,('GMW - $100 oil'!$MC$2:$MC$200=Q$3)*('GMW - $100 oil'!$MB$2:$MB$200=Q$4),0),$E52-1973)</f>
        <v>#N/A</v>
      </c>
      <c r="R52" t="e" cm="1">
        <f t="array" ref="R52">INDEX('GMW - $100 oil'!$A$2:$MC$200,MATCH(1,('GMW - $100 oil'!$MC$2:$MC$200=R$3)*('GMW - $100 oil'!$MB$2:$MB$200=R$4),0),$E52-1973)</f>
        <v>#N/A</v>
      </c>
      <c r="S52" t="e" cm="1">
        <f t="array" ref="S52">INDEX('GMW - $100 oil'!$A$2:$MC$200,MATCH(1,('GMW - $100 oil'!$MC$2:$MC$200=S$3)*('GMW - $100 oil'!$MB$2:$MB$200=S$4),0),$E52-1973)</f>
        <v>#N/A</v>
      </c>
      <c r="T52" t="e" cm="1">
        <f t="array" ref="T52">INDEX('GMW - $100 oil'!$A$2:$MC$200,MATCH(1,('GMW - $100 oil'!$MC$2:$MC$200=T$3)*('GMW - $100 oil'!$MB$2:$MB$200=T$4),0),$E52-1973)</f>
        <v>#N/A</v>
      </c>
    </row>
    <row r="53" spans="1:20" x14ac:dyDescent="0.25">
      <c r="B53">
        <f t="shared" si="4"/>
        <v>1991</v>
      </c>
      <c r="C53">
        <f t="shared" si="4"/>
        <v>1991</v>
      </c>
      <c r="E53">
        <f t="shared" si="1"/>
        <v>2026</v>
      </c>
      <c r="F53" cm="1">
        <f t="array" ref="F53">INDEX('GMW - $100 oil'!$A$2:$MC$200,MATCH(1,('GMW - $100 oil'!$MC$2:$MC$200=F$3)*('GMW - $100 oil'!$MB$2:$MB$200=F$4),0),$E53-1973)</f>
        <v>372878</v>
      </c>
      <c r="G53" cm="1">
        <f t="array" ref="G53">INDEX('GMW - $100 oil'!$A$2:$MC$200,MATCH(1,('GMW - $100 oil'!$MC$2:$MC$200=G$3)*('GMW - $100 oil'!$MB$2:$MB$200=G$4),0),$E53-1973)</f>
        <v>213544</v>
      </c>
      <c r="H53" cm="1">
        <f t="array" ref="H53">INDEX('GMW - $100 oil'!$A$2:$MC$200,MATCH(1,('GMW - $100 oil'!$MC$2:$MC$200=H$3)*('GMW - $100 oil'!$MB$2:$MB$200=H$4),0),$E53-1973)</f>
        <v>60.833329999999997</v>
      </c>
      <c r="I53" cm="1">
        <f t="array" ref="I53">INDEX('GMW - $100 oil'!$A$2:$MC$200,MATCH(1,('GMW - $100 oil'!$MC$2:$MC$200=I$3)*('GMW - $100 oil'!$MB$2:$MB$200=I$4),0),$E53-1973)</f>
        <v>10.799239999999999</v>
      </c>
      <c r="J53" t="e" cm="1">
        <f t="array" ref="J53">INDEX('GMW - $100 oil'!$A$2:$MC$200,MATCH(1,('GMW - $100 oil'!$MC$2:$MC$200=J$3)*('GMW - $100 oil'!$MB$2:$MB$200=J$4),0),$E53-1973)</f>
        <v>#N/A</v>
      </c>
      <c r="K53" t="e" cm="1">
        <f t="array" ref="K53">INDEX('GMW - $100 oil'!$A$2:$MC$200,MATCH(1,('GMW - $100 oil'!$MC$2:$MC$200=K$3)*('GMW - $100 oil'!$MB$2:$MB$200=K$4),0),$E53-1973)</f>
        <v>#N/A</v>
      </c>
      <c r="L53" t="e" cm="1">
        <f t="array" ref="L53">INDEX('GMW - $100 oil'!$A$2:$MC$200,MATCH(1,('GMW - $100 oil'!$MC$2:$MC$200=L$3)*('GMW - $100 oil'!$MB$2:$MB$200=L$4),0),$E53-1973)</f>
        <v>#N/A</v>
      </c>
      <c r="M53" t="e" cm="1">
        <f t="array" ref="M53">INDEX('GMW - $100 oil'!$A$2:$MC$200,MATCH(1,('GMW - $100 oil'!$MC$2:$MC$200=M$3)*('GMW - $100 oil'!$MB$2:$MB$200=M$4),0),$E53-1973)</f>
        <v>#N/A</v>
      </c>
      <c r="N53" t="e" cm="1">
        <f t="array" ref="N53">INDEX('GMW - $100 oil'!$A$2:$MC$200,MATCH(1,('GMW - $100 oil'!$MC$2:$MC$200=N$3)*('GMW - $100 oil'!$MB$2:$MB$200=N$4),0),$E53-1973)</f>
        <v>#N/A</v>
      </c>
      <c r="O53" t="e" cm="1">
        <f t="array" ref="O53">INDEX('GMW - $100 oil'!$A$2:$MC$200,MATCH(1,('GMW - $100 oil'!$MC$2:$MC$200=O$3)*('GMW - $100 oil'!$MB$2:$MB$200=O$4),0),$E53-1973)</f>
        <v>#N/A</v>
      </c>
      <c r="P53" t="e" cm="1">
        <f t="array" ref="P53">INDEX('GMW - $100 oil'!$A$2:$MC$200,MATCH(1,('GMW - $100 oil'!$MC$2:$MC$200=P$3)*('GMW - $100 oil'!$MB$2:$MB$200=P$4),0),$E53-1973)</f>
        <v>#N/A</v>
      </c>
      <c r="Q53" t="e" cm="1">
        <f t="array" ref="Q53">INDEX('GMW - $100 oil'!$A$2:$MC$200,MATCH(1,('GMW - $100 oil'!$MC$2:$MC$200=Q$3)*('GMW - $100 oil'!$MB$2:$MB$200=Q$4),0),$E53-1973)</f>
        <v>#N/A</v>
      </c>
      <c r="R53" t="e" cm="1">
        <f t="array" ref="R53">INDEX('GMW - $100 oil'!$A$2:$MC$200,MATCH(1,('GMW - $100 oil'!$MC$2:$MC$200=R$3)*('GMW - $100 oil'!$MB$2:$MB$200=R$4),0),$E53-1973)</f>
        <v>#N/A</v>
      </c>
      <c r="S53" t="e" cm="1">
        <f t="array" ref="S53">INDEX('GMW - $100 oil'!$A$2:$MC$200,MATCH(1,('GMW - $100 oil'!$MC$2:$MC$200=S$3)*('GMW - $100 oil'!$MB$2:$MB$200=S$4),0),$E53-1973)</f>
        <v>#N/A</v>
      </c>
      <c r="T53" t="e" cm="1">
        <f t="array" ref="T53">INDEX('GMW - $100 oil'!$A$2:$MC$200,MATCH(1,('GMW - $100 oil'!$MC$2:$MC$200=T$3)*('GMW - $100 oil'!$MB$2:$MB$200=T$4),0),$E53-1973)</f>
        <v>#N/A</v>
      </c>
    </row>
    <row r="54" spans="1:20" x14ac:dyDescent="0.25">
      <c r="B54">
        <f t="shared" si="4"/>
        <v>1991</v>
      </c>
      <c r="C54">
        <f t="shared" si="4"/>
        <v>1991</v>
      </c>
      <c r="E54">
        <f t="shared" si="1"/>
        <v>2027</v>
      </c>
      <c r="F54" cm="1">
        <f t="array" ref="F54">INDEX('GMW - $100 oil'!$A$2:$MC$200,MATCH(1,('GMW - $100 oil'!$MC$2:$MC$200=F$3)*('GMW - $100 oil'!$MB$2:$MB$200=F$4),0),$E54-1973)</f>
        <v>373357</v>
      </c>
      <c r="G54" cm="1">
        <f t="array" ref="G54">INDEX('GMW - $100 oil'!$A$2:$MC$200,MATCH(1,('GMW - $100 oil'!$MC$2:$MC$200=G$3)*('GMW - $100 oil'!$MB$2:$MB$200=G$4),0),$E54-1973)</f>
        <v>213576</v>
      </c>
      <c r="H54" cm="1">
        <f t="array" ref="H54">INDEX('GMW - $100 oil'!$A$2:$MC$200,MATCH(1,('GMW - $100 oil'!$MC$2:$MC$200=H$3)*('GMW - $100 oil'!$MB$2:$MB$200=H$4),0),$E54-1973)</f>
        <v>61.466670000000001</v>
      </c>
      <c r="I54" cm="1">
        <f t="array" ref="I54">INDEX('GMW - $100 oil'!$A$2:$MC$200,MATCH(1,('GMW - $100 oil'!$MC$2:$MC$200=I$3)*('GMW - $100 oil'!$MB$2:$MB$200=I$4),0),$E54-1973)</f>
        <v>10.375</v>
      </c>
      <c r="J54" t="e" cm="1">
        <f t="array" ref="J54">INDEX('GMW - $100 oil'!$A$2:$MC$200,MATCH(1,('GMW - $100 oil'!$MC$2:$MC$200=J$3)*('GMW - $100 oil'!$MB$2:$MB$200=J$4),0),$E54-1973)</f>
        <v>#N/A</v>
      </c>
      <c r="K54" t="e" cm="1">
        <f t="array" ref="K54">INDEX('GMW - $100 oil'!$A$2:$MC$200,MATCH(1,('GMW - $100 oil'!$MC$2:$MC$200=K$3)*('GMW - $100 oil'!$MB$2:$MB$200=K$4),0),$E54-1973)</f>
        <v>#N/A</v>
      </c>
      <c r="L54" t="e" cm="1">
        <f t="array" ref="L54">INDEX('GMW - $100 oil'!$A$2:$MC$200,MATCH(1,('GMW - $100 oil'!$MC$2:$MC$200=L$3)*('GMW - $100 oil'!$MB$2:$MB$200=L$4),0),$E54-1973)</f>
        <v>#N/A</v>
      </c>
      <c r="M54" t="e" cm="1">
        <f t="array" ref="M54">INDEX('GMW - $100 oil'!$A$2:$MC$200,MATCH(1,('GMW - $100 oil'!$MC$2:$MC$200=M$3)*('GMW - $100 oil'!$MB$2:$MB$200=M$4),0),$E54-1973)</f>
        <v>#N/A</v>
      </c>
      <c r="N54" t="e" cm="1">
        <f t="array" ref="N54">INDEX('GMW - $100 oil'!$A$2:$MC$200,MATCH(1,('GMW - $100 oil'!$MC$2:$MC$200=N$3)*('GMW - $100 oil'!$MB$2:$MB$200=N$4),0),$E54-1973)</f>
        <v>#N/A</v>
      </c>
      <c r="O54" t="e" cm="1">
        <f t="array" ref="O54">INDEX('GMW - $100 oil'!$A$2:$MC$200,MATCH(1,('GMW - $100 oil'!$MC$2:$MC$200=O$3)*('GMW - $100 oil'!$MB$2:$MB$200=O$4),0),$E54-1973)</f>
        <v>#N/A</v>
      </c>
      <c r="P54" t="e" cm="1">
        <f t="array" ref="P54">INDEX('GMW - $100 oil'!$A$2:$MC$200,MATCH(1,('GMW - $100 oil'!$MC$2:$MC$200=P$3)*('GMW - $100 oil'!$MB$2:$MB$200=P$4),0),$E54-1973)</f>
        <v>#N/A</v>
      </c>
      <c r="Q54" t="e" cm="1">
        <f t="array" ref="Q54">INDEX('GMW - $100 oil'!$A$2:$MC$200,MATCH(1,('GMW - $100 oil'!$MC$2:$MC$200=Q$3)*('GMW - $100 oil'!$MB$2:$MB$200=Q$4),0),$E54-1973)</f>
        <v>#N/A</v>
      </c>
      <c r="R54" t="e" cm="1">
        <f t="array" ref="R54">INDEX('GMW - $100 oil'!$A$2:$MC$200,MATCH(1,('GMW - $100 oil'!$MC$2:$MC$200=R$3)*('GMW - $100 oil'!$MB$2:$MB$200=R$4),0),$E54-1973)</f>
        <v>#N/A</v>
      </c>
      <c r="S54" t="e" cm="1">
        <f t="array" ref="S54">INDEX('GMW - $100 oil'!$A$2:$MC$200,MATCH(1,('GMW - $100 oil'!$MC$2:$MC$200=S$3)*('GMW - $100 oil'!$MB$2:$MB$200=S$4),0),$E54-1973)</f>
        <v>#N/A</v>
      </c>
      <c r="T54" t="e" cm="1">
        <f t="array" ref="T54">INDEX('GMW - $100 oil'!$A$2:$MC$200,MATCH(1,('GMW - $100 oil'!$MC$2:$MC$200=T$3)*('GMW - $100 oil'!$MB$2:$MB$200=T$4),0),$E54-1973)</f>
        <v>#N/A</v>
      </c>
    </row>
    <row r="55" spans="1:20" x14ac:dyDescent="0.25">
      <c r="A55">
        <v>1992</v>
      </c>
      <c r="B55">
        <f t="shared" si="4"/>
        <v>1992</v>
      </c>
      <c r="C55">
        <f t="shared" si="4"/>
        <v>1991</v>
      </c>
      <c r="D55">
        <f t="shared" si="4"/>
        <v>1991</v>
      </c>
      <c r="E55">
        <f t="shared" si="1"/>
        <v>2028</v>
      </c>
      <c r="F55" cm="1">
        <f t="array" ref="F55">INDEX('GMW - $100 oil'!$A$2:$MC$200,MATCH(1,('GMW - $100 oil'!$MC$2:$MC$200=F$3)*('GMW - $100 oil'!$MB$2:$MB$200=F$4),0),$E55-1973)</f>
        <v>373317</v>
      </c>
      <c r="G55" cm="1">
        <f t="array" ref="G55">INDEX('GMW - $100 oil'!$A$2:$MC$200,MATCH(1,('GMW - $100 oil'!$MC$2:$MC$200=G$3)*('GMW - $100 oil'!$MB$2:$MB$200=G$4),0),$E55-1973)</f>
        <v>213040</v>
      </c>
      <c r="H55" cm="1">
        <f t="array" ref="H55">INDEX('GMW - $100 oil'!$A$2:$MC$200,MATCH(1,('GMW - $100 oil'!$MC$2:$MC$200=H$3)*('GMW - $100 oil'!$MB$2:$MB$200=H$4),0),$E55-1973)</f>
        <v>61.7</v>
      </c>
      <c r="I55" cm="1">
        <f t="array" ref="I55">INDEX('GMW - $100 oil'!$A$2:$MC$200,MATCH(1,('GMW - $100 oil'!$MC$2:$MC$200=I$3)*('GMW - $100 oil'!$MB$2:$MB$200=I$4),0),$E55-1973)</f>
        <v>10.375</v>
      </c>
      <c r="J55" t="e" cm="1">
        <f t="array" ref="J55">INDEX('GMW - $100 oil'!$A$2:$MC$200,MATCH(1,('GMW - $100 oil'!$MC$2:$MC$200=J$3)*('GMW - $100 oil'!$MB$2:$MB$200=J$4),0),$E55-1973)</f>
        <v>#N/A</v>
      </c>
      <c r="K55" t="e" cm="1">
        <f t="array" ref="K55">INDEX('GMW - $100 oil'!$A$2:$MC$200,MATCH(1,('GMW - $100 oil'!$MC$2:$MC$200=K$3)*('GMW - $100 oil'!$MB$2:$MB$200=K$4),0),$E55-1973)</f>
        <v>#N/A</v>
      </c>
      <c r="L55" t="e" cm="1">
        <f t="array" ref="L55">INDEX('GMW - $100 oil'!$A$2:$MC$200,MATCH(1,('GMW - $100 oil'!$MC$2:$MC$200=L$3)*('GMW - $100 oil'!$MB$2:$MB$200=L$4),0),$E55-1973)</f>
        <v>#N/A</v>
      </c>
      <c r="M55" t="e" cm="1">
        <f t="array" ref="M55">INDEX('GMW - $100 oil'!$A$2:$MC$200,MATCH(1,('GMW - $100 oil'!$MC$2:$MC$200=M$3)*('GMW - $100 oil'!$MB$2:$MB$200=M$4),0),$E55-1973)</f>
        <v>#N/A</v>
      </c>
      <c r="N55" t="e" cm="1">
        <f t="array" ref="N55">INDEX('GMW - $100 oil'!$A$2:$MC$200,MATCH(1,('GMW - $100 oil'!$MC$2:$MC$200=N$3)*('GMW - $100 oil'!$MB$2:$MB$200=N$4),0),$E55-1973)</f>
        <v>#N/A</v>
      </c>
      <c r="O55" t="e" cm="1">
        <f t="array" ref="O55">INDEX('GMW - $100 oil'!$A$2:$MC$200,MATCH(1,('GMW - $100 oil'!$MC$2:$MC$200=O$3)*('GMW - $100 oil'!$MB$2:$MB$200=O$4),0),$E55-1973)</f>
        <v>#N/A</v>
      </c>
      <c r="P55" t="e" cm="1">
        <f t="array" ref="P55">INDEX('GMW - $100 oil'!$A$2:$MC$200,MATCH(1,('GMW - $100 oil'!$MC$2:$MC$200=P$3)*('GMW - $100 oil'!$MB$2:$MB$200=P$4),0),$E55-1973)</f>
        <v>#N/A</v>
      </c>
      <c r="Q55" t="e" cm="1">
        <f t="array" ref="Q55">INDEX('GMW - $100 oil'!$A$2:$MC$200,MATCH(1,('GMW - $100 oil'!$MC$2:$MC$200=Q$3)*('GMW - $100 oil'!$MB$2:$MB$200=Q$4),0),$E55-1973)</f>
        <v>#N/A</v>
      </c>
      <c r="R55" t="e" cm="1">
        <f t="array" ref="R55">INDEX('GMW - $100 oil'!$A$2:$MC$200,MATCH(1,('GMW - $100 oil'!$MC$2:$MC$200=R$3)*('GMW - $100 oil'!$MB$2:$MB$200=R$4),0),$E55-1973)</f>
        <v>#N/A</v>
      </c>
      <c r="S55" t="e" cm="1">
        <f t="array" ref="S55">INDEX('GMW - $100 oil'!$A$2:$MC$200,MATCH(1,('GMW - $100 oil'!$MC$2:$MC$200=S$3)*('GMW - $100 oil'!$MB$2:$MB$200=S$4),0),$E55-1973)</f>
        <v>#N/A</v>
      </c>
      <c r="T55" t="e" cm="1">
        <f t="array" ref="T55">INDEX('GMW - $100 oil'!$A$2:$MC$200,MATCH(1,('GMW - $100 oil'!$MC$2:$MC$200=T$3)*('GMW - $100 oil'!$MB$2:$MB$200=T$4),0),$E55-1973)</f>
        <v>#N/A</v>
      </c>
    </row>
    <row r="56" spans="1:20" x14ac:dyDescent="0.25">
      <c r="B56">
        <f t="shared" si="4"/>
        <v>1992</v>
      </c>
      <c r="C56">
        <f t="shared" si="4"/>
        <v>1992</v>
      </c>
      <c r="E56">
        <f t="shared" si="1"/>
        <v>2029</v>
      </c>
      <c r="F56" cm="1">
        <f t="array" ref="F56">INDEX('GMW - $100 oil'!$A$2:$MC$200,MATCH(1,('GMW - $100 oil'!$MC$2:$MC$200=F$3)*('GMW - $100 oil'!$MB$2:$MB$200=F$4),0),$E56-1973)</f>
        <v>372751</v>
      </c>
      <c r="G56" cm="1">
        <f t="array" ref="G56">INDEX('GMW - $100 oil'!$A$2:$MC$200,MATCH(1,('GMW - $100 oil'!$MC$2:$MC$200=G$3)*('GMW - $100 oil'!$MB$2:$MB$200=G$4),0),$E56-1973)</f>
        <v>215855</v>
      </c>
      <c r="H56" cm="1">
        <f t="array" ref="H56">INDEX('GMW - $100 oil'!$A$2:$MC$200,MATCH(1,('GMW - $100 oil'!$MC$2:$MC$200=H$3)*('GMW - $100 oil'!$MB$2:$MB$200=H$4),0),$E56-1973)</f>
        <v>62.833329999999997</v>
      </c>
      <c r="I56" cm="1">
        <f t="array" ref="I56">INDEX('GMW - $100 oil'!$A$2:$MC$200,MATCH(1,('GMW - $100 oil'!$MC$2:$MC$200=I$3)*('GMW - $100 oil'!$MB$2:$MB$200=I$4),0),$E56-1973)</f>
        <v>10.059620000000001</v>
      </c>
      <c r="J56" t="e" cm="1">
        <f t="array" ref="J56">INDEX('GMW - $100 oil'!$A$2:$MC$200,MATCH(1,('GMW - $100 oil'!$MC$2:$MC$200=J$3)*('GMW - $100 oil'!$MB$2:$MB$200=J$4),0),$E56-1973)</f>
        <v>#N/A</v>
      </c>
      <c r="K56" t="e" cm="1">
        <f t="array" ref="K56">INDEX('GMW - $100 oil'!$A$2:$MC$200,MATCH(1,('GMW - $100 oil'!$MC$2:$MC$200=K$3)*('GMW - $100 oil'!$MB$2:$MB$200=K$4),0),$E56-1973)</f>
        <v>#N/A</v>
      </c>
      <c r="L56" t="e" cm="1">
        <f t="array" ref="L56">INDEX('GMW - $100 oil'!$A$2:$MC$200,MATCH(1,('GMW - $100 oil'!$MC$2:$MC$200=L$3)*('GMW - $100 oil'!$MB$2:$MB$200=L$4),0),$E56-1973)</f>
        <v>#N/A</v>
      </c>
      <c r="M56" t="e" cm="1">
        <f t="array" ref="M56">INDEX('GMW - $100 oil'!$A$2:$MC$200,MATCH(1,('GMW - $100 oil'!$MC$2:$MC$200=M$3)*('GMW - $100 oil'!$MB$2:$MB$200=M$4),0),$E56-1973)</f>
        <v>#N/A</v>
      </c>
      <c r="N56" t="e" cm="1">
        <f t="array" ref="N56">INDEX('GMW - $100 oil'!$A$2:$MC$200,MATCH(1,('GMW - $100 oil'!$MC$2:$MC$200=N$3)*('GMW - $100 oil'!$MB$2:$MB$200=N$4),0),$E56-1973)</f>
        <v>#N/A</v>
      </c>
      <c r="O56" t="e" cm="1">
        <f t="array" ref="O56">INDEX('GMW - $100 oil'!$A$2:$MC$200,MATCH(1,('GMW - $100 oil'!$MC$2:$MC$200=O$3)*('GMW - $100 oil'!$MB$2:$MB$200=O$4),0),$E56-1973)</f>
        <v>#N/A</v>
      </c>
      <c r="P56" t="e" cm="1">
        <f t="array" ref="P56">INDEX('GMW - $100 oil'!$A$2:$MC$200,MATCH(1,('GMW - $100 oil'!$MC$2:$MC$200=P$3)*('GMW - $100 oil'!$MB$2:$MB$200=P$4),0),$E56-1973)</f>
        <v>#N/A</v>
      </c>
      <c r="Q56" t="e" cm="1">
        <f t="array" ref="Q56">INDEX('GMW - $100 oil'!$A$2:$MC$200,MATCH(1,('GMW - $100 oil'!$MC$2:$MC$200=Q$3)*('GMW - $100 oil'!$MB$2:$MB$200=Q$4),0),$E56-1973)</f>
        <v>#N/A</v>
      </c>
      <c r="R56" t="e" cm="1">
        <f t="array" ref="R56">INDEX('GMW - $100 oil'!$A$2:$MC$200,MATCH(1,('GMW - $100 oil'!$MC$2:$MC$200=R$3)*('GMW - $100 oil'!$MB$2:$MB$200=R$4),0),$E56-1973)</f>
        <v>#N/A</v>
      </c>
      <c r="S56" t="e" cm="1">
        <f t="array" ref="S56">INDEX('GMW - $100 oil'!$A$2:$MC$200,MATCH(1,('GMW - $100 oil'!$MC$2:$MC$200=S$3)*('GMW - $100 oil'!$MB$2:$MB$200=S$4),0),$E56-1973)</f>
        <v>#N/A</v>
      </c>
      <c r="T56" t="e" cm="1">
        <f t="array" ref="T56">INDEX('GMW - $100 oil'!$A$2:$MC$200,MATCH(1,('GMW - $100 oil'!$MC$2:$MC$200=T$3)*('GMW - $100 oil'!$MB$2:$MB$200=T$4),0),$E56-1973)</f>
        <v>#N/A</v>
      </c>
    </row>
    <row r="57" spans="1:20" x14ac:dyDescent="0.25">
      <c r="B57">
        <f t="shared" si="4"/>
        <v>1992</v>
      </c>
      <c r="C57">
        <f t="shared" si="4"/>
        <v>1992</v>
      </c>
      <c r="E57">
        <f t="shared" si="1"/>
        <v>2030</v>
      </c>
      <c r="F57" cm="1">
        <f t="array" ref="F57">INDEX('GMW - $100 oil'!$A$2:$MC$200,MATCH(1,('GMW - $100 oil'!$MC$2:$MC$200=F$3)*('GMW - $100 oil'!$MB$2:$MB$200=F$4),0),$E57-1973)</f>
        <v>374537</v>
      </c>
      <c r="G57" cm="1">
        <f t="array" ref="G57">INDEX('GMW - $100 oil'!$A$2:$MC$200,MATCH(1,('GMW - $100 oil'!$MC$2:$MC$200=G$3)*('GMW - $100 oil'!$MB$2:$MB$200=G$4),0),$E57-1973)</f>
        <v>217123</v>
      </c>
      <c r="H57" cm="1">
        <f t="array" ref="H57">INDEX('GMW - $100 oil'!$A$2:$MC$200,MATCH(1,('GMW - $100 oil'!$MC$2:$MC$200=H$3)*('GMW - $100 oil'!$MB$2:$MB$200=H$4),0),$E57-1973)</f>
        <v>62.733330000000002</v>
      </c>
      <c r="I57" cm="1">
        <f t="array" ref="I57">INDEX('GMW - $100 oil'!$A$2:$MC$200,MATCH(1,('GMW - $100 oil'!$MC$2:$MC$200=I$3)*('GMW - $100 oil'!$MB$2:$MB$200=I$4),0),$E57-1973)</f>
        <v>9.7689389999999996</v>
      </c>
      <c r="J57" t="e" cm="1">
        <f t="array" ref="J57">INDEX('GMW - $100 oil'!$A$2:$MC$200,MATCH(1,('GMW - $100 oil'!$MC$2:$MC$200=J$3)*('GMW - $100 oil'!$MB$2:$MB$200=J$4),0),$E57-1973)</f>
        <v>#N/A</v>
      </c>
      <c r="K57" t="e" cm="1">
        <f t="array" ref="K57">INDEX('GMW - $100 oil'!$A$2:$MC$200,MATCH(1,('GMW - $100 oil'!$MC$2:$MC$200=K$3)*('GMW - $100 oil'!$MB$2:$MB$200=K$4),0),$E57-1973)</f>
        <v>#N/A</v>
      </c>
      <c r="L57" t="e" cm="1">
        <f t="array" ref="L57">INDEX('GMW - $100 oil'!$A$2:$MC$200,MATCH(1,('GMW - $100 oil'!$MC$2:$MC$200=L$3)*('GMW - $100 oil'!$MB$2:$MB$200=L$4),0),$E57-1973)</f>
        <v>#N/A</v>
      </c>
      <c r="M57" t="e" cm="1">
        <f t="array" ref="M57">INDEX('GMW - $100 oil'!$A$2:$MC$200,MATCH(1,('GMW - $100 oil'!$MC$2:$MC$200=M$3)*('GMW - $100 oil'!$MB$2:$MB$200=M$4),0),$E57-1973)</f>
        <v>#N/A</v>
      </c>
      <c r="N57" t="e" cm="1">
        <f t="array" ref="N57">INDEX('GMW - $100 oil'!$A$2:$MC$200,MATCH(1,('GMW - $100 oil'!$MC$2:$MC$200=N$3)*('GMW - $100 oil'!$MB$2:$MB$200=N$4),0),$E57-1973)</f>
        <v>#N/A</v>
      </c>
      <c r="O57" t="e" cm="1">
        <f t="array" ref="O57">INDEX('GMW - $100 oil'!$A$2:$MC$200,MATCH(1,('GMW - $100 oil'!$MC$2:$MC$200=O$3)*('GMW - $100 oil'!$MB$2:$MB$200=O$4),0),$E57-1973)</f>
        <v>#N/A</v>
      </c>
      <c r="P57" t="e" cm="1">
        <f t="array" ref="P57">INDEX('GMW - $100 oil'!$A$2:$MC$200,MATCH(1,('GMW - $100 oil'!$MC$2:$MC$200=P$3)*('GMW - $100 oil'!$MB$2:$MB$200=P$4),0),$E57-1973)</f>
        <v>#N/A</v>
      </c>
      <c r="Q57" t="e" cm="1">
        <f t="array" ref="Q57">INDEX('GMW - $100 oil'!$A$2:$MC$200,MATCH(1,('GMW - $100 oil'!$MC$2:$MC$200=Q$3)*('GMW - $100 oil'!$MB$2:$MB$200=Q$4),0),$E57-1973)</f>
        <v>#N/A</v>
      </c>
      <c r="R57" t="e" cm="1">
        <f t="array" ref="R57">INDEX('GMW - $100 oil'!$A$2:$MC$200,MATCH(1,('GMW - $100 oil'!$MC$2:$MC$200=R$3)*('GMW - $100 oil'!$MB$2:$MB$200=R$4),0),$E57-1973)</f>
        <v>#N/A</v>
      </c>
      <c r="S57" t="e" cm="1">
        <f t="array" ref="S57">INDEX('GMW - $100 oil'!$A$2:$MC$200,MATCH(1,('GMW - $100 oil'!$MC$2:$MC$200=S$3)*('GMW - $100 oil'!$MB$2:$MB$200=S$4),0),$E57-1973)</f>
        <v>#N/A</v>
      </c>
      <c r="T57" t="e" cm="1">
        <f t="array" ref="T57">INDEX('GMW - $100 oil'!$A$2:$MC$200,MATCH(1,('GMW - $100 oil'!$MC$2:$MC$200=T$3)*('GMW - $100 oil'!$MB$2:$MB$200=T$4),0),$E57-1973)</f>
        <v>#N/A</v>
      </c>
    </row>
    <row r="58" spans="1:20" x14ac:dyDescent="0.25">
      <c r="B58">
        <f t="shared" si="4"/>
        <v>1992</v>
      </c>
      <c r="C58">
        <f t="shared" si="4"/>
        <v>1992</v>
      </c>
      <c r="E58">
        <f t="shared" si="1"/>
        <v>2031</v>
      </c>
      <c r="F58" cm="1">
        <f t="array" ref="F58">INDEX('GMW - $100 oil'!$A$2:$MC$200,MATCH(1,('GMW - $100 oil'!$MC$2:$MC$200=F$3)*('GMW - $100 oil'!$MB$2:$MB$200=F$4),0),$E58-1973)</f>
        <v>377418</v>
      </c>
      <c r="G58" cm="1">
        <f t="array" ref="G58">INDEX('GMW - $100 oil'!$A$2:$MC$200,MATCH(1,('GMW - $100 oil'!$MC$2:$MC$200=G$3)*('GMW - $100 oil'!$MB$2:$MB$200=G$4),0),$E58-1973)</f>
        <v>217528</v>
      </c>
      <c r="H58" cm="1">
        <f t="array" ref="H58">INDEX('GMW - $100 oil'!$A$2:$MC$200,MATCH(1,('GMW - $100 oil'!$MC$2:$MC$200=H$3)*('GMW - $100 oil'!$MB$2:$MB$200=H$4),0),$E58-1973)</f>
        <v>63.133339999999997</v>
      </c>
      <c r="I58" cm="1">
        <f t="array" ref="I58">INDEX('GMW - $100 oil'!$A$2:$MC$200,MATCH(1,('GMW - $100 oil'!$MC$2:$MC$200=I$3)*('GMW - $100 oil'!$MB$2:$MB$200=I$4),0),$E58-1973)</f>
        <v>7.5113640000000004</v>
      </c>
      <c r="J58" t="e" cm="1">
        <f t="array" ref="J58">INDEX('GMW - $100 oil'!$A$2:$MC$200,MATCH(1,('GMW - $100 oil'!$MC$2:$MC$200=J$3)*('GMW - $100 oil'!$MB$2:$MB$200=J$4),0),$E58-1973)</f>
        <v>#N/A</v>
      </c>
      <c r="K58" t="e" cm="1">
        <f t="array" ref="K58">INDEX('GMW - $100 oil'!$A$2:$MC$200,MATCH(1,('GMW - $100 oil'!$MC$2:$MC$200=K$3)*('GMW - $100 oil'!$MB$2:$MB$200=K$4),0),$E58-1973)</f>
        <v>#N/A</v>
      </c>
      <c r="L58" t="e" cm="1">
        <f t="array" ref="L58">INDEX('GMW - $100 oil'!$A$2:$MC$200,MATCH(1,('GMW - $100 oil'!$MC$2:$MC$200=L$3)*('GMW - $100 oil'!$MB$2:$MB$200=L$4),0),$E58-1973)</f>
        <v>#N/A</v>
      </c>
      <c r="M58" t="e" cm="1">
        <f t="array" ref="M58">INDEX('GMW - $100 oil'!$A$2:$MC$200,MATCH(1,('GMW - $100 oil'!$MC$2:$MC$200=M$3)*('GMW - $100 oil'!$MB$2:$MB$200=M$4),0),$E58-1973)</f>
        <v>#N/A</v>
      </c>
      <c r="N58" t="e" cm="1">
        <f t="array" ref="N58">INDEX('GMW - $100 oil'!$A$2:$MC$200,MATCH(1,('GMW - $100 oil'!$MC$2:$MC$200=N$3)*('GMW - $100 oil'!$MB$2:$MB$200=N$4),0),$E58-1973)</f>
        <v>#N/A</v>
      </c>
      <c r="O58" t="e" cm="1">
        <f t="array" ref="O58">INDEX('GMW - $100 oil'!$A$2:$MC$200,MATCH(1,('GMW - $100 oil'!$MC$2:$MC$200=O$3)*('GMW - $100 oil'!$MB$2:$MB$200=O$4),0),$E58-1973)</f>
        <v>#N/A</v>
      </c>
      <c r="P58" t="e" cm="1">
        <f t="array" ref="P58">INDEX('GMW - $100 oil'!$A$2:$MC$200,MATCH(1,('GMW - $100 oil'!$MC$2:$MC$200=P$3)*('GMW - $100 oil'!$MB$2:$MB$200=P$4),0),$E58-1973)</f>
        <v>#N/A</v>
      </c>
      <c r="Q58" t="e" cm="1">
        <f t="array" ref="Q58">INDEX('GMW - $100 oil'!$A$2:$MC$200,MATCH(1,('GMW - $100 oil'!$MC$2:$MC$200=Q$3)*('GMW - $100 oil'!$MB$2:$MB$200=Q$4),0),$E58-1973)</f>
        <v>#N/A</v>
      </c>
      <c r="R58" t="e" cm="1">
        <f t="array" ref="R58">INDEX('GMW - $100 oil'!$A$2:$MC$200,MATCH(1,('GMW - $100 oil'!$MC$2:$MC$200=R$3)*('GMW - $100 oil'!$MB$2:$MB$200=R$4),0),$E58-1973)</f>
        <v>#N/A</v>
      </c>
      <c r="S58" t="e" cm="1">
        <f t="array" ref="S58">INDEX('GMW - $100 oil'!$A$2:$MC$200,MATCH(1,('GMW - $100 oil'!$MC$2:$MC$200=S$3)*('GMW - $100 oil'!$MB$2:$MB$200=S$4),0),$E58-1973)</f>
        <v>#N/A</v>
      </c>
      <c r="T58" t="e" cm="1">
        <f t="array" ref="T58">INDEX('GMW - $100 oil'!$A$2:$MC$200,MATCH(1,('GMW - $100 oil'!$MC$2:$MC$200=T$3)*('GMW - $100 oil'!$MB$2:$MB$200=T$4),0),$E58-1973)</f>
        <v>#N/A</v>
      </c>
    </row>
    <row r="59" spans="1:20" x14ac:dyDescent="0.25">
      <c r="A59">
        <v>1993</v>
      </c>
      <c r="B59">
        <f t="shared" si="4"/>
        <v>1993</v>
      </c>
      <c r="C59">
        <f t="shared" si="4"/>
        <v>1992</v>
      </c>
      <c r="D59">
        <f t="shared" si="4"/>
        <v>1992</v>
      </c>
      <c r="E59">
        <f t="shared" si="1"/>
        <v>2032</v>
      </c>
      <c r="F59" cm="1">
        <f t="array" ref="F59">INDEX('GMW - $100 oil'!$A$2:$MC$200,MATCH(1,('GMW - $100 oil'!$MC$2:$MC$200=F$3)*('GMW - $100 oil'!$MB$2:$MB$200=F$4),0),$E59-1973)</f>
        <v>379370</v>
      </c>
      <c r="G59" cm="1">
        <f t="array" ref="G59">INDEX('GMW - $100 oil'!$A$2:$MC$200,MATCH(1,('GMW - $100 oil'!$MC$2:$MC$200=G$3)*('GMW - $100 oil'!$MB$2:$MB$200=G$4),0),$E59-1973)</f>
        <v>219343</v>
      </c>
      <c r="H59" cm="1">
        <f t="array" ref="H59">INDEX('GMW - $100 oil'!$A$2:$MC$200,MATCH(1,('GMW - $100 oil'!$MC$2:$MC$200=H$3)*('GMW - $100 oil'!$MB$2:$MB$200=H$4),0),$E59-1973)</f>
        <v>63.2</v>
      </c>
      <c r="I59" cm="1">
        <f t="array" ref="I59">INDEX('GMW - $100 oil'!$A$2:$MC$200,MATCH(1,('GMW - $100 oil'!$MC$2:$MC$200=I$3)*('GMW - $100 oil'!$MB$2:$MB$200=I$4),0),$E59-1973)</f>
        <v>6.140625</v>
      </c>
      <c r="J59" t="e" cm="1">
        <f t="array" ref="J59">INDEX('GMW - $100 oil'!$A$2:$MC$200,MATCH(1,('GMW - $100 oil'!$MC$2:$MC$200=J$3)*('GMW - $100 oil'!$MB$2:$MB$200=J$4),0),$E59-1973)</f>
        <v>#N/A</v>
      </c>
      <c r="K59" t="e" cm="1">
        <f t="array" ref="K59">INDEX('GMW - $100 oil'!$A$2:$MC$200,MATCH(1,('GMW - $100 oil'!$MC$2:$MC$200=K$3)*('GMW - $100 oil'!$MB$2:$MB$200=K$4),0),$E59-1973)</f>
        <v>#N/A</v>
      </c>
      <c r="L59" t="e" cm="1">
        <f t="array" ref="L59">INDEX('GMW - $100 oil'!$A$2:$MC$200,MATCH(1,('GMW - $100 oil'!$MC$2:$MC$200=L$3)*('GMW - $100 oil'!$MB$2:$MB$200=L$4),0),$E59-1973)</f>
        <v>#N/A</v>
      </c>
      <c r="M59" t="e" cm="1">
        <f t="array" ref="M59">INDEX('GMW - $100 oil'!$A$2:$MC$200,MATCH(1,('GMW - $100 oil'!$MC$2:$MC$200=M$3)*('GMW - $100 oil'!$MB$2:$MB$200=M$4),0),$E59-1973)</f>
        <v>#N/A</v>
      </c>
      <c r="N59" t="e" cm="1">
        <f t="array" ref="N59">INDEX('GMW - $100 oil'!$A$2:$MC$200,MATCH(1,('GMW - $100 oil'!$MC$2:$MC$200=N$3)*('GMW - $100 oil'!$MB$2:$MB$200=N$4),0),$E59-1973)</f>
        <v>#N/A</v>
      </c>
      <c r="O59" t="e" cm="1">
        <f t="array" ref="O59">INDEX('GMW - $100 oil'!$A$2:$MC$200,MATCH(1,('GMW - $100 oil'!$MC$2:$MC$200=O$3)*('GMW - $100 oil'!$MB$2:$MB$200=O$4),0),$E59-1973)</f>
        <v>#N/A</v>
      </c>
      <c r="P59" t="e" cm="1">
        <f t="array" ref="P59">INDEX('GMW - $100 oil'!$A$2:$MC$200,MATCH(1,('GMW - $100 oil'!$MC$2:$MC$200=P$3)*('GMW - $100 oil'!$MB$2:$MB$200=P$4),0),$E59-1973)</f>
        <v>#N/A</v>
      </c>
      <c r="Q59" t="e" cm="1">
        <f t="array" ref="Q59">INDEX('GMW - $100 oil'!$A$2:$MC$200,MATCH(1,('GMW - $100 oil'!$MC$2:$MC$200=Q$3)*('GMW - $100 oil'!$MB$2:$MB$200=Q$4),0),$E59-1973)</f>
        <v>#N/A</v>
      </c>
      <c r="R59" t="e" cm="1">
        <f t="array" ref="R59">INDEX('GMW - $100 oil'!$A$2:$MC$200,MATCH(1,('GMW - $100 oil'!$MC$2:$MC$200=R$3)*('GMW - $100 oil'!$MB$2:$MB$200=R$4),0),$E59-1973)</f>
        <v>#N/A</v>
      </c>
      <c r="S59" t="e" cm="1">
        <f t="array" ref="S59">INDEX('GMW - $100 oil'!$A$2:$MC$200,MATCH(1,('GMW - $100 oil'!$MC$2:$MC$200=S$3)*('GMW - $100 oil'!$MB$2:$MB$200=S$4),0),$E59-1973)</f>
        <v>#N/A</v>
      </c>
      <c r="T59" t="e" cm="1">
        <f t="array" ref="T59">INDEX('GMW - $100 oil'!$A$2:$MC$200,MATCH(1,('GMW - $100 oil'!$MC$2:$MC$200=T$3)*('GMW - $100 oil'!$MB$2:$MB$200=T$4),0),$E59-1973)</f>
        <v>#N/A</v>
      </c>
    </row>
    <row r="60" spans="1:20" x14ac:dyDescent="0.25">
      <c r="B60">
        <f t="shared" ref="B60:D75" si="5">+B56+1</f>
        <v>1993</v>
      </c>
      <c r="C60">
        <f t="shared" si="5"/>
        <v>1993</v>
      </c>
      <c r="E60">
        <f t="shared" si="1"/>
        <v>2033</v>
      </c>
      <c r="F60" cm="1">
        <f t="array" ref="F60">INDEX('GMW - $100 oil'!$A$2:$MC$200,MATCH(1,('GMW - $100 oil'!$MC$2:$MC$200=F$3)*('GMW - $100 oil'!$MB$2:$MB$200=F$4),0),$E60-1973)</f>
        <v>381045</v>
      </c>
      <c r="G60" cm="1">
        <f t="array" ref="G60">INDEX('GMW - $100 oil'!$A$2:$MC$200,MATCH(1,('GMW - $100 oil'!$MC$2:$MC$200=G$3)*('GMW - $100 oil'!$MB$2:$MB$200=G$4),0),$E60-1973)</f>
        <v>219780</v>
      </c>
      <c r="H60" cm="1">
        <f t="array" ref="H60">INDEX('GMW - $100 oil'!$A$2:$MC$200,MATCH(1,('GMW - $100 oil'!$MC$2:$MC$200=H$3)*('GMW - $100 oil'!$MB$2:$MB$200=H$4),0),$E60-1973)</f>
        <v>64.433329999999998</v>
      </c>
      <c r="I60" cm="1">
        <f t="array" ref="I60">INDEX('GMW - $100 oil'!$A$2:$MC$200,MATCH(1,('GMW - $100 oil'!$MC$2:$MC$200=I$3)*('GMW - $100 oil'!$MB$2:$MB$200=I$4),0),$E60-1973)</f>
        <v>5.875</v>
      </c>
      <c r="J60" t="e" cm="1">
        <f t="array" ref="J60">INDEX('GMW - $100 oil'!$A$2:$MC$200,MATCH(1,('GMW - $100 oil'!$MC$2:$MC$200=J$3)*('GMW - $100 oil'!$MB$2:$MB$200=J$4),0),$E60-1973)</f>
        <v>#N/A</v>
      </c>
      <c r="K60" t="e" cm="1">
        <f t="array" ref="K60">INDEX('GMW - $100 oil'!$A$2:$MC$200,MATCH(1,('GMW - $100 oil'!$MC$2:$MC$200=K$3)*('GMW - $100 oil'!$MB$2:$MB$200=K$4),0),$E60-1973)</f>
        <v>#N/A</v>
      </c>
      <c r="L60" t="e" cm="1">
        <f t="array" ref="L60">INDEX('GMW - $100 oil'!$A$2:$MC$200,MATCH(1,('GMW - $100 oil'!$MC$2:$MC$200=L$3)*('GMW - $100 oil'!$MB$2:$MB$200=L$4),0),$E60-1973)</f>
        <v>#N/A</v>
      </c>
      <c r="M60" t="e" cm="1">
        <f t="array" ref="M60">INDEX('GMW - $100 oil'!$A$2:$MC$200,MATCH(1,('GMW - $100 oil'!$MC$2:$MC$200=M$3)*('GMW - $100 oil'!$MB$2:$MB$200=M$4),0),$E60-1973)</f>
        <v>#N/A</v>
      </c>
      <c r="N60" t="e" cm="1">
        <f t="array" ref="N60">INDEX('GMW - $100 oil'!$A$2:$MC$200,MATCH(1,('GMW - $100 oil'!$MC$2:$MC$200=N$3)*('GMW - $100 oil'!$MB$2:$MB$200=N$4),0),$E60-1973)</f>
        <v>#N/A</v>
      </c>
      <c r="O60" t="e" cm="1">
        <f t="array" ref="O60">INDEX('GMW - $100 oil'!$A$2:$MC$200,MATCH(1,('GMW - $100 oil'!$MC$2:$MC$200=O$3)*('GMW - $100 oil'!$MB$2:$MB$200=O$4),0),$E60-1973)</f>
        <v>#N/A</v>
      </c>
      <c r="P60" t="e" cm="1">
        <f t="array" ref="P60">INDEX('GMW - $100 oil'!$A$2:$MC$200,MATCH(1,('GMW - $100 oil'!$MC$2:$MC$200=P$3)*('GMW - $100 oil'!$MB$2:$MB$200=P$4),0),$E60-1973)</f>
        <v>#N/A</v>
      </c>
      <c r="Q60" t="e" cm="1">
        <f t="array" ref="Q60">INDEX('GMW - $100 oil'!$A$2:$MC$200,MATCH(1,('GMW - $100 oil'!$MC$2:$MC$200=Q$3)*('GMW - $100 oil'!$MB$2:$MB$200=Q$4),0),$E60-1973)</f>
        <v>#N/A</v>
      </c>
      <c r="R60" t="e" cm="1">
        <f t="array" ref="R60">INDEX('GMW - $100 oil'!$A$2:$MC$200,MATCH(1,('GMW - $100 oil'!$MC$2:$MC$200=R$3)*('GMW - $100 oil'!$MB$2:$MB$200=R$4),0),$E60-1973)</f>
        <v>#N/A</v>
      </c>
      <c r="S60" t="e" cm="1">
        <f t="array" ref="S60">INDEX('GMW - $100 oil'!$A$2:$MC$200,MATCH(1,('GMW - $100 oil'!$MC$2:$MC$200=S$3)*('GMW - $100 oil'!$MB$2:$MB$200=S$4),0),$E60-1973)</f>
        <v>#N/A</v>
      </c>
      <c r="T60" t="e" cm="1">
        <f t="array" ref="T60">INDEX('GMW - $100 oil'!$A$2:$MC$200,MATCH(1,('GMW - $100 oil'!$MC$2:$MC$200=T$3)*('GMW - $100 oil'!$MB$2:$MB$200=T$4),0),$E60-1973)</f>
        <v>#N/A</v>
      </c>
    </row>
    <row r="61" spans="1:20" x14ac:dyDescent="0.25">
      <c r="B61">
        <f t="shared" si="5"/>
        <v>1993</v>
      </c>
      <c r="C61">
        <f t="shared" si="5"/>
        <v>1993</v>
      </c>
      <c r="E61">
        <f t="shared" si="1"/>
        <v>2034</v>
      </c>
      <c r="F61" cm="1">
        <f t="array" ref="F61">INDEX('GMW - $100 oil'!$A$2:$MC$200,MATCH(1,('GMW - $100 oil'!$MC$2:$MC$200=F$3)*('GMW - $100 oil'!$MB$2:$MB$200=F$4),0),$E61-1973)</f>
        <v>384524</v>
      </c>
      <c r="G61" cm="1">
        <f t="array" ref="G61">INDEX('GMW - $100 oil'!$A$2:$MC$200,MATCH(1,('GMW - $100 oil'!$MC$2:$MC$200=G$3)*('GMW - $100 oil'!$MB$2:$MB$200=G$4),0),$E61-1973)</f>
        <v>223611</v>
      </c>
      <c r="H61" cm="1">
        <f t="array" ref="H61">INDEX('GMW - $100 oil'!$A$2:$MC$200,MATCH(1,('GMW - $100 oil'!$MC$2:$MC$200=H$3)*('GMW - $100 oil'!$MB$2:$MB$200=H$4),0),$E61-1973)</f>
        <v>64.5</v>
      </c>
      <c r="I61" cm="1">
        <f t="array" ref="I61">INDEX('GMW - $100 oil'!$A$2:$MC$200,MATCH(1,('GMW - $100 oil'!$MC$2:$MC$200=I$3)*('GMW - $100 oil'!$MB$2:$MB$200=I$4),0),$E61-1973)</f>
        <v>5.875</v>
      </c>
      <c r="J61" t="e" cm="1">
        <f t="array" ref="J61">INDEX('GMW - $100 oil'!$A$2:$MC$200,MATCH(1,('GMW - $100 oil'!$MC$2:$MC$200=J$3)*('GMW - $100 oil'!$MB$2:$MB$200=J$4),0),$E61-1973)</f>
        <v>#N/A</v>
      </c>
      <c r="K61" t="e" cm="1">
        <f t="array" ref="K61">INDEX('GMW - $100 oil'!$A$2:$MC$200,MATCH(1,('GMW - $100 oil'!$MC$2:$MC$200=K$3)*('GMW - $100 oil'!$MB$2:$MB$200=K$4),0),$E61-1973)</f>
        <v>#N/A</v>
      </c>
      <c r="L61" t="e" cm="1">
        <f t="array" ref="L61">INDEX('GMW - $100 oil'!$A$2:$MC$200,MATCH(1,('GMW - $100 oil'!$MC$2:$MC$200=L$3)*('GMW - $100 oil'!$MB$2:$MB$200=L$4),0),$E61-1973)</f>
        <v>#N/A</v>
      </c>
      <c r="M61" t="e" cm="1">
        <f t="array" ref="M61">INDEX('GMW - $100 oil'!$A$2:$MC$200,MATCH(1,('GMW - $100 oil'!$MC$2:$MC$200=M$3)*('GMW - $100 oil'!$MB$2:$MB$200=M$4),0),$E61-1973)</f>
        <v>#N/A</v>
      </c>
      <c r="N61" t="e" cm="1">
        <f t="array" ref="N61">INDEX('GMW - $100 oil'!$A$2:$MC$200,MATCH(1,('GMW - $100 oil'!$MC$2:$MC$200=N$3)*('GMW - $100 oil'!$MB$2:$MB$200=N$4),0),$E61-1973)</f>
        <v>#N/A</v>
      </c>
      <c r="O61" t="e" cm="1">
        <f t="array" ref="O61">INDEX('GMW - $100 oil'!$A$2:$MC$200,MATCH(1,('GMW - $100 oil'!$MC$2:$MC$200=O$3)*('GMW - $100 oil'!$MB$2:$MB$200=O$4),0),$E61-1973)</f>
        <v>#N/A</v>
      </c>
      <c r="P61" t="e" cm="1">
        <f t="array" ref="P61">INDEX('GMW - $100 oil'!$A$2:$MC$200,MATCH(1,('GMW - $100 oil'!$MC$2:$MC$200=P$3)*('GMW - $100 oil'!$MB$2:$MB$200=P$4),0),$E61-1973)</f>
        <v>#N/A</v>
      </c>
      <c r="Q61" t="e" cm="1">
        <f t="array" ref="Q61">INDEX('GMW - $100 oil'!$A$2:$MC$200,MATCH(1,('GMW - $100 oil'!$MC$2:$MC$200=Q$3)*('GMW - $100 oil'!$MB$2:$MB$200=Q$4),0),$E61-1973)</f>
        <v>#N/A</v>
      </c>
      <c r="R61" t="e" cm="1">
        <f t="array" ref="R61">INDEX('GMW - $100 oil'!$A$2:$MC$200,MATCH(1,('GMW - $100 oil'!$MC$2:$MC$200=R$3)*('GMW - $100 oil'!$MB$2:$MB$200=R$4),0),$E61-1973)</f>
        <v>#N/A</v>
      </c>
      <c r="S61" t="e" cm="1">
        <f t="array" ref="S61">INDEX('GMW - $100 oil'!$A$2:$MC$200,MATCH(1,('GMW - $100 oil'!$MC$2:$MC$200=S$3)*('GMW - $100 oil'!$MB$2:$MB$200=S$4),0),$E61-1973)</f>
        <v>#N/A</v>
      </c>
      <c r="T61" t="e" cm="1">
        <f t="array" ref="T61">INDEX('GMW - $100 oil'!$A$2:$MC$200,MATCH(1,('GMW - $100 oil'!$MC$2:$MC$200=T$3)*('GMW - $100 oil'!$MB$2:$MB$200=T$4),0),$E61-1973)</f>
        <v>#N/A</v>
      </c>
    </row>
    <row r="62" spans="1:20" x14ac:dyDescent="0.25">
      <c r="B62">
        <f t="shared" si="5"/>
        <v>1993</v>
      </c>
      <c r="C62">
        <f t="shared" si="5"/>
        <v>1993</v>
      </c>
      <c r="E62">
        <f t="shared" si="1"/>
        <v>2035</v>
      </c>
      <c r="F62" cm="1">
        <f t="array" ref="F62">INDEX('GMW - $100 oil'!$A$2:$MC$200,MATCH(1,('GMW - $100 oil'!$MC$2:$MC$200=F$3)*('GMW - $100 oil'!$MB$2:$MB$200=F$4),0),$E62-1973)</f>
        <v>387143</v>
      </c>
      <c r="G62" cm="1">
        <f t="array" ref="G62">INDEX('GMW - $100 oil'!$A$2:$MC$200,MATCH(1,('GMW - $100 oil'!$MC$2:$MC$200=G$3)*('GMW - $100 oil'!$MB$2:$MB$200=G$4),0),$E62-1973)</f>
        <v>225346</v>
      </c>
      <c r="H62" cm="1">
        <f t="array" ref="H62">INDEX('GMW - $100 oil'!$A$2:$MC$200,MATCH(1,('GMW - $100 oil'!$MC$2:$MC$200=H$3)*('GMW - $100 oil'!$MB$2:$MB$200=H$4),0),$E62-1973)</f>
        <v>64.666659999999993</v>
      </c>
      <c r="I62" cm="1">
        <f t="array" ref="I62">INDEX('GMW - $100 oil'!$A$2:$MC$200,MATCH(1,('GMW - $100 oil'!$MC$2:$MC$200=I$3)*('GMW - $100 oil'!$MB$2:$MB$200=I$4),0),$E62-1973)</f>
        <v>5.655303</v>
      </c>
      <c r="J62" t="e" cm="1">
        <f t="array" ref="J62">INDEX('GMW - $100 oil'!$A$2:$MC$200,MATCH(1,('GMW - $100 oil'!$MC$2:$MC$200=J$3)*('GMW - $100 oil'!$MB$2:$MB$200=J$4),0),$E62-1973)</f>
        <v>#N/A</v>
      </c>
      <c r="K62" t="e" cm="1">
        <f t="array" ref="K62">INDEX('GMW - $100 oil'!$A$2:$MC$200,MATCH(1,('GMW - $100 oil'!$MC$2:$MC$200=K$3)*('GMW - $100 oil'!$MB$2:$MB$200=K$4),0),$E62-1973)</f>
        <v>#N/A</v>
      </c>
      <c r="L62" t="e" cm="1">
        <f t="array" ref="L62">INDEX('GMW - $100 oil'!$A$2:$MC$200,MATCH(1,('GMW - $100 oil'!$MC$2:$MC$200=L$3)*('GMW - $100 oil'!$MB$2:$MB$200=L$4),0),$E62-1973)</f>
        <v>#N/A</v>
      </c>
      <c r="M62" t="e" cm="1">
        <f t="array" ref="M62">INDEX('GMW - $100 oil'!$A$2:$MC$200,MATCH(1,('GMW - $100 oil'!$MC$2:$MC$200=M$3)*('GMW - $100 oil'!$MB$2:$MB$200=M$4),0),$E62-1973)</f>
        <v>#N/A</v>
      </c>
      <c r="N62" t="e" cm="1">
        <f t="array" ref="N62">INDEX('GMW - $100 oil'!$A$2:$MC$200,MATCH(1,('GMW - $100 oil'!$MC$2:$MC$200=N$3)*('GMW - $100 oil'!$MB$2:$MB$200=N$4),0),$E62-1973)</f>
        <v>#N/A</v>
      </c>
      <c r="O62" t="e" cm="1">
        <f t="array" ref="O62">INDEX('GMW - $100 oil'!$A$2:$MC$200,MATCH(1,('GMW - $100 oil'!$MC$2:$MC$200=O$3)*('GMW - $100 oil'!$MB$2:$MB$200=O$4),0),$E62-1973)</f>
        <v>#N/A</v>
      </c>
      <c r="P62" t="e" cm="1">
        <f t="array" ref="P62">INDEX('GMW - $100 oil'!$A$2:$MC$200,MATCH(1,('GMW - $100 oil'!$MC$2:$MC$200=P$3)*('GMW - $100 oil'!$MB$2:$MB$200=P$4),0),$E62-1973)</f>
        <v>#N/A</v>
      </c>
      <c r="Q62" t="e" cm="1">
        <f t="array" ref="Q62">INDEX('GMW - $100 oil'!$A$2:$MC$200,MATCH(1,('GMW - $100 oil'!$MC$2:$MC$200=Q$3)*('GMW - $100 oil'!$MB$2:$MB$200=Q$4),0),$E62-1973)</f>
        <v>#N/A</v>
      </c>
      <c r="R62" t="e" cm="1">
        <f t="array" ref="R62">INDEX('GMW - $100 oil'!$A$2:$MC$200,MATCH(1,('GMW - $100 oil'!$MC$2:$MC$200=R$3)*('GMW - $100 oil'!$MB$2:$MB$200=R$4),0),$E62-1973)</f>
        <v>#N/A</v>
      </c>
      <c r="S62" t="e" cm="1">
        <f t="array" ref="S62">INDEX('GMW - $100 oil'!$A$2:$MC$200,MATCH(1,('GMW - $100 oil'!$MC$2:$MC$200=S$3)*('GMW - $100 oil'!$MB$2:$MB$200=S$4),0),$E62-1973)</f>
        <v>#N/A</v>
      </c>
      <c r="T62" t="e" cm="1">
        <f t="array" ref="T62">INDEX('GMW - $100 oil'!$A$2:$MC$200,MATCH(1,('GMW - $100 oil'!$MC$2:$MC$200=T$3)*('GMW - $100 oil'!$MB$2:$MB$200=T$4),0),$E62-1973)</f>
        <v>#N/A</v>
      </c>
    </row>
    <row r="63" spans="1:20" x14ac:dyDescent="0.25">
      <c r="A63">
        <v>1994</v>
      </c>
      <c r="B63">
        <f t="shared" si="5"/>
        <v>1994</v>
      </c>
      <c r="C63">
        <f t="shared" si="5"/>
        <v>1993</v>
      </c>
      <c r="D63">
        <f t="shared" si="5"/>
        <v>1993</v>
      </c>
      <c r="E63">
        <f t="shared" si="1"/>
        <v>2036</v>
      </c>
      <c r="F63" cm="1">
        <f t="array" ref="F63">INDEX('GMW - $100 oil'!$A$2:$MC$200,MATCH(1,('GMW - $100 oil'!$MC$2:$MC$200=F$3)*('GMW - $100 oil'!$MB$2:$MB$200=F$4),0),$E63-1973)</f>
        <v>391026</v>
      </c>
      <c r="G63" cm="1">
        <f t="array" ref="G63">INDEX('GMW - $100 oil'!$A$2:$MC$200,MATCH(1,('GMW - $100 oil'!$MC$2:$MC$200=G$3)*('GMW - $100 oil'!$MB$2:$MB$200=G$4),0),$E63-1973)</f>
        <v>227586</v>
      </c>
      <c r="H63" cm="1">
        <f t="array" ref="H63">INDEX('GMW - $100 oil'!$A$2:$MC$200,MATCH(1,('GMW - $100 oil'!$MC$2:$MC$200=H$3)*('GMW - $100 oil'!$MB$2:$MB$200=H$4),0),$E63-1973)</f>
        <v>64.766670000000005</v>
      </c>
      <c r="I63" cm="1">
        <f t="array" ref="I63">INDEX('GMW - $100 oil'!$A$2:$MC$200,MATCH(1,('GMW - $100 oil'!$MC$2:$MC$200=I$3)*('GMW - $100 oil'!$MB$2:$MB$200=I$4),0),$E63-1973)</f>
        <v>5.2265629999999996</v>
      </c>
      <c r="J63" t="e" cm="1">
        <f t="array" ref="J63">INDEX('GMW - $100 oil'!$A$2:$MC$200,MATCH(1,('GMW - $100 oil'!$MC$2:$MC$200=J$3)*('GMW - $100 oil'!$MB$2:$MB$200=J$4),0),$E63-1973)</f>
        <v>#N/A</v>
      </c>
      <c r="K63" t="e" cm="1">
        <f t="array" ref="K63">INDEX('GMW - $100 oil'!$A$2:$MC$200,MATCH(1,('GMW - $100 oil'!$MC$2:$MC$200=K$3)*('GMW - $100 oil'!$MB$2:$MB$200=K$4),0),$E63-1973)</f>
        <v>#N/A</v>
      </c>
      <c r="L63" t="e" cm="1">
        <f t="array" ref="L63">INDEX('GMW - $100 oil'!$A$2:$MC$200,MATCH(1,('GMW - $100 oil'!$MC$2:$MC$200=L$3)*('GMW - $100 oil'!$MB$2:$MB$200=L$4),0),$E63-1973)</f>
        <v>#N/A</v>
      </c>
      <c r="M63" t="e" cm="1">
        <f t="array" ref="M63">INDEX('GMW - $100 oil'!$A$2:$MC$200,MATCH(1,('GMW - $100 oil'!$MC$2:$MC$200=M$3)*('GMW - $100 oil'!$MB$2:$MB$200=M$4),0),$E63-1973)</f>
        <v>#N/A</v>
      </c>
      <c r="N63" t="e" cm="1">
        <f t="array" ref="N63">INDEX('GMW - $100 oil'!$A$2:$MC$200,MATCH(1,('GMW - $100 oil'!$MC$2:$MC$200=N$3)*('GMW - $100 oil'!$MB$2:$MB$200=N$4),0),$E63-1973)</f>
        <v>#N/A</v>
      </c>
      <c r="O63" t="e" cm="1">
        <f t="array" ref="O63">INDEX('GMW - $100 oil'!$A$2:$MC$200,MATCH(1,('GMW - $100 oil'!$MC$2:$MC$200=O$3)*('GMW - $100 oil'!$MB$2:$MB$200=O$4),0),$E63-1973)</f>
        <v>#N/A</v>
      </c>
      <c r="P63" t="e" cm="1">
        <f t="array" ref="P63">INDEX('GMW - $100 oil'!$A$2:$MC$200,MATCH(1,('GMW - $100 oil'!$MC$2:$MC$200=P$3)*('GMW - $100 oil'!$MB$2:$MB$200=P$4),0),$E63-1973)</f>
        <v>#N/A</v>
      </c>
      <c r="Q63" t="e" cm="1">
        <f t="array" ref="Q63">INDEX('GMW - $100 oil'!$A$2:$MC$200,MATCH(1,('GMW - $100 oil'!$MC$2:$MC$200=Q$3)*('GMW - $100 oil'!$MB$2:$MB$200=Q$4),0),$E63-1973)</f>
        <v>#N/A</v>
      </c>
      <c r="R63" t="e" cm="1">
        <f t="array" ref="R63">INDEX('GMW - $100 oil'!$A$2:$MC$200,MATCH(1,('GMW - $100 oil'!$MC$2:$MC$200=R$3)*('GMW - $100 oil'!$MB$2:$MB$200=R$4),0),$E63-1973)</f>
        <v>#N/A</v>
      </c>
      <c r="S63" t="e" cm="1">
        <f t="array" ref="S63">INDEX('GMW - $100 oil'!$A$2:$MC$200,MATCH(1,('GMW - $100 oil'!$MC$2:$MC$200=S$3)*('GMW - $100 oil'!$MB$2:$MB$200=S$4),0),$E63-1973)</f>
        <v>#N/A</v>
      </c>
      <c r="T63" t="e" cm="1">
        <f t="array" ref="T63">INDEX('GMW - $100 oil'!$A$2:$MC$200,MATCH(1,('GMW - $100 oil'!$MC$2:$MC$200=T$3)*('GMW - $100 oil'!$MB$2:$MB$200=T$4),0),$E63-1973)</f>
        <v>#N/A</v>
      </c>
    </row>
    <row r="64" spans="1:20" x14ac:dyDescent="0.25">
      <c r="B64">
        <f t="shared" si="5"/>
        <v>1994</v>
      </c>
      <c r="C64">
        <f t="shared" si="5"/>
        <v>1994</v>
      </c>
      <c r="E64">
        <f t="shared" si="1"/>
        <v>2037</v>
      </c>
      <c r="F64" cm="1">
        <f t="array" ref="F64">INDEX('GMW - $100 oil'!$A$2:$MC$200,MATCH(1,('GMW - $100 oil'!$MC$2:$MC$200=F$3)*('GMW - $100 oil'!$MB$2:$MB$200=F$4),0),$E64-1973)</f>
        <v>394588</v>
      </c>
      <c r="G64" cm="1">
        <f t="array" ref="G64">INDEX('GMW - $100 oil'!$A$2:$MC$200,MATCH(1,('GMW - $100 oil'!$MC$2:$MC$200=G$3)*('GMW - $100 oil'!$MB$2:$MB$200=G$4),0),$E64-1973)</f>
        <v>227983</v>
      </c>
      <c r="H64" cm="1">
        <f t="array" ref="H64">INDEX('GMW - $100 oil'!$A$2:$MC$200,MATCH(1,('GMW - $100 oil'!$MC$2:$MC$200=H$3)*('GMW - $100 oil'!$MB$2:$MB$200=H$4),0),$E64-1973)</f>
        <v>65.7</v>
      </c>
      <c r="I64" cm="1">
        <f t="array" ref="I64">INDEX('GMW - $100 oil'!$A$2:$MC$200,MATCH(1,('GMW - $100 oil'!$MC$2:$MC$200=I$3)*('GMW - $100 oil'!$MB$2:$MB$200=I$4),0),$E64-1973)</f>
        <v>5.125</v>
      </c>
      <c r="J64" t="e" cm="1">
        <f t="array" ref="J64">INDEX('GMW - $100 oil'!$A$2:$MC$200,MATCH(1,('GMW - $100 oil'!$MC$2:$MC$200=J$3)*('GMW - $100 oil'!$MB$2:$MB$200=J$4),0),$E64-1973)</f>
        <v>#N/A</v>
      </c>
      <c r="K64" t="e" cm="1">
        <f t="array" ref="K64">INDEX('GMW - $100 oil'!$A$2:$MC$200,MATCH(1,('GMW - $100 oil'!$MC$2:$MC$200=K$3)*('GMW - $100 oil'!$MB$2:$MB$200=K$4),0),$E64-1973)</f>
        <v>#N/A</v>
      </c>
      <c r="L64" t="e" cm="1">
        <f t="array" ref="L64">INDEX('GMW - $100 oil'!$A$2:$MC$200,MATCH(1,('GMW - $100 oil'!$MC$2:$MC$200=L$3)*('GMW - $100 oil'!$MB$2:$MB$200=L$4),0),$E64-1973)</f>
        <v>#N/A</v>
      </c>
      <c r="M64" t="e" cm="1">
        <f t="array" ref="M64">INDEX('GMW - $100 oil'!$A$2:$MC$200,MATCH(1,('GMW - $100 oil'!$MC$2:$MC$200=M$3)*('GMW - $100 oil'!$MB$2:$MB$200=M$4),0),$E64-1973)</f>
        <v>#N/A</v>
      </c>
      <c r="N64" t="e" cm="1">
        <f t="array" ref="N64">INDEX('GMW - $100 oil'!$A$2:$MC$200,MATCH(1,('GMW - $100 oil'!$MC$2:$MC$200=N$3)*('GMW - $100 oil'!$MB$2:$MB$200=N$4),0),$E64-1973)</f>
        <v>#N/A</v>
      </c>
      <c r="O64" t="e" cm="1">
        <f t="array" ref="O64">INDEX('GMW - $100 oil'!$A$2:$MC$200,MATCH(1,('GMW - $100 oil'!$MC$2:$MC$200=O$3)*('GMW - $100 oil'!$MB$2:$MB$200=O$4),0),$E64-1973)</f>
        <v>#N/A</v>
      </c>
      <c r="P64" t="e" cm="1">
        <f t="array" ref="P64">INDEX('GMW - $100 oil'!$A$2:$MC$200,MATCH(1,('GMW - $100 oil'!$MC$2:$MC$200=P$3)*('GMW - $100 oil'!$MB$2:$MB$200=P$4),0),$E64-1973)</f>
        <v>#N/A</v>
      </c>
      <c r="Q64" t="e" cm="1">
        <f t="array" ref="Q64">INDEX('GMW - $100 oil'!$A$2:$MC$200,MATCH(1,('GMW - $100 oil'!$MC$2:$MC$200=Q$3)*('GMW - $100 oil'!$MB$2:$MB$200=Q$4),0),$E64-1973)</f>
        <v>#N/A</v>
      </c>
      <c r="R64" t="e" cm="1">
        <f t="array" ref="R64">INDEX('GMW - $100 oil'!$A$2:$MC$200,MATCH(1,('GMW - $100 oil'!$MC$2:$MC$200=R$3)*('GMW - $100 oil'!$MB$2:$MB$200=R$4),0),$E64-1973)</f>
        <v>#N/A</v>
      </c>
      <c r="S64" t="e" cm="1">
        <f t="array" ref="S64">INDEX('GMW - $100 oil'!$A$2:$MC$200,MATCH(1,('GMW - $100 oil'!$MC$2:$MC$200=S$3)*('GMW - $100 oil'!$MB$2:$MB$200=S$4),0),$E64-1973)</f>
        <v>#N/A</v>
      </c>
      <c r="T64" t="e" cm="1">
        <f t="array" ref="T64">INDEX('GMW - $100 oil'!$A$2:$MC$200,MATCH(1,('GMW - $100 oil'!$MC$2:$MC$200=T$3)*('GMW - $100 oil'!$MB$2:$MB$200=T$4),0),$E64-1973)</f>
        <v>#N/A</v>
      </c>
    </row>
    <row r="65" spans="1:20" x14ac:dyDescent="0.25">
      <c r="B65">
        <f t="shared" si="5"/>
        <v>1994</v>
      </c>
      <c r="C65">
        <f t="shared" si="5"/>
        <v>1994</v>
      </c>
      <c r="E65">
        <f t="shared" si="1"/>
        <v>2038</v>
      </c>
      <c r="F65" cm="1">
        <f t="array" ref="F65">INDEX('GMW - $100 oil'!$A$2:$MC$200,MATCH(1,('GMW - $100 oil'!$MC$2:$MC$200=F$3)*('GMW - $100 oil'!$MB$2:$MB$200=F$4),0),$E65-1973)</f>
        <v>398566</v>
      </c>
      <c r="G65" cm="1">
        <f t="array" ref="G65">INDEX('GMW - $100 oil'!$A$2:$MC$200,MATCH(1,('GMW - $100 oil'!$MC$2:$MC$200=G$3)*('GMW - $100 oil'!$MB$2:$MB$200=G$4),0),$E65-1973)</f>
        <v>229961</v>
      </c>
      <c r="H65" cm="1">
        <f t="array" ref="H65">INDEX('GMW - $100 oil'!$A$2:$MC$200,MATCH(1,('GMW - $100 oil'!$MC$2:$MC$200=H$3)*('GMW - $100 oil'!$MB$2:$MB$200=H$4),0),$E65-1973)</f>
        <v>65.633330000000001</v>
      </c>
      <c r="I65" cm="1">
        <f t="array" ref="I65">INDEX('GMW - $100 oil'!$A$2:$MC$200,MATCH(1,('GMW - $100 oil'!$MC$2:$MC$200=I$3)*('GMW - $100 oil'!$MB$2:$MB$200=I$4),0),$E65-1973)</f>
        <v>5.2386359999999996</v>
      </c>
      <c r="J65" t="e" cm="1">
        <f t="array" ref="J65">INDEX('GMW - $100 oil'!$A$2:$MC$200,MATCH(1,('GMW - $100 oil'!$MC$2:$MC$200=J$3)*('GMW - $100 oil'!$MB$2:$MB$200=J$4),0),$E65-1973)</f>
        <v>#N/A</v>
      </c>
      <c r="K65" t="e" cm="1">
        <f t="array" ref="K65">INDEX('GMW - $100 oil'!$A$2:$MC$200,MATCH(1,('GMW - $100 oil'!$MC$2:$MC$200=K$3)*('GMW - $100 oil'!$MB$2:$MB$200=K$4),0),$E65-1973)</f>
        <v>#N/A</v>
      </c>
      <c r="L65" t="e" cm="1">
        <f t="array" ref="L65">INDEX('GMW - $100 oil'!$A$2:$MC$200,MATCH(1,('GMW - $100 oil'!$MC$2:$MC$200=L$3)*('GMW - $100 oil'!$MB$2:$MB$200=L$4),0),$E65-1973)</f>
        <v>#N/A</v>
      </c>
      <c r="M65" t="e" cm="1">
        <f t="array" ref="M65">INDEX('GMW - $100 oil'!$A$2:$MC$200,MATCH(1,('GMW - $100 oil'!$MC$2:$MC$200=M$3)*('GMW - $100 oil'!$MB$2:$MB$200=M$4),0),$E65-1973)</f>
        <v>#N/A</v>
      </c>
      <c r="N65" t="e" cm="1">
        <f t="array" ref="N65">INDEX('GMW - $100 oil'!$A$2:$MC$200,MATCH(1,('GMW - $100 oil'!$MC$2:$MC$200=N$3)*('GMW - $100 oil'!$MB$2:$MB$200=N$4),0),$E65-1973)</f>
        <v>#N/A</v>
      </c>
      <c r="O65" t="e" cm="1">
        <f t="array" ref="O65">INDEX('GMW - $100 oil'!$A$2:$MC$200,MATCH(1,('GMW - $100 oil'!$MC$2:$MC$200=O$3)*('GMW - $100 oil'!$MB$2:$MB$200=O$4),0),$E65-1973)</f>
        <v>#N/A</v>
      </c>
      <c r="P65" t="e" cm="1">
        <f t="array" ref="P65">INDEX('GMW - $100 oil'!$A$2:$MC$200,MATCH(1,('GMW - $100 oil'!$MC$2:$MC$200=P$3)*('GMW - $100 oil'!$MB$2:$MB$200=P$4),0),$E65-1973)</f>
        <v>#N/A</v>
      </c>
      <c r="Q65" t="e" cm="1">
        <f t="array" ref="Q65">INDEX('GMW - $100 oil'!$A$2:$MC$200,MATCH(1,('GMW - $100 oil'!$MC$2:$MC$200=Q$3)*('GMW - $100 oil'!$MB$2:$MB$200=Q$4),0),$E65-1973)</f>
        <v>#N/A</v>
      </c>
      <c r="R65" t="e" cm="1">
        <f t="array" ref="R65">INDEX('GMW - $100 oil'!$A$2:$MC$200,MATCH(1,('GMW - $100 oil'!$MC$2:$MC$200=R$3)*('GMW - $100 oil'!$MB$2:$MB$200=R$4),0),$E65-1973)</f>
        <v>#N/A</v>
      </c>
      <c r="S65" t="e" cm="1">
        <f t="array" ref="S65">INDEX('GMW - $100 oil'!$A$2:$MC$200,MATCH(1,('GMW - $100 oil'!$MC$2:$MC$200=S$3)*('GMW - $100 oil'!$MB$2:$MB$200=S$4),0),$E65-1973)</f>
        <v>#N/A</v>
      </c>
      <c r="T65" t="e" cm="1">
        <f t="array" ref="T65">INDEX('GMW - $100 oil'!$A$2:$MC$200,MATCH(1,('GMW - $100 oil'!$MC$2:$MC$200=T$3)*('GMW - $100 oil'!$MB$2:$MB$200=T$4),0),$E65-1973)</f>
        <v>#N/A</v>
      </c>
    </row>
    <row r="66" spans="1:20" x14ac:dyDescent="0.25">
      <c r="B66">
        <f t="shared" si="5"/>
        <v>1994</v>
      </c>
      <c r="C66">
        <f t="shared" si="5"/>
        <v>1994</v>
      </c>
      <c r="E66">
        <f t="shared" si="1"/>
        <v>2039</v>
      </c>
      <c r="F66" cm="1">
        <f t="array" ref="F66">INDEX('GMW - $100 oil'!$A$2:$MC$200,MATCH(1,('GMW - $100 oil'!$MC$2:$MC$200=F$3)*('GMW - $100 oil'!$MB$2:$MB$200=F$4),0),$E66-1973)</f>
        <v>400279</v>
      </c>
      <c r="G66" cm="1">
        <f t="array" ref="G66">INDEX('GMW - $100 oil'!$A$2:$MC$200,MATCH(1,('GMW - $100 oil'!$MC$2:$MC$200=G$3)*('GMW - $100 oil'!$MB$2:$MB$200=G$4),0),$E66-1973)</f>
        <v>231570</v>
      </c>
      <c r="H66" cm="1">
        <f t="array" ref="H66">INDEX('GMW - $100 oil'!$A$2:$MC$200,MATCH(1,('GMW - $100 oil'!$MC$2:$MC$200=H$3)*('GMW - $100 oil'!$MB$2:$MB$200=H$4),0),$E66-1973)</f>
        <v>65.8</v>
      </c>
      <c r="I66" cm="1">
        <f t="array" ref="I66">INDEX('GMW - $100 oil'!$A$2:$MC$200,MATCH(1,('GMW - $100 oil'!$MC$2:$MC$200=I$3)*('GMW - $100 oil'!$MB$2:$MB$200=I$4),0),$E66-1973)</f>
        <v>5.7634619999999996</v>
      </c>
      <c r="J66" t="e" cm="1">
        <f t="array" ref="J66">INDEX('GMW - $100 oil'!$A$2:$MC$200,MATCH(1,('GMW - $100 oil'!$MC$2:$MC$200=J$3)*('GMW - $100 oil'!$MB$2:$MB$200=J$4),0),$E66-1973)</f>
        <v>#N/A</v>
      </c>
      <c r="K66" t="e" cm="1">
        <f t="array" ref="K66">INDEX('GMW - $100 oil'!$A$2:$MC$200,MATCH(1,('GMW - $100 oil'!$MC$2:$MC$200=K$3)*('GMW - $100 oil'!$MB$2:$MB$200=K$4),0),$E66-1973)</f>
        <v>#N/A</v>
      </c>
      <c r="L66" t="e" cm="1">
        <f t="array" ref="L66">INDEX('GMW - $100 oil'!$A$2:$MC$200,MATCH(1,('GMW - $100 oil'!$MC$2:$MC$200=L$3)*('GMW - $100 oil'!$MB$2:$MB$200=L$4),0),$E66-1973)</f>
        <v>#N/A</v>
      </c>
      <c r="M66" t="e" cm="1">
        <f t="array" ref="M66">INDEX('GMW - $100 oil'!$A$2:$MC$200,MATCH(1,('GMW - $100 oil'!$MC$2:$MC$200=M$3)*('GMW - $100 oil'!$MB$2:$MB$200=M$4),0),$E66-1973)</f>
        <v>#N/A</v>
      </c>
      <c r="N66" t="e" cm="1">
        <f t="array" ref="N66">INDEX('GMW - $100 oil'!$A$2:$MC$200,MATCH(1,('GMW - $100 oil'!$MC$2:$MC$200=N$3)*('GMW - $100 oil'!$MB$2:$MB$200=N$4),0),$E66-1973)</f>
        <v>#N/A</v>
      </c>
      <c r="O66" t="e" cm="1">
        <f t="array" ref="O66">INDEX('GMW - $100 oil'!$A$2:$MC$200,MATCH(1,('GMW - $100 oil'!$MC$2:$MC$200=O$3)*('GMW - $100 oil'!$MB$2:$MB$200=O$4),0),$E66-1973)</f>
        <v>#N/A</v>
      </c>
      <c r="P66" t="e" cm="1">
        <f t="array" ref="P66">INDEX('GMW - $100 oil'!$A$2:$MC$200,MATCH(1,('GMW - $100 oil'!$MC$2:$MC$200=P$3)*('GMW - $100 oil'!$MB$2:$MB$200=P$4),0),$E66-1973)</f>
        <v>#N/A</v>
      </c>
      <c r="Q66" t="e" cm="1">
        <f t="array" ref="Q66">INDEX('GMW - $100 oil'!$A$2:$MC$200,MATCH(1,('GMW - $100 oil'!$MC$2:$MC$200=Q$3)*('GMW - $100 oil'!$MB$2:$MB$200=Q$4),0),$E66-1973)</f>
        <v>#N/A</v>
      </c>
      <c r="R66" t="e" cm="1">
        <f t="array" ref="R66">INDEX('GMW - $100 oil'!$A$2:$MC$200,MATCH(1,('GMW - $100 oil'!$MC$2:$MC$200=R$3)*('GMW - $100 oil'!$MB$2:$MB$200=R$4),0),$E66-1973)</f>
        <v>#N/A</v>
      </c>
      <c r="S66" t="e" cm="1">
        <f t="array" ref="S66">INDEX('GMW - $100 oil'!$A$2:$MC$200,MATCH(1,('GMW - $100 oil'!$MC$2:$MC$200=S$3)*('GMW - $100 oil'!$MB$2:$MB$200=S$4),0),$E66-1973)</f>
        <v>#N/A</v>
      </c>
      <c r="T66" t="e" cm="1">
        <f t="array" ref="T66">INDEX('GMW - $100 oil'!$A$2:$MC$200,MATCH(1,('GMW - $100 oil'!$MC$2:$MC$200=T$3)*('GMW - $100 oil'!$MB$2:$MB$200=T$4),0),$E66-1973)</f>
        <v>#N/A</v>
      </c>
    </row>
    <row r="67" spans="1:20" x14ac:dyDescent="0.25">
      <c r="A67">
        <v>1995</v>
      </c>
      <c r="B67">
        <f t="shared" si="5"/>
        <v>1995</v>
      </c>
      <c r="C67">
        <f t="shared" si="5"/>
        <v>1994</v>
      </c>
      <c r="D67">
        <f t="shared" si="5"/>
        <v>1994</v>
      </c>
      <c r="E67">
        <f t="shared" si="1"/>
        <v>2040</v>
      </c>
      <c r="F67" cm="1">
        <f t="array" ref="F67">INDEX('GMW - $100 oil'!$A$2:$MC$200,MATCH(1,('GMW - $100 oil'!$MC$2:$MC$200=F$3)*('GMW - $100 oil'!$MB$2:$MB$200=F$4),0),$E67-1973)</f>
        <v>402390</v>
      </c>
      <c r="G67" cm="1">
        <f t="array" ref="G67">INDEX('GMW - $100 oil'!$A$2:$MC$200,MATCH(1,('GMW - $100 oil'!$MC$2:$MC$200=G$3)*('GMW - $100 oil'!$MB$2:$MB$200=G$4),0),$E67-1973)</f>
        <v>231674</v>
      </c>
      <c r="H67" cm="1">
        <f t="array" ref="H67">INDEX('GMW - $100 oil'!$A$2:$MC$200,MATCH(1,('GMW - $100 oil'!$MC$2:$MC$200=H$3)*('GMW - $100 oil'!$MB$2:$MB$200=H$4),0),$E67-1973)</f>
        <v>66.333340000000007</v>
      </c>
      <c r="I67" cm="1">
        <f t="array" ref="I67">INDEX('GMW - $100 oil'!$A$2:$MC$200,MATCH(1,('GMW - $100 oil'!$MC$2:$MC$200=I$3)*('GMW - $100 oil'!$MB$2:$MB$200=I$4),0),$E67-1973)</f>
        <v>6.4480769999999996</v>
      </c>
      <c r="J67" t="e" cm="1">
        <f t="array" ref="J67">INDEX('GMW - $100 oil'!$A$2:$MC$200,MATCH(1,('GMW - $100 oil'!$MC$2:$MC$200=J$3)*('GMW - $100 oil'!$MB$2:$MB$200=J$4),0),$E67-1973)</f>
        <v>#N/A</v>
      </c>
      <c r="K67" t="e" cm="1">
        <f t="array" ref="K67">INDEX('GMW - $100 oil'!$A$2:$MC$200,MATCH(1,('GMW - $100 oil'!$MC$2:$MC$200=K$3)*('GMW - $100 oil'!$MB$2:$MB$200=K$4),0),$E67-1973)</f>
        <v>#N/A</v>
      </c>
      <c r="L67" t="e" cm="1">
        <f t="array" ref="L67">INDEX('GMW - $100 oil'!$A$2:$MC$200,MATCH(1,('GMW - $100 oil'!$MC$2:$MC$200=L$3)*('GMW - $100 oil'!$MB$2:$MB$200=L$4),0),$E67-1973)</f>
        <v>#N/A</v>
      </c>
      <c r="M67" t="e" cm="1">
        <f t="array" ref="M67">INDEX('GMW - $100 oil'!$A$2:$MC$200,MATCH(1,('GMW - $100 oil'!$MC$2:$MC$200=M$3)*('GMW - $100 oil'!$MB$2:$MB$200=M$4),0),$E67-1973)</f>
        <v>#N/A</v>
      </c>
      <c r="N67" t="e" cm="1">
        <f t="array" ref="N67">INDEX('GMW - $100 oil'!$A$2:$MC$200,MATCH(1,('GMW - $100 oil'!$MC$2:$MC$200=N$3)*('GMW - $100 oil'!$MB$2:$MB$200=N$4),0),$E67-1973)</f>
        <v>#N/A</v>
      </c>
      <c r="O67" t="e" cm="1">
        <f t="array" ref="O67">INDEX('GMW - $100 oil'!$A$2:$MC$200,MATCH(1,('GMW - $100 oil'!$MC$2:$MC$200=O$3)*('GMW - $100 oil'!$MB$2:$MB$200=O$4),0),$E67-1973)</f>
        <v>#N/A</v>
      </c>
      <c r="P67" t="e" cm="1">
        <f t="array" ref="P67">INDEX('GMW - $100 oil'!$A$2:$MC$200,MATCH(1,('GMW - $100 oil'!$MC$2:$MC$200=P$3)*('GMW - $100 oil'!$MB$2:$MB$200=P$4),0),$E67-1973)</f>
        <v>#N/A</v>
      </c>
      <c r="Q67" t="e" cm="1">
        <f t="array" ref="Q67">INDEX('GMW - $100 oil'!$A$2:$MC$200,MATCH(1,('GMW - $100 oil'!$MC$2:$MC$200=Q$3)*('GMW - $100 oil'!$MB$2:$MB$200=Q$4),0),$E67-1973)</f>
        <v>#N/A</v>
      </c>
      <c r="R67" t="e" cm="1">
        <f t="array" ref="R67">INDEX('GMW - $100 oil'!$A$2:$MC$200,MATCH(1,('GMW - $100 oil'!$MC$2:$MC$200=R$3)*('GMW - $100 oil'!$MB$2:$MB$200=R$4),0),$E67-1973)</f>
        <v>#N/A</v>
      </c>
      <c r="S67" t="e" cm="1">
        <f t="array" ref="S67">INDEX('GMW - $100 oil'!$A$2:$MC$200,MATCH(1,('GMW - $100 oil'!$MC$2:$MC$200=S$3)*('GMW - $100 oil'!$MB$2:$MB$200=S$4),0),$E67-1973)</f>
        <v>#N/A</v>
      </c>
      <c r="T67" t="e" cm="1">
        <f t="array" ref="T67">INDEX('GMW - $100 oil'!$A$2:$MC$200,MATCH(1,('GMW - $100 oil'!$MC$2:$MC$200=T$3)*('GMW - $100 oil'!$MB$2:$MB$200=T$4),0),$E67-1973)</f>
        <v>#N/A</v>
      </c>
    </row>
    <row r="68" spans="1:20" x14ac:dyDescent="0.25">
      <c r="B68">
        <f t="shared" si="5"/>
        <v>1995</v>
      </c>
      <c r="C68">
        <f t="shared" si="5"/>
        <v>1995</v>
      </c>
      <c r="E68">
        <f t="shared" si="1"/>
        <v>2041</v>
      </c>
      <c r="F68" cm="1">
        <f t="array" ref="F68">INDEX('GMW - $100 oil'!$A$2:$MC$200,MATCH(1,('GMW - $100 oil'!$MC$2:$MC$200=F$3)*('GMW - $100 oil'!$MB$2:$MB$200=F$4),0),$E68-1973)</f>
        <v>403259</v>
      </c>
      <c r="G68" cm="1">
        <f t="array" ref="G68">INDEX('GMW - $100 oil'!$A$2:$MC$200,MATCH(1,('GMW - $100 oil'!$MC$2:$MC$200=G$3)*('GMW - $100 oil'!$MB$2:$MB$200=G$4),0),$E68-1973)</f>
        <v>233343</v>
      </c>
      <c r="H68" cm="1">
        <f t="array" ref="H68">INDEX('GMW - $100 oil'!$A$2:$MC$200,MATCH(1,('GMW - $100 oil'!$MC$2:$MC$200=H$3)*('GMW - $100 oil'!$MB$2:$MB$200=H$4),0),$E68-1973)</f>
        <v>67.266670000000005</v>
      </c>
      <c r="I68" cm="1">
        <f t="array" ref="I68">INDEX('GMW - $100 oil'!$A$2:$MC$200,MATCH(1,('GMW - $100 oil'!$MC$2:$MC$200=I$3)*('GMW - $100 oil'!$MB$2:$MB$200=I$4),0),$E68-1973)</f>
        <v>6.625</v>
      </c>
      <c r="J68" t="e" cm="1">
        <f t="array" ref="J68">INDEX('GMW - $100 oil'!$A$2:$MC$200,MATCH(1,('GMW - $100 oil'!$MC$2:$MC$200=J$3)*('GMW - $100 oil'!$MB$2:$MB$200=J$4),0),$E68-1973)</f>
        <v>#N/A</v>
      </c>
      <c r="K68" t="e" cm="1">
        <f t="array" ref="K68">INDEX('GMW - $100 oil'!$A$2:$MC$200,MATCH(1,('GMW - $100 oil'!$MC$2:$MC$200=K$3)*('GMW - $100 oil'!$MB$2:$MB$200=K$4),0),$E68-1973)</f>
        <v>#N/A</v>
      </c>
      <c r="L68" t="e" cm="1">
        <f t="array" ref="L68">INDEX('GMW - $100 oil'!$A$2:$MC$200,MATCH(1,('GMW - $100 oil'!$MC$2:$MC$200=L$3)*('GMW - $100 oil'!$MB$2:$MB$200=L$4),0),$E68-1973)</f>
        <v>#N/A</v>
      </c>
      <c r="M68" t="e" cm="1">
        <f t="array" ref="M68">INDEX('GMW - $100 oil'!$A$2:$MC$200,MATCH(1,('GMW - $100 oil'!$MC$2:$MC$200=M$3)*('GMW - $100 oil'!$MB$2:$MB$200=M$4),0),$E68-1973)</f>
        <v>#N/A</v>
      </c>
      <c r="N68" t="e" cm="1">
        <f t="array" ref="N68">INDEX('GMW - $100 oil'!$A$2:$MC$200,MATCH(1,('GMW - $100 oil'!$MC$2:$MC$200=N$3)*('GMW - $100 oil'!$MB$2:$MB$200=N$4),0),$E68-1973)</f>
        <v>#N/A</v>
      </c>
      <c r="O68" t="e" cm="1">
        <f t="array" ref="O68">INDEX('GMW - $100 oil'!$A$2:$MC$200,MATCH(1,('GMW - $100 oil'!$MC$2:$MC$200=O$3)*('GMW - $100 oil'!$MB$2:$MB$200=O$4),0),$E68-1973)</f>
        <v>#N/A</v>
      </c>
      <c r="P68" t="e" cm="1">
        <f t="array" ref="P68">INDEX('GMW - $100 oil'!$A$2:$MC$200,MATCH(1,('GMW - $100 oil'!$MC$2:$MC$200=P$3)*('GMW - $100 oil'!$MB$2:$MB$200=P$4),0),$E68-1973)</f>
        <v>#N/A</v>
      </c>
      <c r="Q68" t="e" cm="1">
        <f t="array" ref="Q68">INDEX('GMW - $100 oil'!$A$2:$MC$200,MATCH(1,('GMW - $100 oil'!$MC$2:$MC$200=Q$3)*('GMW - $100 oil'!$MB$2:$MB$200=Q$4),0),$E68-1973)</f>
        <v>#N/A</v>
      </c>
      <c r="R68" t="e" cm="1">
        <f t="array" ref="R68">INDEX('GMW - $100 oil'!$A$2:$MC$200,MATCH(1,('GMW - $100 oil'!$MC$2:$MC$200=R$3)*('GMW - $100 oil'!$MB$2:$MB$200=R$4),0),$E68-1973)</f>
        <v>#N/A</v>
      </c>
      <c r="S68" t="e" cm="1">
        <f t="array" ref="S68">INDEX('GMW - $100 oil'!$A$2:$MC$200,MATCH(1,('GMW - $100 oil'!$MC$2:$MC$200=S$3)*('GMW - $100 oil'!$MB$2:$MB$200=S$4),0),$E68-1973)</f>
        <v>#N/A</v>
      </c>
      <c r="T68" t="e" cm="1">
        <f t="array" ref="T68">INDEX('GMW - $100 oil'!$A$2:$MC$200,MATCH(1,('GMW - $100 oil'!$MC$2:$MC$200=T$3)*('GMW - $100 oil'!$MB$2:$MB$200=T$4),0),$E68-1973)</f>
        <v>#N/A</v>
      </c>
    </row>
    <row r="69" spans="1:20" x14ac:dyDescent="0.25">
      <c r="B69">
        <f t="shared" si="5"/>
        <v>1995</v>
      </c>
      <c r="C69">
        <f t="shared" si="5"/>
        <v>1995</v>
      </c>
      <c r="E69">
        <f t="shared" si="1"/>
        <v>2042</v>
      </c>
      <c r="F69" cm="1">
        <f t="array" ref="F69">INDEX('GMW - $100 oil'!$A$2:$MC$200,MATCH(1,('GMW - $100 oil'!$MC$2:$MC$200=F$3)*('GMW - $100 oil'!$MB$2:$MB$200=F$4),0),$E69-1973)</f>
        <v>407795</v>
      </c>
      <c r="G69" cm="1">
        <f t="array" ref="G69">INDEX('GMW - $100 oil'!$A$2:$MC$200,MATCH(1,('GMW - $100 oil'!$MC$2:$MC$200=G$3)*('GMW - $100 oil'!$MB$2:$MB$200=G$4),0),$E69-1973)</f>
        <v>234345</v>
      </c>
      <c r="H69" cm="1">
        <f t="array" ref="H69">INDEX('GMW - $100 oil'!$A$2:$MC$200,MATCH(1,('GMW - $100 oil'!$MC$2:$MC$200=H$3)*('GMW - $100 oil'!$MB$2:$MB$200=H$4),0),$E69-1973)</f>
        <v>67.400000000000006</v>
      </c>
      <c r="I69" cm="1">
        <f t="array" ref="I69">INDEX('GMW - $100 oil'!$A$2:$MC$200,MATCH(1,('GMW - $100 oil'!$MC$2:$MC$200=I$3)*('GMW - $100 oil'!$MB$2:$MB$200=I$4),0),$E69-1973)</f>
        <v>6.625</v>
      </c>
      <c r="J69" t="e" cm="1">
        <f t="array" ref="J69">INDEX('GMW - $100 oil'!$A$2:$MC$200,MATCH(1,('GMW - $100 oil'!$MC$2:$MC$200=J$3)*('GMW - $100 oil'!$MB$2:$MB$200=J$4),0),$E69-1973)</f>
        <v>#N/A</v>
      </c>
      <c r="K69" t="e" cm="1">
        <f t="array" ref="K69">INDEX('GMW - $100 oil'!$A$2:$MC$200,MATCH(1,('GMW - $100 oil'!$MC$2:$MC$200=K$3)*('GMW - $100 oil'!$MB$2:$MB$200=K$4),0),$E69-1973)</f>
        <v>#N/A</v>
      </c>
      <c r="L69" t="e" cm="1">
        <f t="array" ref="L69">INDEX('GMW - $100 oil'!$A$2:$MC$200,MATCH(1,('GMW - $100 oil'!$MC$2:$MC$200=L$3)*('GMW - $100 oil'!$MB$2:$MB$200=L$4),0),$E69-1973)</f>
        <v>#N/A</v>
      </c>
      <c r="M69" t="e" cm="1">
        <f t="array" ref="M69">INDEX('GMW - $100 oil'!$A$2:$MC$200,MATCH(1,('GMW - $100 oil'!$MC$2:$MC$200=M$3)*('GMW - $100 oil'!$MB$2:$MB$200=M$4),0),$E69-1973)</f>
        <v>#N/A</v>
      </c>
      <c r="N69" t="e" cm="1">
        <f t="array" ref="N69">INDEX('GMW - $100 oil'!$A$2:$MC$200,MATCH(1,('GMW - $100 oil'!$MC$2:$MC$200=N$3)*('GMW - $100 oil'!$MB$2:$MB$200=N$4),0),$E69-1973)</f>
        <v>#N/A</v>
      </c>
      <c r="O69" t="e" cm="1">
        <f t="array" ref="O69">INDEX('GMW - $100 oil'!$A$2:$MC$200,MATCH(1,('GMW - $100 oil'!$MC$2:$MC$200=O$3)*('GMW - $100 oil'!$MB$2:$MB$200=O$4),0),$E69-1973)</f>
        <v>#N/A</v>
      </c>
      <c r="P69" t="e" cm="1">
        <f t="array" ref="P69">INDEX('GMW - $100 oil'!$A$2:$MC$200,MATCH(1,('GMW - $100 oil'!$MC$2:$MC$200=P$3)*('GMW - $100 oil'!$MB$2:$MB$200=P$4),0),$E69-1973)</f>
        <v>#N/A</v>
      </c>
      <c r="Q69" t="e" cm="1">
        <f t="array" ref="Q69">INDEX('GMW - $100 oil'!$A$2:$MC$200,MATCH(1,('GMW - $100 oil'!$MC$2:$MC$200=Q$3)*('GMW - $100 oil'!$MB$2:$MB$200=Q$4),0),$E69-1973)</f>
        <v>#N/A</v>
      </c>
      <c r="R69" t="e" cm="1">
        <f t="array" ref="R69">INDEX('GMW - $100 oil'!$A$2:$MC$200,MATCH(1,('GMW - $100 oil'!$MC$2:$MC$200=R$3)*('GMW - $100 oil'!$MB$2:$MB$200=R$4),0),$E69-1973)</f>
        <v>#N/A</v>
      </c>
      <c r="S69" t="e" cm="1">
        <f t="array" ref="S69">INDEX('GMW - $100 oil'!$A$2:$MC$200,MATCH(1,('GMW - $100 oil'!$MC$2:$MC$200=S$3)*('GMW - $100 oil'!$MB$2:$MB$200=S$4),0),$E69-1973)</f>
        <v>#N/A</v>
      </c>
      <c r="T69" t="e" cm="1">
        <f t="array" ref="T69">INDEX('GMW - $100 oil'!$A$2:$MC$200,MATCH(1,('GMW - $100 oil'!$MC$2:$MC$200=T$3)*('GMW - $100 oil'!$MB$2:$MB$200=T$4),0),$E69-1973)</f>
        <v>#N/A</v>
      </c>
    </row>
    <row r="70" spans="1:20" x14ac:dyDescent="0.25">
      <c r="B70">
        <f t="shared" si="5"/>
        <v>1995</v>
      </c>
      <c r="C70">
        <f t="shared" si="5"/>
        <v>1995</v>
      </c>
      <c r="E70">
        <f t="shared" si="1"/>
        <v>2043</v>
      </c>
      <c r="F70" cm="1">
        <f t="array" ref="F70">INDEX('GMW - $100 oil'!$A$2:$MC$200,MATCH(1,('GMW - $100 oil'!$MC$2:$MC$200=F$3)*('GMW - $100 oil'!$MB$2:$MB$200=F$4),0),$E70-1973)</f>
        <v>409132</v>
      </c>
      <c r="G70" cm="1">
        <f t="array" ref="G70">INDEX('GMW - $100 oil'!$A$2:$MC$200,MATCH(1,('GMW - $100 oil'!$MC$2:$MC$200=G$3)*('GMW - $100 oil'!$MB$2:$MB$200=G$4),0),$E70-1973)</f>
        <v>237147</v>
      </c>
      <c r="H70" cm="1">
        <f t="array" ref="H70">INDEX('GMW - $100 oil'!$A$2:$MC$200,MATCH(1,('GMW - $100 oil'!$MC$2:$MC$200=H$3)*('GMW - $100 oil'!$MB$2:$MB$200=H$4),0),$E70-1973)</f>
        <v>67.733329999999995</v>
      </c>
      <c r="I70" cm="1">
        <f t="array" ref="I70">INDEX('GMW - $100 oil'!$A$2:$MC$200,MATCH(1,('GMW - $100 oil'!$MC$2:$MC$200=I$3)*('GMW - $100 oil'!$MB$2:$MB$200=I$4),0),$E70-1973)</f>
        <v>6.5750000000000002</v>
      </c>
      <c r="J70" t="e" cm="1">
        <f t="array" ref="J70">INDEX('GMW - $100 oil'!$A$2:$MC$200,MATCH(1,('GMW - $100 oil'!$MC$2:$MC$200=J$3)*('GMW - $100 oil'!$MB$2:$MB$200=J$4),0),$E70-1973)</f>
        <v>#N/A</v>
      </c>
      <c r="K70" t="e" cm="1">
        <f t="array" ref="K70">INDEX('GMW - $100 oil'!$A$2:$MC$200,MATCH(1,('GMW - $100 oil'!$MC$2:$MC$200=K$3)*('GMW - $100 oil'!$MB$2:$MB$200=K$4),0),$E70-1973)</f>
        <v>#N/A</v>
      </c>
      <c r="L70" t="e" cm="1">
        <f t="array" ref="L70">INDEX('GMW - $100 oil'!$A$2:$MC$200,MATCH(1,('GMW - $100 oil'!$MC$2:$MC$200=L$3)*('GMW - $100 oil'!$MB$2:$MB$200=L$4),0),$E70-1973)</f>
        <v>#N/A</v>
      </c>
      <c r="M70" t="e" cm="1">
        <f t="array" ref="M70">INDEX('GMW - $100 oil'!$A$2:$MC$200,MATCH(1,('GMW - $100 oil'!$MC$2:$MC$200=M$3)*('GMW - $100 oil'!$MB$2:$MB$200=M$4),0),$E70-1973)</f>
        <v>#N/A</v>
      </c>
      <c r="N70" t="e" cm="1">
        <f t="array" ref="N70">INDEX('GMW - $100 oil'!$A$2:$MC$200,MATCH(1,('GMW - $100 oil'!$MC$2:$MC$200=N$3)*('GMW - $100 oil'!$MB$2:$MB$200=N$4),0),$E70-1973)</f>
        <v>#N/A</v>
      </c>
      <c r="O70" t="e" cm="1">
        <f t="array" ref="O70">INDEX('GMW - $100 oil'!$A$2:$MC$200,MATCH(1,('GMW - $100 oil'!$MC$2:$MC$200=O$3)*('GMW - $100 oil'!$MB$2:$MB$200=O$4),0),$E70-1973)</f>
        <v>#N/A</v>
      </c>
      <c r="P70" t="e" cm="1">
        <f t="array" ref="P70">INDEX('GMW - $100 oil'!$A$2:$MC$200,MATCH(1,('GMW - $100 oil'!$MC$2:$MC$200=P$3)*('GMW - $100 oil'!$MB$2:$MB$200=P$4),0),$E70-1973)</f>
        <v>#N/A</v>
      </c>
      <c r="Q70" t="e" cm="1">
        <f t="array" ref="Q70">INDEX('GMW - $100 oil'!$A$2:$MC$200,MATCH(1,('GMW - $100 oil'!$MC$2:$MC$200=Q$3)*('GMW - $100 oil'!$MB$2:$MB$200=Q$4),0),$E70-1973)</f>
        <v>#N/A</v>
      </c>
      <c r="R70" t="e" cm="1">
        <f t="array" ref="R70">INDEX('GMW - $100 oil'!$A$2:$MC$200,MATCH(1,('GMW - $100 oil'!$MC$2:$MC$200=R$3)*('GMW - $100 oil'!$MB$2:$MB$200=R$4),0),$E70-1973)</f>
        <v>#N/A</v>
      </c>
      <c r="S70" t="e" cm="1">
        <f t="array" ref="S70">INDEX('GMW - $100 oil'!$A$2:$MC$200,MATCH(1,('GMW - $100 oil'!$MC$2:$MC$200=S$3)*('GMW - $100 oil'!$MB$2:$MB$200=S$4),0),$E70-1973)</f>
        <v>#N/A</v>
      </c>
      <c r="T70" t="e" cm="1">
        <f t="array" ref="T70">INDEX('GMW - $100 oil'!$A$2:$MC$200,MATCH(1,('GMW - $100 oil'!$MC$2:$MC$200=T$3)*('GMW - $100 oil'!$MB$2:$MB$200=T$4),0),$E70-1973)</f>
        <v>#N/A</v>
      </c>
    </row>
    <row r="71" spans="1:20" x14ac:dyDescent="0.25">
      <c r="A71">
        <v>1996</v>
      </c>
      <c r="B71">
        <f t="shared" si="5"/>
        <v>1996</v>
      </c>
      <c r="C71">
        <f t="shared" si="5"/>
        <v>1995</v>
      </c>
      <c r="D71">
        <f t="shared" si="5"/>
        <v>1995</v>
      </c>
      <c r="E71">
        <f t="shared" si="1"/>
        <v>2044</v>
      </c>
      <c r="F71" cm="1">
        <f t="array" ref="F71">INDEX('GMW - $100 oil'!$A$2:$MC$200,MATCH(1,('GMW - $100 oil'!$MC$2:$MC$200=F$3)*('GMW - $100 oil'!$MB$2:$MB$200=F$4),0),$E71-1973)</f>
        <v>412022</v>
      </c>
      <c r="G71" cm="1">
        <f t="array" ref="G71">INDEX('GMW - $100 oil'!$A$2:$MC$200,MATCH(1,('GMW - $100 oil'!$MC$2:$MC$200=G$3)*('GMW - $100 oil'!$MB$2:$MB$200=G$4),0),$E71-1973)</f>
        <v>239556</v>
      </c>
      <c r="H71" cm="1">
        <f t="array" ref="H71">INDEX('GMW - $100 oil'!$A$2:$MC$200,MATCH(1,('GMW - $100 oil'!$MC$2:$MC$200=H$3)*('GMW - $100 oil'!$MB$2:$MB$200=H$4),0),$E71-1973)</f>
        <v>68.099999999999994</v>
      </c>
      <c r="I71" cm="1">
        <f t="array" ref="I71">INDEX('GMW - $100 oil'!$A$2:$MC$200,MATCH(1,('GMW - $100 oil'!$MC$2:$MC$200=I$3)*('GMW - $100 oil'!$MB$2:$MB$200=I$4),0),$E71-1973)</f>
        <v>6.1288460000000002</v>
      </c>
      <c r="J71" t="e" cm="1">
        <f t="array" ref="J71">INDEX('GMW - $100 oil'!$A$2:$MC$200,MATCH(1,('GMW - $100 oil'!$MC$2:$MC$200=J$3)*('GMW - $100 oil'!$MB$2:$MB$200=J$4),0),$E71-1973)</f>
        <v>#N/A</v>
      </c>
      <c r="K71" t="e" cm="1">
        <f t="array" ref="K71">INDEX('GMW - $100 oil'!$A$2:$MC$200,MATCH(1,('GMW - $100 oil'!$MC$2:$MC$200=K$3)*('GMW - $100 oil'!$MB$2:$MB$200=K$4),0),$E71-1973)</f>
        <v>#N/A</v>
      </c>
      <c r="L71" t="e" cm="1">
        <f t="array" ref="L71">INDEX('GMW - $100 oil'!$A$2:$MC$200,MATCH(1,('GMW - $100 oil'!$MC$2:$MC$200=L$3)*('GMW - $100 oil'!$MB$2:$MB$200=L$4),0),$E71-1973)</f>
        <v>#N/A</v>
      </c>
      <c r="M71" t="e" cm="1">
        <f t="array" ref="M71">INDEX('GMW - $100 oil'!$A$2:$MC$200,MATCH(1,('GMW - $100 oil'!$MC$2:$MC$200=M$3)*('GMW - $100 oil'!$MB$2:$MB$200=M$4),0),$E71-1973)</f>
        <v>#N/A</v>
      </c>
      <c r="N71" t="e" cm="1">
        <f t="array" ref="N71">INDEX('GMW - $100 oil'!$A$2:$MC$200,MATCH(1,('GMW - $100 oil'!$MC$2:$MC$200=N$3)*('GMW - $100 oil'!$MB$2:$MB$200=N$4),0),$E71-1973)</f>
        <v>#N/A</v>
      </c>
      <c r="O71" t="e" cm="1">
        <f t="array" ref="O71">INDEX('GMW - $100 oil'!$A$2:$MC$200,MATCH(1,('GMW - $100 oil'!$MC$2:$MC$200=O$3)*('GMW - $100 oil'!$MB$2:$MB$200=O$4),0),$E71-1973)</f>
        <v>#N/A</v>
      </c>
      <c r="P71" t="e" cm="1">
        <f t="array" ref="P71">INDEX('GMW - $100 oil'!$A$2:$MC$200,MATCH(1,('GMW - $100 oil'!$MC$2:$MC$200=P$3)*('GMW - $100 oil'!$MB$2:$MB$200=P$4),0),$E71-1973)</f>
        <v>#N/A</v>
      </c>
      <c r="Q71" t="e" cm="1">
        <f t="array" ref="Q71">INDEX('GMW - $100 oil'!$A$2:$MC$200,MATCH(1,('GMW - $100 oil'!$MC$2:$MC$200=Q$3)*('GMW - $100 oil'!$MB$2:$MB$200=Q$4),0),$E71-1973)</f>
        <v>#N/A</v>
      </c>
      <c r="R71" t="e" cm="1">
        <f t="array" ref="R71">INDEX('GMW - $100 oil'!$A$2:$MC$200,MATCH(1,('GMW - $100 oil'!$MC$2:$MC$200=R$3)*('GMW - $100 oil'!$MB$2:$MB$200=R$4),0),$E71-1973)</f>
        <v>#N/A</v>
      </c>
      <c r="S71" t="e" cm="1">
        <f t="array" ref="S71">INDEX('GMW - $100 oil'!$A$2:$MC$200,MATCH(1,('GMW - $100 oil'!$MC$2:$MC$200=S$3)*('GMW - $100 oil'!$MB$2:$MB$200=S$4),0),$E71-1973)</f>
        <v>#N/A</v>
      </c>
      <c r="T71" t="e" cm="1">
        <f t="array" ref="T71">INDEX('GMW - $100 oil'!$A$2:$MC$200,MATCH(1,('GMW - $100 oil'!$MC$2:$MC$200=T$3)*('GMW - $100 oil'!$MB$2:$MB$200=T$4),0),$E71-1973)</f>
        <v>#N/A</v>
      </c>
    </row>
    <row r="72" spans="1:20" x14ac:dyDescent="0.25">
      <c r="B72">
        <f t="shared" si="5"/>
        <v>1996</v>
      </c>
      <c r="C72">
        <f t="shared" si="5"/>
        <v>1996</v>
      </c>
      <c r="E72">
        <f t="shared" si="1"/>
        <v>2045</v>
      </c>
      <c r="F72" cm="1">
        <f t="array" ref="F72">INDEX('GMW - $100 oil'!$A$2:$MC$200,MATCH(1,('GMW - $100 oil'!$MC$2:$MC$200=F$3)*('GMW - $100 oil'!$MB$2:$MB$200=F$4),0),$E72-1973)</f>
        <v>413325</v>
      </c>
      <c r="G72" cm="1">
        <f t="array" ref="G72">INDEX('GMW - $100 oil'!$A$2:$MC$200,MATCH(1,('GMW - $100 oil'!$MC$2:$MC$200=G$3)*('GMW - $100 oil'!$MB$2:$MB$200=G$4),0),$E72-1973)</f>
        <v>241559</v>
      </c>
      <c r="H72" cm="1">
        <f t="array" ref="H72">INDEX('GMW - $100 oil'!$A$2:$MC$200,MATCH(1,('GMW - $100 oil'!$MC$2:$MC$200=H$3)*('GMW - $100 oil'!$MB$2:$MB$200=H$4),0),$E72-1973)</f>
        <v>68.866669999999999</v>
      </c>
      <c r="I72" cm="1">
        <f t="array" ref="I72">INDEX('GMW - $100 oil'!$A$2:$MC$200,MATCH(1,('GMW - $100 oil'!$MC$2:$MC$200=I$3)*('GMW - $100 oil'!$MB$2:$MB$200=I$4),0),$E72-1973)</f>
        <v>5.8721160000000001</v>
      </c>
      <c r="J72" t="e" cm="1">
        <f t="array" ref="J72">INDEX('GMW - $100 oil'!$A$2:$MC$200,MATCH(1,('GMW - $100 oil'!$MC$2:$MC$200=J$3)*('GMW - $100 oil'!$MB$2:$MB$200=J$4),0),$E72-1973)</f>
        <v>#N/A</v>
      </c>
      <c r="K72" t="e" cm="1">
        <f t="array" ref="K72">INDEX('GMW - $100 oil'!$A$2:$MC$200,MATCH(1,('GMW - $100 oil'!$MC$2:$MC$200=K$3)*('GMW - $100 oil'!$MB$2:$MB$200=K$4),0),$E72-1973)</f>
        <v>#N/A</v>
      </c>
      <c r="L72" t="e" cm="1">
        <f t="array" ref="L72">INDEX('GMW - $100 oil'!$A$2:$MC$200,MATCH(1,('GMW - $100 oil'!$MC$2:$MC$200=L$3)*('GMW - $100 oil'!$MB$2:$MB$200=L$4),0),$E72-1973)</f>
        <v>#N/A</v>
      </c>
      <c r="M72" t="e" cm="1">
        <f t="array" ref="M72">INDEX('GMW - $100 oil'!$A$2:$MC$200,MATCH(1,('GMW - $100 oil'!$MC$2:$MC$200=M$3)*('GMW - $100 oil'!$MB$2:$MB$200=M$4),0),$E72-1973)</f>
        <v>#N/A</v>
      </c>
      <c r="N72" t="e" cm="1">
        <f t="array" ref="N72">INDEX('GMW - $100 oil'!$A$2:$MC$200,MATCH(1,('GMW - $100 oil'!$MC$2:$MC$200=N$3)*('GMW - $100 oil'!$MB$2:$MB$200=N$4),0),$E72-1973)</f>
        <v>#N/A</v>
      </c>
      <c r="O72" t="e" cm="1">
        <f t="array" ref="O72">INDEX('GMW - $100 oil'!$A$2:$MC$200,MATCH(1,('GMW - $100 oil'!$MC$2:$MC$200=O$3)*('GMW - $100 oil'!$MB$2:$MB$200=O$4),0),$E72-1973)</f>
        <v>#N/A</v>
      </c>
      <c r="P72" t="e" cm="1">
        <f t="array" ref="P72">INDEX('GMW - $100 oil'!$A$2:$MC$200,MATCH(1,('GMW - $100 oil'!$MC$2:$MC$200=P$3)*('GMW - $100 oil'!$MB$2:$MB$200=P$4),0),$E72-1973)</f>
        <v>#N/A</v>
      </c>
      <c r="Q72" t="e" cm="1">
        <f t="array" ref="Q72">INDEX('GMW - $100 oil'!$A$2:$MC$200,MATCH(1,('GMW - $100 oil'!$MC$2:$MC$200=Q$3)*('GMW - $100 oil'!$MB$2:$MB$200=Q$4),0),$E72-1973)</f>
        <v>#N/A</v>
      </c>
      <c r="R72" t="e" cm="1">
        <f t="array" ref="R72">INDEX('GMW - $100 oil'!$A$2:$MC$200,MATCH(1,('GMW - $100 oil'!$MC$2:$MC$200=R$3)*('GMW - $100 oil'!$MB$2:$MB$200=R$4),0),$E72-1973)</f>
        <v>#N/A</v>
      </c>
      <c r="S72" t="e" cm="1">
        <f t="array" ref="S72">INDEX('GMW - $100 oil'!$A$2:$MC$200,MATCH(1,('GMW - $100 oil'!$MC$2:$MC$200=S$3)*('GMW - $100 oil'!$MB$2:$MB$200=S$4),0),$E72-1973)</f>
        <v>#N/A</v>
      </c>
      <c r="T72" t="e" cm="1">
        <f t="array" ref="T72">INDEX('GMW - $100 oil'!$A$2:$MC$200,MATCH(1,('GMW - $100 oil'!$MC$2:$MC$200=T$3)*('GMW - $100 oil'!$MB$2:$MB$200=T$4),0),$E72-1973)</f>
        <v>#N/A</v>
      </c>
    </row>
    <row r="73" spans="1:20" x14ac:dyDescent="0.25">
      <c r="B73">
        <f t="shared" si="5"/>
        <v>1996</v>
      </c>
      <c r="C73">
        <f t="shared" si="5"/>
        <v>1996</v>
      </c>
      <c r="E73">
        <f t="shared" ref="E73:E136" si="6">+E72+1</f>
        <v>2046</v>
      </c>
      <c r="F73" cm="1">
        <f t="array" ref="F73">INDEX('GMW - $100 oil'!$A$2:$MC$200,MATCH(1,('GMW - $100 oil'!$MC$2:$MC$200=F$3)*('GMW - $100 oil'!$MB$2:$MB$200=F$4),0),$E73-1973)</f>
        <v>417019</v>
      </c>
      <c r="G73" cm="1">
        <f t="array" ref="G73">INDEX('GMW - $100 oil'!$A$2:$MC$200,MATCH(1,('GMW - $100 oil'!$MC$2:$MC$200=G$3)*('GMW - $100 oil'!$MB$2:$MB$200=G$4),0),$E73-1973)</f>
        <v>243639</v>
      </c>
      <c r="H73" cm="1">
        <f t="array" ref="H73">INDEX('GMW - $100 oil'!$A$2:$MC$200,MATCH(1,('GMW - $100 oil'!$MC$2:$MC$200=H$3)*('GMW - $100 oil'!$MB$2:$MB$200=H$4),0),$E73-1973)</f>
        <v>68.933329999999998</v>
      </c>
      <c r="I73" cm="1">
        <f t="array" ref="I73">INDEX('GMW - $100 oil'!$A$2:$MC$200,MATCH(1,('GMW - $100 oil'!$MC$2:$MC$200=I$3)*('GMW - $100 oil'!$MB$2:$MB$200=I$4),0),$E73-1973)</f>
        <v>5.6875</v>
      </c>
      <c r="J73" t="e" cm="1">
        <f t="array" ref="J73">INDEX('GMW - $100 oil'!$A$2:$MC$200,MATCH(1,('GMW - $100 oil'!$MC$2:$MC$200=J$3)*('GMW - $100 oil'!$MB$2:$MB$200=J$4),0),$E73-1973)</f>
        <v>#N/A</v>
      </c>
      <c r="K73" t="e" cm="1">
        <f t="array" ref="K73">INDEX('GMW - $100 oil'!$A$2:$MC$200,MATCH(1,('GMW - $100 oil'!$MC$2:$MC$200=K$3)*('GMW - $100 oil'!$MB$2:$MB$200=K$4),0),$E73-1973)</f>
        <v>#N/A</v>
      </c>
      <c r="L73" t="e" cm="1">
        <f t="array" ref="L73">INDEX('GMW - $100 oil'!$A$2:$MC$200,MATCH(1,('GMW - $100 oil'!$MC$2:$MC$200=L$3)*('GMW - $100 oil'!$MB$2:$MB$200=L$4),0),$E73-1973)</f>
        <v>#N/A</v>
      </c>
      <c r="M73" t="e" cm="1">
        <f t="array" ref="M73">INDEX('GMW - $100 oil'!$A$2:$MC$200,MATCH(1,('GMW - $100 oil'!$MC$2:$MC$200=M$3)*('GMW - $100 oil'!$MB$2:$MB$200=M$4),0),$E73-1973)</f>
        <v>#N/A</v>
      </c>
      <c r="N73" t="e" cm="1">
        <f t="array" ref="N73">INDEX('GMW - $100 oil'!$A$2:$MC$200,MATCH(1,('GMW - $100 oil'!$MC$2:$MC$200=N$3)*('GMW - $100 oil'!$MB$2:$MB$200=N$4),0),$E73-1973)</f>
        <v>#N/A</v>
      </c>
      <c r="O73" t="e" cm="1">
        <f t="array" ref="O73">INDEX('GMW - $100 oil'!$A$2:$MC$200,MATCH(1,('GMW - $100 oil'!$MC$2:$MC$200=O$3)*('GMW - $100 oil'!$MB$2:$MB$200=O$4),0),$E73-1973)</f>
        <v>#N/A</v>
      </c>
      <c r="P73" t="e" cm="1">
        <f t="array" ref="P73">INDEX('GMW - $100 oil'!$A$2:$MC$200,MATCH(1,('GMW - $100 oil'!$MC$2:$MC$200=P$3)*('GMW - $100 oil'!$MB$2:$MB$200=P$4),0),$E73-1973)</f>
        <v>#N/A</v>
      </c>
      <c r="Q73" t="e" cm="1">
        <f t="array" ref="Q73">INDEX('GMW - $100 oil'!$A$2:$MC$200,MATCH(1,('GMW - $100 oil'!$MC$2:$MC$200=Q$3)*('GMW - $100 oil'!$MB$2:$MB$200=Q$4),0),$E73-1973)</f>
        <v>#N/A</v>
      </c>
      <c r="R73" t="e" cm="1">
        <f t="array" ref="R73">INDEX('GMW - $100 oil'!$A$2:$MC$200,MATCH(1,('GMW - $100 oil'!$MC$2:$MC$200=R$3)*('GMW - $100 oil'!$MB$2:$MB$200=R$4),0),$E73-1973)</f>
        <v>#N/A</v>
      </c>
      <c r="S73" t="e" cm="1">
        <f t="array" ref="S73">INDEX('GMW - $100 oil'!$A$2:$MC$200,MATCH(1,('GMW - $100 oil'!$MC$2:$MC$200=S$3)*('GMW - $100 oil'!$MB$2:$MB$200=S$4),0),$E73-1973)</f>
        <v>#N/A</v>
      </c>
      <c r="T73" t="e" cm="1">
        <f t="array" ref="T73">INDEX('GMW - $100 oil'!$A$2:$MC$200,MATCH(1,('GMW - $100 oil'!$MC$2:$MC$200=T$3)*('GMW - $100 oil'!$MB$2:$MB$200=T$4),0),$E73-1973)</f>
        <v>#N/A</v>
      </c>
    </row>
    <row r="74" spans="1:20" x14ac:dyDescent="0.25">
      <c r="B74">
        <f t="shared" si="5"/>
        <v>1996</v>
      </c>
      <c r="C74">
        <f t="shared" si="5"/>
        <v>1996</v>
      </c>
      <c r="E74">
        <f t="shared" si="6"/>
        <v>2047</v>
      </c>
      <c r="F74" cm="1">
        <f t="array" ref="F74">INDEX('GMW - $100 oil'!$A$2:$MC$200,MATCH(1,('GMW - $100 oil'!$MC$2:$MC$200=F$3)*('GMW - $100 oil'!$MB$2:$MB$200=F$4),0),$E74-1973)</f>
        <v>422639</v>
      </c>
      <c r="G74" cm="1">
        <f t="array" ref="G74">INDEX('GMW - $100 oil'!$A$2:$MC$200,MATCH(1,('GMW - $100 oil'!$MC$2:$MC$200=G$3)*('GMW - $100 oil'!$MB$2:$MB$200=G$4),0),$E74-1973)</f>
        <v>246780</v>
      </c>
      <c r="H74" cm="1">
        <f t="array" ref="H74">INDEX('GMW - $100 oil'!$A$2:$MC$200,MATCH(1,('GMW - $100 oil'!$MC$2:$MC$200=H$3)*('GMW - $100 oil'!$MB$2:$MB$200=H$4),0),$E74-1973)</f>
        <v>69.366669999999999</v>
      </c>
      <c r="I74" cm="1">
        <f t="array" ref="I74">INDEX('GMW - $100 oil'!$A$2:$MC$200,MATCH(1,('GMW - $100 oil'!$MC$2:$MC$200=I$3)*('GMW - $100 oil'!$MB$2:$MB$200=I$4),0),$E74-1973)</f>
        <v>5.8579549999999996</v>
      </c>
      <c r="J74" t="e" cm="1">
        <f t="array" ref="J74">INDEX('GMW - $100 oil'!$A$2:$MC$200,MATCH(1,('GMW - $100 oil'!$MC$2:$MC$200=J$3)*('GMW - $100 oil'!$MB$2:$MB$200=J$4),0),$E74-1973)</f>
        <v>#N/A</v>
      </c>
      <c r="K74" t="e" cm="1">
        <f t="array" ref="K74">INDEX('GMW - $100 oil'!$A$2:$MC$200,MATCH(1,('GMW - $100 oil'!$MC$2:$MC$200=K$3)*('GMW - $100 oil'!$MB$2:$MB$200=K$4),0),$E74-1973)</f>
        <v>#N/A</v>
      </c>
      <c r="L74" t="e" cm="1">
        <f t="array" ref="L74">INDEX('GMW - $100 oil'!$A$2:$MC$200,MATCH(1,('GMW - $100 oil'!$MC$2:$MC$200=L$3)*('GMW - $100 oil'!$MB$2:$MB$200=L$4),0),$E74-1973)</f>
        <v>#N/A</v>
      </c>
      <c r="M74" t="e" cm="1">
        <f t="array" ref="M74">INDEX('GMW - $100 oil'!$A$2:$MC$200,MATCH(1,('GMW - $100 oil'!$MC$2:$MC$200=M$3)*('GMW - $100 oil'!$MB$2:$MB$200=M$4),0),$E74-1973)</f>
        <v>#N/A</v>
      </c>
      <c r="N74" t="e" cm="1">
        <f t="array" ref="N74">INDEX('GMW - $100 oil'!$A$2:$MC$200,MATCH(1,('GMW - $100 oil'!$MC$2:$MC$200=N$3)*('GMW - $100 oil'!$MB$2:$MB$200=N$4),0),$E74-1973)</f>
        <v>#N/A</v>
      </c>
      <c r="O74" t="e" cm="1">
        <f t="array" ref="O74">INDEX('GMW - $100 oil'!$A$2:$MC$200,MATCH(1,('GMW - $100 oil'!$MC$2:$MC$200=O$3)*('GMW - $100 oil'!$MB$2:$MB$200=O$4),0),$E74-1973)</f>
        <v>#N/A</v>
      </c>
      <c r="P74" t="e" cm="1">
        <f t="array" ref="P74">INDEX('GMW - $100 oil'!$A$2:$MC$200,MATCH(1,('GMW - $100 oil'!$MC$2:$MC$200=P$3)*('GMW - $100 oil'!$MB$2:$MB$200=P$4),0),$E74-1973)</f>
        <v>#N/A</v>
      </c>
      <c r="Q74" t="e" cm="1">
        <f t="array" ref="Q74">INDEX('GMW - $100 oil'!$A$2:$MC$200,MATCH(1,('GMW - $100 oil'!$MC$2:$MC$200=Q$3)*('GMW - $100 oil'!$MB$2:$MB$200=Q$4),0),$E74-1973)</f>
        <v>#N/A</v>
      </c>
      <c r="R74" t="e" cm="1">
        <f t="array" ref="R74">INDEX('GMW - $100 oil'!$A$2:$MC$200,MATCH(1,('GMW - $100 oil'!$MC$2:$MC$200=R$3)*('GMW - $100 oil'!$MB$2:$MB$200=R$4),0),$E74-1973)</f>
        <v>#N/A</v>
      </c>
      <c r="S74" t="e" cm="1">
        <f t="array" ref="S74">INDEX('GMW - $100 oil'!$A$2:$MC$200,MATCH(1,('GMW - $100 oil'!$MC$2:$MC$200=S$3)*('GMW - $100 oil'!$MB$2:$MB$200=S$4),0),$E74-1973)</f>
        <v>#N/A</v>
      </c>
      <c r="T74" t="e" cm="1">
        <f t="array" ref="T74">INDEX('GMW - $100 oil'!$A$2:$MC$200,MATCH(1,('GMW - $100 oil'!$MC$2:$MC$200=T$3)*('GMW - $100 oil'!$MB$2:$MB$200=T$4),0),$E74-1973)</f>
        <v>#N/A</v>
      </c>
    </row>
    <row r="75" spans="1:20" x14ac:dyDescent="0.25">
      <c r="A75">
        <v>1997</v>
      </c>
      <c r="B75">
        <f t="shared" si="5"/>
        <v>1997</v>
      </c>
      <c r="C75">
        <f t="shared" si="5"/>
        <v>1996</v>
      </c>
      <c r="D75">
        <f t="shared" si="5"/>
        <v>1996</v>
      </c>
      <c r="E75">
        <f t="shared" si="6"/>
        <v>2048</v>
      </c>
      <c r="F75" cm="1">
        <f t="array" ref="F75">INDEX('GMW - $100 oil'!$A$2:$MC$200,MATCH(1,('GMW - $100 oil'!$MC$2:$MC$200=F$3)*('GMW - $100 oil'!$MB$2:$MB$200=F$4),0),$E75-1973)</f>
        <v>429418</v>
      </c>
      <c r="G75" cm="1">
        <f t="array" ref="G75">INDEX('GMW - $100 oil'!$A$2:$MC$200,MATCH(1,('GMW - $100 oil'!$MC$2:$MC$200=G$3)*('GMW - $100 oil'!$MB$2:$MB$200=G$4),0),$E75-1973)</f>
        <v>249328</v>
      </c>
      <c r="H75" cm="1">
        <f t="array" ref="H75">INDEX('GMW - $100 oil'!$A$2:$MC$200,MATCH(1,('GMW - $100 oil'!$MC$2:$MC$200=H$3)*('GMW - $100 oil'!$MB$2:$MB$200=H$4),0),$E75-1973)</f>
        <v>69.366669999999999</v>
      </c>
      <c r="I75" cm="1">
        <f t="array" ref="I75">INDEX('GMW - $100 oil'!$A$2:$MC$200,MATCH(1,('GMW - $100 oil'!$MC$2:$MC$200=I$3)*('GMW - $100 oil'!$MB$2:$MB$200=I$4),0),$E75-1973)</f>
        <v>5.9375</v>
      </c>
      <c r="J75" t="e" cm="1">
        <f t="array" ref="J75">INDEX('GMW - $100 oil'!$A$2:$MC$200,MATCH(1,('GMW - $100 oil'!$MC$2:$MC$200=J$3)*('GMW - $100 oil'!$MB$2:$MB$200=J$4),0),$E75-1973)</f>
        <v>#N/A</v>
      </c>
      <c r="K75" t="e" cm="1">
        <f t="array" ref="K75">INDEX('GMW - $100 oil'!$A$2:$MC$200,MATCH(1,('GMW - $100 oil'!$MC$2:$MC$200=K$3)*('GMW - $100 oil'!$MB$2:$MB$200=K$4),0),$E75-1973)</f>
        <v>#N/A</v>
      </c>
      <c r="L75" t="e" cm="1">
        <f t="array" ref="L75">INDEX('GMW - $100 oil'!$A$2:$MC$200,MATCH(1,('GMW - $100 oil'!$MC$2:$MC$200=L$3)*('GMW - $100 oil'!$MB$2:$MB$200=L$4),0),$E75-1973)</f>
        <v>#N/A</v>
      </c>
      <c r="M75" t="e" cm="1">
        <f t="array" ref="M75">INDEX('GMW - $100 oil'!$A$2:$MC$200,MATCH(1,('GMW - $100 oil'!$MC$2:$MC$200=M$3)*('GMW - $100 oil'!$MB$2:$MB$200=M$4),0),$E75-1973)</f>
        <v>#N/A</v>
      </c>
      <c r="N75" t="e" cm="1">
        <f t="array" ref="N75">INDEX('GMW - $100 oil'!$A$2:$MC$200,MATCH(1,('GMW - $100 oil'!$MC$2:$MC$200=N$3)*('GMW - $100 oil'!$MB$2:$MB$200=N$4),0),$E75-1973)</f>
        <v>#N/A</v>
      </c>
      <c r="O75" t="e" cm="1">
        <f t="array" ref="O75">INDEX('GMW - $100 oil'!$A$2:$MC$200,MATCH(1,('GMW - $100 oil'!$MC$2:$MC$200=O$3)*('GMW - $100 oil'!$MB$2:$MB$200=O$4),0),$E75-1973)</f>
        <v>#N/A</v>
      </c>
      <c r="P75" t="e" cm="1">
        <f t="array" ref="P75">INDEX('GMW - $100 oil'!$A$2:$MC$200,MATCH(1,('GMW - $100 oil'!$MC$2:$MC$200=P$3)*('GMW - $100 oil'!$MB$2:$MB$200=P$4),0),$E75-1973)</f>
        <v>#N/A</v>
      </c>
      <c r="Q75" t="e" cm="1">
        <f t="array" ref="Q75">INDEX('GMW - $100 oil'!$A$2:$MC$200,MATCH(1,('GMW - $100 oil'!$MC$2:$MC$200=Q$3)*('GMW - $100 oil'!$MB$2:$MB$200=Q$4),0),$E75-1973)</f>
        <v>#N/A</v>
      </c>
      <c r="R75" t="e" cm="1">
        <f t="array" ref="R75">INDEX('GMW - $100 oil'!$A$2:$MC$200,MATCH(1,('GMW - $100 oil'!$MC$2:$MC$200=R$3)*('GMW - $100 oil'!$MB$2:$MB$200=R$4),0),$E75-1973)</f>
        <v>#N/A</v>
      </c>
      <c r="S75" t="e" cm="1">
        <f t="array" ref="S75">INDEX('GMW - $100 oil'!$A$2:$MC$200,MATCH(1,('GMW - $100 oil'!$MC$2:$MC$200=S$3)*('GMW - $100 oil'!$MB$2:$MB$200=S$4),0),$E75-1973)</f>
        <v>#N/A</v>
      </c>
      <c r="T75" t="e" cm="1">
        <f t="array" ref="T75">INDEX('GMW - $100 oil'!$A$2:$MC$200,MATCH(1,('GMW - $100 oil'!$MC$2:$MC$200=T$3)*('GMW - $100 oil'!$MB$2:$MB$200=T$4),0),$E75-1973)</f>
        <v>#N/A</v>
      </c>
    </row>
    <row r="76" spans="1:20" x14ac:dyDescent="0.25">
      <c r="B76">
        <f t="shared" ref="B76:D91" si="7">+B72+1</f>
        <v>1997</v>
      </c>
      <c r="C76">
        <f t="shared" si="7"/>
        <v>1997</v>
      </c>
      <c r="E76">
        <f t="shared" si="6"/>
        <v>2049</v>
      </c>
      <c r="F76" cm="1">
        <f t="array" ref="F76">INDEX('GMW - $100 oil'!$A$2:$MC$200,MATCH(1,('GMW - $100 oil'!$MC$2:$MC$200=F$3)*('GMW - $100 oil'!$MB$2:$MB$200=F$4),0),$E76-1973)</f>
        <v>434199</v>
      </c>
      <c r="G76" cm="1">
        <f t="array" ref="G76">INDEX('GMW - $100 oil'!$A$2:$MC$200,MATCH(1,('GMW - $100 oil'!$MC$2:$MC$200=G$3)*('GMW - $100 oil'!$MB$2:$MB$200=G$4),0),$E76-1973)</f>
        <v>253090</v>
      </c>
      <c r="H76" cm="1">
        <f t="array" ref="H76">INDEX('GMW - $100 oil'!$A$2:$MC$200,MATCH(1,('GMW - $100 oil'!$MC$2:$MC$200=H$3)*('GMW - $100 oil'!$MB$2:$MB$200=H$4),0),$E76-1973)</f>
        <v>70</v>
      </c>
      <c r="I76" cm="1">
        <f t="array" ref="I76">INDEX('GMW - $100 oil'!$A$2:$MC$200,MATCH(1,('GMW - $100 oil'!$MC$2:$MC$200=I$3)*('GMW - $100 oil'!$MB$2:$MB$200=I$4),0),$E76-1973)</f>
        <v>6.1951919999999996</v>
      </c>
      <c r="J76" t="e" cm="1">
        <f t="array" ref="J76">INDEX('GMW - $100 oil'!$A$2:$MC$200,MATCH(1,('GMW - $100 oil'!$MC$2:$MC$200=J$3)*('GMW - $100 oil'!$MB$2:$MB$200=J$4),0),$E76-1973)</f>
        <v>#N/A</v>
      </c>
      <c r="K76" t="e" cm="1">
        <f t="array" ref="K76">INDEX('GMW - $100 oil'!$A$2:$MC$200,MATCH(1,('GMW - $100 oil'!$MC$2:$MC$200=K$3)*('GMW - $100 oil'!$MB$2:$MB$200=K$4),0),$E76-1973)</f>
        <v>#N/A</v>
      </c>
      <c r="L76" t="e" cm="1">
        <f t="array" ref="L76">INDEX('GMW - $100 oil'!$A$2:$MC$200,MATCH(1,('GMW - $100 oil'!$MC$2:$MC$200=L$3)*('GMW - $100 oil'!$MB$2:$MB$200=L$4),0),$E76-1973)</f>
        <v>#N/A</v>
      </c>
      <c r="M76" t="e" cm="1">
        <f t="array" ref="M76">INDEX('GMW - $100 oil'!$A$2:$MC$200,MATCH(1,('GMW - $100 oil'!$MC$2:$MC$200=M$3)*('GMW - $100 oil'!$MB$2:$MB$200=M$4),0),$E76-1973)</f>
        <v>#N/A</v>
      </c>
      <c r="N76" t="e" cm="1">
        <f t="array" ref="N76">INDEX('GMW - $100 oil'!$A$2:$MC$200,MATCH(1,('GMW - $100 oil'!$MC$2:$MC$200=N$3)*('GMW - $100 oil'!$MB$2:$MB$200=N$4),0),$E76-1973)</f>
        <v>#N/A</v>
      </c>
      <c r="O76" t="e" cm="1">
        <f t="array" ref="O76">INDEX('GMW - $100 oil'!$A$2:$MC$200,MATCH(1,('GMW - $100 oil'!$MC$2:$MC$200=O$3)*('GMW - $100 oil'!$MB$2:$MB$200=O$4),0),$E76-1973)</f>
        <v>#N/A</v>
      </c>
      <c r="P76" t="e" cm="1">
        <f t="array" ref="P76">INDEX('GMW - $100 oil'!$A$2:$MC$200,MATCH(1,('GMW - $100 oil'!$MC$2:$MC$200=P$3)*('GMW - $100 oil'!$MB$2:$MB$200=P$4),0),$E76-1973)</f>
        <v>#N/A</v>
      </c>
      <c r="Q76" t="e" cm="1">
        <f t="array" ref="Q76">INDEX('GMW - $100 oil'!$A$2:$MC$200,MATCH(1,('GMW - $100 oil'!$MC$2:$MC$200=Q$3)*('GMW - $100 oil'!$MB$2:$MB$200=Q$4),0),$E76-1973)</f>
        <v>#N/A</v>
      </c>
      <c r="R76" t="e" cm="1">
        <f t="array" ref="R76">INDEX('GMW - $100 oil'!$A$2:$MC$200,MATCH(1,('GMW - $100 oil'!$MC$2:$MC$200=R$3)*('GMW - $100 oil'!$MB$2:$MB$200=R$4),0),$E76-1973)</f>
        <v>#N/A</v>
      </c>
      <c r="S76" t="e" cm="1">
        <f t="array" ref="S76">INDEX('GMW - $100 oil'!$A$2:$MC$200,MATCH(1,('GMW - $100 oil'!$MC$2:$MC$200=S$3)*('GMW - $100 oil'!$MB$2:$MB$200=S$4),0),$E76-1973)</f>
        <v>#N/A</v>
      </c>
      <c r="T76" t="e" cm="1">
        <f t="array" ref="T76">INDEX('GMW - $100 oil'!$A$2:$MC$200,MATCH(1,('GMW - $100 oil'!$MC$2:$MC$200=T$3)*('GMW - $100 oil'!$MB$2:$MB$200=T$4),0),$E76-1973)</f>
        <v>#N/A</v>
      </c>
    </row>
    <row r="77" spans="1:20" x14ac:dyDescent="0.25">
      <c r="B77">
        <f t="shared" si="7"/>
        <v>1997</v>
      </c>
      <c r="C77">
        <f t="shared" si="7"/>
        <v>1997</v>
      </c>
      <c r="E77">
        <f t="shared" si="6"/>
        <v>2050</v>
      </c>
      <c r="F77" cm="1">
        <f t="array" ref="F77">INDEX('GMW - $100 oil'!$A$2:$MC$200,MATCH(1,('GMW - $100 oil'!$MC$2:$MC$200=F$3)*('GMW - $100 oil'!$MB$2:$MB$200=F$4),0),$E77-1973)</f>
        <v>438100</v>
      </c>
      <c r="G77" cm="1">
        <f t="array" ref="G77">INDEX('GMW - $100 oil'!$A$2:$MC$200,MATCH(1,('GMW - $100 oil'!$MC$2:$MC$200=G$3)*('GMW - $100 oil'!$MB$2:$MB$200=G$4),0),$E77-1973)</f>
        <v>256735</v>
      </c>
      <c r="H77" cm="1">
        <f t="array" ref="H77">INDEX('GMW - $100 oil'!$A$2:$MC$200,MATCH(1,('GMW - $100 oil'!$MC$2:$MC$200=H$3)*('GMW - $100 oil'!$MB$2:$MB$200=H$4),0),$E77-1973)</f>
        <v>70.266670000000005</v>
      </c>
      <c r="I77" cm="1">
        <f t="array" ref="I77">INDEX('GMW - $100 oil'!$A$2:$MC$200,MATCH(1,('GMW - $100 oil'!$MC$2:$MC$200=I$3)*('GMW - $100 oil'!$MB$2:$MB$200=I$4),0),$E77-1973)</f>
        <v>6.8712119999999999</v>
      </c>
      <c r="J77" t="e" cm="1">
        <f t="array" ref="J77">INDEX('GMW - $100 oil'!$A$2:$MC$200,MATCH(1,('GMW - $100 oil'!$MC$2:$MC$200=J$3)*('GMW - $100 oil'!$MB$2:$MB$200=J$4),0),$E77-1973)</f>
        <v>#N/A</v>
      </c>
      <c r="K77" t="e" cm="1">
        <f t="array" ref="K77">INDEX('GMW - $100 oil'!$A$2:$MC$200,MATCH(1,('GMW - $100 oil'!$MC$2:$MC$200=K$3)*('GMW - $100 oil'!$MB$2:$MB$200=K$4),0),$E77-1973)</f>
        <v>#N/A</v>
      </c>
      <c r="L77" t="e" cm="1">
        <f t="array" ref="L77">INDEX('GMW - $100 oil'!$A$2:$MC$200,MATCH(1,('GMW - $100 oil'!$MC$2:$MC$200=L$3)*('GMW - $100 oil'!$MB$2:$MB$200=L$4),0),$E77-1973)</f>
        <v>#N/A</v>
      </c>
      <c r="M77" t="e" cm="1">
        <f t="array" ref="M77">INDEX('GMW - $100 oil'!$A$2:$MC$200,MATCH(1,('GMW - $100 oil'!$MC$2:$MC$200=M$3)*('GMW - $100 oil'!$MB$2:$MB$200=M$4),0),$E77-1973)</f>
        <v>#N/A</v>
      </c>
      <c r="N77" t="e" cm="1">
        <f t="array" ref="N77">INDEX('GMW - $100 oil'!$A$2:$MC$200,MATCH(1,('GMW - $100 oil'!$MC$2:$MC$200=N$3)*('GMW - $100 oil'!$MB$2:$MB$200=N$4),0),$E77-1973)</f>
        <v>#N/A</v>
      </c>
      <c r="O77" t="e" cm="1">
        <f t="array" ref="O77">INDEX('GMW - $100 oil'!$A$2:$MC$200,MATCH(1,('GMW - $100 oil'!$MC$2:$MC$200=O$3)*('GMW - $100 oil'!$MB$2:$MB$200=O$4),0),$E77-1973)</f>
        <v>#N/A</v>
      </c>
      <c r="P77" t="e" cm="1">
        <f t="array" ref="P77">INDEX('GMW - $100 oil'!$A$2:$MC$200,MATCH(1,('GMW - $100 oil'!$MC$2:$MC$200=P$3)*('GMW - $100 oil'!$MB$2:$MB$200=P$4),0),$E77-1973)</f>
        <v>#N/A</v>
      </c>
      <c r="Q77" t="e" cm="1">
        <f t="array" ref="Q77">INDEX('GMW - $100 oil'!$A$2:$MC$200,MATCH(1,('GMW - $100 oil'!$MC$2:$MC$200=Q$3)*('GMW - $100 oil'!$MB$2:$MB$200=Q$4),0),$E77-1973)</f>
        <v>#N/A</v>
      </c>
      <c r="R77" t="e" cm="1">
        <f t="array" ref="R77">INDEX('GMW - $100 oil'!$A$2:$MC$200,MATCH(1,('GMW - $100 oil'!$MC$2:$MC$200=R$3)*('GMW - $100 oil'!$MB$2:$MB$200=R$4),0),$E77-1973)</f>
        <v>#N/A</v>
      </c>
      <c r="S77" t="e" cm="1">
        <f t="array" ref="S77">INDEX('GMW - $100 oil'!$A$2:$MC$200,MATCH(1,('GMW - $100 oil'!$MC$2:$MC$200=S$3)*('GMW - $100 oil'!$MB$2:$MB$200=S$4),0),$E77-1973)</f>
        <v>#N/A</v>
      </c>
      <c r="T77" t="e" cm="1">
        <f t="array" ref="T77">INDEX('GMW - $100 oil'!$A$2:$MC$200,MATCH(1,('GMW - $100 oil'!$MC$2:$MC$200=T$3)*('GMW - $100 oil'!$MB$2:$MB$200=T$4),0),$E77-1973)</f>
        <v>#N/A</v>
      </c>
    </row>
    <row r="78" spans="1:20" x14ac:dyDescent="0.25">
      <c r="B78">
        <f t="shared" si="7"/>
        <v>1997</v>
      </c>
      <c r="C78">
        <f t="shared" si="7"/>
        <v>1997</v>
      </c>
      <c r="E78">
        <f t="shared" si="6"/>
        <v>2051</v>
      </c>
      <c r="F78" cm="1">
        <f t="array" ref="F78">INDEX('GMW - $100 oil'!$A$2:$MC$200,MATCH(1,('GMW - $100 oil'!$MC$2:$MC$200=F$3)*('GMW - $100 oil'!$MB$2:$MB$200=F$4),0),$E78-1973)</f>
        <v>444540</v>
      </c>
      <c r="G78" cm="1">
        <f t="array" ref="G78">INDEX('GMW - $100 oil'!$A$2:$MC$200,MATCH(1,('GMW - $100 oil'!$MC$2:$MC$200=G$3)*('GMW - $100 oil'!$MB$2:$MB$200=G$4),0),$E78-1973)</f>
        <v>258701</v>
      </c>
      <c r="H78" cm="1">
        <f t="array" ref="H78">INDEX('GMW - $100 oil'!$A$2:$MC$200,MATCH(1,('GMW - $100 oil'!$MC$2:$MC$200=H$3)*('GMW - $100 oil'!$MB$2:$MB$200=H$4),0),$E78-1973)</f>
        <v>70.633330000000001</v>
      </c>
      <c r="I78" cm="1">
        <f t="array" ref="I78">INDEX('GMW - $100 oil'!$A$2:$MC$200,MATCH(1,('GMW - $100 oil'!$MC$2:$MC$200=I$3)*('GMW - $100 oil'!$MB$2:$MB$200=I$4),0),$E78-1973)</f>
        <v>7.1515149999999998</v>
      </c>
      <c r="J78" t="e" cm="1">
        <f t="array" ref="J78">INDEX('GMW - $100 oil'!$A$2:$MC$200,MATCH(1,('GMW - $100 oil'!$MC$2:$MC$200=J$3)*('GMW - $100 oil'!$MB$2:$MB$200=J$4),0),$E78-1973)</f>
        <v>#N/A</v>
      </c>
      <c r="K78" t="e" cm="1">
        <f t="array" ref="K78">INDEX('GMW - $100 oil'!$A$2:$MC$200,MATCH(1,('GMW - $100 oil'!$MC$2:$MC$200=K$3)*('GMW - $100 oil'!$MB$2:$MB$200=K$4),0),$E78-1973)</f>
        <v>#N/A</v>
      </c>
      <c r="L78" t="e" cm="1">
        <f t="array" ref="L78">INDEX('GMW - $100 oil'!$A$2:$MC$200,MATCH(1,('GMW - $100 oil'!$MC$2:$MC$200=L$3)*('GMW - $100 oil'!$MB$2:$MB$200=L$4),0),$E78-1973)</f>
        <v>#N/A</v>
      </c>
      <c r="M78" t="e" cm="1">
        <f t="array" ref="M78">INDEX('GMW - $100 oil'!$A$2:$MC$200,MATCH(1,('GMW - $100 oil'!$MC$2:$MC$200=M$3)*('GMW - $100 oil'!$MB$2:$MB$200=M$4),0),$E78-1973)</f>
        <v>#N/A</v>
      </c>
      <c r="N78" t="e" cm="1">
        <f t="array" ref="N78">INDEX('GMW - $100 oil'!$A$2:$MC$200,MATCH(1,('GMW - $100 oil'!$MC$2:$MC$200=N$3)*('GMW - $100 oil'!$MB$2:$MB$200=N$4),0),$E78-1973)</f>
        <v>#N/A</v>
      </c>
      <c r="O78" t="e" cm="1">
        <f t="array" ref="O78">INDEX('GMW - $100 oil'!$A$2:$MC$200,MATCH(1,('GMW - $100 oil'!$MC$2:$MC$200=O$3)*('GMW - $100 oil'!$MB$2:$MB$200=O$4),0),$E78-1973)</f>
        <v>#N/A</v>
      </c>
      <c r="P78" t="e" cm="1">
        <f t="array" ref="P78">INDEX('GMW - $100 oil'!$A$2:$MC$200,MATCH(1,('GMW - $100 oil'!$MC$2:$MC$200=P$3)*('GMW - $100 oil'!$MB$2:$MB$200=P$4),0),$E78-1973)</f>
        <v>#N/A</v>
      </c>
      <c r="Q78" t="e" cm="1">
        <f t="array" ref="Q78">INDEX('GMW - $100 oil'!$A$2:$MC$200,MATCH(1,('GMW - $100 oil'!$MC$2:$MC$200=Q$3)*('GMW - $100 oil'!$MB$2:$MB$200=Q$4),0),$E78-1973)</f>
        <v>#N/A</v>
      </c>
      <c r="R78" t="e" cm="1">
        <f t="array" ref="R78">INDEX('GMW - $100 oil'!$A$2:$MC$200,MATCH(1,('GMW - $100 oil'!$MC$2:$MC$200=R$3)*('GMW - $100 oil'!$MB$2:$MB$200=R$4),0),$E78-1973)</f>
        <v>#N/A</v>
      </c>
      <c r="S78" t="e" cm="1">
        <f t="array" ref="S78">INDEX('GMW - $100 oil'!$A$2:$MC$200,MATCH(1,('GMW - $100 oil'!$MC$2:$MC$200=S$3)*('GMW - $100 oil'!$MB$2:$MB$200=S$4),0),$E78-1973)</f>
        <v>#N/A</v>
      </c>
      <c r="T78" t="e" cm="1">
        <f t="array" ref="T78">INDEX('GMW - $100 oil'!$A$2:$MC$200,MATCH(1,('GMW - $100 oil'!$MC$2:$MC$200=T$3)*('GMW - $100 oil'!$MB$2:$MB$200=T$4),0),$E78-1973)</f>
        <v>#N/A</v>
      </c>
    </row>
    <row r="79" spans="1:20" x14ac:dyDescent="0.25">
      <c r="A79">
        <v>1998</v>
      </c>
      <c r="B79">
        <f t="shared" si="7"/>
        <v>1998</v>
      </c>
      <c r="C79">
        <f t="shared" si="7"/>
        <v>1997</v>
      </c>
      <c r="D79">
        <f t="shared" si="7"/>
        <v>1997</v>
      </c>
      <c r="E79">
        <f t="shared" si="6"/>
        <v>2052</v>
      </c>
      <c r="F79" cm="1">
        <f t="array" ref="F79">INDEX('GMW - $100 oil'!$A$2:$MC$200,MATCH(1,('GMW - $100 oil'!$MC$2:$MC$200=F$3)*('GMW - $100 oil'!$MB$2:$MB$200=F$4),0),$E79-1973)</f>
        <v>447712</v>
      </c>
      <c r="G79" cm="1">
        <f t="array" ref="G79">INDEX('GMW - $100 oil'!$A$2:$MC$200,MATCH(1,('GMW - $100 oil'!$MC$2:$MC$200=G$3)*('GMW - $100 oil'!$MB$2:$MB$200=G$4),0),$E79-1973)</f>
        <v>260797</v>
      </c>
      <c r="H79" cm="1">
        <f t="array" ref="H79">INDEX('GMW - $100 oil'!$A$2:$MC$200,MATCH(1,('GMW - $100 oil'!$MC$2:$MC$200=H$3)*('GMW - $100 oil'!$MB$2:$MB$200=H$4),0),$E79-1973)</f>
        <v>70.5</v>
      </c>
      <c r="I79" cm="1">
        <f t="array" ref="I79">INDEX('GMW - $100 oil'!$A$2:$MC$200,MATCH(1,('GMW - $100 oil'!$MC$2:$MC$200=I$3)*('GMW - $100 oil'!$MB$2:$MB$200=I$4),0),$E79-1973)</f>
        <v>7.25</v>
      </c>
      <c r="J79" t="e" cm="1">
        <f t="array" ref="J79">INDEX('GMW - $100 oil'!$A$2:$MC$200,MATCH(1,('GMW - $100 oil'!$MC$2:$MC$200=J$3)*('GMW - $100 oil'!$MB$2:$MB$200=J$4),0),$E79-1973)</f>
        <v>#N/A</v>
      </c>
      <c r="K79" t="e" cm="1">
        <f t="array" ref="K79">INDEX('GMW - $100 oil'!$A$2:$MC$200,MATCH(1,('GMW - $100 oil'!$MC$2:$MC$200=K$3)*('GMW - $100 oil'!$MB$2:$MB$200=K$4),0),$E79-1973)</f>
        <v>#N/A</v>
      </c>
      <c r="L79" t="e" cm="1">
        <f t="array" ref="L79">INDEX('GMW - $100 oil'!$A$2:$MC$200,MATCH(1,('GMW - $100 oil'!$MC$2:$MC$200=L$3)*('GMW - $100 oil'!$MB$2:$MB$200=L$4),0),$E79-1973)</f>
        <v>#N/A</v>
      </c>
      <c r="M79" t="e" cm="1">
        <f t="array" ref="M79">INDEX('GMW - $100 oil'!$A$2:$MC$200,MATCH(1,('GMW - $100 oil'!$MC$2:$MC$200=M$3)*('GMW - $100 oil'!$MB$2:$MB$200=M$4),0),$E79-1973)</f>
        <v>#N/A</v>
      </c>
      <c r="N79" t="e" cm="1">
        <f t="array" ref="N79">INDEX('GMW - $100 oil'!$A$2:$MC$200,MATCH(1,('GMW - $100 oil'!$MC$2:$MC$200=N$3)*('GMW - $100 oil'!$MB$2:$MB$200=N$4),0),$E79-1973)</f>
        <v>#N/A</v>
      </c>
      <c r="O79" t="e" cm="1">
        <f t="array" ref="O79">INDEX('GMW - $100 oil'!$A$2:$MC$200,MATCH(1,('GMW - $100 oil'!$MC$2:$MC$200=O$3)*('GMW - $100 oil'!$MB$2:$MB$200=O$4),0),$E79-1973)</f>
        <v>#N/A</v>
      </c>
      <c r="P79" t="e" cm="1">
        <f t="array" ref="P79">INDEX('GMW - $100 oil'!$A$2:$MC$200,MATCH(1,('GMW - $100 oil'!$MC$2:$MC$200=P$3)*('GMW - $100 oil'!$MB$2:$MB$200=P$4),0),$E79-1973)</f>
        <v>#N/A</v>
      </c>
      <c r="Q79" t="e" cm="1">
        <f t="array" ref="Q79">INDEX('GMW - $100 oil'!$A$2:$MC$200,MATCH(1,('GMW - $100 oil'!$MC$2:$MC$200=Q$3)*('GMW - $100 oil'!$MB$2:$MB$200=Q$4),0),$E79-1973)</f>
        <v>#N/A</v>
      </c>
      <c r="R79" t="e" cm="1">
        <f t="array" ref="R79">INDEX('GMW - $100 oil'!$A$2:$MC$200,MATCH(1,('GMW - $100 oil'!$MC$2:$MC$200=R$3)*('GMW - $100 oil'!$MB$2:$MB$200=R$4),0),$E79-1973)</f>
        <v>#N/A</v>
      </c>
      <c r="S79" t="e" cm="1">
        <f t="array" ref="S79">INDEX('GMW - $100 oil'!$A$2:$MC$200,MATCH(1,('GMW - $100 oil'!$MC$2:$MC$200=S$3)*('GMW - $100 oil'!$MB$2:$MB$200=S$4),0),$E79-1973)</f>
        <v>#N/A</v>
      </c>
      <c r="T79" t="e" cm="1">
        <f t="array" ref="T79">INDEX('GMW - $100 oil'!$A$2:$MC$200,MATCH(1,('GMW - $100 oil'!$MC$2:$MC$200=T$3)*('GMW - $100 oil'!$MB$2:$MB$200=T$4),0),$E79-1973)</f>
        <v>#N/A</v>
      </c>
    </row>
    <row r="80" spans="1:20" x14ac:dyDescent="0.25">
      <c r="B80">
        <f t="shared" si="7"/>
        <v>1998</v>
      </c>
      <c r="C80">
        <f t="shared" si="7"/>
        <v>1998</v>
      </c>
      <c r="E80">
        <f t="shared" si="6"/>
        <v>2053</v>
      </c>
      <c r="F80" cm="1">
        <f t="array" ref="F80">INDEX('GMW - $100 oil'!$A$2:$MC$200,MATCH(1,('GMW - $100 oil'!$MC$2:$MC$200=F$3)*('GMW - $100 oil'!$MB$2:$MB$200=F$4),0),$E80-1973)</f>
        <v>450292</v>
      </c>
      <c r="G80" cm="1">
        <f t="array" ref="G80">INDEX('GMW - $100 oil'!$A$2:$MC$200,MATCH(1,('GMW - $100 oil'!$MC$2:$MC$200=G$3)*('GMW - $100 oil'!$MB$2:$MB$200=G$4),0),$E80-1973)</f>
        <v>263411</v>
      </c>
      <c r="H80" cm="1">
        <f t="array" ref="H80">INDEX('GMW - $100 oil'!$A$2:$MC$200,MATCH(1,('GMW - $100 oil'!$MC$2:$MC$200=H$3)*('GMW - $100 oil'!$MB$2:$MB$200=H$4),0),$E80-1973)</f>
        <v>71.266670000000005</v>
      </c>
      <c r="I80" cm="1">
        <f t="array" ref="I80">INDEX('GMW - $100 oil'!$A$2:$MC$200,MATCH(1,('GMW - $100 oil'!$MC$2:$MC$200=I$3)*('GMW - $100 oil'!$MB$2:$MB$200=I$4),0),$E80-1973)</f>
        <v>7.3230769999999996</v>
      </c>
      <c r="J80" t="e" cm="1">
        <f t="array" ref="J80">INDEX('GMW - $100 oil'!$A$2:$MC$200,MATCH(1,('GMW - $100 oil'!$MC$2:$MC$200=J$3)*('GMW - $100 oil'!$MB$2:$MB$200=J$4),0),$E80-1973)</f>
        <v>#N/A</v>
      </c>
      <c r="K80" t="e" cm="1">
        <f t="array" ref="K80">INDEX('GMW - $100 oil'!$A$2:$MC$200,MATCH(1,('GMW - $100 oil'!$MC$2:$MC$200=K$3)*('GMW - $100 oil'!$MB$2:$MB$200=K$4),0),$E80-1973)</f>
        <v>#N/A</v>
      </c>
      <c r="L80" t="e" cm="1">
        <f t="array" ref="L80">INDEX('GMW - $100 oil'!$A$2:$MC$200,MATCH(1,('GMW - $100 oil'!$MC$2:$MC$200=L$3)*('GMW - $100 oil'!$MB$2:$MB$200=L$4),0),$E80-1973)</f>
        <v>#N/A</v>
      </c>
      <c r="M80" t="e" cm="1">
        <f t="array" ref="M80">INDEX('GMW - $100 oil'!$A$2:$MC$200,MATCH(1,('GMW - $100 oil'!$MC$2:$MC$200=M$3)*('GMW - $100 oil'!$MB$2:$MB$200=M$4),0),$E80-1973)</f>
        <v>#N/A</v>
      </c>
      <c r="N80" t="e" cm="1">
        <f t="array" ref="N80">INDEX('GMW - $100 oil'!$A$2:$MC$200,MATCH(1,('GMW - $100 oil'!$MC$2:$MC$200=N$3)*('GMW - $100 oil'!$MB$2:$MB$200=N$4),0),$E80-1973)</f>
        <v>#N/A</v>
      </c>
      <c r="O80" t="e" cm="1">
        <f t="array" ref="O80">INDEX('GMW - $100 oil'!$A$2:$MC$200,MATCH(1,('GMW - $100 oil'!$MC$2:$MC$200=O$3)*('GMW - $100 oil'!$MB$2:$MB$200=O$4),0),$E80-1973)</f>
        <v>#N/A</v>
      </c>
      <c r="P80" t="e" cm="1">
        <f t="array" ref="P80">INDEX('GMW - $100 oil'!$A$2:$MC$200,MATCH(1,('GMW - $100 oil'!$MC$2:$MC$200=P$3)*('GMW - $100 oil'!$MB$2:$MB$200=P$4),0),$E80-1973)</f>
        <v>#N/A</v>
      </c>
      <c r="Q80" t="e" cm="1">
        <f t="array" ref="Q80">INDEX('GMW - $100 oil'!$A$2:$MC$200,MATCH(1,('GMW - $100 oil'!$MC$2:$MC$200=Q$3)*('GMW - $100 oil'!$MB$2:$MB$200=Q$4),0),$E80-1973)</f>
        <v>#N/A</v>
      </c>
      <c r="R80" t="e" cm="1">
        <f t="array" ref="R80">INDEX('GMW - $100 oil'!$A$2:$MC$200,MATCH(1,('GMW - $100 oil'!$MC$2:$MC$200=R$3)*('GMW - $100 oil'!$MB$2:$MB$200=R$4),0),$E80-1973)</f>
        <v>#N/A</v>
      </c>
      <c r="S80" t="e" cm="1">
        <f t="array" ref="S80">INDEX('GMW - $100 oil'!$A$2:$MC$200,MATCH(1,('GMW - $100 oil'!$MC$2:$MC$200=S$3)*('GMW - $100 oil'!$MB$2:$MB$200=S$4),0),$E80-1973)</f>
        <v>#N/A</v>
      </c>
      <c r="T80" t="e" cm="1">
        <f t="array" ref="T80">INDEX('GMW - $100 oil'!$A$2:$MC$200,MATCH(1,('GMW - $100 oil'!$MC$2:$MC$200=T$3)*('GMW - $100 oil'!$MB$2:$MB$200=T$4),0),$E80-1973)</f>
        <v>#N/A</v>
      </c>
    </row>
    <row r="81" spans="1:20" x14ac:dyDescent="0.25">
      <c r="B81">
        <f t="shared" si="7"/>
        <v>1998</v>
      </c>
      <c r="C81">
        <f t="shared" si="7"/>
        <v>1998</v>
      </c>
      <c r="E81">
        <f t="shared" si="6"/>
        <v>2054</v>
      </c>
      <c r="F81" cm="1">
        <f t="array" ref="F81">INDEX('GMW - $100 oil'!$A$2:$MC$200,MATCH(1,('GMW - $100 oil'!$MC$2:$MC$200=F$3)*('GMW - $100 oil'!$MB$2:$MB$200=F$4),0),$E81-1973)</f>
        <v>451005</v>
      </c>
      <c r="G81" cm="1">
        <f t="array" ref="G81">INDEX('GMW - $100 oil'!$A$2:$MC$200,MATCH(1,('GMW - $100 oil'!$MC$2:$MC$200=G$3)*('GMW - $100 oil'!$MB$2:$MB$200=G$4),0),$E81-1973)</f>
        <v>267649</v>
      </c>
      <c r="H81" cm="1">
        <f t="array" ref="H81">INDEX('GMW - $100 oil'!$A$2:$MC$200,MATCH(1,('GMW - $100 oil'!$MC$2:$MC$200=H$3)*('GMW - $100 oil'!$MB$2:$MB$200=H$4),0),$E81-1973)</f>
        <v>71.233329999999995</v>
      </c>
      <c r="I81" cm="1">
        <f t="array" ref="I81">INDEX('GMW - $100 oil'!$A$2:$MC$200,MATCH(1,('GMW - $100 oil'!$MC$2:$MC$200=I$3)*('GMW - $100 oil'!$MB$2:$MB$200=I$4),0),$E81-1973)</f>
        <v>7.5</v>
      </c>
      <c r="J81" t="e" cm="1">
        <f t="array" ref="J81">INDEX('GMW - $100 oil'!$A$2:$MC$200,MATCH(1,('GMW - $100 oil'!$MC$2:$MC$200=J$3)*('GMW - $100 oil'!$MB$2:$MB$200=J$4),0),$E81-1973)</f>
        <v>#N/A</v>
      </c>
      <c r="K81" t="e" cm="1">
        <f t="array" ref="K81">INDEX('GMW - $100 oil'!$A$2:$MC$200,MATCH(1,('GMW - $100 oil'!$MC$2:$MC$200=K$3)*('GMW - $100 oil'!$MB$2:$MB$200=K$4),0),$E81-1973)</f>
        <v>#N/A</v>
      </c>
      <c r="L81" t="e" cm="1">
        <f t="array" ref="L81">INDEX('GMW - $100 oil'!$A$2:$MC$200,MATCH(1,('GMW - $100 oil'!$MC$2:$MC$200=L$3)*('GMW - $100 oil'!$MB$2:$MB$200=L$4),0),$E81-1973)</f>
        <v>#N/A</v>
      </c>
      <c r="M81" t="e" cm="1">
        <f t="array" ref="M81">INDEX('GMW - $100 oil'!$A$2:$MC$200,MATCH(1,('GMW - $100 oil'!$MC$2:$MC$200=M$3)*('GMW - $100 oil'!$MB$2:$MB$200=M$4),0),$E81-1973)</f>
        <v>#N/A</v>
      </c>
      <c r="N81" t="e" cm="1">
        <f t="array" ref="N81">INDEX('GMW - $100 oil'!$A$2:$MC$200,MATCH(1,('GMW - $100 oil'!$MC$2:$MC$200=N$3)*('GMW - $100 oil'!$MB$2:$MB$200=N$4),0),$E81-1973)</f>
        <v>#N/A</v>
      </c>
      <c r="O81" t="e" cm="1">
        <f t="array" ref="O81">INDEX('GMW - $100 oil'!$A$2:$MC$200,MATCH(1,('GMW - $100 oil'!$MC$2:$MC$200=O$3)*('GMW - $100 oil'!$MB$2:$MB$200=O$4),0),$E81-1973)</f>
        <v>#N/A</v>
      </c>
      <c r="P81" t="e" cm="1">
        <f t="array" ref="P81">INDEX('GMW - $100 oil'!$A$2:$MC$200,MATCH(1,('GMW - $100 oil'!$MC$2:$MC$200=P$3)*('GMW - $100 oil'!$MB$2:$MB$200=P$4),0),$E81-1973)</f>
        <v>#N/A</v>
      </c>
      <c r="Q81" t="e" cm="1">
        <f t="array" ref="Q81">INDEX('GMW - $100 oil'!$A$2:$MC$200,MATCH(1,('GMW - $100 oil'!$MC$2:$MC$200=Q$3)*('GMW - $100 oil'!$MB$2:$MB$200=Q$4),0),$E81-1973)</f>
        <v>#N/A</v>
      </c>
      <c r="R81" t="e" cm="1">
        <f t="array" ref="R81">INDEX('GMW - $100 oil'!$A$2:$MC$200,MATCH(1,('GMW - $100 oil'!$MC$2:$MC$200=R$3)*('GMW - $100 oil'!$MB$2:$MB$200=R$4),0),$E81-1973)</f>
        <v>#N/A</v>
      </c>
      <c r="S81" t="e" cm="1">
        <f t="array" ref="S81">INDEX('GMW - $100 oil'!$A$2:$MC$200,MATCH(1,('GMW - $100 oil'!$MC$2:$MC$200=S$3)*('GMW - $100 oil'!$MB$2:$MB$200=S$4),0),$E81-1973)</f>
        <v>#N/A</v>
      </c>
      <c r="T81" t="e" cm="1">
        <f t="array" ref="T81">INDEX('GMW - $100 oil'!$A$2:$MC$200,MATCH(1,('GMW - $100 oil'!$MC$2:$MC$200=T$3)*('GMW - $100 oil'!$MB$2:$MB$200=T$4),0),$E81-1973)</f>
        <v>#N/A</v>
      </c>
    </row>
    <row r="82" spans="1:20" x14ac:dyDescent="0.25">
      <c r="B82">
        <f t="shared" si="7"/>
        <v>1998</v>
      </c>
      <c r="C82">
        <f t="shared" si="7"/>
        <v>1998</v>
      </c>
      <c r="E82">
        <f t="shared" si="6"/>
        <v>2055</v>
      </c>
      <c r="F82" cm="1">
        <f t="array" ref="F82">INDEX('GMW - $100 oil'!$A$2:$MC$200,MATCH(1,('GMW - $100 oil'!$MC$2:$MC$200=F$3)*('GMW - $100 oil'!$MB$2:$MB$200=F$4),0),$E82-1973)</f>
        <v>453937</v>
      </c>
      <c r="G82" cm="1">
        <f t="array" ref="G82">INDEX('GMW - $100 oil'!$A$2:$MC$200,MATCH(1,('GMW - $100 oil'!$MC$2:$MC$200=G$3)*('GMW - $100 oil'!$MB$2:$MB$200=G$4),0),$E82-1973)</f>
        <v>267397</v>
      </c>
      <c r="H82" cm="1">
        <f t="array" ref="H82">INDEX('GMW - $100 oil'!$A$2:$MC$200,MATCH(1,('GMW - $100 oil'!$MC$2:$MC$200=H$3)*('GMW - $100 oil'!$MB$2:$MB$200=H$4),0),$E82-1973)</f>
        <v>71.633330000000001</v>
      </c>
      <c r="I82" cm="1">
        <f t="array" ref="I82">INDEX('GMW - $100 oil'!$A$2:$MC$200,MATCH(1,('GMW - $100 oil'!$MC$2:$MC$200=I$3)*('GMW - $100 oil'!$MB$2:$MB$200=I$4),0),$E82-1973)</f>
        <v>6.8371209999999998</v>
      </c>
      <c r="J82" t="e" cm="1">
        <f t="array" ref="J82">INDEX('GMW - $100 oil'!$A$2:$MC$200,MATCH(1,('GMW - $100 oil'!$MC$2:$MC$200=J$3)*('GMW - $100 oil'!$MB$2:$MB$200=J$4),0),$E82-1973)</f>
        <v>#N/A</v>
      </c>
      <c r="K82" t="e" cm="1">
        <f t="array" ref="K82">INDEX('GMW - $100 oil'!$A$2:$MC$200,MATCH(1,('GMW - $100 oil'!$MC$2:$MC$200=K$3)*('GMW - $100 oil'!$MB$2:$MB$200=K$4),0),$E82-1973)</f>
        <v>#N/A</v>
      </c>
      <c r="L82" t="e" cm="1">
        <f t="array" ref="L82">INDEX('GMW - $100 oil'!$A$2:$MC$200,MATCH(1,('GMW - $100 oil'!$MC$2:$MC$200=L$3)*('GMW - $100 oil'!$MB$2:$MB$200=L$4),0),$E82-1973)</f>
        <v>#N/A</v>
      </c>
      <c r="M82" t="e" cm="1">
        <f t="array" ref="M82">INDEX('GMW - $100 oil'!$A$2:$MC$200,MATCH(1,('GMW - $100 oil'!$MC$2:$MC$200=M$3)*('GMW - $100 oil'!$MB$2:$MB$200=M$4),0),$E82-1973)</f>
        <v>#N/A</v>
      </c>
      <c r="N82" t="e" cm="1">
        <f t="array" ref="N82">INDEX('GMW - $100 oil'!$A$2:$MC$200,MATCH(1,('GMW - $100 oil'!$MC$2:$MC$200=N$3)*('GMW - $100 oil'!$MB$2:$MB$200=N$4),0),$E82-1973)</f>
        <v>#N/A</v>
      </c>
      <c r="O82" t="e" cm="1">
        <f t="array" ref="O82">INDEX('GMW - $100 oil'!$A$2:$MC$200,MATCH(1,('GMW - $100 oil'!$MC$2:$MC$200=O$3)*('GMW - $100 oil'!$MB$2:$MB$200=O$4),0),$E82-1973)</f>
        <v>#N/A</v>
      </c>
      <c r="P82" t="e" cm="1">
        <f t="array" ref="P82">INDEX('GMW - $100 oil'!$A$2:$MC$200,MATCH(1,('GMW - $100 oil'!$MC$2:$MC$200=P$3)*('GMW - $100 oil'!$MB$2:$MB$200=P$4),0),$E82-1973)</f>
        <v>#N/A</v>
      </c>
      <c r="Q82" t="e" cm="1">
        <f t="array" ref="Q82">INDEX('GMW - $100 oil'!$A$2:$MC$200,MATCH(1,('GMW - $100 oil'!$MC$2:$MC$200=Q$3)*('GMW - $100 oil'!$MB$2:$MB$200=Q$4),0),$E82-1973)</f>
        <v>#N/A</v>
      </c>
      <c r="R82" t="e" cm="1">
        <f t="array" ref="R82">INDEX('GMW - $100 oil'!$A$2:$MC$200,MATCH(1,('GMW - $100 oil'!$MC$2:$MC$200=R$3)*('GMW - $100 oil'!$MB$2:$MB$200=R$4),0),$E82-1973)</f>
        <v>#N/A</v>
      </c>
      <c r="S82" t="e" cm="1">
        <f t="array" ref="S82">INDEX('GMW - $100 oil'!$A$2:$MC$200,MATCH(1,('GMW - $100 oil'!$MC$2:$MC$200=S$3)*('GMW - $100 oil'!$MB$2:$MB$200=S$4),0),$E82-1973)</f>
        <v>#N/A</v>
      </c>
      <c r="T82" t="e" cm="1">
        <f t="array" ref="T82">INDEX('GMW - $100 oil'!$A$2:$MC$200,MATCH(1,('GMW - $100 oil'!$MC$2:$MC$200=T$3)*('GMW - $100 oil'!$MB$2:$MB$200=T$4),0),$E82-1973)</f>
        <v>#N/A</v>
      </c>
    </row>
    <row r="83" spans="1:20" x14ac:dyDescent="0.25">
      <c r="A83">
        <v>1999</v>
      </c>
      <c r="B83">
        <f t="shared" si="7"/>
        <v>1999</v>
      </c>
      <c r="C83">
        <f t="shared" si="7"/>
        <v>1998</v>
      </c>
      <c r="D83">
        <f t="shared" si="7"/>
        <v>1998</v>
      </c>
      <c r="E83">
        <f t="shared" si="6"/>
        <v>2056</v>
      </c>
      <c r="F83" cm="1">
        <f t="array" ref="F83">INDEX('GMW - $100 oil'!$A$2:$MC$200,MATCH(1,('GMW - $100 oil'!$MC$2:$MC$200=F$3)*('GMW - $100 oil'!$MB$2:$MB$200=F$4),0),$E83-1973)</f>
        <v>457044</v>
      </c>
      <c r="G83" cm="1">
        <f t="array" ref="G83">INDEX('GMW - $100 oil'!$A$2:$MC$200,MATCH(1,('GMW - $100 oil'!$MC$2:$MC$200=G$3)*('GMW - $100 oil'!$MB$2:$MB$200=G$4),0),$E83-1973)</f>
        <v>270159</v>
      </c>
      <c r="H83" cm="1">
        <f t="array" ref="H83">INDEX('GMW - $100 oil'!$A$2:$MC$200,MATCH(1,('GMW - $100 oil'!$MC$2:$MC$200=H$3)*('GMW - $100 oil'!$MB$2:$MB$200=H$4),0),$E83-1973)</f>
        <v>71.599999999999994</v>
      </c>
      <c r="I83" cm="1">
        <f t="array" ref="I83">INDEX('GMW - $100 oil'!$A$2:$MC$200,MATCH(1,('GMW - $100 oil'!$MC$2:$MC$200=I$3)*('GMW - $100 oil'!$MB$2:$MB$200=I$4),0),$E83-1973)</f>
        <v>5.703125</v>
      </c>
      <c r="J83" t="e" cm="1">
        <f t="array" ref="J83">INDEX('GMW - $100 oil'!$A$2:$MC$200,MATCH(1,('GMW - $100 oil'!$MC$2:$MC$200=J$3)*('GMW - $100 oil'!$MB$2:$MB$200=J$4),0),$E83-1973)</f>
        <v>#N/A</v>
      </c>
      <c r="K83" t="e" cm="1">
        <f t="array" ref="K83">INDEX('GMW - $100 oil'!$A$2:$MC$200,MATCH(1,('GMW - $100 oil'!$MC$2:$MC$200=K$3)*('GMW - $100 oil'!$MB$2:$MB$200=K$4),0),$E83-1973)</f>
        <v>#N/A</v>
      </c>
      <c r="L83" t="e" cm="1">
        <f t="array" ref="L83">INDEX('GMW - $100 oil'!$A$2:$MC$200,MATCH(1,('GMW - $100 oil'!$MC$2:$MC$200=L$3)*('GMW - $100 oil'!$MB$2:$MB$200=L$4),0),$E83-1973)</f>
        <v>#N/A</v>
      </c>
      <c r="M83" t="e" cm="1">
        <f t="array" ref="M83">INDEX('GMW - $100 oil'!$A$2:$MC$200,MATCH(1,('GMW - $100 oil'!$MC$2:$MC$200=M$3)*('GMW - $100 oil'!$MB$2:$MB$200=M$4),0),$E83-1973)</f>
        <v>#N/A</v>
      </c>
      <c r="N83" t="e" cm="1">
        <f t="array" ref="N83">INDEX('GMW - $100 oil'!$A$2:$MC$200,MATCH(1,('GMW - $100 oil'!$MC$2:$MC$200=N$3)*('GMW - $100 oil'!$MB$2:$MB$200=N$4),0),$E83-1973)</f>
        <v>#N/A</v>
      </c>
      <c r="O83" t="e" cm="1">
        <f t="array" ref="O83">INDEX('GMW - $100 oil'!$A$2:$MC$200,MATCH(1,('GMW - $100 oil'!$MC$2:$MC$200=O$3)*('GMW - $100 oil'!$MB$2:$MB$200=O$4),0),$E83-1973)</f>
        <v>#N/A</v>
      </c>
      <c r="P83" t="e" cm="1">
        <f t="array" ref="P83">INDEX('GMW - $100 oil'!$A$2:$MC$200,MATCH(1,('GMW - $100 oil'!$MC$2:$MC$200=P$3)*('GMW - $100 oil'!$MB$2:$MB$200=P$4),0),$E83-1973)</f>
        <v>#N/A</v>
      </c>
      <c r="Q83" t="e" cm="1">
        <f t="array" ref="Q83">INDEX('GMW - $100 oil'!$A$2:$MC$200,MATCH(1,('GMW - $100 oil'!$MC$2:$MC$200=Q$3)*('GMW - $100 oil'!$MB$2:$MB$200=Q$4),0),$E83-1973)</f>
        <v>#N/A</v>
      </c>
      <c r="R83" t="e" cm="1">
        <f t="array" ref="R83">INDEX('GMW - $100 oil'!$A$2:$MC$200,MATCH(1,('GMW - $100 oil'!$MC$2:$MC$200=R$3)*('GMW - $100 oil'!$MB$2:$MB$200=R$4),0),$E83-1973)</f>
        <v>#N/A</v>
      </c>
      <c r="S83" t="e" cm="1">
        <f t="array" ref="S83">INDEX('GMW - $100 oil'!$A$2:$MC$200,MATCH(1,('GMW - $100 oil'!$MC$2:$MC$200=S$3)*('GMW - $100 oil'!$MB$2:$MB$200=S$4),0),$E83-1973)</f>
        <v>#N/A</v>
      </c>
      <c r="T83" t="e" cm="1">
        <f t="array" ref="T83">INDEX('GMW - $100 oil'!$A$2:$MC$200,MATCH(1,('GMW - $100 oil'!$MC$2:$MC$200=T$3)*('GMW - $100 oil'!$MB$2:$MB$200=T$4),0),$E83-1973)</f>
        <v>#N/A</v>
      </c>
    </row>
    <row r="84" spans="1:20" x14ac:dyDescent="0.25">
      <c r="B84">
        <f t="shared" si="7"/>
        <v>1999</v>
      </c>
      <c r="C84">
        <f t="shared" si="7"/>
        <v>1999</v>
      </c>
      <c r="E84">
        <f t="shared" si="6"/>
        <v>2057</v>
      </c>
      <c r="F84" cm="1">
        <f t="array" ref="F84">INDEX('GMW - $100 oil'!$A$2:$MC$200,MATCH(1,('GMW - $100 oil'!$MC$2:$MC$200=F$3)*('GMW - $100 oil'!$MB$2:$MB$200=F$4),0),$E84-1973)</f>
        <v>458710</v>
      </c>
      <c r="G84" cm="1">
        <f t="array" ref="G84">INDEX('GMW - $100 oil'!$A$2:$MC$200,MATCH(1,('GMW - $100 oil'!$MC$2:$MC$200=G$3)*('GMW - $100 oil'!$MB$2:$MB$200=G$4),0),$E84-1973)</f>
        <v>275407</v>
      </c>
      <c r="H84" cm="1">
        <f t="array" ref="H84">INDEX('GMW - $100 oil'!$A$2:$MC$200,MATCH(1,('GMW - $100 oil'!$MC$2:$MC$200=H$3)*('GMW - $100 oil'!$MB$2:$MB$200=H$4),0),$E84-1973)</f>
        <v>72.3</v>
      </c>
      <c r="I84" cm="1">
        <f t="array" ref="I84">INDEX('GMW - $100 oil'!$A$2:$MC$200,MATCH(1,('GMW - $100 oil'!$MC$2:$MC$200=I$3)*('GMW - $100 oil'!$MB$2:$MB$200=I$4),0),$E84-1973)</f>
        <v>5.211538</v>
      </c>
      <c r="J84" t="e" cm="1">
        <f t="array" ref="J84">INDEX('GMW - $100 oil'!$A$2:$MC$200,MATCH(1,('GMW - $100 oil'!$MC$2:$MC$200=J$3)*('GMW - $100 oil'!$MB$2:$MB$200=J$4),0),$E84-1973)</f>
        <v>#N/A</v>
      </c>
      <c r="K84" t="e" cm="1">
        <f t="array" ref="K84">INDEX('GMW - $100 oil'!$A$2:$MC$200,MATCH(1,('GMW - $100 oil'!$MC$2:$MC$200=K$3)*('GMW - $100 oil'!$MB$2:$MB$200=K$4),0),$E84-1973)</f>
        <v>#N/A</v>
      </c>
      <c r="L84" t="e" cm="1">
        <f t="array" ref="L84">INDEX('GMW - $100 oil'!$A$2:$MC$200,MATCH(1,('GMW - $100 oil'!$MC$2:$MC$200=L$3)*('GMW - $100 oil'!$MB$2:$MB$200=L$4),0),$E84-1973)</f>
        <v>#N/A</v>
      </c>
      <c r="M84" t="e" cm="1">
        <f t="array" ref="M84">INDEX('GMW - $100 oil'!$A$2:$MC$200,MATCH(1,('GMW - $100 oil'!$MC$2:$MC$200=M$3)*('GMW - $100 oil'!$MB$2:$MB$200=M$4),0),$E84-1973)</f>
        <v>#N/A</v>
      </c>
      <c r="N84" t="e" cm="1">
        <f t="array" ref="N84">INDEX('GMW - $100 oil'!$A$2:$MC$200,MATCH(1,('GMW - $100 oil'!$MC$2:$MC$200=N$3)*('GMW - $100 oil'!$MB$2:$MB$200=N$4),0),$E84-1973)</f>
        <v>#N/A</v>
      </c>
      <c r="O84" t="e" cm="1">
        <f t="array" ref="O84">INDEX('GMW - $100 oil'!$A$2:$MC$200,MATCH(1,('GMW - $100 oil'!$MC$2:$MC$200=O$3)*('GMW - $100 oil'!$MB$2:$MB$200=O$4),0),$E84-1973)</f>
        <v>#N/A</v>
      </c>
      <c r="P84" t="e" cm="1">
        <f t="array" ref="P84">INDEX('GMW - $100 oil'!$A$2:$MC$200,MATCH(1,('GMW - $100 oil'!$MC$2:$MC$200=P$3)*('GMW - $100 oil'!$MB$2:$MB$200=P$4),0),$E84-1973)</f>
        <v>#N/A</v>
      </c>
      <c r="Q84" t="e" cm="1">
        <f t="array" ref="Q84">INDEX('GMW - $100 oil'!$A$2:$MC$200,MATCH(1,('GMW - $100 oil'!$MC$2:$MC$200=Q$3)*('GMW - $100 oil'!$MB$2:$MB$200=Q$4),0),$E84-1973)</f>
        <v>#N/A</v>
      </c>
      <c r="R84" t="e" cm="1">
        <f t="array" ref="R84">INDEX('GMW - $100 oil'!$A$2:$MC$200,MATCH(1,('GMW - $100 oil'!$MC$2:$MC$200=R$3)*('GMW - $100 oil'!$MB$2:$MB$200=R$4),0),$E84-1973)</f>
        <v>#N/A</v>
      </c>
      <c r="S84" t="e" cm="1">
        <f t="array" ref="S84">INDEX('GMW - $100 oil'!$A$2:$MC$200,MATCH(1,('GMW - $100 oil'!$MC$2:$MC$200=S$3)*('GMW - $100 oil'!$MB$2:$MB$200=S$4),0),$E84-1973)</f>
        <v>#N/A</v>
      </c>
      <c r="T84" t="e" cm="1">
        <f t="array" ref="T84">INDEX('GMW - $100 oil'!$A$2:$MC$200,MATCH(1,('GMW - $100 oil'!$MC$2:$MC$200=T$3)*('GMW - $100 oil'!$MB$2:$MB$200=T$4),0),$E84-1973)</f>
        <v>#N/A</v>
      </c>
    </row>
    <row r="85" spans="1:20" x14ac:dyDescent="0.25">
      <c r="B85">
        <f t="shared" si="7"/>
        <v>1999</v>
      </c>
      <c r="C85">
        <f t="shared" si="7"/>
        <v>1999</v>
      </c>
      <c r="E85">
        <f t="shared" si="6"/>
        <v>2058</v>
      </c>
      <c r="F85" cm="1">
        <f t="array" ref="F85">INDEX('GMW - $100 oil'!$A$2:$MC$200,MATCH(1,('GMW - $100 oil'!$MC$2:$MC$200=F$3)*('GMW - $100 oil'!$MB$2:$MB$200=F$4),0),$E85-1973)</f>
        <v>466387</v>
      </c>
      <c r="G85" cm="1">
        <f t="array" ref="G85">INDEX('GMW - $100 oil'!$A$2:$MC$200,MATCH(1,('GMW - $100 oil'!$MC$2:$MC$200=G$3)*('GMW - $100 oil'!$MB$2:$MB$200=G$4),0),$E85-1973)</f>
        <v>278331</v>
      </c>
      <c r="H85" cm="1">
        <f t="array" ref="H85">INDEX('GMW - $100 oil'!$A$2:$MC$200,MATCH(1,('GMW - $100 oil'!$MC$2:$MC$200=H$3)*('GMW - $100 oil'!$MB$2:$MB$200=H$4),0),$E85-1973)</f>
        <v>72.133330000000001</v>
      </c>
      <c r="I85" cm="1">
        <f t="array" ref="I85">INDEX('GMW - $100 oil'!$A$2:$MC$200,MATCH(1,('GMW - $100 oil'!$MC$2:$MC$200=I$3)*('GMW - $100 oil'!$MB$2:$MB$200=I$4),0),$E85-1973)</f>
        <v>5.0643940000000001</v>
      </c>
      <c r="J85" t="e" cm="1">
        <f t="array" ref="J85">INDEX('GMW - $100 oil'!$A$2:$MC$200,MATCH(1,('GMW - $100 oil'!$MC$2:$MC$200=J$3)*('GMW - $100 oil'!$MB$2:$MB$200=J$4),0),$E85-1973)</f>
        <v>#N/A</v>
      </c>
      <c r="K85" t="e" cm="1">
        <f t="array" ref="K85">INDEX('GMW - $100 oil'!$A$2:$MC$200,MATCH(1,('GMW - $100 oil'!$MC$2:$MC$200=K$3)*('GMW - $100 oil'!$MB$2:$MB$200=K$4),0),$E85-1973)</f>
        <v>#N/A</v>
      </c>
      <c r="L85" t="e" cm="1">
        <f t="array" ref="L85">INDEX('GMW - $100 oil'!$A$2:$MC$200,MATCH(1,('GMW - $100 oil'!$MC$2:$MC$200=L$3)*('GMW - $100 oil'!$MB$2:$MB$200=L$4),0),$E85-1973)</f>
        <v>#N/A</v>
      </c>
      <c r="M85" t="e" cm="1">
        <f t="array" ref="M85">INDEX('GMW - $100 oil'!$A$2:$MC$200,MATCH(1,('GMW - $100 oil'!$MC$2:$MC$200=M$3)*('GMW - $100 oil'!$MB$2:$MB$200=M$4),0),$E85-1973)</f>
        <v>#N/A</v>
      </c>
      <c r="N85" t="e" cm="1">
        <f t="array" ref="N85">INDEX('GMW - $100 oil'!$A$2:$MC$200,MATCH(1,('GMW - $100 oil'!$MC$2:$MC$200=N$3)*('GMW - $100 oil'!$MB$2:$MB$200=N$4),0),$E85-1973)</f>
        <v>#N/A</v>
      </c>
      <c r="O85" t="e" cm="1">
        <f t="array" ref="O85">INDEX('GMW - $100 oil'!$A$2:$MC$200,MATCH(1,('GMW - $100 oil'!$MC$2:$MC$200=O$3)*('GMW - $100 oil'!$MB$2:$MB$200=O$4),0),$E85-1973)</f>
        <v>#N/A</v>
      </c>
      <c r="P85" t="e" cm="1">
        <f t="array" ref="P85">INDEX('GMW - $100 oil'!$A$2:$MC$200,MATCH(1,('GMW - $100 oil'!$MC$2:$MC$200=P$3)*('GMW - $100 oil'!$MB$2:$MB$200=P$4),0),$E85-1973)</f>
        <v>#N/A</v>
      </c>
      <c r="Q85" t="e" cm="1">
        <f t="array" ref="Q85">INDEX('GMW - $100 oil'!$A$2:$MC$200,MATCH(1,('GMW - $100 oil'!$MC$2:$MC$200=Q$3)*('GMW - $100 oil'!$MB$2:$MB$200=Q$4),0),$E85-1973)</f>
        <v>#N/A</v>
      </c>
      <c r="R85" t="e" cm="1">
        <f t="array" ref="R85">INDEX('GMW - $100 oil'!$A$2:$MC$200,MATCH(1,('GMW - $100 oil'!$MC$2:$MC$200=R$3)*('GMW - $100 oil'!$MB$2:$MB$200=R$4),0),$E85-1973)</f>
        <v>#N/A</v>
      </c>
      <c r="S85" t="e" cm="1">
        <f t="array" ref="S85">INDEX('GMW - $100 oil'!$A$2:$MC$200,MATCH(1,('GMW - $100 oil'!$MC$2:$MC$200=S$3)*('GMW - $100 oil'!$MB$2:$MB$200=S$4),0),$E85-1973)</f>
        <v>#N/A</v>
      </c>
      <c r="T85" t="e" cm="1">
        <f t="array" ref="T85">INDEX('GMW - $100 oil'!$A$2:$MC$200,MATCH(1,('GMW - $100 oil'!$MC$2:$MC$200=T$3)*('GMW - $100 oil'!$MB$2:$MB$200=T$4),0),$E85-1973)</f>
        <v>#N/A</v>
      </c>
    </row>
    <row r="86" spans="1:20" x14ac:dyDescent="0.25">
      <c r="B86">
        <f t="shared" si="7"/>
        <v>1999</v>
      </c>
      <c r="C86">
        <f t="shared" si="7"/>
        <v>1999</v>
      </c>
      <c r="E86">
        <f t="shared" si="6"/>
        <v>2059</v>
      </c>
      <c r="F86" cm="1">
        <f t="array" ref="F86">INDEX('GMW - $100 oil'!$A$2:$MC$200,MATCH(1,('GMW - $100 oil'!$MC$2:$MC$200=F$3)*('GMW - $100 oil'!$MB$2:$MB$200=F$4),0),$E86-1973)</f>
        <v>473892</v>
      </c>
      <c r="G86" cm="1">
        <f t="array" ref="G86">INDEX('GMW - $100 oil'!$A$2:$MC$200,MATCH(1,('GMW - $100 oil'!$MC$2:$MC$200=G$3)*('GMW - $100 oil'!$MB$2:$MB$200=G$4),0),$E86-1973)</f>
        <v>280651</v>
      </c>
      <c r="H86" cm="1">
        <f t="array" ref="H86">INDEX('GMW - $100 oil'!$A$2:$MC$200,MATCH(1,('GMW - $100 oil'!$MC$2:$MC$200=H$3)*('GMW - $100 oil'!$MB$2:$MB$200=H$4),0),$E86-1973)</f>
        <v>72.433329999999998</v>
      </c>
      <c r="I86" cm="1">
        <f t="array" ref="I86">INDEX('GMW - $100 oil'!$A$2:$MC$200,MATCH(1,('GMW - $100 oil'!$MC$2:$MC$200=I$3)*('GMW - $100 oil'!$MB$2:$MB$200=I$4),0),$E86-1973)</f>
        <v>5.4090910000000001</v>
      </c>
      <c r="J86" t="e" cm="1">
        <f t="array" ref="J86">INDEX('GMW - $100 oil'!$A$2:$MC$200,MATCH(1,('GMW - $100 oil'!$MC$2:$MC$200=J$3)*('GMW - $100 oil'!$MB$2:$MB$200=J$4),0),$E86-1973)</f>
        <v>#N/A</v>
      </c>
      <c r="K86" t="e" cm="1">
        <f t="array" ref="K86">INDEX('GMW - $100 oil'!$A$2:$MC$200,MATCH(1,('GMW - $100 oil'!$MC$2:$MC$200=K$3)*('GMW - $100 oil'!$MB$2:$MB$200=K$4),0),$E86-1973)</f>
        <v>#N/A</v>
      </c>
      <c r="L86" t="e" cm="1">
        <f t="array" ref="L86">INDEX('GMW - $100 oil'!$A$2:$MC$200,MATCH(1,('GMW - $100 oil'!$MC$2:$MC$200=L$3)*('GMW - $100 oil'!$MB$2:$MB$200=L$4),0),$E86-1973)</f>
        <v>#N/A</v>
      </c>
      <c r="M86" t="e" cm="1">
        <f t="array" ref="M86">INDEX('GMW - $100 oil'!$A$2:$MC$200,MATCH(1,('GMW - $100 oil'!$MC$2:$MC$200=M$3)*('GMW - $100 oil'!$MB$2:$MB$200=M$4),0),$E86-1973)</f>
        <v>#N/A</v>
      </c>
      <c r="N86" t="e" cm="1">
        <f t="array" ref="N86">INDEX('GMW - $100 oil'!$A$2:$MC$200,MATCH(1,('GMW - $100 oil'!$MC$2:$MC$200=N$3)*('GMW - $100 oil'!$MB$2:$MB$200=N$4),0),$E86-1973)</f>
        <v>#N/A</v>
      </c>
      <c r="O86" t="e" cm="1">
        <f t="array" ref="O86">INDEX('GMW - $100 oil'!$A$2:$MC$200,MATCH(1,('GMW - $100 oil'!$MC$2:$MC$200=O$3)*('GMW - $100 oil'!$MB$2:$MB$200=O$4),0),$E86-1973)</f>
        <v>#N/A</v>
      </c>
      <c r="P86" t="e" cm="1">
        <f t="array" ref="P86">INDEX('GMW - $100 oil'!$A$2:$MC$200,MATCH(1,('GMW - $100 oil'!$MC$2:$MC$200=P$3)*('GMW - $100 oil'!$MB$2:$MB$200=P$4),0),$E86-1973)</f>
        <v>#N/A</v>
      </c>
      <c r="Q86" t="e" cm="1">
        <f t="array" ref="Q86">INDEX('GMW - $100 oil'!$A$2:$MC$200,MATCH(1,('GMW - $100 oil'!$MC$2:$MC$200=Q$3)*('GMW - $100 oil'!$MB$2:$MB$200=Q$4),0),$E86-1973)</f>
        <v>#N/A</v>
      </c>
      <c r="R86" t="e" cm="1">
        <f t="array" ref="R86">INDEX('GMW - $100 oil'!$A$2:$MC$200,MATCH(1,('GMW - $100 oil'!$MC$2:$MC$200=R$3)*('GMW - $100 oil'!$MB$2:$MB$200=R$4),0),$E86-1973)</f>
        <v>#N/A</v>
      </c>
      <c r="S86" t="e" cm="1">
        <f t="array" ref="S86">INDEX('GMW - $100 oil'!$A$2:$MC$200,MATCH(1,('GMW - $100 oil'!$MC$2:$MC$200=S$3)*('GMW - $100 oil'!$MB$2:$MB$200=S$4),0),$E86-1973)</f>
        <v>#N/A</v>
      </c>
      <c r="T86" t="e" cm="1">
        <f t="array" ref="T86">INDEX('GMW - $100 oil'!$A$2:$MC$200,MATCH(1,('GMW - $100 oil'!$MC$2:$MC$200=T$3)*('GMW - $100 oil'!$MB$2:$MB$200=T$4),0),$E86-1973)</f>
        <v>#N/A</v>
      </c>
    </row>
    <row r="87" spans="1:20" x14ac:dyDescent="0.25">
      <c r="A87">
        <v>2000</v>
      </c>
      <c r="B87">
        <f t="shared" si="7"/>
        <v>2000</v>
      </c>
      <c r="C87">
        <f t="shared" si="7"/>
        <v>1999</v>
      </c>
      <c r="D87">
        <f t="shared" si="7"/>
        <v>1999</v>
      </c>
      <c r="E87">
        <f t="shared" si="6"/>
        <v>2060</v>
      </c>
      <c r="F87" cm="1">
        <f t="array" ref="F87">INDEX('GMW - $100 oil'!$A$2:$MC$200,MATCH(1,('GMW - $100 oil'!$MC$2:$MC$200=F$3)*('GMW - $100 oil'!$MB$2:$MB$200=F$4),0),$E87-1973)</f>
        <v>480212</v>
      </c>
      <c r="G87" cm="1">
        <f t="array" ref="G87">INDEX('GMW - $100 oil'!$A$2:$MC$200,MATCH(1,('GMW - $100 oil'!$MC$2:$MC$200=G$3)*('GMW - $100 oil'!$MB$2:$MB$200=G$4),0),$E87-1973)</f>
        <v>284274</v>
      </c>
      <c r="H87" cm="1">
        <f t="array" ref="H87">INDEX('GMW - $100 oil'!$A$2:$MC$200,MATCH(1,('GMW - $100 oil'!$MC$2:$MC$200=H$3)*('GMW - $100 oil'!$MB$2:$MB$200=H$4),0),$E87-1973)</f>
        <v>72.133330000000001</v>
      </c>
      <c r="I87" cm="1">
        <f t="array" ref="I87">INDEX('GMW - $100 oil'!$A$2:$MC$200,MATCH(1,('GMW - $100 oil'!$MC$2:$MC$200=I$3)*('GMW - $100 oil'!$MB$2:$MB$200=I$4),0),$E87-1973)</f>
        <v>5.8615380000000004</v>
      </c>
      <c r="J87" t="e" cm="1">
        <f t="array" ref="J87">INDEX('GMW - $100 oil'!$A$2:$MC$200,MATCH(1,('GMW - $100 oil'!$MC$2:$MC$200=J$3)*('GMW - $100 oil'!$MB$2:$MB$200=J$4),0),$E87-1973)</f>
        <v>#N/A</v>
      </c>
      <c r="K87" t="e" cm="1">
        <f t="array" ref="K87">INDEX('GMW - $100 oil'!$A$2:$MC$200,MATCH(1,('GMW - $100 oil'!$MC$2:$MC$200=K$3)*('GMW - $100 oil'!$MB$2:$MB$200=K$4),0),$E87-1973)</f>
        <v>#N/A</v>
      </c>
      <c r="L87" t="e" cm="1">
        <f t="array" ref="L87">INDEX('GMW - $100 oil'!$A$2:$MC$200,MATCH(1,('GMW - $100 oil'!$MC$2:$MC$200=L$3)*('GMW - $100 oil'!$MB$2:$MB$200=L$4),0),$E87-1973)</f>
        <v>#N/A</v>
      </c>
      <c r="M87" t="e" cm="1">
        <f t="array" ref="M87">INDEX('GMW - $100 oil'!$A$2:$MC$200,MATCH(1,('GMW - $100 oil'!$MC$2:$MC$200=M$3)*('GMW - $100 oil'!$MB$2:$MB$200=M$4),0),$E87-1973)</f>
        <v>#N/A</v>
      </c>
      <c r="N87" t="e" cm="1">
        <f t="array" ref="N87">INDEX('GMW - $100 oil'!$A$2:$MC$200,MATCH(1,('GMW - $100 oil'!$MC$2:$MC$200=N$3)*('GMW - $100 oil'!$MB$2:$MB$200=N$4),0),$E87-1973)</f>
        <v>#N/A</v>
      </c>
      <c r="O87" t="e" cm="1">
        <f t="array" ref="O87">INDEX('GMW - $100 oil'!$A$2:$MC$200,MATCH(1,('GMW - $100 oil'!$MC$2:$MC$200=O$3)*('GMW - $100 oil'!$MB$2:$MB$200=O$4),0),$E87-1973)</f>
        <v>#N/A</v>
      </c>
      <c r="P87" t="e" cm="1">
        <f t="array" ref="P87">INDEX('GMW - $100 oil'!$A$2:$MC$200,MATCH(1,('GMW - $100 oil'!$MC$2:$MC$200=P$3)*('GMW - $100 oil'!$MB$2:$MB$200=P$4),0),$E87-1973)</f>
        <v>#N/A</v>
      </c>
      <c r="Q87" t="e" cm="1">
        <f t="array" ref="Q87">INDEX('GMW - $100 oil'!$A$2:$MC$200,MATCH(1,('GMW - $100 oil'!$MC$2:$MC$200=Q$3)*('GMW - $100 oil'!$MB$2:$MB$200=Q$4),0),$E87-1973)</f>
        <v>#N/A</v>
      </c>
      <c r="R87" t="e" cm="1">
        <f t="array" ref="R87">INDEX('GMW - $100 oil'!$A$2:$MC$200,MATCH(1,('GMW - $100 oil'!$MC$2:$MC$200=R$3)*('GMW - $100 oil'!$MB$2:$MB$200=R$4),0),$E87-1973)</f>
        <v>#N/A</v>
      </c>
      <c r="S87" t="e" cm="1">
        <f t="array" ref="S87">INDEX('GMW - $100 oil'!$A$2:$MC$200,MATCH(1,('GMW - $100 oil'!$MC$2:$MC$200=S$3)*('GMW - $100 oil'!$MB$2:$MB$200=S$4),0),$E87-1973)</f>
        <v>#N/A</v>
      </c>
      <c r="T87" t="e" cm="1">
        <f t="array" ref="T87">INDEX('GMW - $100 oil'!$A$2:$MC$200,MATCH(1,('GMW - $100 oil'!$MC$2:$MC$200=T$3)*('GMW - $100 oil'!$MB$2:$MB$200=T$4),0),$E87-1973)</f>
        <v>#N/A</v>
      </c>
    </row>
    <row r="88" spans="1:20" x14ac:dyDescent="0.25">
      <c r="B88">
        <f t="shared" si="7"/>
        <v>2000</v>
      </c>
      <c r="C88">
        <f t="shared" si="7"/>
        <v>2000</v>
      </c>
      <c r="E88">
        <f t="shared" si="6"/>
        <v>2061</v>
      </c>
      <c r="F88" cm="1">
        <f t="array" ref="F88">INDEX('GMW - $100 oil'!$A$2:$MC$200,MATCH(1,('GMW - $100 oil'!$MC$2:$MC$200=F$3)*('GMW - $100 oil'!$MB$2:$MB$200=F$4),0),$E88-1973)</f>
        <v>483672</v>
      </c>
      <c r="G88" cm="1">
        <f t="array" ref="G88">INDEX('GMW - $100 oil'!$A$2:$MC$200,MATCH(1,('GMW - $100 oil'!$MC$2:$MC$200=G$3)*('GMW - $100 oil'!$MB$2:$MB$200=G$4),0),$E88-1973)</f>
        <v>287388</v>
      </c>
      <c r="H88" cm="1">
        <f t="array" ref="H88">INDEX('GMW - $100 oil'!$A$2:$MC$200,MATCH(1,('GMW - $100 oil'!$MC$2:$MC$200=H$3)*('GMW - $100 oil'!$MB$2:$MB$200=H$4),0),$E88-1973)</f>
        <v>72.766670000000005</v>
      </c>
      <c r="I88" cm="1">
        <f t="array" ref="I88">INDEX('GMW - $100 oil'!$A$2:$MC$200,MATCH(1,('GMW - $100 oil'!$MC$2:$MC$200=I$3)*('GMW - $100 oil'!$MB$2:$MB$200=I$4),0),$E88-1973)</f>
        <v>6</v>
      </c>
      <c r="J88" t="e" cm="1">
        <f t="array" ref="J88">INDEX('GMW - $100 oil'!$A$2:$MC$200,MATCH(1,('GMW - $100 oil'!$MC$2:$MC$200=J$3)*('GMW - $100 oil'!$MB$2:$MB$200=J$4),0),$E88-1973)</f>
        <v>#N/A</v>
      </c>
      <c r="K88" t="e" cm="1">
        <f t="array" ref="K88">INDEX('GMW - $100 oil'!$A$2:$MC$200,MATCH(1,('GMW - $100 oil'!$MC$2:$MC$200=K$3)*('GMW - $100 oil'!$MB$2:$MB$200=K$4),0),$E88-1973)</f>
        <v>#N/A</v>
      </c>
      <c r="L88" t="e" cm="1">
        <f t="array" ref="L88">INDEX('GMW - $100 oil'!$A$2:$MC$200,MATCH(1,('GMW - $100 oil'!$MC$2:$MC$200=L$3)*('GMW - $100 oil'!$MB$2:$MB$200=L$4),0),$E88-1973)</f>
        <v>#N/A</v>
      </c>
      <c r="M88" t="e" cm="1">
        <f t="array" ref="M88">INDEX('GMW - $100 oil'!$A$2:$MC$200,MATCH(1,('GMW - $100 oil'!$MC$2:$MC$200=M$3)*('GMW - $100 oil'!$MB$2:$MB$200=M$4),0),$E88-1973)</f>
        <v>#N/A</v>
      </c>
      <c r="N88" t="e" cm="1">
        <f t="array" ref="N88">INDEX('GMW - $100 oil'!$A$2:$MC$200,MATCH(1,('GMW - $100 oil'!$MC$2:$MC$200=N$3)*('GMW - $100 oil'!$MB$2:$MB$200=N$4),0),$E88-1973)</f>
        <v>#N/A</v>
      </c>
      <c r="O88" t="e" cm="1">
        <f t="array" ref="O88">INDEX('GMW - $100 oil'!$A$2:$MC$200,MATCH(1,('GMW - $100 oil'!$MC$2:$MC$200=O$3)*('GMW - $100 oil'!$MB$2:$MB$200=O$4),0),$E88-1973)</f>
        <v>#N/A</v>
      </c>
      <c r="P88" t="e" cm="1">
        <f t="array" ref="P88">INDEX('GMW - $100 oil'!$A$2:$MC$200,MATCH(1,('GMW - $100 oil'!$MC$2:$MC$200=P$3)*('GMW - $100 oil'!$MB$2:$MB$200=P$4),0),$E88-1973)</f>
        <v>#N/A</v>
      </c>
      <c r="Q88" t="e" cm="1">
        <f t="array" ref="Q88">INDEX('GMW - $100 oil'!$A$2:$MC$200,MATCH(1,('GMW - $100 oil'!$MC$2:$MC$200=Q$3)*('GMW - $100 oil'!$MB$2:$MB$200=Q$4),0),$E88-1973)</f>
        <v>#N/A</v>
      </c>
      <c r="R88" t="e" cm="1">
        <f t="array" ref="R88">INDEX('GMW - $100 oil'!$A$2:$MC$200,MATCH(1,('GMW - $100 oil'!$MC$2:$MC$200=R$3)*('GMW - $100 oil'!$MB$2:$MB$200=R$4),0),$E88-1973)</f>
        <v>#N/A</v>
      </c>
      <c r="S88" t="e" cm="1">
        <f t="array" ref="S88">INDEX('GMW - $100 oil'!$A$2:$MC$200,MATCH(1,('GMW - $100 oil'!$MC$2:$MC$200=S$3)*('GMW - $100 oil'!$MB$2:$MB$200=S$4),0),$E88-1973)</f>
        <v>#N/A</v>
      </c>
      <c r="T88" t="e" cm="1">
        <f t="array" ref="T88">INDEX('GMW - $100 oil'!$A$2:$MC$200,MATCH(1,('GMW - $100 oil'!$MC$2:$MC$200=T$3)*('GMW - $100 oil'!$MB$2:$MB$200=T$4),0),$E88-1973)</f>
        <v>#N/A</v>
      </c>
    </row>
    <row r="89" spans="1:20" x14ac:dyDescent="0.25">
      <c r="B89">
        <f t="shared" si="7"/>
        <v>2000</v>
      </c>
      <c r="C89">
        <f t="shared" si="7"/>
        <v>2000</v>
      </c>
      <c r="E89">
        <f t="shared" si="6"/>
        <v>2062</v>
      </c>
      <c r="F89" cm="1">
        <f t="array" ref="F89">INDEX('GMW - $100 oil'!$A$2:$MC$200,MATCH(1,('GMW - $100 oil'!$MC$2:$MC$200=F$3)*('GMW - $100 oil'!$MB$2:$MB$200=F$4),0),$E89-1973)</f>
        <v>486617</v>
      </c>
      <c r="G89" cm="1">
        <f t="array" ref="G89">INDEX('GMW - $100 oil'!$A$2:$MC$200,MATCH(1,('GMW - $100 oil'!$MC$2:$MC$200=G$3)*('GMW - $100 oil'!$MB$2:$MB$200=G$4),0),$E89-1973)</f>
        <v>290894</v>
      </c>
      <c r="H89" cm="1">
        <f t="array" ref="H89">INDEX('GMW - $100 oil'!$A$2:$MC$200,MATCH(1,('GMW - $100 oil'!$MC$2:$MC$200=H$3)*('GMW - $100 oil'!$MB$2:$MB$200=H$4),0),$E89-1973)</f>
        <v>72.7</v>
      </c>
      <c r="I89" cm="1">
        <f t="array" ref="I89">INDEX('GMW - $100 oil'!$A$2:$MC$200,MATCH(1,('GMW - $100 oil'!$MC$2:$MC$200=I$3)*('GMW - $100 oil'!$MB$2:$MB$200=I$4),0),$E89-1973)</f>
        <v>6</v>
      </c>
      <c r="J89" t="e" cm="1">
        <f t="array" ref="J89">INDEX('GMW - $100 oil'!$A$2:$MC$200,MATCH(1,('GMW - $100 oil'!$MC$2:$MC$200=J$3)*('GMW - $100 oil'!$MB$2:$MB$200=J$4),0),$E89-1973)</f>
        <v>#N/A</v>
      </c>
      <c r="K89" t="e" cm="1">
        <f t="array" ref="K89">INDEX('GMW - $100 oil'!$A$2:$MC$200,MATCH(1,('GMW - $100 oil'!$MC$2:$MC$200=K$3)*('GMW - $100 oil'!$MB$2:$MB$200=K$4),0),$E89-1973)</f>
        <v>#N/A</v>
      </c>
      <c r="L89" t="e" cm="1">
        <f t="array" ref="L89">INDEX('GMW - $100 oil'!$A$2:$MC$200,MATCH(1,('GMW - $100 oil'!$MC$2:$MC$200=L$3)*('GMW - $100 oil'!$MB$2:$MB$200=L$4),0),$E89-1973)</f>
        <v>#N/A</v>
      </c>
      <c r="M89" t="e" cm="1">
        <f t="array" ref="M89">INDEX('GMW - $100 oil'!$A$2:$MC$200,MATCH(1,('GMW - $100 oil'!$MC$2:$MC$200=M$3)*('GMW - $100 oil'!$MB$2:$MB$200=M$4),0),$E89-1973)</f>
        <v>#N/A</v>
      </c>
      <c r="N89" t="e" cm="1">
        <f t="array" ref="N89">INDEX('GMW - $100 oil'!$A$2:$MC$200,MATCH(1,('GMW - $100 oil'!$MC$2:$MC$200=N$3)*('GMW - $100 oil'!$MB$2:$MB$200=N$4),0),$E89-1973)</f>
        <v>#N/A</v>
      </c>
      <c r="O89" t="e" cm="1">
        <f t="array" ref="O89">INDEX('GMW - $100 oil'!$A$2:$MC$200,MATCH(1,('GMW - $100 oil'!$MC$2:$MC$200=O$3)*('GMW - $100 oil'!$MB$2:$MB$200=O$4),0),$E89-1973)</f>
        <v>#N/A</v>
      </c>
      <c r="P89" t="e" cm="1">
        <f t="array" ref="P89">INDEX('GMW - $100 oil'!$A$2:$MC$200,MATCH(1,('GMW - $100 oil'!$MC$2:$MC$200=P$3)*('GMW - $100 oil'!$MB$2:$MB$200=P$4),0),$E89-1973)</f>
        <v>#N/A</v>
      </c>
      <c r="Q89" t="e" cm="1">
        <f t="array" ref="Q89">INDEX('GMW - $100 oil'!$A$2:$MC$200,MATCH(1,('GMW - $100 oil'!$MC$2:$MC$200=Q$3)*('GMW - $100 oil'!$MB$2:$MB$200=Q$4),0),$E89-1973)</f>
        <v>#N/A</v>
      </c>
      <c r="R89" t="e" cm="1">
        <f t="array" ref="R89">INDEX('GMW - $100 oil'!$A$2:$MC$200,MATCH(1,('GMW - $100 oil'!$MC$2:$MC$200=R$3)*('GMW - $100 oil'!$MB$2:$MB$200=R$4),0),$E89-1973)</f>
        <v>#N/A</v>
      </c>
      <c r="S89" t="e" cm="1">
        <f t="array" ref="S89">INDEX('GMW - $100 oil'!$A$2:$MC$200,MATCH(1,('GMW - $100 oil'!$MC$2:$MC$200=S$3)*('GMW - $100 oil'!$MB$2:$MB$200=S$4),0),$E89-1973)</f>
        <v>#N/A</v>
      </c>
      <c r="T89" t="e" cm="1">
        <f t="array" ref="T89">INDEX('GMW - $100 oil'!$A$2:$MC$200,MATCH(1,('GMW - $100 oil'!$MC$2:$MC$200=T$3)*('GMW - $100 oil'!$MB$2:$MB$200=T$4),0),$E89-1973)</f>
        <v>#N/A</v>
      </c>
    </row>
    <row r="90" spans="1:20" x14ac:dyDescent="0.25">
      <c r="B90">
        <f t="shared" si="7"/>
        <v>2000</v>
      </c>
      <c r="C90">
        <f t="shared" si="7"/>
        <v>2000</v>
      </c>
      <c r="E90">
        <f t="shared" si="6"/>
        <v>2063</v>
      </c>
      <c r="F90" cm="1">
        <f t="array" ref="F90">INDEX('GMW - $100 oil'!$A$2:$MC$200,MATCH(1,('GMW - $100 oil'!$MC$2:$MC$200=F$3)*('GMW - $100 oil'!$MB$2:$MB$200=F$4),0),$E90-1973)</f>
        <v>489506</v>
      </c>
      <c r="G90" cm="1">
        <f t="array" ref="G90">INDEX('GMW - $100 oil'!$A$2:$MC$200,MATCH(1,('GMW - $100 oil'!$MC$2:$MC$200=G$3)*('GMW - $100 oil'!$MB$2:$MB$200=G$4),0),$E90-1973)</f>
        <v>293325</v>
      </c>
      <c r="H90" cm="1">
        <f t="array" ref="H90">INDEX('GMW - $100 oil'!$A$2:$MC$200,MATCH(1,('GMW - $100 oil'!$MC$2:$MC$200=H$3)*('GMW - $100 oil'!$MB$2:$MB$200=H$4),0),$E90-1973)</f>
        <v>73.166659999999993</v>
      </c>
      <c r="I90" cm="1">
        <f t="array" ref="I90">INDEX('GMW - $100 oil'!$A$2:$MC$200,MATCH(1,('GMW - $100 oil'!$MC$2:$MC$200=I$3)*('GMW - $100 oil'!$MB$2:$MB$200=I$4),0),$E90-1973)</f>
        <v>6</v>
      </c>
      <c r="J90" t="e" cm="1">
        <f t="array" ref="J90">INDEX('GMW - $100 oil'!$A$2:$MC$200,MATCH(1,('GMW - $100 oil'!$MC$2:$MC$200=J$3)*('GMW - $100 oil'!$MB$2:$MB$200=J$4),0),$E90-1973)</f>
        <v>#N/A</v>
      </c>
      <c r="K90" t="e" cm="1">
        <f t="array" ref="K90">INDEX('GMW - $100 oil'!$A$2:$MC$200,MATCH(1,('GMW - $100 oil'!$MC$2:$MC$200=K$3)*('GMW - $100 oil'!$MB$2:$MB$200=K$4),0),$E90-1973)</f>
        <v>#N/A</v>
      </c>
      <c r="L90" t="e" cm="1">
        <f t="array" ref="L90">INDEX('GMW - $100 oil'!$A$2:$MC$200,MATCH(1,('GMW - $100 oil'!$MC$2:$MC$200=L$3)*('GMW - $100 oil'!$MB$2:$MB$200=L$4),0),$E90-1973)</f>
        <v>#N/A</v>
      </c>
      <c r="M90" t="e" cm="1">
        <f t="array" ref="M90">INDEX('GMW - $100 oil'!$A$2:$MC$200,MATCH(1,('GMW - $100 oil'!$MC$2:$MC$200=M$3)*('GMW - $100 oil'!$MB$2:$MB$200=M$4),0),$E90-1973)</f>
        <v>#N/A</v>
      </c>
      <c r="N90" t="e" cm="1">
        <f t="array" ref="N90">INDEX('GMW - $100 oil'!$A$2:$MC$200,MATCH(1,('GMW - $100 oil'!$MC$2:$MC$200=N$3)*('GMW - $100 oil'!$MB$2:$MB$200=N$4),0),$E90-1973)</f>
        <v>#N/A</v>
      </c>
      <c r="O90" t="e" cm="1">
        <f t="array" ref="O90">INDEX('GMW - $100 oil'!$A$2:$MC$200,MATCH(1,('GMW - $100 oil'!$MC$2:$MC$200=O$3)*('GMW - $100 oil'!$MB$2:$MB$200=O$4),0),$E90-1973)</f>
        <v>#N/A</v>
      </c>
      <c r="P90" t="e" cm="1">
        <f t="array" ref="P90">INDEX('GMW - $100 oil'!$A$2:$MC$200,MATCH(1,('GMW - $100 oil'!$MC$2:$MC$200=P$3)*('GMW - $100 oil'!$MB$2:$MB$200=P$4),0),$E90-1973)</f>
        <v>#N/A</v>
      </c>
      <c r="Q90" t="e" cm="1">
        <f t="array" ref="Q90">INDEX('GMW - $100 oil'!$A$2:$MC$200,MATCH(1,('GMW - $100 oil'!$MC$2:$MC$200=Q$3)*('GMW - $100 oil'!$MB$2:$MB$200=Q$4),0),$E90-1973)</f>
        <v>#N/A</v>
      </c>
      <c r="R90" t="e" cm="1">
        <f t="array" ref="R90">INDEX('GMW - $100 oil'!$A$2:$MC$200,MATCH(1,('GMW - $100 oil'!$MC$2:$MC$200=R$3)*('GMW - $100 oil'!$MB$2:$MB$200=R$4),0),$E90-1973)</f>
        <v>#N/A</v>
      </c>
      <c r="S90" t="e" cm="1">
        <f t="array" ref="S90">INDEX('GMW - $100 oil'!$A$2:$MC$200,MATCH(1,('GMW - $100 oil'!$MC$2:$MC$200=S$3)*('GMW - $100 oil'!$MB$2:$MB$200=S$4),0),$E90-1973)</f>
        <v>#N/A</v>
      </c>
      <c r="T90" t="e" cm="1">
        <f t="array" ref="T90">INDEX('GMW - $100 oil'!$A$2:$MC$200,MATCH(1,('GMW - $100 oil'!$MC$2:$MC$200=T$3)*('GMW - $100 oil'!$MB$2:$MB$200=T$4),0),$E90-1973)</f>
        <v>#N/A</v>
      </c>
    </row>
    <row r="91" spans="1:20" x14ac:dyDescent="0.25">
      <c r="A91">
        <v>2001</v>
      </c>
      <c r="B91">
        <f t="shared" si="7"/>
        <v>2001</v>
      </c>
      <c r="C91">
        <f t="shared" si="7"/>
        <v>2000</v>
      </c>
      <c r="D91">
        <f t="shared" si="7"/>
        <v>2000</v>
      </c>
      <c r="E91">
        <f t="shared" si="6"/>
        <v>2064</v>
      </c>
      <c r="F91" cm="1">
        <f t="array" ref="F91">INDEX('GMW - $100 oil'!$A$2:$MC$200,MATCH(1,('GMW - $100 oil'!$MC$2:$MC$200=F$3)*('GMW - $100 oil'!$MB$2:$MB$200=F$4),0),$E91-1973)</f>
        <v>493575</v>
      </c>
      <c r="G91" cm="1">
        <f t="array" ref="G91">INDEX('GMW - $100 oil'!$A$2:$MC$200,MATCH(1,('GMW - $100 oil'!$MC$2:$MC$200=G$3)*('GMW - $100 oil'!$MB$2:$MB$200=G$4),0),$E91-1973)</f>
        <v>294155</v>
      </c>
      <c r="H91" cm="1">
        <f t="array" ref="H91">INDEX('GMW - $100 oil'!$A$2:$MC$200,MATCH(1,('GMW - $100 oil'!$MC$2:$MC$200=H$3)*('GMW - $100 oil'!$MB$2:$MB$200=H$4),0),$E91-1973)</f>
        <v>72.766670000000005</v>
      </c>
      <c r="I91" cm="1">
        <f t="array" ref="I91">INDEX('GMW - $100 oil'!$A$2:$MC$200,MATCH(1,('GMW - $100 oil'!$MC$2:$MC$200=I$3)*('GMW - $100 oil'!$MB$2:$MB$200=I$4),0),$E91-1973)</f>
        <v>5.8576920000000001</v>
      </c>
      <c r="J91" t="e" cm="1">
        <f t="array" ref="J91">INDEX('GMW - $100 oil'!$A$2:$MC$200,MATCH(1,('GMW - $100 oil'!$MC$2:$MC$200=J$3)*('GMW - $100 oil'!$MB$2:$MB$200=J$4),0),$E91-1973)</f>
        <v>#N/A</v>
      </c>
      <c r="K91" t="e" cm="1">
        <f t="array" ref="K91">INDEX('GMW - $100 oil'!$A$2:$MC$200,MATCH(1,('GMW - $100 oil'!$MC$2:$MC$200=K$3)*('GMW - $100 oil'!$MB$2:$MB$200=K$4),0),$E91-1973)</f>
        <v>#N/A</v>
      </c>
      <c r="L91" t="e" cm="1">
        <f t="array" ref="L91">INDEX('GMW - $100 oil'!$A$2:$MC$200,MATCH(1,('GMW - $100 oil'!$MC$2:$MC$200=L$3)*('GMW - $100 oil'!$MB$2:$MB$200=L$4),0),$E91-1973)</f>
        <v>#N/A</v>
      </c>
      <c r="M91" t="e" cm="1">
        <f t="array" ref="M91">INDEX('GMW - $100 oil'!$A$2:$MC$200,MATCH(1,('GMW - $100 oil'!$MC$2:$MC$200=M$3)*('GMW - $100 oil'!$MB$2:$MB$200=M$4),0),$E91-1973)</f>
        <v>#N/A</v>
      </c>
      <c r="N91" t="e" cm="1">
        <f t="array" ref="N91">INDEX('GMW - $100 oil'!$A$2:$MC$200,MATCH(1,('GMW - $100 oil'!$MC$2:$MC$200=N$3)*('GMW - $100 oil'!$MB$2:$MB$200=N$4),0),$E91-1973)</f>
        <v>#N/A</v>
      </c>
      <c r="O91" t="e" cm="1">
        <f t="array" ref="O91">INDEX('GMW - $100 oil'!$A$2:$MC$200,MATCH(1,('GMW - $100 oil'!$MC$2:$MC$200=O$3)*('GMW - $100 oil'!$MB$2:$MB$200=O$4),0),$E91-1973)</f>
        <v>#N/A</v>
      </c>
      <c r="P91" t="e" cm="1">
        <f t="array" ref="P91">INDEX('GMW - $100 oil'!$A$2:$MC$200,MATCH(1,('GMW - $100 oil'!$MC$2:$MC$200=P$3)*('GMW - $100 oil'!$MB$2:$MB$200=P$4),0),$E91-1973)</f>
        <v>#N/A</v>
      </c>
      <c r="Q91" t="e" cm="1">
        <f t="array" ref="Q91">INDEX('GMW - $100 oil'!$A$2:$MC$200,MATCH(1,('GMW - $100 oil'!$MC$2:$MC$200=Q$3)*('GMW - $100 oil'!$MB$2:$MB$200=Q$4),0),$E91-1973)</f>
        <v>#N/A</v>
      </c>
      <c r="R91" t="e" cm="1">
        <f t="array" ref="R91">INDEX('GMW - $100 oil'!$A$2:$MC$200,MATCH(1,('GMW - $100 oil'!$MC$2:$MC$200=R$3)*('GMW - $100 oil'!$MB$2:$MB$200=R$4),0),$E91-1973)</f>
        <v>#N/A</v>
      </c>
      <c r="S91" t="e" cm="1">
        <f t="array" ref="S91">INDEX('GMW - $100 oil'!$A$2:$MC$200,MATCH(1,('GMW - $100 oil'!$MC$2:$MC$200=S$3)*('GMW - $100 oil'!$MB$2:$MB$200=S$4),0),$E91-1973)</f>
        <v>#N/A</v>
      </c>
      <c r="T91" t="e" cm="1">
        <f t="array" ref="T91">INDEX('GMW - $100 oil'!$A$2:$MC$200,MATCH(1,('GMW - $100 oil'!$MC$2:$MC$200=T$3)*('GMW - $100 oil'!$MB$2:$MB$200=T$4),0),$E91-1973)</f>
        <v>#N/A</v>
      </c>
    </row>
    <row r="92" spans="1:20" x14ac:dyDescent="0.25">
      <c r="B92">
        <f t="shared" ref="B92:D107" si="8">+B88+1</f>
        <v>2001</v>
      </c>
      <c r="C92">
        <f t="shared" si="8"/>
        <v>2001</v>
      </c>
      <c r="E92">
        <f t="shared" si="6"/>
        <v>2065</v>
      </c>
      <c r="F92" cm="1">
        <f t="array" ref="F92">INDEX('GMW - $100 oil'!$A$2:$MC$200,MATCH(1,('GMW - $100 oil'!$MC$2:$MC$200=F$3)*('GMW - $100 oil'!$MB$2:$MB$200=F$4),0),$E92-1973)</f>
        <v>495602</v>
      </c>
      <c r="G92" cm="1">
        <f t="array" ref="G92">INDEX('GMW - $100 oil'!$A$2:$MC$200,MATCH(1,('GMW - $100 oil'!$MC$2:$MC$200=G$3)*('GMW - $100 oil'!$MB$2:$MB$200=G$4),0),$E92-1973)</f>
        <v>296378</v>
      </c>
      <c r="H92" cm="1">
        <f t="array" ref="H92">INDEX('GMW - $100 oil'!$A$2:$MC$200,MATCH(1,('GMW - $100 oil'!$MC$2:$MC$200=H$3)*('GMW - $100 oil'!$MB$2:$MB$200=H$4),0),$E92-1973)</f>
        <v>73.833340000000007</v>
      </c>
      <c r="I92" cm="1">
        <f t="array" ref="I92">INDEX('GMW - $100 oil'!$A$2:$MC$200,MATCH(1,('GMW - $100 oil'!$MC$2:$MC$200=I$3)*('GMW - $100 oil'!$MB$2:$MB$200=I$4),0),$E92-1973)</f>
        <v>5.3692310000000001</v>
      </c>
      <c r="J92" t="e" cm="1">
        <f t="array" ref="J92">INDEX('GMW - $100 oil'!$A$2:$MC$200,MATCH(1,('GMW - $100 oil'!$MC$2:$MC$200=J$3)*('GMW - $100 oil'!$MB$2:$MB$200=J$4),0),$E92-1973)</f>
        <v>#N/A</v>
      </c>
      <c r="K92" t="e" cm="1">
        <f t="array" ref="K92">INDEX('GMW - $100 oil'!$A$2:$MC$200,MATCH(1,('GMW - $100 oil'!$MC$2:$MC$200=K$3)*('GMW - $100 oil'!$MB$2:$MB$200=K$4),0),$E92-1973)</f>
        <v>#N/A</v>
      </c>
      <c r="L92" t="e" cm="1">
        <f t="array" ref="L92">INDEX('GMW - $100 oil'!$A$2:$MC$200,MATCH(1,('GMW - $100 oil'!$MC$2:$MC$200=L$3)*('GMW - $100 oil'!$MB$2:$MB$200=L$4),0),$E92-1973)</f>
        <v>#N/A</v>
      </c>
      <c r="M92" t="e" cm="1">
        <f t="array" ref="M92">INDEX('GMW - $100 oil'!$A$2:$MC$200,MATCH(1,('GMW - $100 oil'!$MC$2:$MC$200=M$3)*('GMW - $100 oil'!$MB$2:$MB$200=M$4),0),$E92-1973)</f>
        <v>#N/A</v>
      </c>
      <c r="N92" t="e" cm="1">
        <f t="array" ref="N92">INDEX('GMW - $100 oil'!$A$2:$MC$200,MATCH(1,('GMW - $100 oil'!$MC$2:$MC$200=N$3)*('GMW - $100 oil'!$MB$2:$MB$200=N$4),0),$E92-1973)</f>
        <v>#N/A</v>
      </c>
      <c r="O92" t="e" cm="1">
        <f t="array" ref="O92">INDEX('GMW - $100 oil'!$A$2:$MC$200,MATCH(1,('GMW - $100 oil'!$MC$2:$MC$200=O$3)*('GMW - $100 oil'!$MB$2:$MB$200=O$4),0),$E92-1973)</f>
        <v>#N/A</v>
      </c>
      <c r="P92" t="e" cm="1">
        <f t="array" ref="P92">INDEX('GMW - $100 oil'!$A$2:$MC$200,MATCH(1,('GMW - $100 oil'!$MC$2:$MC$200=P$3)*('GMW - $100 oil'!$MB$2:$MB$200=P$4),0),$E92-1973)</f>
        <v>#N/A</v>
      </c>
      <c r="Q92" t="e" cm="1">
        <f t="array" ref="Q92">INDEX('GMW - $100 oil'!$A$2:$MC$200,MATCH(1,('GMW - $100 oil'!$MC$2:$MC$200=Q$3)*('GMW - $100 oil'!$MB$2:$MB$200=Q$4),0),$E92-1973)</f>
        <v>#N/A</v>
      </c>
      <c r="R92" t="e" cm="1">
        <f t="array" ref="R92">INDEX('GMW - $100 oil'!$A$2:$MC$200,MATCH(1,('GMW - $100 oil'!$MC$2:$MC$200=R$3)*('GMW - $100 oil'!$MB$2:$MB$200=R$4),0),$E92-1973)</f>
        <v>#N/A</v>
      </c>
      <c r="S92" t="e" cm="1">
        <f t="array" ref="S92">INDEX('GMW - $100 oil'!$A$2:$MC$200,MATCH(1,('GMW - $100 oil'!$MC$2:$MC$200=S$3)*('GMW - $100 oil'!$MB$2:$MB$200=S$4),0),$E92-1973)</f>
        <v>#N/A</v>
      </c>
      <c r="T92" t="e" cm="1">
        <f t="array" ref="T92">INDEX('GMW - $100 oil'!$A$2:$MC$200,MATCH(1,('GMW - $100 oil'!$MC$2:$MC$200=T$3)*('GMW - $100 oil'!$MB$2:$MB$200=T$4),0),$E92-1973)</f>
        <v>#N/A</v>
      </c>
    </row>
    <row r="93" spans="1:20" x14ac:dyDescent="0.25">
      <c r="B93">
        <f t="shared" si="8"/>
        <v>2001</v>
      </c>
      <c r="C93">
        <f t="shared" si="8"/>
        <v>2001</v>
      </c>
      <c r="E93">
        <f t="shared" si="6"/>
        <v>2066</v>
      </c>
      <c r="F93" cm="1">
        <f t="array" ref="F93">INDEX('GMW - $100 oil'!$A$2:$MC$200,MATCH(1,('GMW - $100 oil'!$MC$2:$MC$200=F$3)*('GMW - $100 oil'!$MB$2:$MB$200=F$4),0),$E93-1973)</f>
        <v>497938</v>
      </c>
      <c r="G93" cm="1">
        <f t="array" ref="G93">INDEX('GMW - $100 oil'!$A$2:$MC$200,MATCH(1,('GMW - $100 oil'!$MC$2:$MC$200=G$3)*('GMW - $100 oil'!$MB$2:$MB$200=G$4),0),$E93-1973)</f>
        <v>300827</v>
      </c>
      <c r="H93" cm="1">
        <f t="array" ref="H93">INDEX('GMW - $100 oil'!$A$2:$MC$200,MATCH(1,('GMW - $100 oil'!$MC$2:$MC$200=H$3)*('GMW - $100 oil'!$MB$2:$MB$200=H$4),0),$E93-1973)</f>
        <v>73.866669999999999</v>
      </c>
      <c r="I93" cm="1">
        <f t="array" ref="I93">INDEX('GMW - $100 oil'!$A$2:$MC$200,MATCH(1,('GMW - $100 oil'!$MC$2:$MC$200=I$3)*('GMW - $100 oil'!$MB$2:$MB$200=I$4),0),$E93-1973)</f>
        <v>5.0538460000000001</v>
      </c>
      <c r="J93" t="e" cm="1">
        <f t="array" ref="J93">INDEX('GMW - $100 oil'!$A$2:$MC$200,MATCH(1,('GMW - $100 oil'!$MC$2:$MC$200=J$3)*('GMW - $100 oil'!$MB$2:$MB$200=J$4),0),$E93-1973)</f>
        <v>#N/A</v>
      </c>
      <c r="K93" t="e" cm="1">
        <f t="array" ref="K93">INDEX('GMW - $100 oil'!$A$2:$MC$200,MATCH(1,('GMW - $100 oil'!$MC$2:$MC$200=K$3)*('GMW - $100 oil'!$MB$2:$MB$200=K$4),0),$E93-1973)</f>
        <v>#N/A</v>
      </c>
      <c r="L93" t="e" cm="1">
        <f t="array" ref="L93">INDEX('GMW - $100 oil'!$A$2:$MC$200,MATCH(1,('GMW - $100 oil'!$MC$2:$MC$200=L$3)*('GMW - $100 oil'!$MB$2:$MB$200=L$4),0),$E93-1973)</f>
        <v>#N/A</v>
      </c>
      <c r="M93" t="e" cm="1">
        <f t="array" ref="M93">INDEX('GMW - $100 oil'!$A$2:$MC$200,MATCH(1,('GMW - $100 oil'!$MC$2:$MC$200=M$3)*('GMW - $100 oil'!$MB$2:$MB$200=M$4),0),$E93-1973)</f>
        <v>#N/A</v>
      </c>
      <c r="N93" t="e" cm="1">
        <f t="array" ref="N93">INDEX('GMW - $100 oil'!$A$2:$MC$200,MATCH(1,('GMW - $100 oil'!$MC$2:$MC$200=N$3)*('GMW - $100 oil'!$MB$2:$MB$200=N$4),0),$E93-1973)</f>
        <v>#N/A</v>
      </c>
      <c r="O93" t="e" cm="1">
        <f t="array" ref="O93">INDEX('GMW - $100 oil'!$A$2:$MC$200,MATCH(1,('GMW - $100 oil'!$MC$2:$MC$200=O$3)*('GMW - $100 oil'!$MB$2:$MB$200=O$4),0),$E93-1973)</f>
        <v>#N/A</v>
      </c>
      <c r="P93" t="e" cm="1">
        <f t="array" ref="P93">INDEX('GMW - $100 oil'!$A$2:$MC$200,MATCH(1,('GMW - $100 oil'!$MC$2:$MC$200=P$3)*('GMW - $100 oil'!$MB$2:$MB$200=P$4),0),$E93-1973)</f>
        <v>#N/A</v>
      </c>
      <c r="Q93" t="e" cm="1">
        <f t="array" ref="Q93">INDEX('GMW - $100 oil'!$A$2:$MC$200,MATCH(1,('GMW - $100 oil'!$MC$2:$MC$200=Q$3)*('GMW - $100 oil'!$MB$2:$MB$200=Q$4),0),$E93-1973)</f>
        <v>#N/A</v>
      </c>
      <c r="R93" t="e" cm="1">
        <f t="array" ref="R93">INDEX('GMW - $100 oil'!$A$2:$MC$200,MATCH(1,('GMW - $100 oil'!$MC$2:$MC$200=R$3)*('GMW - $100 oil'!$MB$2:$MB$200=R$4),0),$E93-1973)</f>
        <v>#N/A</v>
      </c>
      <c r="S93" t="e" cm="1">
        <f t="array" ref="S93">INDEX('GMW - $100 oil'!$A$2:$MC$200,MATCH(1,('GMW - $100 oil'!$MC$2:$MC$200=S$3)*('GMW - $100 oil'!$MB$2:$MB$200=S$4),0),$E93-1973)</f>
        <v>#N/A</v>
      </c>
      <c r="T93" t="e" cm="1">
        <f t="array" ref="T93">INDEX('GMW - $100 oil'!$A$2:$MC$200,MATCH(1,('GMW - $100 oil'!$MC$2:$MC$200=T$3)*('GMW - $100 oil'!$MB$2:$MB$200=T$4),0),$E93-1973)</f>
        <v>#N/A</v>
      </c>
    </row>
    <row r="94" spans="1:20" x14ac:dyDescent="0.25">
      <c r="B94">
        <f t="shared" si="8"/>
        <v>2001</v>
      </c>
      <c r="C94">
        <f t="shared" si="8"/>
        <v>2001</v>
      </c>
      <c r="E94">
        <f t="shared" si="6"/>
        <v>2067</v>
      </c>
      <c r="F94" cm="1">
        <f t="array" ref="F94">INDEX('GMW - $100 oil'!$A$2:$MC$200,MATCH(1,('GMW - $100 oil'!$MC$2:$MC$200=F$3)*('GMW - $100 oil'!$MB$2:$MB$200=F$4),0),$E94-1973)</f>
        <v>499278</v>
      </c>
      <c r="G94" cm="1">
        <f t="array" ref="G94">INDEX('GMW - $100 oil'!$A$2:$MC$200,MATCH(1,('GMW - $100 oil'!$MC$2:$MC$200=G$3)*('GMW - $100 oil'!$MB$2:$MB$200=G$4),0),$E94-1973)</f>
        <v>303055</v>
      </c>
      <c r="H94" cm="1">
        <f t="array" ref="H94">INDEX('GMW - $100 oil'!$A$2:$MC$200,MATCH(1,('GMW - $100 oil'!$MC$2:$MC$200=H$3)*('GMW - $100 oil'!$MB$2:$MB$200=H$4),0),$E94-1973)</f>
        <v>73.900000000000006</v>
      </c>
      <c r="I94" cm="1">
        <f t="array" ref="I94">INDEX('GMW - $100 oil'!$A$2:$MC$200,MATCH(1,('GMW - $100 oil'!$MC$2:$MC$200=I$3)*('GMW - $100 oil'!$MB$2:$MB$200=I$4),0),$E94-1973)</f>
        <v>4.2234850000000002</v>
      </c>
      <c r="J94" t="e" cm="1">
        <f t="array" ref="J94">INDEX('GMW - $100 oil'!$A$2:$MC$200,MATCH(1,('GMW - $100 oil'!$MC$2:$MC$200=J$3)*('GMW - $100 oil'!$MB$2:$MB$200=J$4),0),$E94-1973)</f>
        <v>#N/A</v>
      </c>
      <c r="K94" t="e" cm="1">
        <f t="array" ref="K94">INDEX('GMW - $100 oil'!$A$2:$MC$200,MATCH(1,('GMW - $100 oil'!$MC$2:$MC$200=K$3)*('GMW - $100 oil'!$MB$2:$MB$200=K$4),0),$E94-1973)</f>
        <v>#N/A</v>
      </c>
      <c r="L94" t="e" cm="1">
        <f t="array" ref="L94">INDEX('GMW - $100 oil'!$A$2:$MC$200,MATCH(1,('GMW - $100 oil'!$MC$2:$MC$200=L$3)*('GMW - $100 oil'!$MB$2:$MB$200=L$4),0),$E94-1973)</f>
        <v>#N/A</v>
      </c>
      <c r="M94" t="e" cm="1">
        <f t="array" ref="M94">INDEX('GMW - $100 oil'!$A$2:$MC$200,MATCH(1,('GMW - $100 oil'!$MC$2:$MC$200=M$3)*('GMW - $100 oil'!$MB$2:$MB$200=M$4),0),$E94-1973)</f>
        <v>#N/A</v>
      </c>
      <c r="N94" t="e" cm="1">
        <f t="array" ref="N94">INDEX('GMW - $100 oil'!$A$2:$MC$200,MATCH(1,('GMW - $100 oil'!$MC$2:$MC$200=N$3)*('GMW - $100 oil'!$MB$2:$MB$200=N$4),0),$E94-1973)</f>
        <v>#N/A</v>
      </c>
      <c r="O94" t="e" cm="1">
        <f t="array" ref="O94">INDEX('GMW - $100 oil'!$A$2:$MC$200,MATCH(1,('GMW - $100 oil'!$MC$2:$MC$200=O$3)*('GMW - $100 oil'!$MB$2:$MB$200=O$4),0),$E94-1973)</f>
        <v>#N/A</v>
      </c>
      <c r="P94" t="e" cm="1">
        <f t="array" ref="P94">INDEX('GMW - $100 oil'!$A$2:$MC$200,MATCH(1,('GMW - $100 oil'!$MC$2:$MC$200=P$3)*('GMW - $100 oil'!$MB$2:$MB$200=P$4),0),$E94-1973)</f>
        <v>#N/A</v>
      </c>
      <c r="Q94" t="e" cm="1">
        <f t="array" ref="Q94">INDEX('GMW - $100 oil'!$A$2:$MC$200,MATCH(1,('GMW - $100 oil'!$MC$2:$MC$200=Q$3)*('GMW - $100 oil'!$MB$2:$MB$200=Q$4),0),$E94-1973)</f>
        <v>#N/A</v>
      </c>
      <c r="R94" t="e" cm="1">
        <f t="array" ref="R94">INDEX('GMW - $100 oil'!$A$2:$MC$200,MATCH(1,('GMW - $100 oil'!$MC$2:$MC$200=R$3)*('GMW - $100 oil'!$MB$2:$MB$200=R$4),0),$E94-1973)</f>
        <v>#N/A</v>
      </c>
      <c r="S94" t="e" cm="1">
        <f t="array" ref="S94">INDEX('GMW - $100 oil'!$A$2:$MC$200,MATCH(1,('GMW - $100 oil'!$MC$2:$MC$200=S$3)*('GMW - $100 oil'!$MB$2:$MB$200=S$4),0),$E94-1973)</f>
        <v>#N/A</v>
      </c>
      <c r="T94" t="e" cm="1">
        <f t="array" ref="T94">INDEX('GMW - $100 oil'!$A$2:$MC$200,MATCH(1,('GMW - $100 oil'!$MC$2:$MC$200=T$3)*('GMW - $100 oil'!$MB$2:$MB$200=T$4),0),$E94-1973)</f>
        <v>#N/A</v>
      </c>
    </row>
    <row r="95" spans="1:20" x14ac:dyDescent="0.25">
      <c r="A95">
        <v>2002</v>
      </c>
      <c r="B95">
        <f t="shared" si="8"/>
        <v>2002</v>
      </c>
      <c r="C95">
        <f t="shared" si="8"/>
        <v>2001</v>
      </c>
      <c r="D95">
        <f t="shared" si="8"/>
        <v>2001</v>
      </c>
      <c r="E95">
        <f t="shared" si="6"/>
        <v>2068</v>
      </c>
      <c r="F95" cm="1">
        <f t="array" ref="F95">INDEX('GMW - $100 oil'!$A$2:$MC$200,MATCH(1,('GMW - $100 oil'!$MC$2:$MC$200=F$3)*('GMW - $100 oil'!$MB$2:$MB$200=F$4),0),$E95-1973)</f>
        <v>500794</v>
      </c>
      <c r="G95" cm="1">
        <f t="array" ref="G95">INDEX('GMW - $100 oil'!$A$2:$MC$200,MATCH(1,('GMW - $100 oil'!$MC$2:$MC$200=G$3)*('GMW - $100 oil'!$MB$2:$MB$200=G$4),0),$E95-1973)</f>
        <v>303450</v>
      </c>
      <c r="H95" cm="1">
        <f t="array" ref="H95">INDEX('GMW - $100 oil'!$A$2:$MC$200,MATCH(1,('GMW - $100 oil'!$MC$2:$MC$200=H$3)*('GMW - $100 oil'!$MB$2:$MB$200=H$4),0),$E95-1973)</f>
        <v>73.866669999999999</v>
      </c>
      <c r="I95" cm="1">
        <f t="array" ref="I95">INDEX('GMW - $100 oil'!$A$2:$MC$200,MATCH(1,('GMW - $100 oil'!$MC$2:$MC$200=I$3)*('GMW - $100 oil'!$MB$2:$MB$200=I$4),0),$E95-1973)</f>
        <v>4</v>
      </c>
      <c r="J95" t="e" cm="1">
        <f t="array" ref="J95">INDEX('GMW - $100 oil'!$A$2:$MC$200,MATCH(1,('GMW - $100 oil'!$MC$2:$MC$200=J$3)*('GMW - $100 oil'!$MB$2:$MB$200=J$4),0),$E95-1973)</f>
        <v>#N/A</v>
      </c>
      <c r="K95" t="e" cm="1">
        <f t="array" ref="K95">INDEX('GMW - $100 oil'!$A$2:$MC$200,MATCH(1,('GMW - $100 oil'!$MC$2:$MC$200=K$3)*('GMW - $100 oil'!$MB$2:$MB$200=K$4),0),$E95-1973)</f>
        <v>#N/A</v>
      </c>
      <c r="L95" t="e" cm="1">
        <f t="array" ref="L95">INDEX('GMW - $100 oil'!$A$2:$MC$200,MATCH(1,('GMW - $100 oil'!$MC$2:$MC$200=L$3)*('GMW - $100 oil'!$MB$2:$MB$200=L$4),0),$E95-1973)</f>
        <v>#N/A</v>
      </c>
      <c r="M95" t="e" cm="1">
        <f t="array" ref="M95">INDEX('GMW - $100 oil'!$A$2:$MC$200,MATCH(1,('GMW - $100 oil'!$MC$2:$MC$200=M$3)*('GMW - $100 oil'!$MB$2:$MB$200=M$4),0),$E95-1973)</f>
        <v>#N/A</v>
      </c>
      <c r="N95" t="e" cm="1">
        <f t="array" ref="N95">INDEX('GMW - $100 oil'!$A$2:$MC$200,MATCH(1,('GMW - $100 oil'!$MC$2:$MC$200=N$3)*('GMW - $100 oil'!$MB$2:$MB$200=N$4),0),$E95-1973)</f>
        <v>#N/A</v>
      </c>
      <c r="O95" t="e" cm="1">
        <f t="array" ref="O95">INDEX('GMW - $100 oil'!$A$2:$MC$200,MATCH(1,('GMW - $100 oil'!$MC$2:$MC$200=O$3)*('GMW - $100 oil'!$MB$2:$MB$200=O$4),0),$E95-1973)</f>
        <v>#N/A</v>
      </c>
      <c r="P95" t="e" cm="1">
        <f t="array" ref="P95">INDEX('GMW - $100 oil'!$A$2:$MC$200,MATCH(1,('GMW - $100 oil'!$MC$2:$MC$200=P$3)*('GMW - $100 oil'!$MB$2:$MB$200=P$4),0),$E95-1973)</f>
        <v>#N/A</v>
      </c>
      <c r="Q95" t="e" cm="1">
        <f t="array" ref="Q95">INDEX('GMW - $100 oil'!$A$2:$MC$200,MATCH(1,('GMW - $100 oil'!$MC$2:$MC$200=Q$3)*('GMW - $100 oil'!$MB$2:$MB$200=Q$4),0),$E95-1973)</f>
        <v>#N/A</v>
      </c>
      <c r="R95" t="e" cm="1">
        <f t="array" ref="R95">INDEX('GMW - $100 oil'!$A$2:$MC$200,MATCH(1,('GMW - $100 oil'!$MC$2:$MC$200=R$3)*('GMW - $100 oil'!$MB$2:$MB$200=R$4),0),$E95-1973)</f>
        <v>#N/A</v>
      </c>
      <c r="S95" t="e" cm="1">
        <f t="array" ref="S95">INDEX('GMW - $100 oil'!$A$2:$MC$200,MATCH(1,('GMW - $100 oil'!$MC$2:$MC$200=S$3)*('GMW - $100 oil'!$MB$2:$MB$200=S$4),0),$E95-1973)</f>
        <v>#N/A</v>
      </c>
      <c r="T95" t="e" cm="1">
        <f t="array" ref="T95">INDEX('GMW - $100 oil'!$A$2:$MC$200,MATCH(1,('GMW - $100 oil'!$MC$2:$MC$200=T$3)*('GMW - $100 oil'!$MB$2:$MB$200=T$4),0),$E95-1973)</f>
        <v>#N/A</v>
      </c>
    </row>
    <row r="96" spans="1:20" x14ac:dyDescent="0.25">
      <c r="B96">
        <f t="shared" si="8"/>
        <v>2002</v>
      </c>
      <c r="C96">
        <f t="shared" si="8"/>
        <v>2002</v>
      </c>
      <c r="E96">
        <f t="shared" si="6"/>
        <v>2069</v>
      </c>
      <c r="F96" cm="1">
        <f t="array" ref="F96">INDEX('GMW - $100 oil'!$A$2:$MC$200,MATCH(1,('GMW - $100 oil'!$MC$2:$MC$200=F$3)*('GMW - $100 oil'!$MB$2:$MB$200=F$4),0),$E96-1973)</f>
        <v>503433</v>
      </c>
      <c r="G96" cm="1">
        <f t="array" ref="G96">INDEX('GMW - $100 oil'!$A$2:$MC$200,MATCH(1,('GMW - $100 oil'!$MC$2:$MC$200=G$3)*('GMW - $100 oil'!$MB$2:$MB$200=G$4),0),$E96-1973)</f>
        <v>304764</v>
      </c>
      <c r="H96" cm="1">
        <f t="array" ref="H96">INDEX('GMW - $100 oil'!$A$2:$MC$200,MATCH(1,('GMW - $100 oil'!$MC$2:$MC$200=H$3)*('GMW - $100 oil'!$MB$2:$MB$200=H$4),0),$E96-1973)</f>
        <v>74.533330000000007</v>
      </c>
      <c r="I96" cm="1">
        <f t="array" ref="I96">INDEX('GMW - $100 oil'!$A$2:$MC$200,MATCH(1,('GMW - $100 oil'!$MC$2:$MC$200=I$3)*('GMW - $100 oil'!$MB$2:$MB$200=I$4),0),$E96-1973)</f>
        <v>4</v>
      </c>
      <c r="J96" t="e" cm="1">
        <f t="array" ref="J96">INDEX('GMW - $100 oil'!$A$2:$MC$200,MATCH(1,('GMW - $100 oil'!$MC$2:$MC$200=J$3)*('GMW - $100 oil'!$MB$2:$MB$200=J$4),0),$E96-1973)</f>
        <v>#N/A</v>
      </c>
      <c r="K96" t="e" cm="1">
        <f t="array" ref="K96">INDEX('GMW - $100 oil'!$A$2:$MC$200,MATCH(1,('GMW - $100 oil'!$MC$2:$MC$200=K$3)*('GMW - $100 oil'!$MB$2:$MB$200=K$4),0),$E96-1973)</f>
        <v>#N/A</v>
      </c>
      <c r="L96" t="e" cm="1">
        <f t="array" ref="L96">INDEX('GMW - $100 oil'!$A$2:$MC$200,MATCH(1,('GMW - $100 oil'!$MC$2:$MC$200=L$3)*('GMW - $100 oil'!$MB$2:$MB$200=L$4),0),$E96-1973)</f>
        <v>#N/A</v>
      </c>
      <c r="M96" t="e" cm="1">
        <f t="array" ref="M96">INDEX('GMW - $100 oil'!$A$2:$MC$200,MATCH(1,('GMW - $100 oil'!$MC$2:$MC$200=M$3)*('GMW - $100 oil'!$MB$2:$MB$200=M$4),0),$E96-1973)</f>
        <v>#N/A</v>
      </c>
      <c r="N96" t="e" cm="1">
        <f t="array" ref="N96">INDEX('GMW - $100 oil'!$A$2:$MC$200,MATCH(1,('GMW - $100 oil'!$MC$2:$MC$200=N$3)*('GMW - $100 oil'!$MB$2:$MB$200=N$4),0),$E96-1973)</f>
        <v>#N/A</v>
      </c>
      <c r="O96" t="e" cm="1">
        <f t="array" ref="O96">INDEX('GMW - $100 oil'!$A$2:$MC$200,MATCH(1,('GMW - $100 oil'!$MC$2:$MC$200=O$3)*('GMW - $100 oil'!$MB$2:$MB$200=O$4),0),$E96-1973)</f>
        <v>#N/A</v>
      </c>
      <c r="P96" t="e" cm="1">
        <f t="array" ref="P96">INDEX('GMW - $100 oil'!$A$2:$MC$200,MATCH(1,('GMW - $100 oil'!$MC$2:$MC$200=P$3)*('GMW - $100 oil'!$MB$2:$MB$200=P$4),0),$E96-1973)</f>
        <v>#N/A</v>
      </c>
      <c r="Q96" t="e" cm="1">
        <f t="array" ref="Q96">INDEX('GMW - $100 oil'!$A$2:$MC$200,MATCH(1,('GMW - $100 oil'!$MC$2:$MC$200=Q$3)*('GMW - $100 oil'!$MB$2:$MB$200=Q$4),0),$E96-1973)</f>
        <v>#N/A</v>
      </c>
      <c r="R96" t="e" cm="1">
        <f t="array" ref="R96">INDEX('GMW - $100 oil'!$A$2:$MC$200,MATCH(1,('GMW - $100 oil'!$MC$2:$MC$200=R$3)*('GMW - $100 oil'!$MB$2:$MB$200=R$4),0),$E96-1973)</f>
        <v>#N/A</v>
      </c>
      <c r="S96" t="e" cm="1">
        <f t="array" ref="S96">INDEX('GMW - $100 oil'!$A$2:$MC$200,MATCH(1,('GMW - $100 oil'!$MC$2:$MC$200=S$3)*('GMW - $100 oil'!$MB$2:$MB$200=S$4),0),$E96-1973)</f>
        <v>#N/A</v>
      </c>
      <c r="T96" t="e" cm="1">
        <f t="array" ref="T96">INDEX('GMW - $100 oil'!$A$2:$MC$200,MATCH(1,('GMW - $100 oil'!$MC$2:$MC$200=T$3)*('GMW - $100 oil'!$MB$2:$MB$200=T$4),0),$E96-1973)</f>
        <v>#N/A</v>
      </c>
    </row>
    <row r="97" spans="1:20" x14ac:dyDescent="0.25">
      <c r="B97">
        <f t="shared" si="8"/>
        <v>2002</v>
      </c>
      <c r="C97">
        <f t="shared" si="8"/>
        <v>2002</v>
      </c>
      <c r="E97">
        <f t="shared" si="6"/>
        <v>2070</v>
      </c>
      <c r="F97" cm="1">
        <f t="array" ref="F97">INDEX('GMW - $100 oil'!$A$2:$MC$200,MATCH(1,('GMW - $100 oil'!$MC$2:$MC$200=F$3)*('GMW - $100 oil'!$MB$2:$MB$200=F$4),0),$E97-1973)</f>
        <v>506386</v>
      </c>
      <c r="G97" cm="1">
        <f t="array" ref="G97">INDEX('GMW - $100 oil'!$A$2:$MC$200,MATCH(1,('GMW - $100 oil'!$MC$2:$MC$200=G$3)*('GMW - $100 oil'!$MB$2:$MB$200=G$4),0),$E97-1973)</f>
        <v>307772</v>
      </c>
      <c r="H97" cm="1">
        <f t="array" ref="H97">INDEX('GMW - $100 oil'!$A$2:$MC$200,MATCH(1,('GMW - $100 oil'!$MC$2:$MC$200=H$3)*('GMW - $100 oil'!$MB$2:$MB$200=H$4),0),$E97-1973)</f>
        <v>74.599999999999994</v>
      </c>
      <c r="I97" cm="1">
        <f t="array" ref="I97">INDEX('GMW - $100 oil'!$A$2:$MC$200,MATCH(1,('GMW - $100 oil'!$MC$2:$MC$200=I$3)*('GMW - $100 oil'!$MB$2:$MB$200=I$4),0),$E97-1973)</f>
        <v>4</v>
      </c>
      <c r="J97" t="e" cm="1">
        <f t="array" ref="J97">INDEX('GMW - $100 oil'!$A$2:$MC$200,MATCH(1,('GMW - $100 oil'!$MC$2:$MC$200=J$3)*('GMW - $100 oil'!$MB$2:$MB$200=J$4),0),$E97-1973)</f>
        <v>#N/A</v>
      </c>
      <c r="K97" t="e" cm="1">
        <f t="array" ref="K97">INDEX('GMW - $100 oil'!$A$2:$MC$200,MATCH(1,('GMW - $100 oil'!$MC$2:$MC$200=K$3)*('GMW - $100 oil'!$MB$2:$MB$200=K$4),0),$E97-1973)</f>
        <v>#N/A</v>
      </c>
      <c r="L97" t="e" cm="1">
        <f t="array" ref="L97">INDEX('GMW - $100 oil'!$A$2:$MC$200,MATCH(1,('GMW - $100 oil'!$MC$2:$MC$200=L$3)*('GMW - $100 oil'!$MB$2:$MB$200=L$4),0),$E97-1973)</f>
        <v>#N/A</v>
      </c>
      <c r="M97" t="e" cm="1">
        <f t="array" ref="M97">INDEX('GMW - $100 oil'!$A$2:$MC$200,MATCH(1,('GMW - $100 oil'!$MC$2:$MC$200=M$3)*('GMW - $100 oil'!$MB$2:$MB$200=M$4),0),$E97-1973)</f>
        <v>#N/A</v>
      </c>
      <c r="N97" t="e" cm="1">
        <f t="array" ref="N97">INDEX('GMW - $100 oil'!$A$2:$MC$200,MATCH(1,('GMW - $100 oil'!$MC$2:$MC$200=N$3)*('GMW - $100 oil'!$MB$2:$MB$200=N$4),0),$E97-1973)</f>
        <v>#N/A</v>
      </c>
      <c r="O97" t="e" cm="1">
        <f t="array" ref="O97">INDEX('GMW - $100 oil'!$A$2:$MC$200,MATCH(1,('GMW - $100 oil'!$MC$2:$MC$200=O$3)*('GMW - $100 oil'!$MB$2:$MB$200=O$4),0),$E97-1973)</f>
        <v>#N/A</v>
      </c>
      <c r="P97" t="e" cm="1">
        <f t="array" ref="P97">INDEX('GMW - $100 oil'!$A$2:$MC$200,MATCH(1,('GMW - $100 oil'!$MC$2:$MC$200=P$3)*('GMW - $100 oil'!$MB$2:$MB$200=P$4),0),$E97-1973)</f>
        <v>#N/A</v>
      </c>
      <c r="Q97" t="e" cm="1">
        <f t="array" ref="Q97">INDEX('GMW - $100 oil'!$A$2:$MC$200,MATCH(1,('GMW - $100 oil'!$MC$2:$MC$200=Q$3)*('GMW - $100 oil'!$MB$2:$MB$200=Q$4),0),$E97-1973)</f>
        <v>#N/A</v>
      </c>
      <c r="R97" t="e" cm="1">
        <f t="array" ref="R97">INDEX('GMW - $100 oil'!$A$2:$MC$200,MATCH(1,('GMW - $100 oil'!$MC$2:$MC$200=R$3)*('GMW - $100 oil'!$MB$2:$MB$200=R$4),0),$E97-1973)</f>
        <v>#N/A</v>
      </c>
      <c r="S97" t="e" cm="1">
        <f t="array" ref="S97">INDEX('GMW - $100 oil'!$A$2:$MC$200,MATCH(1,('GMW - $100 oil'!$MC$2:$MC$200=S$3)*('GMW - $100 oil'!$MB$2:$MB$200=S$4),0),$E97-1973)</f>
        <v>#N/A</v>
      </c>
      <c r="T97" t="e" cm="1">
        <f t="array" ref="T97">INDEX('GMW - $100 oil'!$A$2:$MC$200,MATCH(1,('GMW - $100 oil'!$MC$2:$MC$200=T$3)*('GMW - $100 oil'!$MB$2:$MB$200=T$4),0),$E97-1973)</f>
        <v>#N/A</v>
      </c>
    </row>
    <row r="98" spans="1:20" x14ac:dyDescent="0.25">
      <c r="B98">
        <f t="shared" si="8"/>
        <v>2002</v>
      </c>
      <c r="C98">
        <f t="shared" si="8"/>
        <v>2002</v>
      </c>
      <c r="E98">
        <f t="shared" si="6"/>
        <v>2071</v>
      </c>
      <c r="F98" cm="1">
        <f t="array" ref="F98">INDEX('GMW - $100 oil'!$A$2:$MC$200,MATCH(1,('GMW - $100 oil'!$MC$2:$MC$200=F$3)*('GMW - $100 oil'!$MB$2:$MB$200=F$4),0),$E98-1973)</f>
        <v>509728</v>
      </c>
      <c r="G98" cm="1">
        <f t="array" ref="G98">INDEX('GMW - $100 oil'!$A$2:$MC$200,MATCH(1,('GMW - $100 oil'!$MC$2:$MC$200=G$3)*('GMW - $100 oil'!$MB$2:$MB$200=G$4),0),$E98-1973)</f>
        <v>310517</v>
      </c>
      <c r="H98" cm="1">
        <f t="array" ref="H98">INDEX('GMW - $100 oil'!$A$2:$MC$200,MATCH(1,('GMW - $100 oil'!$MC$2:$MC$200=H$3)*('GMW - $100 oil'!$MB$2:$MB$200=H$4),0),$E98-1973)</f>
        <v>75</v>
      </c>
      <c r="I98" cm="1">
        <f t="array" ref="I98">INDEX('GMW - $100 oil'!$A$2:$MC$200,MATCH(1,('GMW - $100 oil'!$MC$2:$MC$200=I$3)*('GMW - $100 oil'!$MB$2:$MB$200=I$4),0),$E98-1973)</f>
        <v>4</v>
      </c>
      <c r="J98" t="e" cm="1">
        <f t="array" ref="J98">INDEX('GMW - $100 oil'!$A$2:$MC$200,MATCH(1,('GMW - $100 oil'!$MC$2:$MC$200=J$3)*('GMW - $100 oil'!$MB$2:$MB$200=J$4),0),$E98-1973)</f>
        <v>#N/A</v>
      </c>
      <c r="K98" t="e" cm="1">
        <f t="array" ref="K98">INDEX('GMW - $100 oil'!$A$2:$MC$200,MATCH(1,('GMW - $100 oil'!$MC$2:$MC$200=K$3)*('GMW - $100 oil'!$MB$2:$MB$200=K$4),0),$E98-1973)</f>
        <v>#N/A</v>
      </c>
      <c r="L98" t="e" cm="1">
        <f t="array" ref="L98">INDEX('GMW - $100 oil'!$A$2:$MC$200,MATCH(1,('GMW - $100 oil'!$MC$2:$MC$200=L$3)*('GMW - $100 oil'!$MB$2:$MB$200=L$4),0),$E98-1973)</f>
        <v>#N/A</v>
      </c>
      <c r="M98" t="e" cm="1">
        <f t="array" ref="M98">INDEX('GMW - $100 oil'!$A$2:$MC$200,MATCH(1,('GMW - $100 oil'!$MC$2:$MC$200=M$3)*('GMW - $100 oil'!$MB$2:$MB$200=M$4),0),$E98-1973)</f>
        <v>#N/A</v>
      </c>
      <c r="N98" t="e" cm="1">
        <f t="array" ref="N98">INDEX('GMW - $100 oil'!$A$2:$MC$200,MATCH(1,('GMW - $100 oil'!$MC$2:$MC$200=N$3)*('GMW - $100 oil'!$MB$2:$MB$200=N$4),0),$E98-1973)</f>
        <v>#N/A</v>
      </c>
      <c r="O98" t="e" cm="1">
        <f t="array" ref="O98">INDEX('GMW - $100 oil'!$A$2:$MC$200,MATCH(1,('GMW - $100 oil'!$MC$2:$MC$200=O$3)*('GMW - $100 oil'!$MB$2:$MB$200=O$4),0),$E98-1973)</f>
        <v>#N/A</v>
      </c>
      <c r="P98" t="e" cm="1">
        <f t="array" ref="P98">INDEX('GMW - $100 oil'!$A$2:$MC$200,MATCH(1,('GMW - $100 oil'!$MC$2:$MC$200=P$3)*('GMW - $100 oil'!$MB$2:$MB$200=P$4),0),$E98-1973)</f>
        <v>#N/A</v>
      </c>
      <c r="Q98" t="e" cm="1">
        <f t="array" ref="Q98">INDEX('GMW - $100 oil'!$A$2:$MC$200,MATCH(1,('GMW - $100 oil'!$MC$2:$MC$200=Q$3)*('GMW - $100 oil'!$MB$2:$MB$200=Q$4),0),$E98-1973)</f>
        <v>#N/A</v>
      </c>
      <c r="R98" t="e" cm="1">
        <f t="array" ref="R98">INDEX('GMW - $100 oil'!$A$2:$MC$200,MATCH(1,('GMW - $100 oil'!$MC$2:$MC$200=R$3)*('GMW - $100 oil'!$MB$2:$MB$200=R$4),0),$E98-1973)</f>
        <v>#N/A</v>
      </c>
      <c r="S98" t="e" cm="1">
        <f t="array" ref="S98">INDEX('GMW - $100 oil'!$A$2:$MC$200,MATCH(1,('GMW - $100 oil'!$MC$2:$MC$200=S$3)*('GMW - $100 oil'!$MB$2:$MB$200=S$4),0),$E98-1973)</f>
        <v>#N/A</v>
      </c>
      <c r="T98" t="e" cm="1">
        <f t="array" ref="T98">INDEX('GMW - $100 oil'!$A$2:$MC$200,MATCH(1,('GMW - $100 oil'!$MC$2:$MC$200=T$3)*('GMW - $100 oil'!$MB$2:$MB$200=T$4),0),$E98-1973)</f>
        <v>#N/A</v>
      </c>
    </row>
    <row r="99" spans="1:20" x14ac:dyDescent="0.25">
      <c r="A99">
        <v>2003</v>
      </c>
      <c r="B99">
        <f t="shared" si="8"/>
        <v>2003</v>
      </c>
      <c r="C99">
        <f t="shared" si="8"/>
        <v>2002</v>
      </c>
      <c r="D99">
        <f t="shared" si="8"/>
        <v>2002</v>
      </c>
      <c r="E99">
        <f t="shared" si="6"/>
        <v>2072</v>
      </c>
      <c r="F99" cm="1">
        <f t="array" ref="F99">INDEX('GMW - $100 oil'!$A$2:$MC$200,MATCH(1,('GMW - $100 oil'!$MC$2:$MC$200=F$3)*('GMW - $100 oil'!$MB$2:$MB$200=F$4),0),$E99-1973)</f>
        <v>514031</v>
      </c>
      <c r="G99" cm="1">
        <f t="array" ref="G99">INDEX('GMW - $100 oil'!$A$2:$MC$200,MATCH(1,('GMW - $100 oil'!$MC$2:$MC$200=G$3)*('GMW - $100 oil'!$MB$2:$MB$200=G$4),0),$E99-1973)</f>
        <v>312554</v>
      </c>
      <c r="H99" cm="1">
        <f t="array" ref="H99">INDEX('GMW - $100 oil'!$A$2:$MC$200,MATCH(1,('GMW - $100 oil'!$MC$2:$MC$200=H$3)*('GMW - $100 oil'!$MB$2:$MB$200=H$4),0),$E99-1973)</f>
        <v>75</v>
      </c>
      <c r="I99" cm="1">
        <f t="array" ref="I99">INDEX('GMW - $100 oil'!$A$2:$MC$200,MATCH(1,('GMW - $100 oil'!$MC$2:$MC$200=I$3)*('GMW - $100 oil'!$MB$2:$MB$200=I$4),0),$E99-1973)</f>
        <v>3.8515630000000001</v>
      </c>
      <c r="J99" t="e" cm="1">
        <f t="array" ref="J99">INDEX('GMW - $100 oil'!$A$2:$MC$200,MATCH(1,('GMW - $100 oil'!$MC$2:$MC$200=J$3)*('GMW - $100 oil'!$MB$2:$MB$200=J$4),0),$E99-1973)</f>
        <v>#N/A</v>
      </c>
      <c r="K99" t="e" cm="1">
        <f t="array" ref="K99">INDEX('GMW - $100 oil'!$A$2:$MC$200,MATCH(1,('GMW - $100 oil'!$MC$2:$MC$200=K$3)*('GMW - $100 oil'!$MB$2:$MB$200=K$4),0),$E99-1973)</f>
        <v>#N/A</v>
      </c>
      <c r="L99" t="e" cm="1">
        <f t="array" ref="L99">INDEX('GMW - $100 oil'!$A$2:$MC$200,MATCH(1,('GMW - $100 oil'!$MC$2:$MC$200=L$3)*('GMW - $100 oil'!$MB$2:$MB$200=L$4),0),$E99-1973)</f>
        <v>#N/A</v>
      </c>
      <c r="M99" t="e" cm="1">
        <f t="array" ref="M99">INDEX('GMW - $100 oil'!$A$2:$MC$200,MATCH(1,('GMW - $100 oil'!$MC$2:$MC$200=M$3)*('GMW - $100 oil'!$MB$2:$MB$200=M$4),0),$E99-1973)</f>
        <v>#N/A</v>
      </c>
      <c r="N99" t="e" cm="1">
        <f t="array" ref="N99">INDEX('GMW - $100 oil'!$A$2:$MC$200,MATCH(1,('GMW - $100 oil'!$MC$2:$MC$200=N$3)*('GMW - $100 oil'!$MB$2:$MB$200=N$4),0),$E99-1973)</f>
        <v>#N/A</v>
      </c>
      <c r="O99" t="e" cm="1">
        <f t="array" ref="O99">INDEX('GMW - $100 oil'!$A$2:$MC$200,MATCH(1,('GMW - $100 oil'!$MC$2:$MC$200=O$3)*('GMW - $100 oil'!$MB$2:$MB$200=O$4),0),$E99-1973)</f>
        <v>#N/A</v>
      </c>
      <c r="P99" t="e" cm="1">
        <f t="array" ref="P99">INDEX('GMW - $100 oil'!$A$2:$MC$200,MATCH(1,('GMW - $100 oil'!$MC$2:$MC$200=P$3)*('GMW - $100 oil'!$MB$2:$MB$200=P$4),0),$E99-1973)</f>
        <v>#N/A</v>
      </c>
      <c r="Q99" t="e" cm="1">
        <f t="array" ref="Q99">INDEX('GMW - $100 oil'!$A$2:$MC$200,MATCH(1,('GMW - $100 oil'!$MC$2:$MC$200=Q$3)*('GMW - $100 oil'!$MB$2:$MB$200=Q$4),0),$E99-1973)</f>
        <v>#N/A</v>
      </c>
      <c r="R99" t="e" cm="1">
        <f t="array" ref="R99">INDEX('GMW - $100 oil'!$A$2:$MC$200,MATCH(1,('GMW - $100 oil'!$MC$2:$MC$200=R$3)*('GMW - $100 oil'!$MB$2:$MB$200=R$4),0),$E99-1973)</f>
        <v>#N/A</v>
      </c>
      <c r="S99" t="e" cm="1">
        <f t="array" ref="S99">INDEX('GMW - $100 oil'!$A$2:$MC$200,MATCH(1,('GMW - $100 oil'!$MC$2:$MC$200=S$3)*('GMW - $100 oil'!$MB$2:$MB$200=S$4),0),$E99-1973)</f>
        <v>#N/A</v>
      </c>
      <c r="T99" t="e" cm="1">
        <f t="array" ref="T99">INDEX('GMW - $100 oil'!$A$2:$MC$200,MATCH(1,('GMW - $100 oil'!$MC$2:$MC$200=T$3)*('GMW - $100 oil'!$MB$2:$MB$200=T$4),0),$E99-1973)</f>
        <v>#N/A</v>
      </c>
    </row>
    <row r="100" spans="1:20" x14ac:dyDescent="0.25">
      <c r="B100">
        <f t="shared" si="8"/>
        <v>2003</v>
      </c>
      <c r="C100">
        <f t="shared" si="8"/>
        <v>2003</v>
      </c>
      <c r="E100">
        <f t="shared" si="6"/>
        <v>2073</v>
      </c>
      <c r="F100" cm="1">
        <f t="array" ref="F100">INDEX('GMW - $100 oil'!$A$2:$MC$200,MATCH(1,('GMW - $100 oil'!$MC$2:$MC$200=F$3)*('GMW - $100 oil'!$MB$2:$MB$200=F$4),0),$E100-1973)</f>
        <v>518802</v>
      </c>
      <c r="G100" cm="1">
        <f t="array" ref="G100">INDEX('GMW - $100 oil'!$A$2:$MC$200,MATCH(1,('GMW - $100 oil'!$MC$2:$MC$200=G$3)*('GMW - $100 oil'!$MB$2:$MB$200=G$4),0),$E100-1973)</f>
        <v>316413</v>
      </c>
      <c r="H100" cm="1">
        <f t="array" ref="H100">INDEX('GMW - $100 oil'!$A$2:$MC$200,MATCH(1,('GMW - $100 oil'!$MC$2:$MC$200=H$3)*('GMW - $100 oil'!$MB$2:$MB$200=H$4),0),$E100-1973)</f>
        <v>75.466669999999993</v>
      </c>
      <c r="I100" cm="1">
        <f t="array" ref="I100">INDEX('GMW - $100 oil'!$A$2:$MC$200,MATCH(1,('GMW - $100 oil'!$MC$2:$MC$200=I$3)*('GMW - $100 oil'!$MB$2:$MB$200=I$4),0),$E100-1973)</f>
        <v>3.75</v>
      </c>
      <c r="J100" t="e" cm="1">
        <f t="array" ref="J100">INDEX('GMW - $100 oil'!$A$2:$MC$200,MATCH(1,('GMW - $100 oil'!$MC$2:$MC$200=J$3)*('GMW - $100 oil'!$MB$2:$MB$200=J$4),0),$E100-1973)</f>
        <v>#N/A</v>
      </c>
      <c r="K100" t="e" cm="1">
        <f t="array" ref="K100">INDEX('GMW - $100 oil'!$A$2:$MC$200,MATCH(1,('GMW - $100 oil'!$MC$2:$MC$200=K$3)*('GMW - $100 oil'!$MB$2:$MB$200=K$4),0),$E100-1973)</f>
        <v>#N/A</v>
      </c>
      <c r="L100" t="e" cm="1">
        <f t="array" ref="L100">INDEX('GMW - $100 oil'!$A$2:$MC$200,MATCH(1,('GMW - $100 oil'!$MC$2:$MC$200=L$3)*('GMW - $100 oil'!$MB$2:$MB$200=L$4),0),$E100-1973)</f>
        <v>#N/A</v>
      </c>
      <c r="M100" t="e" cm="1">
        <f t="array" ref="M100">INDEX('GMW - $100 oil'!$A$2:$MC$200,MATCH(1,('GMW - $100 oil'!$MC$2:$MC$200=M$3)*('GMW - $100 oil'!$MB$2:$MB$200=M$4),0),$E100-1973)</f>
        <v>#N/A</v>
      </c>
      <c r="N100" t="e" cm="1">
        <f t="array" ref="N100">INDEX('GMW - $100 oil'!$A$2:$MC$200,MATCH(1,('GMW - $100 oil'!$MC$2:$MC$200=N$3)*('GMW - $100 oil'!$MB$2:$MB$200=N$4),0),$E100-1973)</f>
        <v>#N/A</v>
      </c>
      <c r="O100" t="e" cm="1">
        <f t="array" ref="O100">INDEX('GMW - $100 oil'!$A$2:$MC$200,MATCH(1,('GMW - $100 oil'!$MC$2:$MC$200=O$3)*('GMW - $100 oil'!$MB$2:$MB$200=O$4),0),$E100-1973)</f>
        <v>#N/A</v>
      </c>
      <c r="P100" t="e" cm="1">
        <f t="array" ref="P100">INDEX('GMW - $100 oil'!$A$2:$MC$200,MATCH(1,('GMW - $100 oil'!$MC$2:$MC$200=P$3)*('GMW - $100 oil'!$MB$2:$MB$200=P$4),0),$E100-1973)</f>
        <v>#N/A</v>
      </c>
      <c r="Q100" t="e" cm="1">
        <f t="array" ref="Q100">INDEX('GMW - $100 oil'!$A$2:$MC$200,MATCH(1,('GMW - $100 oil'!$MC$2:$MC$200=Q$3)*('GMW - $100 oil'!$MB$2:$MB$200=Q$4),0),$E100-1973)</f>
        <v>#N/A</v>
      </c>
      <c r="R100" t="e" cm="1">
        <f t="array" ref="R100">INDEX('GMW - $100 oil'!$A$2:$MC$200,MATCH(1,('GMW - $100 oil'!$MC$2:$MC$200=R$3)*('GMW - $100 oil'!$MB$2:$MB$200=R$4),0),$E100-1973)</f>
        <v>#N/A</v>
      </c>
      <c r="S100" t="e" cm="1">
        <f t="array" ref="S100">INDEX('GMW - $100 oil'!$A$2:$MC$200,MATCH(1,('GMW - $100 oil'!$MC$2:$MC$200=S$3)*('GMW - $100 oil'!$MB$2:$MB$200=S$4),0),$E100-1973)</f>
        <v>#N/A</v>
      </c>
      <c r="T100" t="e" cm="1">
        <f t="array" ref="T100">INDEX('GMW - $100 oil'!$A$2:$MC$200,MATCH(1,('GMW - $100 oil'!$MC$2:$MC$200=T$3)*('GMW - $100 oil'!$MB$2:$MB$200=T$4),0),$E100-1973)</f>
        <v>#N/A</v>
      </c>
    </row>
    <row r="101" spans="1:20" x14ac:dyDescent="0.25">
      <c r="B101">
        <f t="shared" si="8"/>
        <v>2003</v>
      </c>
      <c r="C101">
        <f t="shared" si="8"/>
        <v>2003</v>
      </c>
      <c r="E101">
        <f t="shared" si="6"/>
        <v>2074</v>
      </c>
      <c r="F101" cm="1">
        <f t="array" ref="F101">INDEX('GMW - $100 oil'!$A$2:$MC$200,MATCH(1,('GMW - $100 oil'!$MC$2:$MC$200=F$3)*('GMW - $100 oil'!$MB$2:$MB$200=F$4),0),$E101-1973)</f>
        <v>524213</v>
      </c>
      <c r="G101" cm="1">
        <f t="array" ref="G101">INDEX('GMW - $100 oil'!$A$2:$MC$200,MATCH(1,('GMW - $100 oil'!$MC$2:$MC$200=G$3)*('GMW - $100 oil'!$MB$2:$MB$200=G$4),0),$E101-1973)</f>
        <v>318762</v>
      </c>
      <c r="H101" cm="1">
        <f t="array" ref="H101">INDEX('GMW - $100 oil'!$A$2:$MC$200,MATCH(1,('GMW - $100 oil'!$MC$2:$MC$200=H$3)*('GMW - $100 oil'!$MB$2:$MB$200=H$4),0),$E101-1973)</f>
        <v>75.599999999999994</v>
      </c>
      <c r="I101" cm="1">
        <f t="array" ref="I101">INDEX('GMW - $100 oil'!$A$2:$MC$200,MATCH(1,('GMW - $100 oil'!$MC$2:$MC$200=I$3)*('GMW - $100 oil'!$MB$2:$MB$200=I$4),0),$E101-1973)</f>
        <v>3.5265149999999998</v>
      </c>
      <c r="J101" t="e" cm="1">
        <f t="array" ref="J101">INDEX('GMW - $100 oil'!$A$2:$MC$200,MATCH(1,('GMW - $100 oil'!$MC$2:$MC$200=J$3)*('GMW - $100 oil'!$MB$2:$MB$200=J$4),0),$E101-1973)</f>
        <v>#N/A</v>
      </c>
      <c r="K101" t="e" cm="1">
        <f t="array" ref="K101">INDEX('GMW - $100 oil'!$A$2:$MC$200,MATCH(1,('GMW - $100 oil'!$MC$2:$MC$200=K$3)*('GMW - $100 oil'!$MB$2:$MB$200=K$4),0),$E101-1973)</f>
        <v>#N/A</v>
      </c>
      <c r="L101" t="e" cm="1">
        <f t="array" ref="L101">INDEX('GMW - $100 oil'!$A$2:$MC$200,MATCH(1,('GMW - $100 oil'!$MC$2:$MC$200=L$3)*('GMW - $100 oil'!$MB$2:$MB$200=L$4),0),$E101-1973)</f>
        <v>#N/A</v>
      </c>
      <c r="M101" t="e" cm="1">
        <f t="array" ref="M101">INDEX('GMW - $100 oil'!$A$2:$MC$200,MATCH(1,('GMW - $100 oil'!$MC$2:$MC$200=M$3)*('GMW - $100 oil'!$MB$2:$MB$200=M$4),0),$E101-1973)</f>
        <v>#N/A</v>
      </c>
      <c r="N101" t="e" cm="1">
        <f t="array" ref="N101">INDEX('GMW - $100 oil'!$A$2:$MC$200,MATCH(1,('GMW - $100 oil'!$MC$2:$MC$200=N$3)*('GMW - $100 oil'!$MB$2:$MB$200=N$4),0),$E101-1973)</f>
        <v>#N/A</v>
      </c>
      <c r="O101" t="e" cm="1">
        <f t="array" ref="O101">INDEX('GMW - $100 oil'!$A$2:$MC$200,MATCH(1,('GMW - $100 oil'!$MC$2:$MC$200=O$3)*('GMW - $100 oil'!$MB$2:$MB$200=O$4),0),$E101-1973)</f>
        <v>#N/A</v>
      </c>
      <c r="P101" t="e" cm="1">
        <f t="array" ref="P101">INDEX('GMW - $100 oil'!$A$2:$MC$200,MATCH(1,('GMW - $100 oil'!$MC$2:$MC$200=P$3)*('GMW - $100 oil'!$MB$2:$MB$200=P$4),0),$E101-1973)</f>
        <v>#N/A</v>
      </c>
      <c r="Q101" t="e" cm="1">
        <f t="array" ref="Q101">INDEX('GMW - $100 oil'!$A$2:$MC$200,MATCH(1,('GMW - $100 oil'!$MC$2:$MC$200=Q$3)*('GMW - $100 oil'!$MB$2:$MB$200=Q$4),0),$E101-1973)</f>
        <v>#N/A</v>
      </c>
      <c r="R101" t="e" cm="1">
        <f t="array" ref="R101">INDEX('GMW - $100 oil'!$A$2:$MC$200,MATCH(1,('GMW - $100 oil'!$MC$2:$MC$200=R$3)*('GMW - $100 oil'!$MB$2:$MB$200=R$4),0),$E101-1973)</f>
        <v>#N/A</v>
      </c>
      <c r="S101" t="e" cm="1">
        <f t="array" ref="S101">INDEX('GMW - $100 oil'!$A$2:$MC$200,MATCH(1,('GMW - $100 oil'!$MC$2:$MC$200=S$3)*('GMW - $100 oil'!$MB$2:$MB$200=S$4),0),$E101-1973)</f>
        <v>#N/A</v>
      </c>
      <c r="T101" t="e" cm="1">
        <f t="array" ref="T101">INDEX('GMW - $100 oil'!$A$2:$MC$200,MATCH(1,('GMW - $100 oil'!$MC$2:$MC$200=T$3)*('GMW - $100 oil'!$MB$2:$MB$200=T$4),0),$E101-1973)</f>
        <v>#N/A</v>
      </c>
    </row>
    <row r="102" spans="1:20" x14ac:dyDescent="0.25">
      <c r="B102">
        <f t="shared" si="8"/>
        <v>2003</v>
      </c>
      <c r="C102">
        <f t="shared" si="8"/>
        <v>2003</v>
      </c>
      <c r="E102">
        <f t="shared" si="6"/>
        <v>2075</v>
      </c>
      <c r="F102" cm="1">
        <f t="array" ref="F102">INDEX('GMW - $100 oil'!$A$2:$MC$200,MATCH(1,('GMW - $100 oil'!$MC$2:$MC$200=F$3)*('GMW - $100 oil'!$MB$2:$MB$200=F$4),0),$E102-1973)</f>
        <v>528320</v>
      </c>
      <c r="G102" cm="1">
        <f t="array" ref="G102">INDEX('GMW - $100 oil'!$A$2:$MC$200,MATCH(1,('GMW - $100 oil'!$MC$2:$MC$200=G$3)*('GMW - $100 oil'!$MB$2:$MB$200=G$4),0),$E102-1973)</f>
        <v>320529</v>
      </c>
      <c r="H102" cm="1">
        <f t="array" ref="H102">INDEX('GMW - $100 oil'!$A$2:$MC$200,MATCH(1,('GMW - $100 oil'!$MC$2:$MC$200=H$3)*('GMW - $100 oil'!$MB$2:$MB$200=H$4),0),$E102-1973)</f>
        <v>76.033330000000007</v>
      </c>
      <c r="I102" cm="1">
        <f t="array" ref="I102">INDEX('GMW - $100 oil'!$A$2:$MC$200,MATCH(1,('GMW - $100 oil'!$MC$2:$MC$200=I$3)*('GMW - $100 oil'!$MB$2:$MB$200=I$4),0),$E102-1973)</f>
        <v>3.6515149999999998</v>
      </c>
      <c r="J102" t="e" cm="1">
        <f t="array" ref="J102">INDEX('GMW - $100 oil'!$A$2:$MC$200,MATCH(1,('GMW - $100 oil'!$MC$2:$MC$200=J$3)*('GMW - $100 oil'!$MB$2:$MB$200=J$4),0),$E102-1973)</f>
        <v>#N/A</v>
      </c>
      <c r="K102" t="e" cm="1">
        <f t="array" ref="K102">INDEX('GMW - $100 oil'!$A$2:$MC$200,MATCH(1,('GMW - $100 oil'!$MC$2:$MC$200=K$3)*('GMW - $100 oil'!$MB$2:$MB$200=K$4),0),$E102-1973)</f>
        <v>#N/A</v>
      </c>
      <c r="L102" t="e" cm="1">
        <f t="array" ref="L102">INDEX('GMW - $100 oil'!$A$2:$MC$200,MATCH(1,('GMW - $100 oil'!$MC$2:$MC$200=L$3)*('GMW - $100 oil'!$MB$2:$MB$200=L$4),0),$E102-1973)</f>
        <v>#N/A</v>
      </c>
      <c r="M102" t="e" cm="1">
        <f t="array" ref="M102">INDEX('GMW - $100 oil'!$A$2:$MC$200,MATCH(1,('GMW - $100 oil'!$MC$2:$MC$200=M$3)*('GMW - $100 oil'!$MB$2:$MB$200=M$4),0),$E102-1973)</f>
        <v>#N/A</v>
      </c>
      <c r="N102" t="e" cm="1">
        <f t="array" ref="N102">INDEX('GMW - $100 oil'!$A$2:$MC$200,MATCH(1,('GMW - $100 oil'!$MC$2:$MC$200=N$3)*('GMW - $100 oil'!$MB$2:$MB$200=N$4),0),$E102-1973)</f>
        <v>#N/A</v>
      </c>
      <c r="O102" t="e" cm="1">
        <f t="array" ref="O102">INDEX('GMW - $100 oil'!$A$2:$MC$200,MATCH(1,('GMW - $100 oil'!$MC$2:$MC$200=O$3)*('GMW - $100 oil'!$MB$2:$MB$200=O$4),0),$E102-1973)</f>
        <v>#N/A</v>
      </c>
      <c r="P102" t="e" cm="1">
        <f t="array" ref="P102">INDEX('GMW - $100 oil'!$A$2:$MC$200,MATCH(1,('GMW - $100 oil'!$MC$2:$MC$200=P$3)*('GMW - $100 oil'!$MB$2:$MB$200=P$4),0),$E102-1973)</f>
        <v>#N/A</v>
      </c>
      <c r="Q102" t="e" cm="1">
        <f t="array" ref="Q102">INDEX('GMW - $100 oil'!$A$2:$MC$200,MATCH(1,('GMW - $100 oil'!$MC$2:$MC$200=Q$3)*('GMW - $100 oil'!$MB$2:$MB$200=Q$4),0),$E102-1973)</f>
        <v>#N/A</v>
      </c>
      <c r="R102" t="e" cm="1">
        <f t="array" ref="R102">INDEX('GMW - $100 oil'!$A$2:$MC$200,MATCH(1,('GMW - $100 oil'!$MC$2:$MC$200=R$3)*('GMW - $100 oil'!$MB$2:$MB$200=R$4),0),$E102-1973)</f>
        <v>#N/A</v>
      </c>
      <c r="S102" t="e" cm="1">
        <f t="array" ref="S102">INDEX('GMW - $100 oil'!$A$2:$MC$200,MATCH(1,('GMW - $100 oil'!$MC$2:$MC$200=S$3)*('GMW - $100 oil'!$MB$2:$MB$200=S$4),0),$E102-1973)</f>
        <v>#N/A</v>
      </c>
      <c r="T102" t="e" cm="1">
        <f t="array" ref="T102">INDEX('GMW - $100 oil'!$A$2:$MC$200,MATCH(1,('GMW - $100 oil'!$MC$2:$MC$200=T$3)*('GMW - $100 oil'!$MB$2:$MB$200=T$4),0),$E102-1973)</f>
        <v>#N/A</v>
      </c>
    </row>
    <row r="103" spans="1:20" x14ac:dyDescent="0.25">
      <c r="A103">
        <v>2004</v>
      </c>
      <c r="B103">
        <f t="shared" si="8"/>
        <v>2004</v>
      </c>
      <c r="C103">
        <f t="shared" si="8"/>
        <v>2003</v>
      </c>
      <c r="D103">
        <f t="shared" si="8"/>
        <v>2003</v>
      </c>
      <c r="E103">
        <f t="shared" si="6"/>
        <v>2076</v>
      </c>
      <c r="F103" cm="1">
        <f t="array" ref="F103">INDEX('GMW - $100 oil'!$A$2:$MC$200,MATCH(1,('GMW - $100 oil'!$MC$2:$MC$200=F$3)*('GMW - $100 oil'!$MB$2:$MB$200=F$4),0),$E103-1973)</f>
        <v>529996</v>
      </c>
      <c r="G103" cm="1">
        <f t="array" ref="G103">INDEX('GMW - $100 oil'!$A$2:$MC$200,MATCH(1,('GMW - $100 oil'!$MC$2:$MC$200=G$3)*('GMW - $100 oil'!$MB$2:$MB$200=G$4),0),$E103-1973)</f>
        <v>322150</v>
      </c>
      <c r="H103" cm="1">
        <f t="array" ref="H103">INDEX('GMW - $100 oil'!$A$2:$MC$200,MATCH(1,('GMW - $100 oil'!$MC$2:$MC$200=H$3)*('GMW - $100 oil'!$MB$2:$MB$200=H$4),0),$E103-1973)</f>
        <v>75.966669999999993</v>
      </c>
      <c r="I103" cm="1">
        <f t="array" ref="I103">INDEX('GMW - $100 oil'!$A$2:$MC$200,MATCH(1,('GMW - $100 oil'!$MC$2:$MC$200=I$3)*('GMW - $100 oil'!$MB$2:$MB$200=I$4),0),$E103-1973)</f>
        <v>3.9038460000000001</v>
      </c>
      <c r="J103" t="e" cm="1">
        <f t="array" ref="J103">INDEX('GMW - $100 oil'!$A$2:$MC$200,MATCH(1,('GMW - $100 oil'!$MC$2:$MC$200=J$3)*('GMW - $100 oil'!$MB$2:$MB$200=J$4),0),$E103-1973)</f>
        <v>#N/A</v>
      </c>
      <c r="K103" t="e" cm="1">
        <f t="array" ref="K103">INDEX('GMW - $100 oil'!$A$2:$MC$200,MATCH(1,('GMW - $100 oil'!$MC$2:$MC$200=K$3)*('GMW - $100 oil'!$MB$2:$MB$200=K$4),0),$E103-1973)</f>
        <v>#N/A</v>
      </c>
      <c r="L103" t="e" cm="1">
        <f t="array" ref="L103">INDEX('GMW - $100 oil'!$A$2:$MC$200,MATCH(1,('GMW - $100 oil'!$MC$2:$MC$200=L$3)*('GMW - $100 oil'!$MB$2:$MB$200=L$4),0),$E103-1973)</f>
        <v>#N/A</v>
      </c>
      <c r="M103" t="e" cm="1">
        <f t="array" ref="M103">INDEX('GMW - $100 oil'!$A$2:$MC$200,MATCH(1,('GMW - $100 oil'!$MC$2:$MC$200=M$3)*('GMW - $100 oil'!$MB$2:$MB$200=M$4),0),$E103-1973)</f>
        <v>#N/A</v>
      </c>
      <c r="N103" t="e" cm="1">
        <f t="array" ref="N103">INDEX('GMW - $100 oil'!$A$2:$MC$200,MATCH(1,('GMW - $100 oil'!$MC$2:$MC$200=N$3)*('GMW - $100 oil'!$MB$2:$MB$200=N$4),0),$E103-1973)</f>
        <v>#N/A</v>
      </c>
      <c r="O103" t="e" cm="1">
        <f t="array" ref="O103">INDEX('GMW - $100 oil'!$A$2:$MC$200,MATCH(1,('GMW - $100 oil'!$MC$2:$MC$200=O$3)*('GMW - $100 oil'!$MB$2:$MB$200=O$4),0),$E103-1973)</f>
        <v>#N/A</v>
      </c>
      <c r="P103" t="e" cm="1">
        <f t="array" ref="P103">INDEX('GMW - $100 oil'!$A$2:$MC$200,MATCH(1,('GMW - $100 oil'!$MC$2:$MC$200=P$3)*('GMW - $100 oil'!$MB$2:$MB$200=P$4),0),$E103-1973)</f>
        <v>#N/A</v>
      </c>
      <c r="Q103" t="e" cm="1">
        <f t="array" ref="Q103">INDEX('GMW - $100 oil'!$A$2:$MC$200,MATCH(1,('GMW - $100 oil'!$MC$2:$MC$200=Q$3)*('GMW - $100 oil'!$MB$2:$MB$200=Q$4),0),$E103-1973)</f>
        <v>#N/A</v>
      </c>
      <c r="R103" t="e" cm="1">
        <f t="array" ref="R103">INDEX('GMW - $100 oil'!$A$2:$MC$200,MATCH(1,('GMW - $100 oil'!$MC$2:$MC$200=R$3)*('GMW - $100 oil'!$MB$2:$MB$200=R$4),0),$E103-1973)</f>
        <v>#N/A</v>
      </c>
      <c r="S103" t="e" cm="1">
        <f t="array" ref="S103">INDEX('GMW - $100 oil'!$A$2:$MC$200,MATCH(1,('GMW - $100 oil'!$MC$2:$MC$200=S$3)*('GMW - $100 oil'!$MB$2:$MB$200=S$4),0),$E103-1973)</f>
        <v>#N/A</v>
      </c>
      <c r="T103" t="e" cm="1">
        <f t="array" ref="T103">INDEX('GMW - $100 oil'!$A$2:$MC$200,MATCH(1,('GMW - $100 oil'!$MC$2:$MC$200=T$3)*('GMW - $100 oil'!$MB$2:$MB$200=T$4),0),$E103-1973)</f>
        <v>#N/A</v>
      </c>
    </row>
    <row r="104" spans="1:20" x14ac:dyDescent="0.25">
      <c r="B104">
        <f t="shared" si="8"/>
        <v>2004</v>
      </c>
      <c r="C104">
        <f t="shared" si="8"/>
        <v>2004</v>
      </c>
      <c r="E104">
        <f t="shared" si="6"/>
        <v>2077</v>
      </c>
      <c r="F104" cm="1">
        <f t="array" ref="F104">INDEX('GMW - $100 oil'!$A$2:$MC$200,MATCH(1,('GMW - $100 oil'!$MC$2:$MC$200=F$3)*('GMW - $100 oil'!$MB$2:$MB$200=F$4),0),$E104-1973)</f>
        <v>532543</v>
      </c>
      <c r="G104" cm="1">
        <f t="array" ref="G104">INDEX('GMW - $100 oil'!$A$2:$MC$200,MATCH(1,('GMW - $100 oil'!$MC$2:$MC$200=G$3)*('GMW - $100 oil'!$MB$2:$MB$200=G$4),0),$E104-1973)</f>
        <v>325157</v>
      </c>
      <c r="H104" cm="1">
        <f t="array" ref="H104">INDEX('GMW - $100 oil'!$A$2:$MC$200,MATCH(1,('GMW - $100 oil'!$MC$2:$MC$200=H$3)*('GMW - $100 oil'!$MB$2:$MB$200=H$4),0),$E104-1973)</f>
        <v>76.533330000000007</v>
      </c>
      <c r="I104" cm="1">
        <f t="array" ref="I104">INDEX('GMW - $100 oil'!$A$2:$MC$200,MATCH(1,('GMW - $100 oil'!$MC$2:$MC$200=I$3)*('GMW - $100 oil'!$MB$2:$MB$200=I$4),0),$E104-1973)</f>
        <v>4.211538</v>
      </c>
      <c r="J104" t="e" cm="1">
        <f t="array" ref="J104">INDEX('GMW - $100 oil'!$A$2:$MC$200,MATCH(1,('GMW - $100 oil'!$MC$2:$MC$200=J$3)*('GMW - $100 oil'!$MB$2:$MB$200=J$4),0),$E104-1973)</f>
        <v>#N/A</v>
      </c>
      <c r="K104" t="e" cm="1">
        <f t="array" ref="K104">INDEX('GMW - $100 oil'!$A$2:$MC$200,MATCH(1,('GMW - $100 oil'!$MC$2:$MC$200=K$3)*('GMW - $100 oil'!$MB$2:$MB$200=K$4),0),$E104-1973)</f>
        <v>#N/A</v>
      </c>
      <c r="L104" t="e" cm="1">
        <f t="array" ref="L104">INDEX('GMW - $100 oil'!$A$2:$MC$200,MATCH(1,('GMW - $100 oil'!$MC$2:$MC$200=L$3)*('GMW - $100 oil'!$MB$2:$MB$200=L$4),0),$E104-1973)</f>
        <v>#N/A</v>
      </c>
      <c r="M104" t="e" cm="1">
        <f t="array" ref="M104">INDEX('GMW - $100 oil'!$A$2:$MC$200,MATCH(1,('GMW - $100 oil'!$MC$2:$MC$200=M$3)*('GMW - $100 oil'!$MB$2:$MB$200=M$4),0),$E104-1973)</f>
        <v>#N/A</v>
      </c>
      <c r="N104" t="e" cm="1">
        <f t="array" ref="N104">INDEX('GMW - $100 oil'!$A$2:$MC$200,MATCH(1,('GMW - $100 oil'!$MC$2:$MC$200=N$3)*('GMW - $100 oil'!$MB$2:$MB$200=N$4),0),$E104-1973)</f>
        <v>#N/A</v>
      </c>
      <c r="O104" t="e" cm="1">
        <f t="array" ref="O104">INDEX('GMW - $100 oil'!$A$2:$MC$200,MATCH(1,('GMW - $100 oil'!$MC$2:$MC$200=O$3)*('GMW - $100 oil'!$MB$2:$MB$200=O$4),0),$E104-1973)</f>
        <v>#N/A</v>
      </c>
      <c r="P104" t="e" cm="1">
        <f t="array" ref="P104">INDEX('GMW - $100 oil'!$A$2:$MC$200,MATCH(1,('GMW - $100 oil'!$MC$2:$MC$200=P$3)*('GMW - $100 oil'!$MB$2:$MB$200=P$4),0),$E104-1973)</f>
        <v>#N/A</v>
      </c>
      <c r="Q104" t="e" cm="1">
        <f t="array" ref="Q104">INDEX('GMW - $100 oil'!$A$2:$MC$200,MATCH(1,('GMW - $100 oil'!$MC$2:$MC$200=Q$3)*('GMW - $100 oil'!$MB$2:$MB$200=Q$4),0),$E104-1973)</f>
        <v>#N/A</v>
      </c>
      <c r="R104" t="e" cm="1">
        <f t="array" ref="R104">INDEX('GMW - $100 oil'!$A$2:$MC$200,MATCH(1,('GMW - $100 oil'!$MC$2:$MC$200=R$3)*('GMW - $100 oil'!$MB$2:$MB$200=R$4),0),$E104-1973)</f>
        <v>#N/A</v>
      </c>
      <c r="S104" t="e" cm="1">
        <f t="array" ref="S104">INDEX('GMW - $100 oil'!$A$2:$MC$200,MATCH(1,('GMW - $100 oil'!$MC$2:$MC$200=S$3)*('GMW - $100 oil'!$MB$2:$MB$200=S$4),0),$E104-1973)</f>
        <v>#N/A</v>
      </c>
      <c r="T104" t="e" cm="1">
        <f t="array" ref="T104">INDEX('GMW - $100 oil'!$A$2:$MC$200,MATCH(1,('GMW - $100 oil'!$MC$2:$MC$200=T$3)*('GMW - $100 oil'!$MB$2:$MB$200=T$4),0),$E104-1973)</f>
        <v>#N/A</v>
      </c>
    </row>
    <row r="105" spans="1:20" x14ac:dyDescent="0.25">
      <c r="B105">
        <f t="shared" si="8"/>
        <v>2004</v>
      </c>
      <c r="C105">
        <f t="shared" si="8"/>
        <v>2004</v>
      </c>
      <c r="E105">
        <f t="shared" si="6"/>
        <v>2078</v>
      </c>
      <c r="F105" cm="1">
        <f t="array" ref="F105">INDEX('GMW - $100 oil'!$A$2:$MC$200,MATCH(1,('GMW - $100 oil'!$MC$2:$MC$200=F$3)*('GMW - $100 oil'!$MB$2:$MB$200=F$4),0),$E105-1973)</f>
        <v>534447</v>
      </c>
      <c r="G105" cm="1">
        <f t="array" ref="G105">INDEX('GMW - $100 oil'!$A$2:$MC$200,MATCH(1,('GMW - $100 oil'!$MC$2:$MC$200=G$3)*('GMW - $100 oil'!$MB$2:$MB$200=G$4),0),$E105-1973)</f>
        <v>326983</v>
      </c>
      <c r="H105" cm="1">
        <f t="array" ref="H105">INDEX('GMW - $100 oil'!$A$2:$MC$200,MATCH(1,('GMW - $100 oil'!$MC$2:$MC$200=H$3)*('GMW - $100 oil'!$MB$2:$MB$200=H$4),0),$E105-1973)</f>
        <v>76.566670000000002</v>
      </c>
      <c r="I105" cm="1">
        <f t="array" ref="I105">INDEX('GMW - $100 oil'!$A$2:$MC$200,MATCH(1,('GMW - $100 oil'!$MC$2:$MC$200=I$3)*('GMW - $100 oil'!$MB$2:$MB$200=I$4),0),$E105-1973)</f>
        <v>4.655303</v>
      </c>
      <c r="J105" t="e" cm="1">
        <f t="array" ref="J105">INDEX('GMW - $100 oil'!$A$2:$MC$200,MATCH(1,('GMW - $100 oil'!$MC$2:$MC$200=J$3)*('GMW - $100 oil'!$MB$2:$MB$200=J$4),0),$E105-1973)</f>
        <v>#N/A</v>
      </c>
      <c r="K105" t="e" cm="1">
        <f t="array" ref="K105">INDEX('GMW - $100 oil'!$A$2:$MC$200,MATCH(1,('GMW - $100 oil'!$MC$2:$MC$200=K$3)*('GMW - $100 oil'!$MB$2:$MB$200=K$4),0),$E105-1973)</f>
        <v>#N/A</v>
      </c>
      <c r="L105" t="e" cm="1">
        <f t="array" ref="L105">INDEX('GMW - $100 oil'!$A$2:$MC$200,MATCH(1,('GMW - $100 oil'!$MC$2:$MC$200=L$3)*('GMW - $100 oil'!$MB$2:$MB$200=L$4),0),$E105-1973)</f>
        <v>#N/A</v>
      </c>
      <c r="M105" t="e" cm="1">
        <f t="array" ref="M105">INDEX('GMW - $100 oil'!$A$2:$MC$200,MATCH(1,('GMW - $100 oil'!$MC$2:$MC$200=M$3)*('GMW - $100 oil'!$MB$2:$MB$200=M$4),0),$E105-1973)</f>
        <v>#N/A</v>
      </c>
      <c r="N105" t="e" cm="1">
        <f t="array" ref="N105">INDEX('GMW - $100 oil'!$A$2:$MC$200,MATCH(1,('GMW - $100 oil'!$MC$2:$MC$200=N$3)*('GMW - $100 oil'!$MB$2:$MB$200=N$4),0),$E105-1973)</f>
        <v>#N/A</v>
      </c>
      <c r="O105" t="e" cm="1">
        <f t="array" ref="O105">INDEX('GMW - $100 oil'!$A$2:$MC$200,MATCH(1,('GMW - $100 oil'!$MC$2:$MC$200=O$3)*('GMW - $100 oil'!$MB$2:$MB$200=O$4),0),$E105-1973)</f>
        <v>#N/A</v>
      </c>
      <c r="P105" t="e" cm="1">
        <f t="array" ref="P105">INDEX('GMW - $100 oil'!$A$2:$MC$200,MATCH(1,('GMW - $100 oil'!$MC$2:$MC$200=P$3)*('GMW - $100 oil'!$MB$2:$MB$200=P$4),0),$E105-1973)</f>
        <v>#N/A</v>
      </c>
      <c r="Q105" t="e" cm="1">
        <f t="array" ref="Q105">INDEX('GMW - $100 oil'!$A$2:$MC$200,MATCH(1,('GMW - $100 oil'!$MC$2:$MC$200=Q$3)*('GMW - $100 oil'!$MB$2:$MB$200=Q$4),0),$E105-1973)</f>
        <v>#N/A</v>
      </c>
      <c r="R105" t="e" cm="1">
        <f t="array" ref="R105">INDEX('GMW - $100 oil'!$A$2:$MC$200,MATCH(1,('GMW - $100 oil'!$MC$2:$MC$200=R$3)*('GMW - $100 oil'!$MB$2:$MB$200=R$4),0),$E105-1973)</f>
        <v>#N/A</v>
      </c>
      <c r="S105" t="e" cm="1">
        <f t="array" ref="S105">INDEX('GMW - $100 oil'!$A$2:$MC$200,MATCH(1,('GMW - $100 oil'!$MC$2:$MC$200=S$3)*('GMW - $100 oil'!$MB$2:$MB$200=S$4),0),$E105-1973)</f>
        <v>#N/A</v>
      </c>
      <c r="T105" t="e" cm="1">
        <f t="array" ref="T105">INDEX('GMW - $100 oil'!$A$2:$MC$200,MATCH(1,('GMW - $100 oil'!$MC$2:$MC$200=T$3)*('GMW - $100 oil'!$MB$2:$MB$200=T$4),0),$E105-1973)</f>
        <v>#N/A</v>
      </c>
    </row>
    <row r="106" spans="1:20" x14ac:dyDescent="0.25">
      <c r="B106">
        <f t="shared" si="8"/>
        <v>2004</v>
      </c>
      <c r="C106">
        <f t="shared" si="8"/>
        <v>2004</v>
      </c>
      <c r="E106">
        <f t="shared" si="6"/>
        <v>2079</v>
      </c>
      <c r="F106" cm="1">
        <f t="array" ref="F106">INDEX('GMW - $100 oil'!$A$2:$MC$200,MATCH(1,('GMW - $100 oil'!$MC$2:$MC$200=F$3)*('GMW - $100 oil'!$MB$2:$MB$200=F$4),0),$E106-1973)</f>
        <v>536886</v>
      </c>
      <c r="G106" cm="1">
        <f t="array" ref="G106">INDEX('GMW - $100 oil'!$A$2:$MC$200,MATCH(1,('GMW - $100 oil'!$MC$2:$MC$200=G$3)*('GMW - $100 oil'!$MB$2:$MB$200=G$4),0),$E106-1973)</f>
        <v>329186</v>
      </c>
      <c r="H106" cm="1">
        <f t="array" ref="H106">INDEX('GMW - $100 oil'!$A$2:$MC$200,MATCH(1,('GMW - $100 oil'!$MC$2:$MC$200=H$3)*('GMW - $100 oil'!$MB$2:$MB$200=H$4),0),$E106-1973)</f>
        <v>77.099999999999994</v>
      </c>
      <c r="I106" cm="1">
        <f t="array" ref="I106">INDEX('GMW - $100 oil'!$A$2:$MC$200,MATCH(1,('GMW - $100 oil'!$MC$2:$MC$200=I$3)*('GMW - $100 oil'!$MB$2:$MB$200=I$4),0),$E106-1973)</f>
        <v>4.75</v>
      </c>
      <c r="J106" t="e" cm="1">
        <f t="array" ref="J106">INDEX('GMW - $100 oil'!$A$2:$MC$200,MATCH(1,('GMW - $100 oil'!$MC$2:$MC$200=J$3)*('GMW - $100 oil'!$MB$2:$MB$200=J$4),0),$E106-1973)</f>
        <v>#N/A</v>
      </c>
      <c r="K106" t="e" cm="1">
        <f t="array" ref="K106">INDEX('GMW - $100 oil'!$A$2:$MC$200,MATCH(1,('GMW - $100 oil'!$MC$2:$MC$200=K$3)*('GMW - $100 oil'!$MB$2:$MB$200=K$4),0),$E106-1973)</f>
        <v>#N/A</v>
      </c>
      <c r="L106" t="e" cm="1">
        <f t="array" ref="L106">INDEX('GMW - $100 oil'!$A$2:$MC$200,MATCH(1,('GMW - $100 oil'!$MC$2:$MC$200=L$3)*('GMW - $100 oil'!$MB$2:$MB$200=L$4),0),$E106-1973)</f>
        <v>#N/A</v>
      </c>
      <c r="M106" t="e" cm="1">
        <f t="array" ref="M106">INDEX('GMW - $100 oil'!$A$2:$MC$200,MATCH(1,('GMW - $100 oil'!$MC$2:$MC$200=M$3)*('GMW - $100 oil'!$MB$2:$MB$200=M$4),0),$E106-1973)</f>
        <v>#N/A</v>
      </c>
      <c r="N106" t="e" cm="1">
        <f t="array" ref="N106">INDEX('GMW - $100 oil'!$A$2:$MC$200,MATCH(1,('GMW - $100 oil'!$MC$2:$MC$200=N$3)*('GMW - $100 oil'!$MB$2:$MB$200=N$4),0),$E106-1973)</f>
        <v>#N/A</v>
      </c>
      <c r="O106" t="e" cm="1">
        <f t="array" ref="O106">INDEX('GMW - $100 oil'!$A$2:$MC$200,MATCH(1,('GMW - $100 oil'!$MC$2:$MC$200=O$3)*('GMW - $100 oil'!$MB$2:$MB$200=O$4),0),$E106-1973)</f>
        <v>#N/A</v>
      </c>
      <c r="P106" t="e" cm="1">
        <f t="array" ref="P106">INDEX('GMW - $100 oil'!$A$2:$MC$200,MATCH(1,('GMW - $100 oil'!$MC$2:$MC$200=P$3)*('GMW - $100 oil'!$MB$2:$MB$200=P$4),0),$E106-1973)</f>
        <v>#N/A</v>
      </c>
      <c r="Q106" t="e" cm="1">
        <f t="array" ref="Q106">INDEX('GMW - $100 oil'!$A$2:$MC$200,MATCH(1,('GMW - $100 oil'!$MC$2:$MC$200=Q$3)*('GMW - $100 oil'!$MB$2:$MB$200=Q$4),0),$E106-1973)</f>
        <v>#N/A</v>
      </c>
      <c r="R106" t="e" cm="1">
        <f t="array" ref="R106">INDEX('GMW - $100 oil'!$A$2:$MC$200,MATCH(1,('GMW - $100 oil'!$MC$2:$MC$200=R$3)*('GMW - $100 oil'!$MB$2:$MB$200=R$4),0),$E106-1973)</f>
        <v>#N/A</v>
      </c>
      <c r="S106" t="e" cm="1">
        <f t="array" ref="S106">INDEX('GMW - $100 oil'!$A$2:$MC$200,MATCH(1,('GMW - $100 oil'!$MC$2:$MC$200=S$3)*('GMW - $100 oil'!$MB$2:$MB$200=S$4),0),$E106-1973)</f>
        <v>#N/A</v>
      </c>
      <c r="T106" t="e" cm="1">
        <f t="array" ref="T106">INDEX('GMW - $100 oil'!$A$2:$MC$200,MATCH(1,('GMW - $100 oil'!$MC$2:$MC$200=T$3)*('GMW - $100 oil'!$MB$2:$MB$200=T$4),0),$E106-1973)</f>
        <v>#N/A</v>
      </c>
    </row>
    <row r="107" spans="1:20" x14ac:dyDescent="0.25">
      <c r="A107">
        <v>2005</v>
      </c>
      <c r="B107">
        <f t="shared" si="8"/>
        <v>2005</v>
      </c>
      <c r="C107">
        <f t="shared" si="8"/>
        <v>2004</v>
      </c>
      <c r="D107">
        <f t="shared" si="8"/>
        <v>2004</v>
      </c>
      <c r="E107">
        <f t="shared" si="6"/>
        <v>2080</v>
      </c>
      <c r="F107" cm="1">
        <f t="array" ref="F107">INDEX('GMW - $100 oil'!$A$2:$MC$200,MATCH(1,('GMW - $100 oil'!$MC$2:$MC$200=F$3)*('GMW - $100 oil'!$MB$2:$MB$200=F$4),0),$E107-1973)</f>
        <v>541028</v>
      </c>
      <c r="G107" cm="1">
        <f t="array" ref="G107">INDEX('GMW - $100 oil'!$A$2:$MC$200,MATCH(1,('GMW - $100 oil'!$MC$2:$MC$200=G$3)*('GMW - $100 oil'!$MB$2:$MB$200=G$4),0),$E107-1973)</f>
        <v>332385</v>
      </c>
      <c r="H107" cm="1">
        <f t="array" ref="H107">INDEX('GMW - $100 oil'!$A$2:$MC$200,MATCH(1,('GMW - $100 oil'!$MC$2:$MC$200=H$3)*('GMW - $100 oil'!$MB$2:$MB$200=H$4),0),$E107-1973)</f>
        <v>77.233329999999995</v>
      </c>
      <c r="I107" cm="1">
        <f t="array" ref="I107">INDEX('GMW - $100 oil'!$A$2:$MC$200,MATCH(1,('GMW - $100 oil'!$MC$2:$MC$200=I$3)*('GMW - $100 oil'!$MB$2:$MB$200=I$4),0),$E107-1973)</f>
        <v>4.75</v>
      </c>
      <c r="J107" t="e" cm="1">
        <f t="array" ref="J107">INDEX('GMW - $100 oil'!$A$2:$MC$200,MATCH(1,('GMW - $100 oil'!$MC$2:$MC$200=J$3)*('GMW - $100 oil'!$MB$2:$MB$200=J$4),0),$E107-1973)</f>
        <v>#N/A</v>
      </c>
      <c r="K107" t="e" cm="1">
        <f t="array" ref="K107">INDEX('GMW - $100 oil'!$A$2:$MC$200,MATCH(1,('GMW - $100 oil'!$MC$2:$MC$200=K$3)*('GMW - $100 oil'!$MB$2:$MB$200=K$4),0),$E107-1973)</f>
        <v>#N/A</v>
      </c>
      <c r="L107" t="e" cm="1">
        <f t="array" ref="L107">INDEX('GMW - $100 oil'!$A$2:$MC$200,MATCH(1,('GMW - $100 oil'!$MC$2:$MC$200=L$3)*('GMW - $100 oil'!$MB$2:$MB$200=L$4),0),$E107-1973)</f>
        <v>#N/A</v>
      </c>
      <c r="M107" t="e" cm="1">
        <f t="array" ref="M107">INDEX('GMW - $100 oil'!$A$2:$MC$200,MATCH(1,('GMW - $100 oil'!$MC$2:$MC$200=M$3)*('GMW - $100 oil'!$MB$2:$MB$200=M$4),0),$E107-1973)</f>
        <v>#N/A</v>
      </c>
      <c r="N107" t="e" cm="1">
        <f t="array" ref="N107">INDEX('GMW - $100 oil'!$A$2:$MC$200,MATCH(1,('GMW - $100 oil'!$MC$2:$MC$200=N$3)*('GMW - $100 oil'!$MB$2:$MB$200=N$4),0),$E107-1973)</f>
        <v>#N/A</v>
      </c>
      <c r="O107" t="e" cm="1">
        <f t="array" ref="O107">INDEX('GMW - $100 oil'!$A$2:$MC$200,MATCH(1,('GMW - $100 oil'!$MC$2:$MC$200=O$3)*('GMW - $100 oil'!$MB$2:$MB$200=O$4),0),$E107-1973)</f>
        <v>#N/A</v>
      </c>
      <c r="P107" t="e" cm="1">
        <f t="array" ref="P107">INDEX('GMW - $100 oil'!$A$2:$MC$200,MATCH(1,('GMW - $100 oil'!$MC$2:$MC$200=P$3)*('GMW - $100 oil'!$MB$2:$MB$200=P$4),0),$E107-1973)</f>
        <v>#N/A</v>
      </c>
      <c r="Q107" t="e" cm="1">
        <f t="array" ref="Q107">INDEX('GMW - $100 oil'!$A$2:$MC$200,MATCH(1,('GMW - $100 oil'!$MC$2:$MC$200=Q$3)*('GMW - $100 oil'!$MB$2:$MB$200=Q$4),0),$E107-1973)</f>
        <v>#N/A</v>
      </c>
      <c r="R107" t="e" cm="1">
        <f t="array" ref="R107">INDEX('GMW - $100 oil'!$A$2:$MC$200,MATCH(1,('GMW - $100 oil'!$MC$2:$MC$200=R$3)*('GMW - $100 oil'!$MB$2:$MB$200=R$4),0),$E107-1973)</f>
        <v>#N/A</v>
      </c>
      <c r="S107" t="e" cm="1">
        <f t="array" ref="S107">INDEX('GMW - $100 oil'!$A$2:$MC$200,MATCH(1,('GMW - $100 oil'!$MC$2:$MC$200=S$3)*('GMW - $100 oil'!$MB$2:$MB$200=S$4),0),$E107-1973)</f>
        <v>#N/A</v>
      </c>
      <c r="T107" t="e" cm="1">
        <f t="array" ref="T107">INDEX('GMW - $100 oil'!$A$2:$MC$200,MATCH(1,('GMW - $100 oil'!$MC$2:$MC$200=T$3)*('GMW - $100 oil'!$MB$2:$MB$200=T$4),0),$E107-1973)</f>
        <v>#N/A</v>
      </c>
    </row>
    <row r="108" spans="1:20" x14ac:dyDescent="0.25">
      <c r="B108">
        <f t="shared" ref="B108:D123" si="9">+B104+1</f>
        <v>2005</v>
      </c>
      <c r="C108">
        <f t="shared" si="9"/>
        <v>2005</v>
      </c>
      <c r="E108">
        <f t="shared" si="6"/>
        <v>2081</v>
      </c>
      <c r="F108" cm="1">
        <f t="array" ref="F108">INDEX('GMW - $100 oil'!$A$2:$MC$200,MATCH(1,('GMW - $100 oil'!$MC$2:$MC$200=F$3)*('GMW - $100 oil'!$MB$2:$MB$200=F$4),0),$E108-1973)</f>
        <v>545530</v>
      </c>
      <c r="G108" cm="1">
        <f t="array" ref="G108">INDEX('GMW - $100 oil'!$A$2:$MC$200,MATCH(1,('GMW - $100 oil'!$MC$2:$MC$200=G$3)*('GMW - $100 oil'!$MB$2:$MB$200=G$4),0),$E108-1973)</f>
        <v>333357</v>
      </c>
      <c r="H108" cm="1">
        <f t="array" ref="H108">INDEX('GMW - $100 oil'!$A$2:$MC$200,MATCH(1,('GMW - $100 oil'!$MC$2:$MC$200=H$3)*('GMW - $100 oil'!$MB$2:$MB$200=H$4),0),$E108-1973)</f>
        <v>78</v>
      </c>
      <c r="I108" cm="1">
        <f t="array" ref="I108">INDEX('GMW - $100 oil'!$A$2:$MC$200,MATCH(1,('GMW - $100 oil'!$MC$2:$MC$200=I$3)*('GMW - $100 oil'!$MB$2:$MB$200=I$4),0),$E108-1973)</f>
        <v>4.75</v>
      </c>
      <c r="J108" t="e" cm="1">
        <f t="array" ref="J108">INDEX('GMW - $100 oil'!$A$2:$MC$200,MATCH(1,('GMW - $100 oil'!$MC$2:$MC$200=J$3)*('GMW - $100 oil'!$MB$2:$MB$200=J$4),0),$E108-1973)</f>
        <v>#N/A</v>
      </c>
      <c r="K108" t="e" cm="1">
        <f t="array" ref="K108">INDEX('GMW - $100 oil'!$A$2:$MC$200,MATCH(1,('GMW - $100 oil'!$MC$2:$MC$200=K$3)*('GMW - $100 oil'!$MB$2:$MB$200=K$4),0),$E108-1973)</f>
        <v>#N/A</v>
      </c>
      <c r="L108" t="e" cm="1">
        <f t="array" ref="L108">INDEX('GMW - $100 oil'!$A$2:$MC$200,MATCH(1,('GMW - $100 oil'!$MC$2:$MC$200=L$3)*('GMW - $100 oil'!$MB$2:$MB$200=L$4),0),$E108-1973)</f>
        <v>#N/A</v>
      </c>
      <c r="M108" t="e" cm="1">
        <f t="array" ref="M108">INDEX('GMW - $100 oil'!$A$2:$MC$200,MATCH(1,('GMW - $100 oil'!$MC$2:$MC$200=M$3)*('GMW - $100 oil'!$MB$2:$MB$200=M$4),0),$E108-1973)</f>
        <v>#N/A</v>
      </c>
      <c r="N108" t="e" cm="1">
        <f t="array" ref="N108">INDEX('GMW - $100 oil'!$A$2:$MC$200,MATCH(1,('GMW - $100 oil'!$MC$2:$MC$200=N$3)*('GMW - $100 oil'!$MB$2:$MB$200=N$4),0),$E108-1973)</f>
        <v>#N/A</v>
      </c>
      <c r="O108" t="e" cm="1">
        <f t="array" ref="O108">INDEX('GMW - $100 oil'!$A$2:$MC$200,MATCH(1,('GMW - $100 oil'!$MC$2:$MC$200=O$3)*('GMW - $100 oil'!$MB$2:$MB$200=O$4),0),$E108-1973)</f>
        <v>#N/A</v>
      </c>
      <c r="P108" t="e" cm="1">
        <f t="array" ref="P108">INDEX('GMW - $100 oil'!$A$2:$MC$200,MATCH(1,('GMW - $100 oil'!$MC$2:$MC$200=P$3)*('GMW - $100 oil'!$MB$2:$MB$200=P$4),0),$E108-1973)</f>
        <v>#N/A</v>
      </c>
      <c r="Q108" t="e" cm="1">
        <f t="array" ref="Q108">INDEX('GMW - $100 oil'!$A$2:$MC$200,MATCH(1,('GMW - $100 oil'!$MC$2:$MC$200=Q$3)*('GMW - $100 oil'!$MB$2:$MB$200=Q$4),0),$E108-1973)</f>
        <v>#N/A</v>
      </c>
      <c r="R108" t="e" cm="1">
        <f t="array" ref="R108">INDEX('GMW - $100 oil'!$A$2:$MC$200,MATCH(1,('GMW - $100 oil'!$MC$2:$MC$200=R$3)*('GMW - $100 oil'!$MB$2:$MB$200=R$4),0),$E108-1973)</f>
        <v>#N/A</v>
      </c>
      <c r="S108" t="e" cm="1">
        <f t="array" ref="S108">INDEX('GMW - $100 oil'!$A$2:$MC$200,MATCH(1,('GMW - $100 oil'!$MC$2:$MC$200=S$3)*('GMW - $100 oil'!$MB$2:$MB$200=S$4),0),$E108-1973)</f>
        <v>#N/A</v>
      </c>
      <c r="T108" t="e" cm="1">
        <f t="array" ref="T108">INDEX('GMW - $100 oil'!$A$2:$MC$200,MATCH(1,('GMW - $100 oil'!$MC$2:$MC$200=T$3)*('GMW - $100 oil'!$MB$2:$MB$200=T$4),0),$E108-1973)</f>
        <v>#N/A</v>
      </c>
    </row>
    <row r="109" spans="1:20" x14ac:dyDescent="0.25">
      <c r="B109">
        <f t="shared" si="9"/>
        <v>2005</v>
      </c>
      <c r="C109">
        <f t="shared" si="9"/>
        <v>2005</v>
      </c>
      <c r="E109">
        <f t="shared" si="6"/>
        <v>2082</v>
      </c>
      <c r="F109" cm="1">
        <f t="array" ref="F109">INDEX('GMW - $100 oil'!$A$2:$MC$200,MATCH(1,('GMW - $100 oil'!$MC$2:$MC$200=F$3)*('GMW - $100 oil'!$MB$2:$MB$200=F$4),0),$E109-1973)</f>
        <v>550552</v>
      </c>
      <c r="G109" cm="1">
        <f t="array" ref="G109">INDEX('GMW - $100 oil'!$A$2:$MC$200,MATCH(1,('GMW - $100 oil'!$MC$2:$MC$200=G$3)*('GMW - $100 oil'!$MB$2:$MB$200=G$4),0),$E109-1973)</f>
        <v>335900</v>
      </c>
      <c r="H109" cm="1">
        <f t="array" ref="H109">INDEX('GMW - $100 oil'!$A$2:$MC$200,MATCH(1,('GMW - $100 oil'!$MC$2:$MC$200=H$3)*('GMW - $100 oil'!$MB$2:$MB$200=H$4),0),$E109-1973)</f>
        <v>78.400000000000006</v>
      </c>
      <c r="I109" cm="1">
        <f t="array" ref="I109">INDEX('GMW - $100 oil'!$A$2:$MC$200,MATCH(1,('GMW - $100 oil'!$MC$2:$MC$200=I$3)*('GMW - $100 oil'!$MB$2:$MB$200=I$4),0),$E109-1973)</f>
        <v>4.5909089999999999</v>
      </c>
      <c r="J109" t="e" cm="1">
        <f t="array" ref="J109">INDEX('GMW - $100 oil'!$A$2:$MC$200,MATCH(1,('GMW - $100 oil'!$MC$2:$MC$200=J$3)*('GMW - $100 oil'!$MB$2:$MB$200=J$4),0),$E109-1973)</f>
        <v>#N/A</v>
      </c>
      <c r="K109" t="e" cm="1">
        <f t="array" ref="K109">INDEX('GMW - $100 oil'!$A$2:$MC$200,MATCH(1,('GMW - $100 oil'!$MC$2:$MC$200=K$3)*('GMW - $100 oil'!$MB$2:$MB$200=K$4),0),$E109-1973)</f>
        <v>#N/A</v>
      </c>
      <c r="L109" t="e" cm="1">
        <f t="array" ref="L109">INDEX('GMW - $100 oil'!$A$2:$MC$200,MATCH(1,('GMW - $100 oil'!$MC$2:$MC$200=L$3)*('GMW - $100 oil'!$MB$2:$MB$200=L$4),0),$E109-1973)</f>
        <v>#N/A</v>
      </c>
      <c r="M109" t="e" cm="1">
        <f t="array" ref="M109">INDEX('GMW - $100 oil'!$A$2:$MC$200,MATCH(1,('GMW - $100 oil'!$MC$2:$MC$200=M$3)*('GMW - $100 oil'!$MB$2:$MB$200=M$4),0),$E109-1973)</f>
        <v>#N/A</v>
      </c>
      <c r="N109" t="e" cm="1">
        <f t="array" ref="N109">INDEX('GMW - $100 oil'!$A$2:$MC$200,MATCH(1,('GMW - $100 oil'!$MC$2:$MC$200=N$3)*('GMW - $100 oil'!$MB$2:$MB$200=N$4),0),$E109-1973)</f>
        <v>#N/A</v>
      </c>
      <c r="O109" t="e" cm="1">
        <f t="array" ref="O109">INDEX('GMW - $100 oil'!$A$2:$MC$200,MATCH(1,('GMW - $100 oil'!$MC$2:$MC$200=O$3)*('GMW - $100 oil'!$MB$2:$MB$200=O$4),0),$E109-1973)</f>
        <v>#N/A</v>
      </c>
      <c r="P109" t="e" cm="1">
        <f t="array" ref="P109">INDEX('GMW - $100 oil'!$A$2:$MC$200,MATCH(1,('GMW - $100 oil'!$MC$2:$MC$200=P$3)*('GMW - $100 oil'!$MB$2:$MB$200=P$4),0),$E109-1973)</f>
        <v>#N/A</v>
      </c>
      <c r="Q109" t="e" cm="1">
        <f t="array" ref="Q109">INDEX('GMW - $100 oil'!$A$2:$MC$200,MATCH(1,('GMW - $100 oil'!$MC$2:$MC$200=Q$3)*('GMW - $100 oil'!$MB$2:$MB$200=Q$4),0),$E109-1973)</f>
        <v>#N/A</v>
      </c>
      <c r="R109" t="e" cm="1">
        <f t="array" ref="R109">INDEX('GMW - $100 oil'!$A$2:$MC$200,MATCH(1,('GMW - $100 oil'!$MC$2:$MC$200=R$3)*('GMW - $100 oil'!$MB$2:$MB$200=R$4),0),$E109-1973)</f>
        <v>#N/A</v>
      </c>
      <c r="S109" t="e" cm="1">
        <f t="array" ref="S109">INDEX('GMW - $100 oil'!$A$2:$MC$200,MATCH(1,('GMW - $100 oil'!$MC$2:$MC$200=S$3)*('GMW - $100 oil'!$MB$2:$MB$200=S$4),0),$E109-1973)</f>
        <v>#N/A</v>
      </c>
      <c r="T109" t="e" cm="1">
        <f t="array" ref="T109">INDEX('GMW - $100 oil'!$A$2:$MC$200,MATCH(1,('GMW - $100 oil'!$MC$2:$MC$200=T$3)*('GMW - $100 oil'!$MB$2:$MB$200=T$4),0),$E109-1973)</f>
        <v>#N/A</v>
      </c>
    </row>
    <row r="110" spans="1:20" x14ac:dyDescent="0.25">
      <c r="B110">
        <f t="shared" si="9"/>
        <v>2005</v>
      </c>
      <c r="C110">
        <f t="shared" si="9"/>
        <v>2005</v>
      </c>
      <c r="E110">
        <f t="shared" si="6"/>
        <v>2083</v>
      </c>
      <c r="F110" cm="1">
        <f t="array" ref="F110">INDEX('GMW - $100 oil'!$A$2:$MC$200,MATCH(1,('GMW - $100 oil'!$MC$2:$MC$200=F$3)*('GMW - $100 oil'!$MB$2:$MB$200=F$4),0),$E110-1973)</f>
        <v>556311</v>
      </c>
      <c r="G110" cm="1">
        <f t="array" ref="G110">INDEX('GMW - $100 oil'!$A$2:$MC$200,MATCH(1,('GMW - $100 oil'!$MC$2:$MC$200=G$3)*('GMW - $100 oil'!$MB$2:$MB$200=G$4),0),$E110-1973)</f>
        <v>336830</v>
      </c>
      <c r="H110" cm="1">
        <f t="array" ref="H110">INDEX('GMW - $100 oil'!$A$2:$MC$200,MATCH(1,('GMW - $100 oil'!$MC$2:$MC$200=H$3)*('GMW - $100 oil'!$MB$2:$MB$200=H$4),0),$E110-1973)</f>
        <v>78.766670000000005</v>
      </c>
      <c r="I110" cm="1">
        <f t="array" ref="I110">INDEX('GMW - $100 oil'!$A$2:$MC$200,MATCH(1,('GMW - $100 oil'!$MC$2:$MC$200=I$3)*('GMW - $100 oil'!$MB$2:$MB$200=I$4),0),$E110-1973)</f>
        <v>4.5</v>
      </c>
      <c r="J110" t="e" cm="1">
        <f t="array" ref="J110">INDEX('GMW - $100 oil'!$A$2:$MC$200,MATCH(1,('GMW - $100 oil'!$MC$2:$MC$200=J$3)*('GMW - $100 oil'!$MB$2:$MB$200=J$4),0),$E110-1973)</f>
        <v>#N/A</v>
      </c>
      <c r="K110" t="e" cm="1">
        <f t="array" ref="K110">INDEX('GMW - $100 oil'!$A$2:$MC$200,MATCH(1,('GMW - $100 oil'!$MC$2:$MC$200=K$3)*('GMW - $100 oil'!$MB$2:$MB$200=K$4),0),$E110-1973)</f>
        <v>#N/A</v>
      </c>
      <c r="L110" t="e" cm="1">
        <f t="array" ref="L110">INDEX('GMW - $100 oil'!$A$2:$MC$200,MATCH(1,('GMW - $100 oil'!$MC$2:$MC$200=L$3)*('GMW - $100 oil'!$MB$2:$MB$200=L$4),0),$E110-1973)</f>
        <v>#N/A</v>
      </c>
      <c r="M110" t="e" cm="1">
        <f t="array" ref="M110">INDEX('GMW - $100 oil'!$A$2:$MC$200,MATCH(1,('GMW - $100 oil'!$MC$2:$MC$200=M$3)*('GMW - $100 oil'!$MB$2:$MB$200=M$4),0),$E110-1973)</f>
        <v>#N/A</v>
      </c>
      <c r="N110" t="e" cm="1">
        <f t="array" ref="N110">INDEX('GMW - $100 oil'!$A$2:$MC$200,MATCH(1,('GMW - $100 oil'!$MC$2:$MC$200=N$3)*('GMW - $100 oil'!$MB$2:$MB$200=N$4),0),$E110-1973)</f>
        <v>#N/A</v>
      </c>
      <c r="O110" t="e" cm="1">
        <f t="array" ref="O110">INDEX('GMW - $100 oil'!$A$2:$MC$200,MATCH(1,('GMW - $100 oil'!$MC$2:$MC$200=O$3)*('GMW - $100 oil'!$MB$2:$MB$200=O$4),0),$E110-1973)</f>
        <v>#N/A</v>
      </c>
      <c r="P110" t="e" cm="1">
        <f t="array" ref="P110">INDEX('GMW - $100 oil'!$A$2:$MC$200,MATCH(1,('GMW - $100 oil'!$MC$2:$MC$200=P$3)*('GMW - $100 oil'!$MB$2:$MB$200=P$4),0),$E110-1973)</f>
        <v>#N/A</v>
      </c>
      <c r="Q110" t="e" cm="1">
        <f t="array" ref="Q110">INDEX('GMW - $100 oil'!$A$2:$MC$200,MATCH(1,('GMW - $100 oil'!$MC$2:$MC$200=Q$3)*('GMW - $100 oil'!$MB$2:$MB$200=Q$4),0),$E110-1973)</f>
        <v>#N/A</v>
      </c>
      <c r="R110" t="e" cm="1">
        <f t="array" ref="R110">INDEX('GMW - $100 oil'!$A$2:$MC$200,MATCH(1,('GMW - $100 oil'!$MC$2:$MC$200=R$3)*('GMW - $100 oil'!$MB$2:$MB$200=R$4),0),$E110-1973)</f>
        <v>#N/A</v>
      </c>
      <c r="S110" t="e" cm="1">
        <f t="array" ref="S110">INDEX('GMW - $100 oil'!$A$2:$MC$200,MATCH(1,('GMW - $100 oil'!$MC$2:$MC$200=S$3)*('GMW - $100 oil'!$MB$2:$MB$200=S$4),0),$E110-1973)</f>
        <v>#N/A</v>
      </c>
      <c r="T110" t="e" cm="1">
        <f t="array" ref="T110">INDEX('GMW - $100 oil'!$A$2:$MC$200,MATCH(1,('GMW - $100 oil'!$MC$2:$MC$200=T$3)*('GMW - $100 oil'!$MB$2:$MB$200=T$4),0),$E110-1973)</f>
        <v>#N/A</v>
      </c>
    </row>
    <row r="111" spans="1:20" x14ac:dyDescent="0.25">
      <c r="A111">
        <v>2006</v>
      </c>
      <c r="B111">
        <f t="shared" si="9"/>
        <v>2006</v>
      </c>
      <c r="C111">
        <f t="shared" si="9"/>
        <v>2005</v>
      </c>
      <c r="D111">
        <f t="shared" si="9"/>
        <v>2005</v>
      </c>
      <c r="E111">
        <f t="shared" si="6"/>
        <v>2084</v>
      </c>
      <c r="F111" cm="1">
        <f t="array" ref="F111">INDEX('GMW - $100 oil'!$A$2:$MC$200,MATCH(1,('GMW - $100 oil'!$MC$2:$MC$200=F$3)*('GMW - $100 oil'!$MB$2:$MB$200=F$4),0),$E111-1973)</f>
        <v>558314</v>
      </c>
      <c r="G111" cm="1">
        <f t="array" ref="G111">INDEX('GMW - $100 oil'!$A$2:$MC$200,MATCH(1,('GMW - $100 oil'!$MC$2:$MC$200=G$3)*('GMW - $100 oil'!$MB$2:$MB$200=G$4),0),$E111-1973)</f>
        <v>335359</v>
      </c>
      <c r="H111" cm="1">
        <f t="array" ref="H111">INDEX('GMW - $100 oil'!$A$2:$MC$200,MATCH(1,('GMW - $100 oil'!$MC$2:$MC$200=H$3)*('GMW - $100 oil'!$MB$2:$MB$200=H$4),0),$E111-1973)</f>
        <v>78.733329999999995</v>
      </c>
      <c r="I111" cm="1">
        <f t="array" ref="I111">INDEX('GMW - $100 oil'!$A$2:$MC$200,MATCH(1,('GMW - $100 oil'!$MC$2:$MC$200=I$3)*('GMW - $100 oil'!$MB$2:$MB$200=I$4),0),$E111-1973)</f>
        <v>4.5</v>
      </c>
      <c r="J111" t="e" cm="1">
        <f t="array" ref="J111">INDEX('GMW - $100 oil'!$A$2:$MC$200,MATCH(1,('GMW - $100 oil'!$MC$2:$MC$200=J$3)*('GMW - $100 oil'!$MB$2:$MB$200=J$4),0),$E111-1973)</f>
        <v>#N/A</v>
      </c>
      <c r="K111" t="e" cm="1">
        <f t="array" ref="K111">INDEX('GMW - $100 oil'!$A$2:$MC$200,MATCH(1,('GMW - $100 oil'!$MC$2:$MC$200=K$3)*('GMW - $100 oil'!$MB$2:$MB$200=K$4),0),$E111-1973)</f>
        <v>#N/A</v>
      </c>
      <c r="L111" t="e" cm="1">
        <f t="array" ref="L111">INDEX('GMW - $100 oil'!$A$2:$MC$200,MATCH(1,('GMW - $100 oil'!$MC$2:$MC$200=L$3)*('GMW - $100 oil'!$MB$2:$MB$200=L$4),0),$E111-1973)</f>
        <v>#N/A</v>
      </c>
      <c r="M111" t="e" cm="1">
        <f t="array" ref="M111">INDEX('GMW - $100 oil'!$A$2:$MC$200,MATCH(1,('GMW - $100 oil'!$MC$2:$MC$200=M$3)*('GMW - $100 oil'!$MB$2:$MB$200=M$4),0),$E111-1973)</f>
        <v>#N/A</v>
      </c>
      <c r="N111" t="e" cm="1">
        <f t="array" ref="N111">INDEX('GMW - $100 oil'!$A$2:$MC$200,MATCH(1,('GMW - $100 oil'!$MC$2:$MC$200=N$3)*('GMW - $100 oil'!$MB$2:$MB$200=N$4),0),$E111-1973)</f>
        <v>#N/A</v>
      </c>
      <c r="O111" t="e" cm="1">
        <f t="array" ref="O111">INDEX('GMW - $100 oil'!$A$2:$MC$200,MATCH(1,('GMW - $100 oil'!$MC$2:$MC$200=O$3)*('GMW - $100 oil'!$MB$2:$MB$200=O$4),0),$E111-1973)</f>
        <v>#N/A</v>
      </c>
      <c r="P111" t="e" cm="1">
        <f t="array" ref="P111">INDEX('GMW - $100 oil'!$A$2:$MC$200,MATCH(1,('GMW - $100 oil'!$MC$2:$MC$200=P$3)*('GMW - $100 oil'!$MB$2:$MB$200=P$4),0),$E111-1973)</f>
        <v>#N/A</v>
      </c>
      <c r="Q111" t="e" cm="1">
        <f t="array" ref="Q111">INDEX('GMW - $100 oil'!$A$2:$MC$200,MATCH(1,('GMW - $100 oil'!$MC$2:$MC$200=Q$3)*('GMW - $100 oil'!$MB$2:$MB$200=Q$4),0),$E111-1973)</f>
        <v>#N/A</v>
      </c>
      <c r="R111" t="e" cm="1">
        <f t="array" ref="R111">INDEX('GMW - $100 oil'!$A$2:$MC$200,MATCH(1,('GMW - $100 oil'!$MC$2:$MC$200=R$3)*('GMW - $100 oil'!$MB$2:$MB$200=R$4),0),$E111-1973)</f>
        <v>#N/A</v>
      </c>
      <c r="S111" t="e" cm="1">
        <f t="array" ref="S111">INDEX('GMW - $100 oil'!$A$2:$MC$200,MATCH(1,('GMW - $100 oil'!$MC$2:$MC$200=S$3)*('GMW - $100 oil'!$MB$2:$MB$200=S$4),0),$E111-1973)</f>
        <v>#N/A</v>
      </c>
      <c r="T111" t="e" cm="1">
        <f t="array" ref="T111">INDEX('GMW - $100 oil'!$A$2:$MC$200,MATCH(1,('GMW - $100 oil'!$MC$2:$MC$200=T$3)*('GMW - $100 oil'!$MB$2:$MB$200=T$4),0),$E111-1973)</f>
        <v>#N/A</v>
      </c>
    </row>
    <row r="112" spans="1:20" x14ac:dyDescent="0.25">
      <c r="B112">
        <f t="shared" si="9"/>
        <v>2006</v>
      </c>
      <c r="C112">
        <f t="shared" si="9"/>
        <v>2006</v>
      </c>
      <c r="E112">
        <f t="shared" si="6"/>
        <v>2085</v>
      </c>
      <c r="F112" cm="1">
        <f t="array" ref="F112">INDEX('GMW - $100 oil'!$A$2:$MC$200,MATCH(1,('GMW - $100 oil'!$MC$2:$MC$200=F$3)*('GMW - $100 oil'!$MB$2:$MB$200=F$4),0),$E112-1973)</f>
        <v>559795</v>
      </c>
      <c r="G112" cm="1">
        <f t="array" ref="G112">INDEX('GMW - $100 oil'!$A$2:$MC$200,MATCH(1,('GMW - $100 oil'!$MC$2:$MC$200=G$3)*('GMW - $100 oil'!$MB$2:$MB$200=G$4),0),$E112-1973)</f>
        <v>335833</v>
      </c>
      <c r="H112" cm="1">
        <f t="array" ref="H112">INDEX('GMW - $100 oil'!$A$2:$MC$200,MATCH(1,('GMW - $100 oil'!$MC$2:$MC$200=H$3)*('GMW - $100 oil'!$MB$2:$MB$200=H$4),0),$E112-1973)</f>
        <v>79.8</v>
      </c>
      <c r="I112" cm="1">
        <f t="array" ref="I112">INDEX('GMW - $100 oil'!$A$2:$MC$200,MATCH(1,('GMW - $100 oil'!$MC$2:$MC$200=I$3)*('GMW - $100 oil'!$MB$2:$MB$200=I$4),0),$E112-1973)</f>
        <v>4.5</v>
      </c>
      <c r="J112" t="e" cm="1">
        <f t="array" ref="J112">INDEX('GMW - $100 oil'!$A$2:$MC$200,MATCH(1,('GMW - $100 oil'!$MC$2:$MC$200=J$3)*('GMW - $100 oil'!$MB$2:$MB$200=J$4),0),$E112-1973)</f>
        <v>#N/A</v>
      </c>
      <c r="K112" t="e" cm="1">
        <f t="array" ref="K112">INDEX('GMW - $100 oil'!$A$2:$MC$200,MATCH(1,('GMW - $100 oil'!$MC$2:$MC$200=K$3)*('GMW - $100 oil'!$MB$2:$MB$200=K$4),0),$E112-1973)</f>
        <v>#N/A</v>
      </c>
      <c r="L112" t="e" cm="1">
        <f t="array" ref="L112">INDEX('GMW - $100 oil'!$A$2:$MC$200,MATCH(1,('GMW - $100 oil'!$MC$2:$MC$200=L$3)*('GMW - $100 oil'!$MB$2:$MB$200=L$4),0),$E112-1973)</f>
        <v>#N/A</v>
      </c>
      <c r="M112" t="e" cm="1">
        <f t="array" ref="M112">INDEX('GMW - $100 oil'!$A$2:$MC$200,MATCH(1,('GMW - $100 oil'!$MC$2:$MC$200=M$3)*('GMW - $100 oil'!$MB$2:$MB$200=M$4),0),$E112-1973)</f>
        <v>#N/A</v>
      </c>
      <c r="N112" t="e" cm="1">
        <f t="array" ref="N112">INDEX('GMW - $100 oil'!$A$2:$MC$200,MATCH(1,('GMW - $100 oil'!$MC$2:$MC$200=N$3)*('GMW - $100 oil'!$MB$2:$MB$200=N$4),0),$E112-1973)</f>
        <v>#N/A</v>
      </c>
      <c r="O112" t="e" cm="1">
        <f t="array" ref="O112">INDEX('GMW - $100 oil'!$A$2:$MC$200,MATCH(1,('GMW - $100 oil'!$MC$2:$MC$200=O$3)*('GMW - $100 oil'!$MB$2:$MB$200=O$4),0),$E112-1973)</f>
        <v>#N/A</v>
      </c>
      <c r="P112" t="e" cm="1">
        <f t="array" ref="P112">INDEX('GMW - $100 oil'!$A$2:$MC$200,MATCH(1,('GMW - $100 oil'!$MC$2:$MC$200=P$3)*('GMW - $100 oil'!$MB$2:$MB$200=P$4),0),$E112-1973)</f>
        <v>#N/A</v>
      </c>
      <c r="Q112" t="e" cm="1">
        <f t="array" ref="Q112">INDEX('GMW - $100 oil'!$A$2:$MC$200,MATCH(1,('GMW - $100 oil'!$MC$2:$MC$200=Q$3)*('GMW - $100 oil'!$MB$2:$MB$200=Q$4),0),$E112-1973)</f>
        <v>#N/A</v>
      </c>
      <c r="R112" t="e" cm="1">
        <f t="array" ref="R112">INDEX('GMW - $100 oil'!$A$2:$MC$200,MATCH(1,('GMW - $100 oil'!$MC$2:$MC$200=R$3)*('GMW - $100 oil'!$MB$2:$MB$200=R$4),0),$E112-1973)</f>
        <v>#N/A</v>
      </c>
      <c r="S112" t="e" cm="1">
        <f t="array" ref="S112">INDEX('GMW - $100 oil'!$A$2:$MC$200,MATCH(1,('GMW - $100 oil'!$MC$2:$MC$200=S$3)*('GMW - $100 oil'!$MB$2:$MB$200=S$4),0),$E112-1973)</f>
        <v>#N/A</v>
      </c>
      <c r="T112" t="e" cm="1">
        <f t="array" ref="T112">INDEX('GMW - $100 oil'!$A$2:$MC$200,MATCH(1,('GMW - $100 oil'!$MC$2:$MC$200=T$3)*('GMW - $100 oil'!$MB$2:$MB$200=T$4),0),$E112-1973)</f>
        <v>#N/A</v>
      </c>
    </row>
    <row r="113" spans="1:20" x14ac:dyDescent="0.25">
      <c r="B113">
        <f t="shared" si="9"/>
        <v>2006</v>
      </c>
      <c r="C113">
        <f t="shared" si="9"/>
        <v>2006</v>
      </c>
      <c r="E113">
        <f t="shared" si="6"/>
        <v>2086</v>
      </c>
      <c r="F113" cm="1">
        <f t="array" ref="F113">INDEX('GMW - $100 oil'!$A$2:$MC$200,MATCH(1,('GMW - $100 oil'!$MC$2:$MC$200=F$3)*('GMW - $100 oil'!$MB$2:$MB$200=F$4),0),$E113-1973)</f>
        <v>560675</v>
      </c>
      <c r="G113" cm="1">
        <f t="array" ref="G113">INDEX('GMW - $100 oil'!$A$2:$MC$200,MATCH(1,('GMW - $100 oil'!$MC$2:$MC$200=G$3)*('GMW - $100 oil'!$MB$2:$MB$200=G$4),0),$E113-1973)</f>
        <v>338624</v>
      </c>
      <c r="H113" cm="1">
        <f t="array" ref="H113">INDEX('GMW - $100 oil'!$A$2:$MC$200,MATCH(1,('GMW - $100 oil'!$MC$2:$MC$200=H$3)*('GMW - $100 oil'!$MB$2:$MB$200=H$4),0),$E113-1973)</f>
        <v>80.3</v>
      </c>
      <c r="I113" cm="1">
        <f t="array" ref="I113">INDEX('GMW - $100 oil'!$A$2:$MC$200,MATCH(1,('GMW - $100 oil'!$MC$2:$MC$200=I$3)*('GMW - $100 oil'!$MB$2:$MB$200=I$4),0),$E113-1973)</f>
        <v>4.6615390000000003</v>
      </c>
      <c r="J113" t="e" cm="1">
        <f t="array" ref="J113">INDEX('GMW - $100 oil'!$A$2:$MC$200,MATCH(1,('GMW - $100 oil'!$MC$2:$MC$200=J$3)*('GMW - $100 oil'!$MB$2:$MB$200=J$4),0),$E113-1973)</f>
        <v>#N/A</v>
      </c>
      <c r="K113" t="e" cm="1">
        <f t="array" ref="K113">INDEX('GMW - $100 oil'!$A$2:$MC$200,MATCH(1,('GMW - $100 oil'!$MC$2:$MC$200=K$3)*('GMW - $100 oil'!$MB$2:$MB$200=K$4),0),$E113-1973)</f>
        <v>#N/A</v>
      </c>
      <c r="L113" t="e" cm="1">
        <f t="array" ref="L113">INDEX('GMW - $100 oil'!$A$2:$MC$200,MATCH(1,('GMW - $100 oil'!$MC$2:$MC$200=L$3)*('GMW - $100 oil'!$MB$2:$MB$200=L$4),0),$E113-1973)</f>
        <v>#N/A</v>
      </c>
      <c r="M113" t="e" cm="1">
        <f t="array" ref="M113">INDEX('GMW - $100 oil'!$A$2:$MC$200,MATCH(1,('GMW - $100 oil'!$MC$2:$MC$200=M$3)*('GMW - $100 oil'!$MB$2:$MB$200=M$4),0),$E113-1973)</f>
        <v>#N/A</v>
      </c>
      <c r="N113" t="e" cm="1">
        <f t="array" ref="N113">INDEX('GMW - $100 oil'!$A$2:$MC$200,MATCH(1,('GMW - $100 oil'!$MC$2:$MC$200=N$3)*('GMW - $100 oil'!$MB$2:$MB$200=N$4),0),$E113-1973)</f>
        <v>#N/A</v>
      </c>
      <c r="O113" t="e" cm="1">
        <f t="array" ref="O113">INDEX('GMW - $100 oil'!$A$2:$MC$200,MATCH(1,('GMW - $100 oil'!$MC$2:$MC$200=O$3)*('GMW - $100 oil'!$MB$2:$MB$200=O$4),0),$E113-1973)</f>
        <v>#N/A</v>
      </c>
      <c r="P113" t="e" cm="1">
        <f t="array" ref="P113">INDEX('GMW - $100 oil'!$A$2:$MC$200,MATCH(1,('GMW - $100 oil'!$MC$2:$MC$200=P$3)*('GMW - $100 oil'!$MB$2:$MB$200=P$4),0),$E113-1973)</f>
        <v>#N/A</v>
      </c>
      <c r="Q113" t="e" cm="1">
        <f t="array" ref="Q113">INDEX('GMW - $100 oil'!$A$2:$MC$200,MATCH(1,('GMW - $100 oil'!$MC$2:$MC$200=Q$3)*('GMW - $100 oil'!$MB$2:$MB$200=Q$4),0),$E113-1973)</f>
        <v>#N/A</v>
      </c>
      <c r="R113" t="e" cm="1">
        <f t="array" ref="R113">INDEX('GMW - $100 oil'!$A$2:$MC$200,MATCH(1,('GMW - $100 oil'!$MC$2:$MC$200=R$3)*('GMW - $100 oil'!$MB$2:$MB$200=R$4),0),$E113-1973)</f>
        <v>#N/A</v>
      </c>
      <c r="S113" t="e" cm="1">
        <f t="array" ref="S113">INDEX('GMW - $100 oil'!$A$2:$MC$200,MATCH(1,('GMW - $100 oil'!$MC$2:$MC$200=S$3)*('GMW - $100 oil'!$MB$2:$MB$200=S$4),0),$E113-1973)</f>
        <v>#N/A</v>
      </c>
      <c r="T113" t="e" cm="1">
        <f t="array" ref="T113">INDEX('GMW - $100 oil'!$A$2:$MC$200,MATCH(1,('GMW - $100 oil'!$MC$2:$MC$200=T$3)*('GMW - $100 oil'!$MB$2:$MB$200=T$4),0),$E113-1973)</f>
        <v>#N/A</v>
      </c>
    </row>
    <row r="114" spans="1:20" x14ac:dyDescent="0.25">
      <c r="B114">
        <f t="shared" si="9"/>
        <v>2006</v>
      </c>
      <c r="C114">
        <f t="shared" si="9"/>
        <v>2006</v>
      </c>
      <c r="E114">
        <f t="shared" si="6"/>
        <v>2087</v>
      </c>
      <c r="F114" cm="1">
        <f t="array" ref="F114">INDEX('GMW - $100 oil'!$A$2:$MC$200,MATCH(1,('GMW - $100 oil'!$MC$2:$MC$200=F$3)*('GMW - $100 oil'!$MB$2:$MB$200=F$4),0),$E114-1973)</f>
        <v>562669</v>
      </c>
      <c r="G114" cm="1">
        <f t="array" ref="G114">INDEX('GMW - $100 oil'!$A$2:$MC$200,MATCH(1,('GMW - $100 oil'!$MC$2:$MC$200=G$3)*('GMW - $100 oil'!$MB$2:$MB$200=G$4),0),$E114-1973)</f>
        <v>339339</v>
      </c>
      <c r="H114" cm="1">
        <f t="array" ref="H114">INDEX('GMW - $100 oil'!$A$2:$MC$200,MATCH(1,('GMW - $100 oil'!$MC$2:$MC$200=H$3)*('GMW - $100 oil'!$MB$2:$MB$200=H$4),0),$E114-1973)</f>
        <v>80.900000000000006</v>
      </c>
      <c r="I114" cm="1">
        <f t="array" ref="I114">INDEX('GMW - $100 oil'!$A$2:$MC$200,MATCH(1,('GMW - $100 oil'!$MC$2:$MC$200=I$3)*('GMW - $100 oil'!$MB$2:$MB$200=I$4),0),$E114-1973)</f>
        <v>4.8923079999999999</v>
      </c>
      <c r="J114" t="e" cm="1">
        <f t="array" ref="J114">INDEX('GMW - $100 oil'!$A$2:$MC$200,MATCH(1,('GMW - $100 oil'!$MC$2:$MC$200=J$3)*('GMW - $100 oil'!$MB$2:$MB$200=J$4),0),$E114-1973)</f>
        <v>#N/A</v>
      </c>
      <c r="K114" t="e" cm="1">
        <f t="array" ref="K114">INDEX('GMW - $100 oil'!$A$2:$MC$200,MATCH(1,('GMW - $100 oil'!$MC$2:$MC$200=K$3)*('GMW - $100 oil'!$MB$2:$MB$200=K$4),0),$E114-1973)</f>
        <v>#N/A</v>
      </c>
      <c r="L114" t="e" cm="1">
        <f t="array" ref="L114">INDEX('GMW - $100 oil'!$A$2:$MC$200,MATCH(1,('GMW - $100 oil'!$MC$2:$MC$200=L$3)*('GMW - $100 oil'!$MB$2:$MB$200=L$4),0),$E114-1973)</f>
        <v>#N/A</v>
      </c>
      <c r="M114" t="e" cm="1">
        <f t="array" ref="M114">INDEX('GMW - $100 oil'!$A$2:$MC$200,MATCH(1,('GMW - $100 oil'!$MC$2:$MC$200=M$3)*('GMW - $100 oil'!$MB$2:$MB$200=M$4),0),$E114-1973)</f>
        <v>#N/A</v>
      </c>
      <c r="N114" t="e" cm="1">
        <f t="array" ref="N114">INDEX('GMW - $100 oil'!$A$2:$MC$200,MATCH(1,('GMW - $100 oil'!$MC$2:$MC$200=N$3)*('GMW - $100 oil'!$MB$2:$MB$200=N$4),0),$E114-1973)</f>
        <v>#N/A</v>
      </c>
      <c r="O114" t="e" cm="1">
        <f t="array" ref="O114">INDEX('GMW - $100 oil'!$A$2:$MC$200,MATCH(1,('GMW - $100 oil'!$MC$2:$MC$200=O$3)*('GMW - $100 oil'!$MB$2:$MB$200=O$4),0),$E114-1973)</f>
        <v>#N/A</v>
      </c>
      <c r="P114" t="e" cm="1">
        <f t="array" ref="P114">INDEX('GMW - $100 oil'!$A$2:$MC$200,MATCH(1,('GMW - $100 oil'!$MC$2:$MC$200=P$3)*('GMW - $100 oil'!$MB$2:$MB$200=P$4),0),$E114-1973)</f>
        <v>#N/A</v>
      </c>
      <c r="Q114" t="e" cm="1">
        <f t="array" ref="Q114">INDEX('GMW - $100 oil'!$A$2:$MC$200,MATCH(1,('GMW - $100 oil'!$MC$2:$MC$200=Q$3)*('GMW - $100 oil'!$MB$2:$MB$200=Q$4),0),$E114-1973)</f>
        <v>#N/A</v>
      </c>
      <c r="R114" t="e" cm="1">
        <f t="array" ref="R114">INDEX('GMW - $100 oil'!$A$2:$MC$200,MATCH(1,('GMW - $100 oil'!$MC$2:$MC$200=R$3)*('GMW - $100 oil'!$MB$2:$MB$200=R$4),0),$E114-1973)</f>
        <v>#N/A</v>
      </c>
      <c r="S114" t="e" cm="1">
        <f t="array" ref="S114">INDEX('GMW - $100 oil'!$A$2:$MC$200,MATCH(1,('GMW - $100 oil'!$MC$2:$MC$200=S$3)*('GMW - $100 oil'!$MB$2:$MB$200=S$4),0),$E114-1973)</f>
        <v>#N/A</v>
      </c>
      <c r="T114" t="e" cm="1">
        <f t="array" ref="T114">INDEX('GMW - $100 oil'!$A$2:$MC$200,MATCH(1,('GMW - $100 oil'!$MC$2:$MC$200=T$3)*('GMW - $100 oil'!$MB$2:$MB$200=T$4),0),$E114-1973)</f>
        <v>#N/A</v>
      </c>
    </row>
    <row r="115" spans="1:20" x14ac:dyDescent="0.25">
      <c r="A115">
        <v>2007</v>
      </c>
      <c r="B115">
        <f t="shared" si="9"/>
        <v>2007</v>
      </c>
      <c r="C115">
        <f t="shared" si="9"/>
        <v>2006</v>
      </c>
      <c r="D115">
        <f t="shared" si="9"/>
        <v>2006</v>
      </c>
      <c r="E115">
        <f t="shared" si="6"/>
        <v>2088</v>
      </c>
      <c r="F115" cm="1">
        <f t="array" ref="F115">INDEX('GMW - $100 oil'!$A$2:$MC$200,MATCH(1,('GMW - $100 oil'!$MC$2:$MC$200=F$3)*('GMW - $100 oil'!$MB$2:$MB$200=F$4),0),$E115-1973)</f>
        <v>568845</v>
      </c>
      <c r="G115" cm="1">
        <f t="array" ref="G115">INDEX('GMW - $100 oil'!$A$2:$MC$200,MATCH(1,('GMW - $100 oil'!$MC$2:$MC$200=G$3)*('GMW - $100 oil'!$MB$2:$MB$200=G$4),0),$E115-1973)</f>
        <v>343169</v>
      </c>
      <c r="H115" cm="1">
        <f t="array" ref="H115">INDEX('GMW - $100 oil'!$A$2:$MC$200,MATCH(1,('GMW - $100 oil'!$MC$2:$MC$200=H$3)*('GMW - $100 oil'!$MB$2:$MB$200=H$4),0),$E115-1973)</f>
        <v>81</v>
      </c>
      <c r="I115" cm="1">
        <f t="array" ref="I115">INDEX('GMW - $100 oil'!$A$2:$MC$200,MATCH(1,('GMW - $100 oil'!$MC$2:$MC$200=I$3)*('GMW - $100 oil'!$MB$2:$MB$200=I$4),0),$E115-1973)</f>
        <v>5.2192309999999997</v>
      </c>
      <c r="J115" t="e" cm="1">
        <f t="array" ref="J115">INDEX('GMW - $100 oil'!$A$2:$MC$200,MATCH(1,('GMW - $100 oil'!$MC$2:$MC$200=J$3)*('GMW - $100 oil'!$MB$2:$MB$200=J$4),0),$E115-1973)</f>
        <v>#N/A</v>
      </c>
      <c r="K115" t="e" cm="1">
        <f t="array" ref="K115">INDEX('GMW - $100 oil'!$A$2:$MC$200,MATCH(1,('GMW - $100 oil'!$MC$2:$MC$200=K$3)*('GMW - $100 oil'!$MB$2:$MB$200=K$4),0),$E115-1973)</f>
        <v>#N/A</v>
      </c>
      <c r="L115" t="e" cm="1">
        <f t="array" ref="L115">INDEX('GMW - $100 oil'!$A$2:$MC$200,MATCH(1,('GMW - $100 oil'!$MC$2:$MC$200=L$3)*('GMW - $100 oil'!$MB$2:$MB$200=L$4),0),$E115-1973)</f>
        <v>#N/A</v>
      </c>
      <c r="M115" t="e" cm="1">
        <f t="array" ref="M115">INDEX('GMW - $100 oil'!$A$2:$MC$200,MATCH(1,('GMW - $100 oil'!$MC$2:$MC$200=M$3)*('GMW - $100 oil'!$MB$2:$MB$200=M$4),0),$E115-1973)</f>
        <v>#N/A</v>
      </c>
      <c r="N115" t="e" cm="1">
        <f t="array" ref="N115">INDEX('GMW - $100 oil'!$A$2:$MC$200,MATCH(1,('GMW - $100 oil'!$MC$2:$MC$200=N$3)*('GMW - $100 oil'!$MB$2:$MB$200=N$4),0),$E115-1973)</f>
        <v>#N/A</v>
      </c>
      <c r="O115" t="e" cm="1">
        <f t="array" ref="O115">INDEX('GMW - $100 oil'!$A$2:$MC$200,MATCH(1,('GMW - $100 oil'!$MC$2:$MC$200=O$3)*('GMW - $100 oil'!$MB$2:$MB$200=O$4),0),$E115-1973)</f>
        <v>#N/A</v>
      </c>
      <c r="P115" t="e" cm="1">
        <f t="array" ref="P115">INDEX('GMW - $100 oil'!$A$2:$MC$200,MATCH(1,('GMW - $100 oil'!$MC$2:$MC$200=P$3)*('GMW - $100 oil'!$MB$2:$MB$200=P$4),0),$E115-1973)</f>
        <v>#N/A</v>
      </c>
      <c r="Q115" t="e" cm="1">
        <f t="array" ref="Q115">INDEX('GMW - $100 oil'!$A$2:$MC$200,MATCH(1,('GMW - $100 oil'!$MC$2:$MC$200=Q$3)*('GMW - $100 oil'!$MB$2:$MB$200=Q$4),0),$E115-1973)</f>
        <v>#N/A</v>
      </c>
      <c r="R115" t="e" cm="1">
        <f t="array" ref="R115">INDEX('GMW - $100 oil'!$A$2:$MC$200,MATCH(1,('GMW - $100 oil'!$MC$2:$MC$200=R$3)*('GMW - $100 oil'!$MB$2:$MB$200=R$4),0),$E115-1973)</f>
        <v>#N/A</v>
      </c>
      <c r="S115" t="e" cm="1">
        <f t="array" ref="S115">INDEX('GMW - $100 oil'!$A$2:$MC$200,MATCH(1,('GMW - $100 oil'!$MC$2:$MC$200=S$3)*('GMW - $100 oil'!$MB$2:$MB$200=S$4),0),$E115-1973)</f>
        <v>#N/A</v>
      </c>
      <c r="T115" t="e" cm="1">
        <f t="array" ref="T115">INDEX('GMW - $100 oil'!$A$2:$MC$200,MATCH(1,('GMW - $100 oil'!$MC$2:$MC$200=T$3)*('GMW - $100 oil'!$MB$2:$MB$200=T$4),0),$E115-1973)</f>
        <v>#N/A</v>
      </c>
    </row>
    <row r="116" spans="1:20" x14ac:dyDescent="0.25">
      <c r="B116">
        <f t="shared" si="9"/>
        <v>2007</v>
      </c>
      <c r="C116">
        <f t="shared" si="9"/>
        <v>2007</v>
      </c>
      <c r="E116">
        <f t="shared" si="6"/>
        <v>2089</v>
      </c>
      <c r="F116" cm="1">
        <f t="array" ref="F116">INDEX('GMW - $100 oil'!$A$2:$MC$200,MATCH(1,('GMW - $100 oil'!$MC$2:$MC$200=F$3)*('GMW - $100 oil'!$MB$2:$MB$200=F$4),0),$E116-1973)</f>
        <v>574194</v>
      </c>
      <c r="G116" cm="1">
        <f t="array" ref="G116">INDEX('GMW - $100 oil'!$A$2:$MC$200,MATCH(1,('GMW - $100 oil'!$MC$2:$MC$200=G$3)*('GMW - $100 oil'!$MB$2:$MB$200=G$4),0),$E116-1973)</f>
        <v>347001</v>
      </c>
      <c r="H116" cm="1">
        <f t="array" ref="H116">INDEX('GMW - $100 oil'!$A$2:$MC$200,MATCH(1,('GMW - $100 oil'!$MC$2:$MC$200=H$3)*('GMW - $100 oil'!$MB$2:$MB$200=H$4),0),$E116-1973)</f>
        <v>81.8</v>
      </c>
      <c r="I116" cm="1">
        <f t="array" ref="I116">INDEX('GMW - $100 oil'!$A$2:$MC$200,MATCH(1,('GMW - $100 oil'!$MC$2:$MC$200=I$3)*('GMW - $100 oil'!$MB$2:$MB$200=I$4),0),$E116-1973)</f>
        <v>5.3923079999999999</v>
      </c>
      <c r="J116" t="e" cm="1">
        <f t="array" ref="J116">INDEX('GMW - $100 oil'!$A$2:$MC$200,MATCH(1,('GMW - $100 oil'!$MC$2:$MC$200=J$3)*('GMW - $100 oil'!$MB$2:$MB$200=J$4),0),$E116-1973)</f>
        <v>#N/A</v>
      </c>
      <c r="K116" t="e" cm="1">
        <f t="array" ref="K116">INDEX('GMW - $100 oil'!$A$2:$MC$200,MATCH(1,('GMW - $100 oil'!$MC$2:$MC$200=K$3)*('GMW - $100 oil'!$MB$2:$MB$200=K$4),0),$E116-1973)</f>
        <v>#N/A</v>
      </c>
      <c r="L116" t="e" cm="1">
        <f t="array" ref="L116">INDEX('GMW - $100 oil'!$A$2:$MC$200,MATCH(1,('GMW - $100 oil'!$MC$2:$MC$200=L$3)*('GMW - $100 oil'!$MB$2:$MB$200=L$4),0),$E116-1973)</f>
        <v>#N/A</v>
      </c>
      <c r="M116" t="e" cm="1">
        <f t="array" ref="M116">INDEX('GMW - $100 oil'!$A$2:$MC$200,MATCH(1,('GMW - $100 oil'!$MC$2:$MC$200=M$3)*('GMW - $100 oil'!$MB$2:$MB$200=M$4),0),$E116-1973)</f>
        <v>#N/A</v>
      </c>
      <c r="N116" t="e" cm="1">
        <f t="array" ref="N116">INDEX('GMW - $100 oil'!$A$2:$MC$200,MATCH(1,('GMW - $100 oil'!$MC$2:$MC$200=N$3)*('GMW - $100 oil'!$MB$2:$MB$200=N$4),0),$E116-1973)</f>
        <v>#N/A</v>
      </c>
      <c r="O116" t="e" cm="1">
        <f t="array" ref="O116">INDEX('GMW - $100 oil'!$A$2:$MC$200,MATCH(1,('GMW - $100 oil'!$MC$2:$MC$200=O$3)*('GMW - $100 oil'!$MB$2:$MB$200=O$4),0),$E116-1973)</f>
        <v>#N/A</v>
      </c>
      <c r="P116" t="e" cm="1">
        <f t="array" ref="P116">INDEX('GMW - $100 oil'!$A$2:$MC$200,MATCH(1,('GMW - $100 oil'!$MC$2:$MC$200=P$3)*('GMW - $100 oil'!$MB$2:$MB$200=P$4),0),$E116-1973)</f>
        <v>#N/A</v>
      </c>
      <c r="Q116" t="e" cm="1">
        <f t="array" ref="Q116">INDEX('GMW - $100 oil'!$A$2:$MC$200,MATCH(1,('GMW - $100 oil'!$MC$2:$MC$200=Q$3)*('GMW - $100 oil'!$MB$2:$MB$200=Q$4),0),$E116-1973)</f>
        <v>#N/A</v>
      </c>
      <c r="R116" t="e" cm="1">
        <f t="array" ref="R116">INDEX('GMW - $100 oil'!$A$2:$MC$200,MATCH(1,('GMW - $100 oil'!$MC$2:$MC$200=R$3)*('GMW - $100 oil'!$MB$2:$MB$200=R$4),0),$E116-1973)</f>
        <v>#N/A</v>
      </c>
      <c r="S116" t="e" cm="1">
        <f t="array" ref="S116">INDEX('GMW - $100 oil'!$A$2:$MC$200,MATCH(1,('GMW - $100 oil'!$MC$2:$MC$200=S$3)*('GMW - $100 oil'!$MB$2:$MB$200=S$4),0),$E116-1973)</f>
        <v>#N/A</v>
      </c>
      <c r="T116" t="e" cm="1">
        <f t="array" ref="T116">INDEX('GMW - $100 oil'!$A$2:$MC$200,MATCH(1,('GMW - $100 oil'!$MC$2:$MC$200=T$3)*('GMW - $100 oil'!$MB$2:$MB$200=T$4),0),$E116-1973)</f>
        <v>#N/A</v>
      </c>
    </row>
    <row r="117" spans="1:20" x14ac:dyDescent="0.25">
      <c r="B117">
        <f t="shared" si="9"/>
        <v>2007</v>
      </c>
      <c r="C117">
        <f t="shared" si="9"/>
        <v>2007</v>
      </c>
      <c r="E117">
        <f t="shared" si="6"/>
        <v>2090</v>
      </c>
      <c r="F117" cm="1">
        <f t="array" ref="F117">INDEX('GMW - $100 oil'!$A$2:$MC$200,MATCH(1,('GMW - $100 oil'!$MC$2:$MC$200=F$3)*('GMW - $100 oil'!$MB$2:$MB$200=F$4),0),$E117-1973)</f>
        <v>579605</v>
      </c>
      <c r="G117" cm="1">
        <f t="array" ref="G117">INDEX('GMW - $100 oil'!$A$2:$MC$200,MATCH(1,('GMW - $100 oil'!$MC$2:$MC$200=G$3)*('GMW - $100 oil'!$MB$2:$MB$200=G$4),0),$E117-1973)</f>
        <v>353872</v>
      </c>
      <c r="H117" cm="1">
        <f t="array" ref="H117">INDEX('GMW - $100 oil'!$A$2:$MC$200,MATCH(1,('GMW - $100 oil'!$MC$2:$MC$200=H$3)*('GMW - $100 oil'!$MB$2:$MB$200=H$4),0),$E117-1973)</f>
        <v>81.733329999999995</v>
      </c>
      <c r="I117" cm="1">
        <f t="array" ref="I117">INDEX('GMW - $100 oil'!$A$2:$MC$200,MATCH(1,('GMW - $100 oil'!$MC$2:$MC$200=I$3)*('GMW - $100 oil'!$MB$2:$MB$200=I$4),0),$E117-1973)</f>
        <v>5.738461</v>
      </c>
      <c r="J117" t="e" cm="1">
        <f t="array" ref="J117">INDEX('GMW - $100 oil'!$A$2:$MC$200,MATCH(1,('GMW - $100 oil'!$MC$2:$MC$200=J$3)*('GMW - $100 oil'!$MB$2:$MB$200=J$4),0),$E117-1973)</f>
        <v>#N/A</v>
      </c>
      <c r="K117" t="e" cm="1">
        <f t="array" ref="K117">INDEX('GMW - $100 oil'!$A$2:$MC$200,MATCH(1,('GMW - $100 oil'!$MC$2:$MC$200=K$3)*('GMW - $100 oil'!$MB$2:$MB$200=K$4),0),$E117-1973)</f>
        <v>#N/A</v>
      </c>
      <c r="L117" t="e" cm="1">
        <f t="array" ref="L117">INDEX('GMW - $100 oil'!$A$2:$MC$200,MATCH(1,('GMW - $100 oil'!$MC$2:$MC$200=L$3)*('GMW - $100 oil'!$MB$2:$MB$200=L$4),0),$E117-1973)</f>
        <v>#N/A</v>
      </c>
      <c r="M117" t="e" cm="1">
        <f t="array" ref="M117">INDEX('GMW - $100 oil'!$A$2:$MC$200,MATCH(1,('GMW - $100 oil'!$MC$2:$MC$200=M$3)*('GMW - $100 oil'!$MB$2:$MB$200=M$4),0),$E117-1973)</f>
        <v>#N/A</v>
      </c>
      <c r="N117" t="e" cm="1">
        <f t="array" ref="N117">INDEX('GMW - $100 oil'!$A$2:$MC$200,MATCH(1,('GMW - $100 oil'!$MC$2:$MC$200=N$3)*('GMW - $100 oil'!$MB$2:$MB$200=N$4),0),$E117-1973)</f>
        <v>#N/A</v>
      </c>
      <c r="O117" t="e" cm="1">
        <f t="array" ref="O117">INDEX('GMW - $100 oil'!$A$2:$MC$200,MATCH(1,('GMW - $100 oil'!$MC$2:$MC$200=O$3)*('GMW - $100 oil'!$MB$2:$MB$200=O$4),0),$E117-1973)</f>
        <v>#N/A</v>
      </c>
      <c r="P117" t="e" cm="1">
        <f t="array" ref="P117">INDEX('GMW - $100 oil'!$A$2:$MC$200,MATCH(1,('GMW - $100 oil'!$MC$2:$MC$200=P$3)*('GMW - $100 oil'!$MB$2:$MB$200=P$4),0),$E117-1973)</f>
        <v>#N/A</v>
      </c>
      <c r="Q117" t="e" cm="1">
        <f t="array" ref="Q117">INDEX('GMW - $100 oil'!$A$2:$MC$200,MATCH(1,('GMW - $100 oil'!$MC$2:$MC$200=Q$3)*('GMW - $100 oil'!$MB$2:$MB$200=Q$4),0),$E117-1973)</f>
        <v>#N/A</v>
      </c>
      <c r="R117" t="e" cm="1">
        <f t="array" ref="R117">INDEX('GMW - $100 oil'!$A$2:$MC$200,MATCH(1,('GMW - $100 oil'!$MC$2:$MC$200=R$3)*('GMW - $100 oil'!$MB$2:$MB$200=R$4),0),$E117-1973)</f>
        <v>#N/A</v>
      </c>
      <c r="S117" t="e" cm="1">
        <f t="array" ref="S117">INDEX('GMW - $100 oil'!$A$2:$MC$200,MATCH(1,('GMW - $100 oil'!$MC$2:$MC$200=S$3)*('GMW - $100 oil'!$MB$2:$MB$200=S$4),0),$E117-1973)</f>
        <v>#N/A</v>
      </c>
      <c r="T117" t="e" cm="1">
        <f t="array" ref="T117">INDEX('GMW - $100 oil'!$A$2:$MC$200,MATCH(1,('GMW - $100 oil'!$MC$2:$MC$200=T$3)*('GMW - $100 oil'!$MB$2:$MB$200=T$4),0),$E117-1973)</f>
        <v>#N/A</v>
      </c>
    </row>
    <row r="118" spans="1:20" x14ac:dyDescent="0.25">
      <c r="B118">
        <f t="shared" si="9"/>
        <v>2007</v>
      </c>
      <c r="C118">
        <f t="shared" si="9"/>
        <v>2007</v>
      </c>
      <c r="E118">
        <f t="shared" si="6"/>
        <v>2091</v>
      </c>
      <c r="F118" cm="1">
        <f t="array" ref="F118">INDEX('GMW - $100 oil'!$A$2:$MC$200,MATCH(1,('GMW - $100 oil'!$MC$2:$MC$200=F$3)*('GMW - $100 oil'!$MB$2:$MB$200=F$4),0),$E118-1973)</f>
        <v>584504</v>
      </c>
      <c r="G118" cm="1">
        <f t="array" ref="G118">INDEX('GMW - $100 oil'!$A$2:$MC$200,MATCH(1,('GMW - $100 oil'!$MC$2:$MC$200=G$3)*('GMW - $100 oil'!$MB$2:$MB$200=G$4),0),$E118-1973)</f>
        <v>353402</v>
      </c>
      <c r="H118" cm="1">
        <f t="array" ref="H118">INDEX('GMW - $100 oil'!$A$2:$MC$200,MATCH(1,('GMW - $100 oil'!$MC$2:$MC$200=H$3)*('GMW - $100 oil'!$MB$2:$MB$200=H$4),0),$E118-1973)</f>
        <v>82.6</v>
      </c>
      <c r="I118" cm="1">
        <f t="array" ref="I118">INDEX('GMW - $100 oil'!$A$2:$MC$200,MATCH(1,('GMW - $100 oil'!$MC$2:$MC$200=I$3)*('GMW - $100 oil'!$MB$2:$MB$200=I$4),0),$E118-1973)</f>
        <v>5.6818179999999998</v>
      </c>
      <c r="J118" t="e" cm="1">
        <f t="array" ref="J118">INDEX('GMW - $100 oil'!$A$2:$MC$200,MATCH(1,('GMW - $100 oil'!$MC$2:$MC$200=J$3)*('GMW - $100 oil'!$MB$2:$MB$200=J$4),0),$E118-1973)</f>
        <v>#N/A</v>
      </c>
      <c r="K118" t="e" cm="1">
        <f t="array" ref="K118">INDEX('GMW - $100 oil'!$A$2:$MC$200,MATCH(1,('GMW - $100 oil'!$MC$2:$MC$200=K$3)*('GMW - $100 oil'!$MB$2:$MB$200=K$4),0),$E118-1973)</f>
        <v>#N/A</v>
      </c>
      <c r="L118" t="e" cm="1">
        <f t="array" ref="L118">INDEX('GMW - $100 oil'!$A$2:$MC$200,MATCH(1,('GMW - $100 oil'!$MC$2:$MC$200=L$3)*('GMW - $100 oil'!$MB$2:$MB$200=L$4),0),$E118-1973)</f>
        <v>#N/A</v>
      </c>
      <c r="M118" t="e" cm="1">
        <f t="array" ref="M118">INDEX('GMW - $100 oil'!$A$2:$MC$200,MATCH(1,('GMW - $100 oil'!$MC$2:$MC$200=M$3)*('GMW - $100 oil'!$MB$2:$MB$200=M$4),0),$E118-1973)</f>
        <v>#N/A</v>
      </c>
      <c r="N118" t="e" cm="1">
        <f t="array" ref="N118">INDEX('GMW - $100 oil'!$A$2:$MC$200,MATCH(1,('GMW - $100 oil'!$MC$2:$MC$200=N$3)*('GMW - $100 oil'!$MB$2:$MB$200=N$4),0),$E118-1973)</f>
        <v>#N/A</v>
      </c>
      <c r="O118" t="e" cm="1">
        <f t="array" ref="O118">INDEX('GMW - $100 oil'!$A$2:$MC$200,MATCH(1,('GMW - $100 oil'!$MC$2:$MC$200=O$3)*('GMW - $100 oil'!$MB$2:$MB$200=O$4),0),$E118-1973)</f>
        <v>#N/A</v>
      </c>
      <c r="P118" t="e" cm="1">
        <f t="array" ref="P118">INDEX('GMW - $100 oil'!$A$2:$MC$200,MATCH(1,('GMW - $100 oil'!$MC$2:$MC$200=P$3)*('GMW - $100 oil'!$MB$2:$MB$200=P$4),0),$E118-1973)</f>
        <v>#N/A</v>
      </c>
      <c r="Q118" t="e" cm="1">
        <f t="array" ref="Q118">INDEX('GMW - $100 oil'!$A$2:$MC$200,MATCH(1,('GMW - $100 oil'!$MC$2:$MC$200=Q$3)*('GMW - $100 oil'!$MB$2:$MB$200=Q$4),0),$E118-1973)</f>
        <v>#N/A</v>
      </c>
      <c r="R118" t="e" cm="1">
        <f t="array" ref="R118">INDEX('GMW - $100 oil'!$A$2:$MC$200,MATCH(1,('GMW - $100 oil'!$MC$2:$MC$200=R$3)*('GMW - $100 oil'!$MB$2:$MB$200=R$4),0),$E118-1973)</f>
        <v>#N/A</v>
      </c>
      <c r="S118" t="e" cm="1">
        <f t="array" ref="S118">INDEX('GMW - $100 oil'!$A$2:$MC$200,MATCH(1,('GMW - $100 oil'!$MC$2:$MC$200=S$3)*('GMW - $100 oil'!$MB$2:$MB$200=S$4),0),$E118-1973)</f>
        <v>#N/A</v>
      </c>
      <c r="T118" t="e" cm="1">
        <f t="array" ref="T118">INDEX('GMW - $100 oil'!$A$2:$MC$200,MATCH(1,('GMW - $100 oil'!$MC$2:$MC$200=T$3)*('GMW - $100 oil'!$MB$2:$MB$200=T$4),0),$E118-1973)</f>
        <v>#N/A</v>
      </c>
    </row>
    <row r="119" spans="1:20" x14ac:dyDescent="0.25">
      <c r="A119">
        <v>2008</v>
      </c>
      <c r="B119">
        <f t="shared" si="9"/>
        <v>2008</v>
      </c>
      <c r="C119">
        <f t="shared" si="9"/>
        <v>2007</v>
      </c>
      <c r="D119">
        <f t="shared" si="9"/>
        <v>2007</v>
      </c>
      <c r="E119">
        <f t="shared" si="6"/>
        <v>2092</v>
      </c>
      <c r="F119" cm="1">
        <f t="array" ref="F119">INDEX('GMW - $100 oil'!$A$2:$MC$200,MATCH(1,('GMW - $100 oil'!$MC$2:$MC$200=F$3)*('GMW - $100 oil'!$MB$2:$MB$200=F$4),0),$E119-1973)</f>
        <v>586690</v>
      </c>
      <c r="G119" cm="1">
        <f t="array" ref="G119">INDEX('GMW - $100 oil'!$A$2:$MC$200,MATCH(1,('GMW - $100 oil'!$MC$2:$MC$200=G$3)*('GMW - $100 oil'!$MB$2:$MB$200=G$4),0),$E119-1973)</f>
        <v>355059</v>
      </c>
      <c r="H119" cm="1">
        <f t="array" ref="H119">INDEX('GMW - $100 oil'!$A$2:$MC$200,MATCH(1,('GMW - $100 oil'!$MC$2:$MC$200=H$3)*('GMW - $100 oil'!$MB$2:$MB$200=H$4),0),$E119-1973)</f>
        <v>82.933329999999998</v>
      </c>
      <c r="I119" cm="1">
        <f t="array" ref="I119">INDEX('GMW - $100 oil'!$A$2:$MC$200,MATCH(1,('GMW - $100 oil'!$MC$2:$MC$200=I$3)*('GMW - $100 oil'!$MB$2:$MB$200=I$4),0),$E119-1973)</f>
        <v>5.3538459999999999</v>
      </c>
      <c r="J119" t="e" cm="1">
        <f t="array" ref="J119">INDEX('GMW - $100 oil'!$A$2:$MC$200,MATCH(1,('GMW - $100 oil'!$MC$2:$MC$200=J$3)*('GMW - $100 oil'!$MB$2:$MB$200=J$4),0),$E119-1973)</f>
        <v>#N/A</v>
      </c>
      <c r="K119" t="e" cm="1">
        <f t="array" ref="K119">INDEX('GMW - $100 oil'!$A$2:$MC$200,MATCH(1,('GMW - $100 oil'!$MC$2:$MC$200=K$3)*('GMW - $100 oil'!$MB$2:$MB$200=K$4),0),$E119-1973)</f>
        <v>#N/A</v>
      </c>
      <c r="L119" t="e" cm="1">
        <f t="array" ref="L119">INDEX('GMW - $100 oil'!$A$2:$MC$200,MATCH(1,('GMW - $100 oil'!$MC$2:$MC$200=L$3)*('GMW - $100 oil'!$MB$2:$MB$200=L$4),0),$E119-1973)</f>
        <v>#N/A</v>
      </c>
      <c r="M119" t="e" cm="1">
        <f t="array" ref="M119">INDEX('GMW - $100 oil'!$A$2:$MC$200,MATCH(1,('GMW - $100 oil'!$MC$2:$MC$200=M$3)*('GMW - $100 oil'!$MB$2:$MB$200=M$4),0),$E119-1973)</f>
        <v>#N/A</v>
      </c>
      <c r="N119" t="e" cm="1">
        <f t="array" ref="N119">INDEX('GMW - $100 oil'!$A$2:$MC$200,MATCH(1,('GMW - $100 oil'!$MC$2:$MC$200=N$3)*('GMW - $100 oil'!$MB$2:$MB$200=N$4),0),$E119-1973)</f>
        <v>#N/A</v>
      </c>
      <c r="O119" t="e" cm="1">
        <f t="array" ref="O119">INDEX('GMW - $100 oil'!$A$2:$MC$200,MATCH(1,('GMW - $100 oil'!$MC$2:$MC$200=O$3)*('GMW - $100 oil'!$MB$2:$MB$200=O$4),0),$E119-1973)</f>
        <v>#N/A</v>
      </c>
      <c r="P119" t="e" cm="1">
        <f t="array" ref="P119">INDEX('GMW - $100 oil'!$A$2:$MC$200,MATCH(1,('GMW - $100 oil'!$MC$2:$MC$200=P$3)*('GMW - $100 oil'!$MB$2:$MB$200=P$4),0),$E119-1973)</f>
        <v>#N/A</v>
      </c>
      <c r="Q119" t="e" cm="1">
        <f t="array" ref="Q119">INDEX('GMW - $100 oil'!$A$2:$MC$200,MATCH(1,('GMW - $100 oil'!$MC$2:$MC$200=Q$3)*('GMW - $100 oil'!$MB$2:$MB$200=Q$4),0),$E119-1973)</f>
        <v>#N/A</v>
      </c>
      <c r="R119" t="e" cm="1">
        <f t="array" ref="R119">INDEX('GMW - $100 oil'!$A$2:$MC$200,MATCH(1,('GMW - $100 oil'!$MC$2:$MC$200=R$3)*('GMW - $100 oil'!$MB$2:$MB$200=R$4),0),$E119-1973)</f>
        <v>#N/A</v>
      </c>
      <c r="S119" t="e" cm="1">
        <f t="array" ref="S119">INDEX('GMW - $100 oil'!$A$2:$MC$200,MATCH(1,('GMW - $100 oil'!$MC$2:$MC$200=S$3)*('GMW - $100 oil'!$MB$2:$MB$200=S$4),0),$E119-1973)</f>
        <v>#N/A</v>
      </c>
      <c r="T119" t="e" cm="1">
        <f t="array" ref="T119">INDEX('GMW - $100 oil'!$A$2:$MC$200,MATCH(1,('GMW - $100 oil'!$MC$2:$MC$200=T$3)*('GMW - $100 oil'!$MB$2:$MB$200=T$4),0),$E119-1973)</f>
        <v>#N/A</v>
      </c>
    </row>
    <row r="120" spans="1:20" x14ac:dyDescent="0.25">
      <c r="B120">
        <f t="shared" si="9"/>
        <v>2008</v>
      </c>
      <c r="C120">
        <f t="shared" si="9"/>
        <v>2008</v>
      </c>
      <c r="E120">
        <f t="shared" si="6"/>
        <v>2093</v>
      </c>
      <c r="F120" cm="1">
        <f t="array" ref="F120">INDEX('GMW - $100 oil'!$A$2:$MC$200,MATCH(1,('GMW - $100 oil'!$MC$2:$MC$200=F$3)*('GMW - $100 oil'!$MB$2:$MB$200=F$4),0),$E120-1973)</f>
        <v>583541</v>
      </c>
      <c r="G120" cm="1">
        <f t="array" ref="G120">INDEX('GMW - $100 oil'!$A$2:$MC$200,MATCH(1,('GMW - $100 oil'!$MC$2:$MC$200=G$3)*('GMW - $100 oil'!$MB$2:$MB$200=G$4),0),$E120-1973)</f>
        <v>350021</v>
      </c>
      <c r="H120" cm="1">
        <f t="array" ref="H120">INDEX('GMW - $100 oil'!$A$2:$MC$200,MATCH(1,('GMW - $100 oil'!$MC$2:$MC$200=H$3)*('GMW - $100 oil'!$MB$2:$MB$200=H$4),0),$E120-1973)</f>
        <v>84.6</v>
      </c>
      <c r="I120" cm="1">
        <f t="array" ref="I120">INDEX('GMW - $100 oil'!$A$2:$MC$200,MATCH(1,('GMW - $100 oil'!$MC$2:$MC$200=I$3)*('GMW - $100 oil'!$MB$2:$MB$200=I$4),0),$E120-1973)</f>
        <v>5.026923</v>
      </c>
      <c r="J120" t="e" cm="1">
        <f t="array" ref="J120">INDEX('GMW - $100 oil'!$A$2:$MC$200,MATCH(1,('GMW - $100 oil'!$MC$2:$MC$200=J$3)*('GMW - $100 oil'!$MB$2:$MB$200=J$4),0),$E120-1973)</f>
        <v>#N/A</v>
      </c>
      <c r="K120" t="e" cm="1">
        <f t="array" ref="K120">INDEX('GMW - $100 oil'!$A$2:$MC$200,MATCH(1,('GMW - $100 oil'!$MC$2:$MC$200=K$3)*('GMW - $100 oil'!$MB$2:$MB$200=K$4),0),$E120-1973)</f>
        <v>#N/A</v>
      </c>
      <c r="L120" t="e" cm="1">
        <f t="array" ref="L120">INDEX('GMW - $100 oil'!$A$2:$MC$200,MATCH(1,('GMW - $100 oil'!$MC$2:$MC$200=L$3)*('GMW - $100 oil'!$MB$2:$MB$200=L$4),0),$E120-1973)</f>
        <v>#N/A</v>
      </c>
      <c r="M120" t="e" cm="1">
        <f t="array" ref="M120">INDEX('GMW - $100 oil'!$A$2:$MC$200,MATCH(1,('GMW - $100 oil'!$MC$2:$MC$200=M$3)*('GMW - $100 oil'!$MB$2:$MB$200=M$4),0),$E120-1973)</f>
        <v>#N/A</v>
      </c>
      <c r="N120" t="e" cm="1">
        <f t="array" ref="N120">INDEX('GMW - $100 oil'!$A$2:$MC$200,MATCH(1,('GMW - $100 oil'!$MC$2:$MC$200=N$3)*('GMW - $100 oil'!$MB$2:$MB$200=N$4),0),$E120-1973)</f>
        <v>#N/A</v>
      </c>
      <c r="O120" t="e" cm="1">
        <f t="array" ref="O120">INDEX('GMW - $100 oil'!$A$2:$MC$200,MATCH(1,('GMW - $100 oil'!$MC$2:$MC$200=O$3)*('GMW - $100 oil'!$MB$2:$MB$200=O$4),0),$E120-1973)</f>
        <v>#N/A</v>
      </c>
      <c r="P120" t="e" cm="1">
        <f t="array" ref="P120">INDEX('GMW - $100 oil'!$A$2:$MC$200,MATCH(1,('GMW - $100 oil'!$MC$2:$MC$200=P$3)*('GMW - $100 oil'!$MB$2:$MB$200=P$4),0),$E120-1973)</f>
        <v>#N/A</v>
      </c>
      <c r="Q120" t="e" cm="1">
        <f t="array" ref="Q120">INDEX('GMW - $100 oil'!$A$2:$MC$200,MATCH(1,('GMW - $100 oil'!$MC$2:$MC$200=Q$3)*('GMW - $100 oil'!$MB$2:$MB$200=Q$4),0),$E120-1973)</f>
        <v>#N/A</v>
      </c>
      <c r="R120" t="e" cm="1">
        <f t="array" ref="R120">INDEX('GMW - $100 oil'!$A$2:$MC$200,MATCH(1,('GMW - $100 oil'!$MC$2:$MC$200=R$3)*('GMW - $100 oil'!$MB$2:$MB$200=R$4),0),$E120-1973)</f>
        <v>#N/A</v>
      </c>
      <c r="S120" t="e" cm="1">
        <f t="array" ref="S120">INDEX('GMW - $100 oil'!$A$2:$MC$200,MATCH(1,('GMW - $100 oil'!$MC$2:$MC$200=S$3)*('GMW - $100 oil'!$MB$2:$MB$200=S$4),0),$E120-1973)</f>
        <v>#N/A</v>
      </c>
      <c r="T120" t="e" cm="1">
        <f t="array" ref="T120">INDEX('GMW - $100 oil'!$A$2:$MC$200,MATCH(1,('GMW - $100 oil'!$MC$2:$MC$200=T$3)*('GMW - $100 oil'!$MB$2:$MB$200=T$4),0),$E120-1973)</f>
        <v>#N/A</v>
      </c>
    </row>
    <row r="121" spans="1:20" x14ac:dyDescent="0.25">
      <c r="B121">
        <f t="shared" si="9"/>
        <v>2008</v>
      </c>
      <c r="C121">
        <f t="shared" si="9"/>
        <v>2008</v>
      </c>
      <c r="E121">
        <f t="shared" si="6"/>
        <v>2094</v>
      </c>
      <c r="F121" cm="1">
        <f t="array" ref="F121">INDEX('GMW - $100 oil'!$A$2:$MC$200,MATCH(1,('GMW - $100 oil'!$MC$2:$MC$200=F$3)*('GMW - $100 oil'!$MB$2:$MB$200=F$4),0),$E121-1973)</f>
        <v>573961</v>
      </c>
      <c r="G121" cm="1">
        <f t="array" ref="G121">INDEX('GMW - $100 oil'!$A$2:$MC$200,MATCH(1,('GMW - $100 oil'!$MC$2:$MC$200=G$3)*('GMW - $100 oil'!$MB$2:$MB$200=G$4),0),$E121-1973)</f>
        <v>344231</v>
      </c>
      <c r="H121" cm="1">
        <f t="array" ref="H121">INDEX('GMW - $100 oil'!$A$2:$MC$200,MATCH(1,('GMW - $100 oil'!$MC$2:$MC$200=H$3)*('GMW - $100 oil'!$MB$2:$MB$200=H$4),0),$E121-1973)</f>
        <v>85.633330000000001</v>
      </c>
      <c r="I121" cm="1">
        <f t="array" ref="I121">INDEX('GMW - $100 oil'!$A$2:$MC$200,MATCH(1,('GMW - $100 oil'!$MC$2:$MC$200=I$3)*('GMW - $100 oil'!$MB$2:$MB$200=I$4),0),$E121-1973)</f>
        <v>5</v>
      </c>
      <c r="J121" t="e" cm="1">
        <f t="array" ref="J121">INDEX('GMW - $100 oil'!$A$2:$MC$200,MATCH(1,('GMW - $100 oil'!$MC$2:$MC$200=J$3)*('GMW - $100 oil'!$MB$2:$MB$200=J$4),0),$E121-1973)</f>
        <v>#N/A</v>
      </c>
      <c r="K121" t="e" cm="1">
        <f t="array" ref="K121">INDEX('GMW - $100 oil'!$A$2:$MC$200,MATCH(1,('GMW - $100 oil'!$MC$2:$MC$200=K$3)*('GMW - $100 oil'!$MB$2:$MB$200=K$4),0),$E121-1973)</f>
        <v>#N/A</v>
      </c>
      <c r="L121" t="e" cm="1">
        <f t="array" ref="L121">INDEX('GMW - $100 oil'!$A$2:$MC$200,MATCH(1,('GMW - $100 oil'!$MC$2:$MC$200=L$3)*('GMW - $100 oil'!$MB$2:$MB$200=L$4),0),$E121-1973)</f>
        <v>#N/A</v>
      </c>
      <c r="M121" t="e" cm="1">
        <f t="array" ref="M121">INDEX('GMW - $100 oil'!$A$2:$MC$200,MATCH(1,('GMW - $100 oil'!$MC$2:$MC$200=M$3)*('GMW - $100 oil'!$MB$2:$MB$200=M$4),0),$E121-1973)</f>
        <v>#N/A</v>
      </c>
      <c r="N121" t="e" cm="1">
        <f t="array" ref="N121">INDEX('GMW - $100 oil'!$A$2:$MC$200,MATCH(1,('GMW - $100 oil'!$MC$2:$MC$200=N$3)*('GMW - $100 oil'!$MB$2:$MB$200=N$4),0),$E121-1973)</f>
        <v>#N/A</v>
      </c>
      <c r="O121" t="e" cm="1">
        <f t="array" ref="O121">INDEX('GMW - $100 oil'!$A$2:$MC$200,MATCH(1,('GMW - $100 oil'!$MC$2:$MC$200=O$3)*('GMW - $100 oil'!$MB$2:$MB$200=O$4),0),$E121-1973)</f>
        <v>#N/A</v>
      </c>
      <c r="P121" t="e" cm="1">
        <f t="array" ref="P121">INDEX('GMW - $100 oil'!$A$2:$MC$200,MATCH(1,('GMW - $100 oil'!$MC$2:$MC$200=P$3)*('GMW - $100 oil'!$MB$2:$MB$200=P$4),0),$E121-1973)</f>
        <v>#N/A</v>
      </c>
      <c r="Q121" t="e" cm="1">
        <f t="array" ref="Q121">INDEX('GMW - $100 oil'!$A$2:$MC$200,MATCH(1,('GMW - $100 oil'!$MC$2:$MC$200=Q$3)*('GMW - $100 oil'!$MB$2:$MB$200=Q$4),0),$E121-1973)</f>
        <v>#N/A</v>
      </c>
      <c r="R121" t="e" cm="1">
        <f t="array" ref="R121">INDEX('GMW - $100 oil'!$A$2:$MC$200,MATCH(1,('GMW - $100 oil'!$MC$2:$MC$200=R$3)*('GMW - $100 oil'!$MB$2:$MB$200=R$4),0),$E121-1973)</f>
        <v>#N/A</v>
      </c>
      <c r="S121" t="e" cm="1">
        <f t="array" ref="S121">INDEX('GMW - $100 oil'!$A$2:$MC$200,MATCH(1,('GMW - $100 oil'!$MC$2:$MC$200=S$3)*('GMW - $100 oil'!$MB$2:$MB$200=S$4),0),$E121-1973)</f>
        <v>#N/A</v>
      </c>
      <c r="T121" t="e" cm="1">
        <f t="array" ref="T121">INDEX('GMW - $100 oil'!$A$2:$MC$200,MATCH(1,('GMW - $100 oil'!$MC$2:$MC$200=T$3)*('GMW - $100 oil'!$MB$2:$MB$200=T$4),0),$E121-1973)</f>
        <v>#N/A</v>
      </c>
    </row>
    <row r="122" spans="1:20" x14ac:dyDescent="0.25">
      <c r="B122">
        <f t="shared" si="9"/>
        <v>2008</v>
      </c>
      <c r="C122">
        <f t="shared" si="9"/>
        <v>2008</v>
      </c>
      <c r="E122">
        <f t="shared" si="6"/>
        <v>2095</v>
      </c>
      <c r="F122" cm="1">
        <f t="array" ref="F122">INDEX('GMW - $100 oil'!$A$2:$MC$200,MATCH(1,('GMW - $100 oil'!$MC$2:$MC$200=F$3)*('GMW - $100 oil'!$MB$2:$MB$200=F$4),0),$E122-1973)</f>
        <v>561816</v>
      </c>
      <c r="G122" cm="1">
        <f t="array" ref="G122">INDEX('GMW - $100 oil'!$A$2:$MC$200,MATCH(1,('GMW - $100 oil'!$MC$2:$MC$200=G$3)*('GMW - $100 oil'!$MB$2:$MB$200=G$4),0),$E122-1973)</f>
        <v>335303</v>
      </c>
      <c r="H122" cm="1">
        <f t="array" ref="H122">INDEX('GMW - $100 oil'!$A$2:$MC$200,MATCH(1,('GMW - $100 oil'!$MC$2:$MC$200=H$3)*('GMW - $100 oil'!$MB$2:$MB$200=H$4),0),$E122-1973)</f>
        <v>85.733329999999995</v>
      </c>
      <c r="I122" cm="1">
        <f t="array" ref="I122">INDEX('GMW - $100 oil'!$A$2:$MC$200,MATCH(1,('GMW - $100 oil'!$MC$2:$MC$200=I$3)*('GMW - $100 oil'!$MB$2:$MB$200=I$4),0),$E122-1973)</f>
        <v>3.325758</v>
      </c>
      <c r="J122" t="e" cm="1">
        <f t="array" ref="J122">INDEX('GMW - $100 oil'!$A$2:$MC$200,MATCH(1,('GMW - $100 oil'!$MC$2:$MC$200=J$3)*('GMW - $100 oil'!$MB$2:$MB$200=J$4),0),$E122-1973)</f>
        <v>#N/A</v>
      </c>
      <c r="K122" t="e" cm="1">
        <f t="array" ref="K122">INDEX('GMW - $100 oil'!$A$2:$MC$200,MATCH(1,('GMW - $100 oil'!$MC$2:$MC$200=K$3)*('GMW - $100 oil'!$MB$2:$MB$200=K$4),0),$E122-1973)</f>
        <v>#N/A</v>
      </c>
      <c r="L122" t="e" cm="1">
        <f t="array" ref="L122">INDEX('GMW - $100 oil'!$A$2:$MC$200,MATCH(1,('GMW - $100 oil'!$MC$2:$MC$200=L$3)*('GMW - $100 oil'!$MB$2:$MB$200=L$4),0),$E122-1973)</f>
        <v>#N/A</v>
      </c>
      <c r="M122" t="e" cm="1">
        <f t="array" ref="M122">INDEX('GMW - $100 oil'!$A$2:$MC$200,MATCH(1,('GMW - $100 oil'!$MC$2:$MC$200=M$3)*('GMW - $100 oil'!$MB$2:$MB$200=M$4),0),$E122-1973)</f>
        <v>#N/A</v>
      </c>
      <c r="N122" t="e" cm="1">
        <f t="array" ref="N122">INDEX('GMW - $100 oil'!$A$2:$MC$200,MATCH(1,('GMW - $100 oil'!$MC$2:$MC$200=N$3)*('GMW - $100 oil'!$MB$2:$MB$200=N$4),0),$E122-1973)</f>
        <v>#N/A</v>
      </c>
      <c r="O122" t="e" cm="1">
        <f t="array" ref="O122">INDEX('GMW - $100 oil'!$A$2:$MC$200,MATCH(1,('GMW - $100 oil'!$MC$2:$MC$200=O$3)*('GMW - $100 oil'!$MB$2:$MB$200=O$4),0),$E122-1973)</f>
        <v>#N/A</v>
      </c>
      <c r="P122" t="e" cm="1">
        <f t="array" ref="P122">INDEX('GMW - $100 oil'!$A$2:$MC$200,MATCH(1,('GMW - $100 oil'!$MC$2:$MC$200=P$3)*('GMW - $100 oil'!$MB$2:$MB$200=P$4),0),$E122-1973)</f>
        <v>#N/A</v>
      </c>
      <c r="Q122" t="e" cm="1">
        <f t="array" ref="Q122">INDEX('GMW - $100 oil'!$A$2:$MC$200,MATCH(1,('GMW - $100 oil'!$MC$2:$MC$200=Q$3)*('GMW - $100 oil'!$MB$2:$MB$200=Q$4),0),$E122-1973)</f>
        <v>#N/A</v>
      </c>
      <c r="R122" t="e" cm="1">
        <f t="array" ref="R122">INDEX('GMW - $100 oil'!$A$2:$MC$200,MATCH(1,('GMW - $100 oil'!$MC$2:$MC$200=R$3)*('GMW - $100 oil'!$MB$2:$MB$200=R$4),0),$E122-1973)</f>
        <v>#N/A</v>
      </c>
      <c r="S122" t="e" cm="1">
        <f t="array" ref="S122">INDEX('GMW - $100 oil'!$A$2:$MC$200,MATCH(1,('GMW - $100 oil'!$MC$2:$MC$200=S$3)*('GMW - $100 oil'!$MB$2:$MB$200=S$4),0),$E122-1973)</f>
        <v>#N/A</v>
      </c>
      <c r="T122" t="e" cm="1">
        <f t="array" ref="T122">INDEX('GMW - $100 oil'!$A$2:$MC$200,MATCH(1,('GMW - $100 oil'!$MC$2:$MC$200=T$3)*('GMW - $100 oil'!$MB$2:$MB$200=T$4),0),$E122-1973)</f>
        <v>#N/A</v>
      </c>
    </row>
    <row r="123" spans="1:20" x14ac:dyDescent="0.25">
      <c r="A123">
        <v>2009</v>
      </c>
      <c r="B123">
        <f t="shared" si="9"/>
        <v>2009</v>
      </c>
      <c r="C123">
        <f t="shared" si="9"/>
        <v>2008</v>
      </c>
      <c r="D123">
        <f t="shared" si="9"/>
        <v>2008</v>
      </c>
      <c r="E123">
        <f t="shared" si="6"/>
        <v>2096</v>
      </c>
      <c r="F123" cm="1">
        <f t="array" ref="F123">INDEX('GMW - $100 oil'!$A$2:$MC$200,MATCH(1,('GMW - $100 oil'!$MC$2:$MC$200=F$3)*('GMW - $100 oil'!$MB$2:$MB$200=F$4),0),$E123-1973)</f>
        <v>550451</v>
      </c>
      <c r="G123" cm="1">
        <f t="array" ref="G123">INDEX('GMW - $100 oil'!$A$2:$MC$200,MATCH(1,('GMW - $100 oil'!$MC$2:$MC$200=G$3)*('GMW - $100 oil'!$MB$2:$MB$200=G$4),0),$E123-1973)</f>
        <v>333667</v>
      </c>
      <c r="H123" cm="1">
        <f t="array" ref="H123">INDEX('GMW - $100 oil'!$A$2:$MC$200,MATCH(1,('GMW - $100 oil'!$MC$2:$MC$200=H$3)*('GMW - $100 oil'!$MB$2:$MB$200=H$4),0),$E123-1973)</f>
        <v>85.433329999999998</v>
      </c>
      <c r="I123" cm="1">
        <f t="array" ref="I123">INDEX('GMW - $100 oil'!$A$2:$MC$200,MATCH(1,('GMW - $100 oil'!$MC$2:$MC$200=I$3)*('GMW - $100 oil'!$MB$2:$MB$200=I$4),0),$E123-1973)</f>
        <v>1.0859380000000001</v>
      </c>
      <c r="J123" t="e" cm="1">
        <f t="array" ref="J123">INDEX('GMW - $100 oil'!$A$2:$MC$200,MATCH(1,('GMW - $100 oil'!$MC$2:$MC$200=J$3)*('GMW - $100 oil'!$MB$2:$MB$200=J$4),0),$E123-1973)</f>
        <v>#N/A</v>
      </c>
      <c r="K123" t="e" cm="1">
        <f t="array" ref="K123">INDEX('GMW - $100 oil'!$A$2:$MC$200,MATCH(1,('GMW - $100 oil'!$MC$2:$MC$200=K$3)*('GMW - $100 oil'!$MB$2:$MB$200=K$4),0),$E123-1973)</f>
        <v>#N/A</v>
      </c>
      <c r="L123" t="e" cm="1">
        <f t="array" ref="L123">INDEX('GMW - $100 oil'!$A$2:$MC$200,MATCH(1,('GMW - $100 oil'!$MC$2:$MC$200=L$3)*('GMW - $100 oil'!$MB$2:$MB$200=L$4),0),$E123-1973)</f>
        <v>#N/A</v>
      </c>
      <c r="M123" t="e" cm="1">
        <f t="array" ref="M123">INDEX('GMW - $100 oil'!$A$2:$MC$200,MATCH(1,('GMW - $100 oil'!$MC$2:$MC$200=M$3)*('GMW - $100 oil'!$MB$2:$MB$200=M$4),0),$E123-1973)</f>
        <v>#N/A</v>
      </c>
      <c r="N123" t="e" cm="1">
        <f t="array" ref="N123">INDEX('GMW - $100 oil'!$A$2:$MC$200,MATCH(1,('GMW - $100 oil'!$MC$2:$MC$200=N$3)*('GMW - $100 oil'!$MB$2:$MB$200=N$4),0),$E123-1973)</f>
        <v>#N/A</v>
      </c>
      <c r="O123" t="e" cm="1">
        <f t="array" ref="O123">INDEX('GMW - $100 oil'!$A$2:$MC$200,MATCH(1,('GMW - $100 oil'!$MC$2:$MC$200=O$3)*('GMW - $100 oil'!$MB$2:$MB$200=O$4),0),$E123-1973)</f>
        <v>#N/A</v>
      </c>
      <c r="P123" t="e" cm="1">
        <f t="array" ref="P123">INDEX('GMW - $100 oil'!$A$2:$MC$200,MATCH(1,('GMW - $100 oil'!$MC$2:$MC$200=P$3)*('GMW - $100 oil'!$MB$2:$MB$200=P$4),0),$E123-1973)</f>
        <v>#N/A</v>
      </c>
      <c r="Q123" t="e" cm="1">
        <f t="array" ref="Q123">INDEX('GMW - $100 oil'!$A$2:$MC$200,MATCH(1,('GMW - $100 oil'!$MC$2:$MC$200=Q$3)*('GMW - $100 oil'!$MB$2:$MB$200=Q$4),0),$E123-1973)</f>
        <v>#N/A</v>
      </c>
      <c r="R123" t="e" cm="1">
        <f t="array" ref="R123">INDEX('GMW - $100 oil'!$A$2:$MC$200,MATCH(1,('GMW - $100 oil'!$MC$2:$MC$200=R$3)*('GMW - $100 oil'!$MB$2:$MB$200=R$4),0),$E123-1973)</f>
        <v>#N/A</v>
      </c>
      <c r="S123" t="e" cm="1">
        <f t="array" ref="S123">INDEX('GMW - $100 oil'!$A$2:$MC$200,MATCH(1,('GMW - $100 oil'!$MC$2:$MC$200=S$3)*('GMW - $100 oil'!$MB$2:$MB$200=S$4),0),$E123-1973)</f>
        <v>#N/A</v>
      </c>
      <c r="T123" t="e" cm="1">
        <f t="array" ref="T123">INDEX('GMW - $100 oil'!$A$2:$MC$200,MATCH(1,('GMW - $100 oil'!$MC$2:$MC$200=T$3)*('GMW - $100 oil'!$MB$2:$MB$200=T$4),0),$E123-1973)</f>
        <v>#N/A</v>
      </c>
    </row>
    <row r="124" spans="1:20" x14ac:dyDescent="0.25">
      <c r="B124">
        <f t="shared" ref="B124:D139" si="10">+B120+1</f>
        <v>2009</v>
      </c>
      <c r="C124">
        <f t="shared" si="10"/>
        <v>2009</v>
      </c>
      <c r="E124">
        <f t="shared" si="6"/>
        <v>2097</v>
      </c>
      <c r="F124" cm="1">
        <f t="array" ref="F124">INDEX('GMW - $100 oil'!$A$2:$MC$200,MATCH(1,('GMW - $100 oil'!$MC$2:$MC$200=F$3)*('GMW - $100 oil'!$MB$2:$MB$200=F$4),0),$E124-1973)</f>
        <v>548859</v>
      </c>
      <c r="G124" cm="1">
        <f t="array" ref="G124">INDEX('GMW - $100 oil'!$A$2:$MC$200,MATCH(1,('GMW - $100 oil'!$MC$2:$MC$200=G$3)*('GMW - $100 oil'!$MB$2:$MB$200=G$4),0),$E124-1973)</f>
        <v>332958</v>
      </c>
      <c r="H124" cm="1">
        <f t="array" ref="H124">INDEX('GMW - $100 oil'!$A$2:$MC$200,MATCH(1,('GMW - $100 oil'!$MC$2:$MC$200=H$3)*('GMW - $100 oil'!$MB$2:$MB$200=H$4),0),$E124-1973)</f>
        <v>86.366669999999999</v>
      </c>
      <c r="I124" cm="1">
        <f t="array" ref="I124">INDEX('GMW - $100 oil'!$A$2:$MC$200,MATCH(1,('GMW - $100 oil'!$MC$2:$MC$200=I$3)*('GMW - $100 oil'!$MB$2:$MB$200=I$4),0),$E124-1973)</f>
        <v>0.5</v>
      </c>
      <c r="J124" t="e" cm="1">
        <f t="array" ref="J124">INDEX('GMW - $100 oil'!$A$2:$MC$200,MATCH(1,('GMW - $100 oil'!$MC$2:$MC$200=J$3)*('GMW - $100 oil'!$MB$2:$MB$200=J$4),0),$E124-1973)</f>
        <v>#N/A</v>
      </c>
      <c r="K124" t="e" cm="1">
        <f t="array" ref="K124">INDEX('GMW - $100 oil'!$A$2:$MC$200,MATCH(1,('GMW - $100 oil'!$MC$2:$MC$200=K$3)*('GMW - $100 oil'!$MB$2:$MB$200=K$4),0),$E124-1973)</f>
        <v>#N/A</v>
      </c>
      <c r="L124" t="e" cm="1">
        <f t="array" ref="L124">INDEX('GMW - $100 oil'!$A$2:$MC$200,MATCH(1,('GMW - $100 oil'!$MC$2:$MC$200=L$3)*('GMW - $100 oil'!$MB$2:$MB$200=L$4),0),$E124-1973)</f>
        <v>#N/A</v>
      </c>
      <c r="M124" t="e" cm="1">
        <f t="array" ref="M124">INDEX('GMW - $100 oil'!$A$2:$MC$200,MATCH(1,('GMW - $100 oil'!$MC$2:$MC$200=M$3)*('GMW - $100 oil'!$MB$2:$MB$200=M$4),0),$E124-1973)</f>
        <v>#N/A</v>
      </c>
      <c r="N124" t="e" cm="1">
        <f t="array" ref="N124">INDEX('GMW - $100 oil'!$A$2:$MC$200,MATCH(1,('GMW - $100 oil'!$MC$2:$MC$200=N$3)*('GMW - $100 oil'!$MB$2:$MB$200=N$4),0),$E124-1973)</f>
        <v>#N/A</v>
      </c>
      <c r="O124" t="e" cm="1">
        <f t="array" ref="O124">INDEX('GMW - $100 oil'!$A$2:$MC$200,MATCH(1,('GMW - $100 oil'!$MC$2:$MC$200=O$3)*('GMW - $100 oil'!$MB$2:$MB$200=O$4),0),$E124-1973)</f>
        <v>#N/A</v>
      </c>
      <c r="P124" t="e" cm="1">
        <f t="array" ref="P124">INDEX('GMW - $100 oil'!$A$2:$MC$200,MATCH(1,('GMW - $100 oil'!$MC$2:$MC$200=P$3)*('GMW - $100 oil'!$MB$2:$MB$200=P$4),0),$E124-1973)</f>
        <v>#N/A</v>
      </c>
      <c r="Q124" t="e" cm="1">
        <f t="array" ref="Q124">INDEX('GMW - $100 oil'!$A$2:$MC$200,MATCH(1,('GMW - $100 oil'!$MC$2:$MC$200=Q$3)*('GMW - $100 oil'!$MB$2:$MB$200=Q$4),0),$E124-1973)</f>
        <v>#N/A</v>
      </c>
      <c r="R124" t="e" cm="1">
        <f t="array" ref="R124">INDEX('GMW - $100 oil'!$A$2:$MC$200,MATCH(1,('GMW - $100 oil'!$MC$2:$MC$200=R$3)*('GMW - $100 oil'!$MB$2:$MB$200=R$4),0),$E124-1973)</f>
        <v>#N/A</v>
      </c>
      <c r="S124" t="e" cm="1">
        <f t="array" ref="S124">INDEX('GMW - $100 oil'!$A$2:$MC$200,MATCH(1,('GMW - $100 oil'!$MC$2:$MC$200=S$3)*('GMW - $100 oil'!$MB$2:$MB$200=S$4),0),$E124-1973)</f>
        <v>#N/A</v>
      </c>
      <c r="T124" t="e" cm="1">
        <f t="array" ref="T124">INDEX('GMW - $100 oil'!$A$2:$MC$200,MATCH(1,('GMW - $100 oil'!$MC$2:$MC$200=T$3)*('GMW - $100 oil'!$MB$2:$MB$200=T$4),0),$E124-1973)</f>
        <v>#N/A</v>
      </c>
    </row>
    <row r="125" spans="1:20" x14ac:dyDescent="0.25">
      <c r="B125">
        <f t="shared" si="10"/>
        <v>2009</v>
      </c>
      <c r="C125">
        <f t="shared" si="10"/>
        <v>2009</v>
      </c>
      <c r="E125">
        <f t="shared" si="6"/>
        <v>2098</v>
      </c>
      <c r="F125" cm="1">
        <f t="array" ref="F125">INDEX('GMW - $100 oil'!$A$2:$MC$200,MATCH(1,('GMW - $100 oil'!$MC$2:$MC$200=F$3)*('GMW - $100 oil'!$MB$2:$MB$200=F$4),0),$E125-1973)</f>
        <v>549540</v>
      </c>
      <c r="G125" cm="1">
        <f t="array" ref="G125">INDEX('GMW - $100 oil'!$A$2:$MC$200,MATCH(1,('GMW - $100 oil'!$MC$2:$MC$200=G$3)*('GMW - $100 oil'!$MB$2:$MB$200=G$4),0),$E125-1973)</f>
        <v>333656</v>
      </c>
      <c r="H125" cm="1">
        <f t="array" ref="H125">INDEX('GMW - $100 oil'!$A$2:$MC$200,MATCH(1,('GMW - $100 oil'!$MC$2:$MC$200=H$3)*('GMW - $100 oil'!$MB$2:$MB$200=H$4),0),$E125-1973)</f>
        <v>86.933329999999998</v>
      </c>
      <c r="I125" cm="1">
        <f t="array" ref="I125">INDEX('GMW - $100 oil'!$A$2:$MC$200,MATCH(1,('GMW - $100 oil'!$MC$2:$MC$200=I$3)*('GMW - $100 oil'!$MB$2:$MB$200=I$4),0),$E125-1973)</f>
        <v>0.5</v>
      </c>
      <c r="J125" t="e" cm="1">
        <f t="array" ref="J125">INDEX('GMW - $100 oil'!$A$2:$MC$200,MATCH(1,('GMW - $100 oil'!$MC$2:$MC$200=J$3)*('GMW - $100 oil'!$MB$2:$MB$200=J$4),0),$E125-1973)</f>
        <v>#N/A</v>
      </c>
      <c r="K125" t="e" cm="1">
        <f t="array" ref="K125">INDEX('GMW - $100 oil'!$A$2:$MC$200,MATCH(1,('GMW - $100 oil'!$MC$2:$MC$200=K$3)*('GMW - $100 oil'!$MB$2:$MB$200=K$4),0),$E125-1973)</f>
        <v>#N/A</v>
      </c>
      <c r="L125" t="e" cm="1">
        <f t="array" ref="L125">INDEX('GMW - $100 oil'!$A$2:$MC$200,MATCH(1,('GMW - $100 oil'!$MC$2:$MC$200=L$3)*('GMW - $100 oil'!$MB$2:$MB$200=L$4),0),$E125-1973)</f>
        <v>#N/A</v>
      </c>
      <c r="M125" t="e" cm="1">
        <f t="array" ref="M125">INDEX('GMW - $100 oil'!$A$2:$MC$200,MATCH(1,('GMW - $100 oil'!$MC$2:$MC$200=M$3)*('GMW - $100 oil'!$MB$2:$MB$200=M$4),0),$E125-1973)</f>
        <v>#N/A</v>
      </c>
      <c r="N125" t="e" cm="1">
        <f t="array" ref="N125">INDEX('GMW - $100 oil'!$A$2:$MC$200,MATCH(1,('GMW - $100 oil'!$MC$2:$MC$200=N$3)*('GMW - $100 oil'!$MB$2:$MB$200=N$4),0),$E125-1973)</f>
        <v>#N/A</v>
      </c>
      <c r="O125" t="e" cm="1">
        <f t="array" ref="O125">INDEX('GMW - $100 oil'!$A$2:$MC$200,MATCH(1,('GMW - $100 oil'!$MC$2:$MC$200=O$3)*('GMW - $100 oil'!$MB$2:$MB$200=O$4),0),$E125-1973)</f>
        <v>#N/A</v>
      </c>
      <c r="P125" t="e" cm="1">
        <f t="array" ref="P125">INDEX('GMW - $100 oil'!$A$2:$MC$200,MATCH(1,('GMW - $100 oil'!$MC$2:$MC$200=P$3)*('GMW - $100 oil'!$MB$2:$MB$200=P$4),0),$E125-1973)</f>
        <v>#N/A</v>
      </c>
      <c r="Q125" t="e" cm="1">
        <f t="array" ref="Q125">INDEX('GMW - $100 oil'!$A$2:$MC$200,MATCH(1,('GMW - $100 oil'!$MC$2:$MC$200=Q$3)*('GMW - $100 oil'!$MB$2:$MB$200=Q$4),0),$E125-1973)</f>
        <v>#N/A</v>
      </c>
      <c r="R125" t="e" cm="1">
        <f t="array" ref="R125">INDEX('GMW - $100 oil'!$A$2:$MC$200,MATCH(1,('GMW - $100 oil'!$MC$2:$MC$200=R$3)*('GMW - $100 oil'!$MB$2:$MB$200=R$4),0),$E125-1973)</f>
        <v>#N/A</v>
      </c>
      <c r="S125" t="e" cm="1">
        <f t="array" ref="S125">INDEX('GMW - $100 oil'!$A$2:$MC$200,MATCH(1,('GMW - $100 oil'!$MC$2:$MC$200=S$3)*('GMW - $100 oil'!$MB$2:$MB$200=S$4),0),$E125-1973)</f>
        <v>#N/A</v>
      </c>
      <c r="T125" t="e" cm="1">
        <f t="array" ref="T125">INDEX('GMW - $100 oil'!$A$2:$MC$200,MATCH(1,('GMW - $100 oil'!$MC$2:$MC$200=T$3)*('GMW - $100 oil'!$MB$2:$MB$200=T$4),0),$E125-1973)</f>
        <v>#N/A</v>
      </c>
    </row>
    <row r="126" spans="1:20" x14ac:dyDescent="0.25">
      <c r="B126">
        <f t="shared" si="10"/>
        <v>2009</v>
      </c>
      <c r="C126">
        <f t="shared" si="10"/>
        <v>2009</v>
      </c>
      <c r="E126">
        <f t="shared" si="6"/>
        <v>2099</v>
      </c>
      <c r="F126" cm="1">
        <f t="array" ref="F126">INDEX('GMW - $100 oil'!$A$2:$MC$200,MATCH(1,('GMW - $100 oil'!$MC$2:$MC$200=F$3)*('GMW - $100 oil'!$MB$2:$MB$200=F$4),0),$E126-1973)</f>
        <v>551372</v>
      </c>
      <c r="G126" cm="1">
        <f t="array" ref="G126">INDEX('GMW - $100 oil'!$A$2:$MC$200,MATCH(1,('GMW - $100 oil'!$MC$2:$MC$200=G$3)*('GMW - $100 oil'!$MB$2:$MB$200=G$4),0),$E126-1973)</f>
        <v>336375</v>
      </c>
      <c r="H126" cm="1">
        <f t="array" ref="H126">INDEX('GMW - $100 oil'!$A$2:$MC$200,MATCH(1,('GMW - $100 oil'!$MC$2:$MC$200=H$3)*('GMW - $100 oil'!$MB$2:$MB$200=H$4),0),$E126-1973)</f>
        <v>87.566670000000002</v>
      </c>
      <c r="I126" cm="1">
        <f t="array" ref="I126">INDEX('GMW - $100 oil'!$A$2:$MC$200,MATCH(1,('GMW - $100 oil'!$MC$2:$MC$200=I$3)*('GMW - $100 oil'!$MB$2:$MB$200=I$4),0),$E126-1973)</f>
        <v>0.5</v>
      </c>
      <c r="J126" t="e" cm="1">
        <f t="array" ref="J126">INDEX('GMW - $100 oil'!$A$2:$MC$200,MATCH(1,('GMW - $100 oil'!$MC$2:$MC$200=J$3)*('GMW - $100 oil'!$MB$2:$MB$200=J$4),0),$E126-1973)</f>
        <v>#N/A</v>
      </c>
      <c r="K126" t="e" cm="1">
        <f t="array" ref="K126">INDEX('GMW - $100 oil'!$A$2:$MC$200,MATCH(1,('GMW - $100 oil'!$MC$2:$MC$200=K$3)*('GMW - $100 oil'!$MB$2:$MB$200=K$4),0),$E126-1973)</f>
        <v>#N/A</v>
      </c>
      <c r="L126" t="e" cm="1">
        <f t="array" ref="L126">INDEX('GMW - $100 oil'!$A$2:$MC$200,MATCH(1,('GMW - $100 oil'!$MC$2:$MC$200=L$3)*('GMW - $100 oil'!$MB$2:$MB$200=L$4),0),$E126-1973)</f>
        <v>#N/A</v>
      </c>
      <c r="M126" t="e" cm="1">
        <f t="array" ref="M126">INDEX('GMW - $100 oil'!$A$2:$MC$200,MATCH(1,('GMW - $100 oil'!$MC$2:$MC$200=M$3)*('GMW - $100 oil'!$MB$2:$MB$200=M$4),0),$E126-1973)</f>
        <v>#N/A</v>
      </c>
      <c r="N126" t="e" cm="1">
        <f t="array" ref="N126">INDEX('GMW - $100 oil'!$A$2:$MC$200,MATCH(1,('GMW - $100 oil'!$MC$2:$MC$200=N$3)*('GMW - $100 oil'!$MB$2:$MB$200=N$4),0),$E126-1973)</f>
        <v>#N/A</v>
      </c>
      <c r="O126" t="e" cm="1">
        <f t="array" ref="O126">INDEX('GMW - $100 oil'!$A$2:$MC$200,MATCH(1,('GMW - $100 oil'!$MC$2:$MC$200=O$3)*('GMW - $100 oil'!$MB$2:$MB$200=O$4),0),$E126-1973)</f>
        <v>#N/A</v>
      </c>
      <c r="P126" t="e" cm="1">
        <f t="array" ref="P126">INDEX('GMW - $100 oil'!$A$2:$MC$200,MATCH(1,('GMW - $100 oil'!$MC$2:$MC$200=P$3)*('GMW - $100 oil'!$MB$2:$MB$200=P$4),0),$E126-1973)</f>
        <v>#N/A</v>
      </c>
      <c r="Q126" t="e" cm="1">
        <f t="array" ref="Q126">INDEX('GMW - $100 oil'!$A$2:$MC$200,MATCH(1,('GMW - $100 oil'!$MC$2:$MC$200=Q$3)*('GMW - $100 oil'!$MB$2:$MB$200=Q$4),0),$E126-1973)</f>
        <v>#N/A</v>
      </c>
      <c r="R126" t="e" cm="1">
        <f t="array" ref="R126">INDEX('GMW - $100 oil'!$A$2:$MC$200,MATCH(1,('GMW - $100 oil'!$MC$2:$MC$200=R$3)*('GMW - $100 oil'!$MB$2:$MB$200=R$4),0),$E126-1973)</f>
        <v>#N/A</v>
      </c>
      <c r="S126" t="e" cm="1">
        <f t="array" ref="S126">INDEX('GMW - $100 oil'!$A$2:$MC$200,MATCH(1,('GMW - $100 oil'!$MC$2:$MC$200=S$3)*('GMW - $100 oil'!$MB$2:$MB$200=S$4),0),$E126-1973)</f>
        <v>#N/A</v>
      </c>
      <c r="T126" t="e" cm="1">
        <f t="array" ref="T126">INDEX('GMW - $100 oil'!$A$2:$MC$200,MATCH(1,('GMW - $100 oil'!$MC$2:$MC$200=T$3)*('GMW - $100 oil'!$MB$2:$MB$200=T$4),0),$E126-1973)</f>
        <v>#N/A</v>
      </c>
    </row>
    <row r="127" spans="1:20" x14ac:dyDescent="0.25">
      <c r="A127">
        <v>2010</v>
      </c>
      <c r="B127">
        <f t="shared" si="10"/>
        <v>2010</v>
      </c>
      <c r="C127">
        <f t="shared" si="10"/>
        <v>2009</v>
      </c>
      <c r="D127">
        <f t="shared" si="10"/>
        <v>2009</v>
      </c>
      <c r="E127">
        <f t="shared" si="6"/>
        <v>2100</v>
      </c>
      <c r="F127" cm="1">
        <f t="array" ref="F127">INDEX('GMW - $100 oil'!$A$2:$MC$200,MATCH(1,('GMW - $100 oil'!$MC$2:$MC$200=F$3)*('GMW - $100 oil'!$MB$2:$MB$200=F$4),0),$E127-1973)</f>
        <v>556002</v>
      </c>
      <c r="G127" cm="1">
        <f t="array" ref="G127">INDEX('GMW - $100 oil'!$A$2:$MC$200,MATCH(1,('GMW - $100 oil'!$MC$2:$MC$200=G$3)*('GMW - $100 oil'!$MB$2:$MB$200=G$4),0),$E127-1973)</f>
        <v>335932</v>
      </c>
      <c r="H127" cm="1">
        <f t="array" ref="H127">INDEX('GMW - $100 oil'!$A$2:$MC$200,MATCH(1,('GMW - $100 oil'!$MC$2:$MC$200=H$3)*('GMW - $100 oil'!$MB$2:$MB$200=H$4),0),$E127-1973)</f>
        <v>88.233329999999995</v>
      </c>
      <c r="I127" cm="1">
        <f t="array" ref="I127">INDEX('GMW - $100 oil'!$A$2:$MC$200,MATCH(1,('GMW - $100 oil'!$MC$2:$MC$200=I$3)*('GMW - $100 oil'!$MB$2:$MB$200=I$4),0),$E127-1973)</f>
        <v>0.5</v>
      </c>
      <c r="J127" t="e" cm="1">
        <f t="array" ref="J127">INDEX('GMW - $100 oil'!$A$2:$MC$200,MATCH(1,('GMW - $100 oil'!$MC$2:$MC$200=J$3)*('GMW - $100 oil'!$MB$2:$MB$200=J$4),0),$E127-1973)</f>
        <v>#N/A</v>
      </c>
      <c r="K127" t="e" cm="1">
        <f t="array" ref="K127">INDEX('GMW - $100 oil'!$A$2:$MC$200,MATCH(1,('GMW - $100 oil'!$MC$2:$MC$200=K$3)*('GMW - $100 oil'!$MB$2:$MB$200=K$4),0),$E127-1973)</f>
        <v>#N/A</v>
      </c>
      <c r="L127" t="e" cm="1">
        <f t="array" ref="L127">INDEX('GMW - $100 oil'!$A$2:$MC$200,MATCH(1,('GMW - $100 oil'!$MC$2:$MC$200=L$3)*('GMW - $100 oil'!$MB$2:$MB$200=L$4),0),$E127-1973)</f>
        <v>#N/A</v>
      </c>
      <c r="M127" t="e" cm="1">
        <f t="array" ref="M127">INDEX('GMW - $100 oil'!$A$2:$MC$200,MATCH(1,('GMW - $100 oil'!$MC$2:$MC$200=M$3)*('GMW - $100 oil'!$MB$2:$MB$200=M$4),0),$E127-1973)</f>
        <v>#N/A</v>
      </c>
      <c r="N127" t="e" cm="1">
        <f t="array" ref="N127">INDEX('GMW - $100 oil'!$A$2:$MC$200,MATCH(1,('GMW - $100 oil'!$MC$2:$MC$200=N$3)*('GMW - $100 oil'!$MB$2:$MB$200=N$4),0),$E127-1973)</f>
        <v>#N/A</v>
      </c>
      <c r="O127" t="e" cm="1">
        <f t="array" ref="O127">INDEX('GMW - $100 oil'!$A$2:$MC$200,MATCH(1,('GMW - $100 oil'!$MC$2:$MC$200=O$3)*('GMW - $100 oil'!$MB$2:$MB$200=O$4),0),$E127-1973)</f>
        <v>#N/A</v>
      </c>
      <c r="P127" t="e" cm="1">
        <f t="array" ref="P127">INDEX('GMW - $100 oil'!$A$2:$MC$200,MATCH(1,('GMW - $100 oil'!$MC$2:$MC$200=P$3)*('GMW - $100 oil'!$MB$2:$MB$200=P$4),0),$E127-1973)</f>
        <v>#N/A</v>
      </c>
      <c r="Q127" t="e" cm="1">
        <f t="array" ref="Q127">INDEX('GMW - $100 oil'!$A$2:$MC$200,MATCH(1,('GMW - $100 oil'!$MC$2:$MC$200=Q$3)*('GMW - $100 oil'!$MB$2:$MB$200=Q$4),0),$E127-1973)</f>
        <v>#N/A</v>
      </c>
      <c r="R127" t="e" cm="1">
        <f t="array" ref="R127">INDEX('GMW - $100 oil'!$A$2:$MC$200,MATCH(1,('GMW - $100 oil'!$MC$2:$MC$200=R$3)*('GMW - $100 oil'!$MB$2:$MB$200=R$4),0),$E127-1973)</f>
        <v>#N/A</v>
      </c>
      <c r="S127" t="e" cm="1">
        <f t="array" ref="S127">INDEX('GMW - $100 oil'!$A$2:$MC$200,MATCH(1,('GMW - $100 oil'!$MC$2:$MC$200=S$3)*('GMW - $100 oil'!$MB$2:$MB$200=S$4),0),$E127-1973)</f>
        <v>#N/A</v>
      </c>
      <c r="T127" t="e" cm="1">
        <f t="array" ref="T127">INDEX('GMW - $100 oil'!$A$2:$MC$200,MATCH(1,('GMW - $100 oil'!$MC$2:$MC$200=T$3)*('GMW - $100 oil'!$MB$2:$MB$200=T$4),0),$E127-1973)</f>
        <v>#N/A</v>
      </c>
    </row>
    <row r="128" spans="1:20" x14ac:dyDescent="0.25">
      <c r="B128">
        <f t="shared" si="10"/>
        <v>2010</v>
      </c>
      <c r="C128">
        <f t="shared" si="10"/>
        <v>2010</v>
      </c>
      <c r="E128">
        <f t="shared" si="6"/>
        <v>2101</v>
      </c>
      <c r="F128" cm="1">
        <f t="array" ref="F128">INDEX('GMW - $100 oil'!$A$2:$MC$200,MATCH(1,('GMW - $100 oil'!$MC$2:$MC$200=F$3)*('GMW - $100 oil'!$MB$2:$MB$200=F$4),0),$E128-1973)</f>
        <v>562353</v>
      </c>
      <c r="G128" cm="1">
        <f t="array" ref="G128">INDEX('GMW - $100 oil'!$A$2:$MC$200,MATCH(1,('GMW - $100 oil'!$MC$2:$MC$200=G$3)*('GMW - $100 oil'!$MB$2:$MB$200=G$4),0),$E128-1973)</f>
        <v>345407</v>
      </c>
      <c r="H128" cm="1">
        <f t="array" ref="H128">INDEX('GMW - $100 oil'!$A$2:$MC$200,MATCH(1,('GMW - $100 oil'!$MC$2:$MC$200=H$3)*('GMW - $100 oil'!$MB$2:$MB$200=H$4),0),$E128-1973)</f>
        <v>89.366669999999999</v>
      </c>
      <c r="I128" cm="1">
        <f t="array" ref="I128">INDEX('GMW - $100 oil'!$A$2:$MC$200,MATCH(1,('GMW - $100 oil'!$MC$2:$MC$200=I$3)*('GMW - $100 oil'!$MB$2:$MB$200=I$4),0),$E128-1973)</f>
        <v>0.5</v>
      </c>
      <c r="J128" t="e" cm="1">
        <f t="array" ref="J128">INDEX('GMW - $100 oil'!$A$2:$MC$200,MATCH(1,('GMW - $100 oil'!$MC$2:$MC$200=J$3)*('GMW - $100 oil'!$MB$2:$MB$200=J$4),0),$E128-1973)</f>
        <v>#N/A</v>
      </c>
      <c r="K128" t="e" cm="1">
        <f t="array" ref="K128">INDEX('GMW - $100 oil'!$A$2:$MC$200,MATCH(1,('GMW - $100 oil'!$MC$2:$MC$200=K$3)*('GMW - $100 oil'!$MB$2:$MB$200=K$4),0),$E128-1973)</f>
        <v>#N/A</v>
      </c>
      <c r="L128" t="e" cm="1">
        <f t="array" ref="L128">INDEX('GMW - $100 oil'!$A$2:$MC$200,MATCH(1,('GMW - $100 oil'!$MC$2:$MC$200=L$3)*('GMW - $100 oil'!$MB$2:$MB$200=L$4),0),$E128-1973)</f>
        <v>#N/A</v>
      </c>
      <c r="M128" t="e" cm="1">
        <f t="array" ref="M128">INDEX('GMW - $100 oil'!$A$2:$MC$200,MATCH(1,('GMW - $100 oil'!$MC$2:$MC$200=M$3)*('GMW - $100 oil'!$MB$2:$MB$200=M$4),0),$E128-1973)</f>
        <v>#N/A</v>
      </c>
      <c r="N128" t="e" cm="1">
        <f t="array" ref="N128">INDEX('GMW - $100 oil'!$A$2:$MC$200,MATCH(1,('GMW - $100 oil'!$MC$2:$MC$200=N$3)*('GMW - $100 oil'!$MB$2:$MB$200=N$4),0),$E128-1973)</f>
        <v>#N/A</v>
      </c>
      <c r="O128" t="e" cm="1">
        <f t="array" ref="O128">INDEX('GMW - $100 oil'!$A$2:$MC$200,MATCH(1,('GMW - $100 oil'!$MC$2:$MC$200=O$3)*('GMW - $100 oil'!$MB$2:$MB$200=O$4),0),$E128-1973)</f>
        <v>#N/A</v>
      </c>
      <c r="P128" t="e" cm="1">
        <f t="array" ref="P128">INDEX('GMW - $100 oil'!$A$2:$MC$200,MATCH(1,('GMW - $100 oil'!$MC$2:$MC$200=P$3)*('GMW - $100 oil'!$MB$2:$MB$200=P$4),0),$E128-1973)</f>
        <v>#N/A</v>
      </c>
      <c r="Q128" t="e" cm="1">
        <f t="array" ref="Q128">INDEX('GMW - $100 oil'!$A$2:$MC$200,MATCH(1,('GMW - $100 oil'!$MC$2:$MC$200=Q$3)*('GMW - $100 oil'!$MB$2:$MB$200=Q$4),0),$E128-1973)</f>
        <v>#N/A</v>
      </c>
      <c r="R128" t="e" cm="1">
        <f t="array" ref="R128">INDEX('GMW - $100 oil'!$A$2:$MC$200,MATCH(1,('GMW - $100 oil'!$MC$2:$MC$200=R$3)*('GMW - $100 oil'!$MB$2:$MB$200=R$4),0),$E128-1973)</f>
        <v>#N/A</v>
      </c>
      <c r="S128" t="e" cm="1">
        <f t="array" ref="S128">INDEX('GMW - $100 oil'!$A$2:$MC$200,MATCH(1,('GMW - $100 oil'!$MC$2:$MC$200=S$3)*('GMW - $100 oil'!$MB$2:$MB$200=S$4),0),$E128-1973)</f>
        <v>#N/A</v>
      </c>
      <c r="T128" t="e" cm="1">
        <f t="array" ref="T128">INDEX('GMW - $100 oil'!$A$2:$MC$200,MATCH(1,('GMW - $100 oil'!$MC$2:$MC$200=T$3)*('GMW - $100 oil'!$MB$2:$MB$200=T$4),0),$E128-1973)</f>
        <v>#N/A</v>
      </c>
    </row>
    <row r="129" spans="1:20" x14ac:dyDescent="0.25">
      <c r="B129">
        <f t="shared" si="10"/>
        <v>2010</v>
      </c>
      <c r="C129">
        <f t="shared" si="10"/>
        <v>2010</v>
      </c>
      <c r="E129">
        <f t="shared" si="6"/>
        <v>2102</v>
      </c>
      <c r="F129" cm="1">
        <f t="array" ref="F129">INDEX('GMW - $100 oil'!$A$2:$MC$200,MATCH(1,('GMW - $100 oil'!$MC$2:$MC$200=F$3)*('GMW - $100 oil'!$MB$2:$MB$200=F$4),0),$E129-1973)</f>
        <v>565659</v>
      </c>
      <c r="G129" cm="1">
        <f t="array" ref="G129">INDEX('GMW - $100 oil'!$A$2:$MC$200,MATCH(1,('GMW - $100 oil'!$MC$2:$MC$200=G$3)*('GMW - $100 oil'!$MB$2:$MB$200=G$4),0),$E129-1973)</f>
        <v>346142</v>
      </c>
      <c r="H129" cm="1">
        <f t="array" ref="H129">INDEX('GMW - $100 oil'!$A$2:$MC$200,MATCH(1,('GMW - $100 oil'!$MC$2:$MC$200=H$3)*('GMW - $100 oil'!$MB$2:$MB$200=H$4),0),$E129-1973)</f>
        <v>89.633330000000001</v>
      </c>
      <c r="I129" cm="1">
        <f t="array" ref="I129">INDEX('GMW - $100 oil'!$A$2:$MC$200,MATCH(1,('GMW - $100 oil'!$MC$2:$MC$200=I$3)*('GMW - $100 oil'!$MB$2:$MB$200=I$4),0),$E129-1973)</f>
        <v>0.5</v>
      </c>
      <c r="J129" t="e" cm="1">
        <f t="array" ref="J129">INDEX('GMW - $100 oil'!$A$2:$MC$200,MATCH(1,('GMW - $100 oil'!$MC$2:$MC$200=J$3)*('GMW - $100 oil'!$MB$2:$MB$200=J$4),0),$E129-1973)</f>
        <v>#N/A</v>
      </c>
      <c r="K129" t="e" cm="1">
        <f t="array" ref="K129">INDEX('GMW - $100 oil'!$A$2:$MC$200,MATCH(1,('GMW - $100 oil'!$MC$2:$MC$200=K$3)*('GMW - $100 oil'!$MB$2:$MB$200=K$4),0),$E129-1973)</f>
        <v>#N/A</v>
      </c>
      <c r="L129" t="e" cm="1">
        <f t="array" ref="L129">INDEX('GMW - $100 oil'!$A$2:$MC$200,MATCH(1,('GMW - $100 oil'!$MC$2:$MC$200=L$3)*('GMW - $100 oil'!$MB$2:$MB$200=L$4),0),$E129-1973)</f>
        <v>#N/A</v>
      </c>
      <c r="M129" t="e" cm="1">
        <f t="array" ref="M129">INDEX('GMW - $100 oil'!$A$2:$MC$200,MATCH(1,('GMW - $100 oil'!$MC$2:$MC$200=M$3)*('GMW - $100 oil'!$MB$2:$MB$200=M$4),0),$E129-1973)</f>
        <v>#N/A</v>
      </c>
      <c r="N129" t="e" cm="1">
        <f t="array" ref="N129">INDEX('GMW - $100 oil'!$A$2:$MC$200,MATCH(1,('GMW - $100 oil'!$MC$2:$MC$200=N$3)*('GMW - $100 oil'!$MB$2:$MB$200=N$4),0),$E129-1973)</f>
        <v>#N/A</v>
      </c>
      <c r="O129" t="e" cm="1">
        <f t="array" ref="O129">INDEX('GMW - $100 oil'!$A$2:$MC$200,MATCH(1,('GMW - $100 oil'!$MC$2:$MC$200=O$3)*('GMW - $100 oil'!$MB$2:$MB$200=O$4),0),$E129-1973)</f>
        <v>#N/A</v>
      </c>
      <c r="P129" t="e" cm="1">
        <f t="array" ref="P129">INDEX('GMW - $100 oil'!$A$2:$MC$200,MATCH(1,('GMW - $100 oil'!$MC$2:$MC$200=P$3)*('GMW - $100 oil'!$MB$2:$MB$200=P$4),0),$E129-1973)</f>
        <v>#N/A</v>
      </c>
      <c r="Q129" t="e" cm="1">
        <f t="array" ref="Q129">INDEX('GMW - $100 oil'!$A$2:$MC$200,MATCH(1,('GMW - $100 oil'!$MC$2:$MC$200=Q$3)*('GMW - $100 oil'!$MB$2:$MB$200=Q$4),0),$E129-1973)</f>
        <v>#N/A</v>
      </c>
      <c r="R129" t="e" cm="1">
        <f t="array" ref="R129">INDEX('GMW - $100 oil'!$A$2:$MC$200,MATCH(1,('GMW - $100 oil'!$MC$2:$MC$200=R$3)*('GMW - $100 oil'!$MB$2:$MB$200=R$4),0),$E129-1973)</f>
        <v>#N/A</v>
      </c>
      <c r="S129" t="e" cm="1">
        <f t="array" ref="S129">INDEX('GMW - $100 oil'!$A$2:$MC$200,MATCH(1,('GMW - $100 oil'!$MC$2:$MC$200=S$3)*('GMW - $100 oil'!$MB$2:$MB$200=S$4),0),$E129-1973)</f>
        <v>#N/A</v>
      </c>
      <c r="T129" t="e" cm="1">
        <f t="array" ref="T129">INDEX('GMW - $100 oil'!$A$2:$MC$200,MATCH(1,('GMW - $100 oil'!$MC$2:$MC$200=T$3)*('GMW - $100 oil'!$MB$2:$MB$200=T$4),0),$E129-1973)</f>
        <v>#N/A</v>
      </c>
    </row>
    <row r="130" spans="1:20" x14ac:dyDescent="0.25">
      <c r="B130">
        <f t="shared" si="10"/>
        <v>2010</v>
      </c>
      <c r="C130">
        <f t="shared" si="10"/>
        <v>2010</v>
      </c>
      <c r="E130">
        <f t="shared" si="6"/>
        <v>2103</v>
      </c>
      <c r="F130" cm="1">
        <f t="array" ref="F130">INDEX('GMW - $100 oil'!$A$2:$MC$200,MATCH(1,('GMW - $100 oil'!$MC$2:$MC$200=F$3)*('GMW - $100 oil'!$MB$2:$MB$200=F$4),0),$E130-1973)</f>
        <v>565945</v>
      </c>
      <c r="G130" cm="1">
        <f t="array" ref="G130">INDEX('GMW - $100 oil'!$A$2:$MC$200,MATCH(1,('GMW - $100 oil'!$MC$2:$MC$200=G$3)*('GMW - $100 oil'!$MB$2:$MB$200=G$4),0),$E130-1973)</f>
        <v>345426</v>
      </c>
      <c r="H130" cm="1">
        <f t="array" ref="H130">INDEX('GMW - $100 oil'!$A$2:$MC$200,MATCH(1,('GMW - $100 oil'!$MC$2:$MC$200=H$3)*('GMW - $100 oil'!$MB$2:$MB$200=H$4),0),$E130-1973)</f>
        <v>90.5</v>
      </c>
      <c r="I130" cm="1">
        <f t="array" ref="I130">INDEX('GMW - $100 oil'!$A$2:$MC$200,MATCH(1,('GMW - $100 oil'!$MC$2:$MC$200=I$3)*('GMW - $100 oil'!$MB$2:$MB$200=I$4),0),$E130-1973)</f>
        <v>0.5</v>
      </c>
      <c r="J130" t="e" cm="1">
        <f t="array" ref="J130">INDEX('GMW - $100 oil'!$A$2:$MC$200,MATCH(1,('GMW - $100 oil'!$MC$2:$MC$200=J$3)*('GMW - $100 oil'!$MB$2:$MB$200=J$4),0),$E130-1973)</f>
        <v>#N/A</v>
      </c>
      <c r="K130" t="e" cm="1">
        <f t="array" ref="K130">INDEX('GMW - $100 oil'!$A$2:$MC$200,MATCH(1,('GMW - $100 oil'!$MC$2:$MC$200=K$3)*('GMW - $100 oil'!$MB$2:$MB$200=K$4),0),$E130-1973)</f>
        <v>#N/A</v>
      </c>
      <c r="L130" t="e" cm="1">
        <f t="array" ref="L130">INDEX('GMW - $100 oil'!$A$2:$MC$200,MATCH(1,('GMW - $100 oil'!$MC$2:$MC$200=L$3)*('GMW - $100 oil'!$MB$2:$MB$200=L$4),0),$E130-1973)</f>
        <v>#N/A</v>
      </c>
      <c r="M130" t="e" cm="1">
        <f t="array" ref="M130">INDEX('GMW - $100 oil'!$A$2:$MC$200,MATCH(1,('GMW - $100 oil'!$MC$2:$MC$200=M$3)*('GMW - $100 oil'!$MB$2:$MB$200=M$4),0),$E130-1973)</f>
        <v>#N/A</v>
      </c>
      <c r="N130" t="e" cm="1">
        <f t="array" ref="N130">INDEX('GMW - $100 oil'!$A$2:$MC$200,MATCH(1,('GMW - $100 oil'!$MC$2:$MC$200=N$3)*('GMW - $100 oil'!$MB$2:$MB$200=N$4),0),$E130-1973)</f>
        <v>#N/A</v>
      </c>
      <c r="O130" t="e" cm="1">
        <f t="array" ref="O130">INDEX('GMW - $100 oil'!$A$2:$MC$200,MATCH(1,('GMW - $100 oil'!$MC$2:$MC$200=O$3)*('GMW - $100 oil'!$MB$2:$MB$200=O$4),0),$E130-1973)</f>
        <v>#N/A</v>
      </c>
      <c r="P130" t="e" cm="1">
        <f t="array" ref="P130">INDEX('GMW - $100 oil'!$A$2:$MC$200,MATCH(1,('GMW - $100 oil'!$MC$2:$MC$200=P$3)*('GMW - $100 oil'!$MB$2:$MB$200=P$4),0),$E130-1973)</f>
        <v>#N/A</v>
      </c>
      <c r="Q130" t="e" cm="1">
        <f t="array" ref="Q130">INDEX('GMW - $100 oil'!$A$2:$MC$200,MATCH(1,('GMW - $100 oil'!$MC$2:$MC$200=Q$3)*('GMW - $100 oil'!$MB$2:$MB$200=Q$4),0),$E130-1973)</f>
        <v>#N/A</v>
      </c>
      <c r="R130" t="e" cm="1">
        <f t="array" ref="R130">INDEX('GMW - $100 oil'!$A$2:$MC$200,MATCH(1,('GMW - $100 oil'!$MC$2:$MC$200=R$3)*('GMW - $100 oil'!$MB$2:$MB$200=R$4),0),$E130-1973)</f>
        <v>#N/A</v>
      </c>
      <c r="S130" t="e" cm="1">
        <f t="array" ref="S130">INDEX('GMW - $100 oil'!$A$2:$MC$200,MATCH(1,('GMW - $100 oil'!$MC$2:$MC$200=S$3)*('GMW - $100 oil'!$MB$2:$MB$200=S$4),0),$E130-1973)</f>
        <v>#N/A</v>
      </c>
      <c r="T130" t="e" cm="1">
        <f t="array" ref="T130">INDEX('GMW - $100 oil'!$A$2:$MC$200,MATCH(1,('GMW - $100 oil'!$MC$2:$MC$200=T$3)*('GMW - $100 oil'!$MB$2:$MB$200=T$4),0),$E130-1973)</f>
        <v>#N/A</v>
      </c>
    </row>
    <row r="131" spans="1:20" x14ac:dyDescent="0.25">
      <c r="A131">
        <v>2011</v>
      </c>
      <c r="B131">
        <f t="shared" si="10"/>
        <v>2011</v>
      </c>
      <c r="C131">
        <f t="shared" si="10"/>
        <v>2010</v>
      </c>
      <c r="D131">
        <f t="shared" si="10"/>
        <v>2010</v>
      </c>
      <c r="E131">
        <f t="shared" si="6"/>
        <v>2104</v>
      </c>
      <c r="F131" cm="1">
        <f t="array" ref="F131">INDEX('GMW - $100 oil'!$A$2:$MC$200,MATCH(1,('GMW - $100 oil'!$MC$2:$MC$200=F$3)*('GMW - $100 oil'!$MB$2:$MB$200=F$4),0),$E131-1973)</f>
        <v>566873</v>
      </c>
      <c r="G131" cm="1">
        <f t="array" ref="G131">INDEX('GMW - $100 oil'!$A$2:$MC$200,MATCH(1,('GMW - $100 oil'!$MC$2:$MC$200=G$3)*('GMW - $100 oil'!$MB$2:$MB$200=G$4),0),$E131-1973)</f>
        <v>342009</v>
      </c>
      <c r="H131" cm="1">
        <f t="array" ref="H131">INDEX('GMW - $100 oil'!$A$2:$MC$200,MATCH(1,('GMW - $100 oil'!$MC$2:$MC$200=H$3)*('GMW - $100 oil'!$MB$2:$MB$200=H$4),0),$E131-1973)</f>
        <v>91.833340000000007</v>
      </c>
      <c r="I131" cm="1">
        <f t="array" ref="I131">INDEX('GMW - $100 oil'!$A$2:$MC$200,MATCH(1,('GMW - $100 oil'!$MC$2:$MC$200=I$3)*('GMW - $100 oil'!$MB$2:$MB$200=I$4),0),$E131-1973)</f>
        <v>0.5</v>
      </c>
      <c r="J131" t="e" cm="1">
        <f t="array" ref="J131">INDEX('GMW - $100 oil'!$A$2:$MC$200,MATCH(1,('GMW - $100 oil'!$MC$2:$MC$200=J$3)*('GMW - $100 oil'!$MB$2:$MB$200=J$4),0),$E131-1973)</f>
        <v>#N/A</v>
      </c>
      <c r="K131" t="e" cm="1">
        <f t="array" ref="K131">INDEX('GMW - $100 oil'!$A$2:$MC$200,MATCH(1,('GMW - $100 oil'!$MC$2:$MC$200=K$3)*('GMW - $100 oil'!$MB$2:$MB$200=K$4),0),$E131-1973)</f>
        <v>#N/A</v>
      </c>
      <c r="L131" t="e" cm="1">
        <f t="array" ref="L131">INDEX('GMW - $100 oil'!$A$2:$MC$200,MATCH(1,('GMW - $100 oil'!$MC$2:$MC$200=L$3)*('GMW - $100 oil'!$MB$2:$MB$200=L$4),0),$E131-1973)</f>
        <v>#N/A</v>
      </c>
      <c r="M131" t="e" cm="1">
        <f t="array" ref="M131">INDEX('GMW - $100 oil'!$A$2:$MC$200,MATCH(1,('GMW - $100 oil'!$MC$2:$MC$200=M$3)*('GMW - $100 oil'!$MB$2:$MB$200=M$4),0),$E131-1973)</f>
        <v>#N/A</v>
      </c>
      <c r="N131" t="e" cm="1">
        <f t="array" ref="N131">INDEX('GMW - $100 oil'!$A$2:$MC$200,MATCH(1,('GMW - $100 oil'!$MC$2:$MC$200=N$3)*('GMW - $100 oil'!$MB$2:$MB$200=N$4),0),$E131-1973)</f>
        <v>#N/A</v>
      </c>
      <c r="O131" t="e" cm="1">
        <f t="array" ref="O131">INDEX('GMW - $100 oil'!$A$2:$MC$200,MATCH(1,('GMW - $100 oil'!$MC$2:$MC$200=O$3)*('GMW - $100 oil'!$MB$2:$MB$200=O$4),0),$E131-1973)</f>
        <v>#N/A</v>
      </c>
      <c r="P131" t="e" cm="1">
        <f t="array" ref="P131">INDEX('GMW - $100 oil'!$A$2:$MC$200,MATCH(1,('GMW - $100 oil'!$MC$2:$MC$200=P$3)*('GMW - $100 oil'!$MB$2:$MB$200=P$4),0),$E131-1973)</f>
        <v>#N/A</v>
      </c>
      <c r="Q131" t="e" cm="1">
        <f t="array" ref="Q131">INDEX('GMW - $100 oil'!$A$2:$MC$200,MATCH(1,('GMW - $100 oil'!$MC$2:$MC$200=Q$3)*('GMW - $100 oil'!$MB$2:$MB$200=Q$4),0),$E131-1973)</f>
        <v>#N/A</v>
      </c>
      <c r="R131" t="e" cm="1">
        <f t="array" ref="R131">INDEX('GMW - $100 oil'!$A$2:$MC$200,MATCH(1,('GMW - $100 oil'!$MC$2:$MC$200=R$3)*('GMW - $100 oil'!$MB$2:$MB$200=R$4),0),$E131-1973)</f>
        <v>#N/A</v>
      </c>
      <c r="S131" t="e" cm="1">
        <f t="array" ref="S131">INDEX('GMW - $100 oil'!$A$2:$MC$200,MATCH(1,('GMW - $100 oil'!$MC$2:$MC$200=S$3)*('GMW - $100 oil'!$MB$2:$MB$200=S$4),0),$E131-1973)</f>
        <v>#N/A</v>
      </c>
      <c r="T131" t="e" cm="1">
        <f t="array" ref="T131">INDEX('GMW - $100 oil'!$A$2:$MC$200,MATCH(1,('GMW - $100 oil'!$MC$2:$MC$200=T$3)*('GMW - $100 oil'!$MB$2:$MB$200=T$4),0),$E131-1973)</f>
        <v>#N/A</v>
      </c>
    </row>
    <row r="132" spans="1:20" x14ac:dyDescent="0.25">
      <c r="B132">
        <f t="shared" si="10"/>
        <v>2011</v>
      </c>
      <c r="C132">
        <f t="shared" si="10"/>
        <v>2011</v>
      </c>
      <c r="E132">
        <f t="shared" si="6"/>
        <v>2105</v>
      </c>
      <c r="F132" cm="1">
        <f t="array" ref="F132">INDEX('GMW - $100 oil'!$A$2:$MC$200,MATCH(1,('GMW - $100 oil'!$MC$2:$MC$200=F$3)*('GMW - $100 oil'!$MB$2:$MB$200=F$4),0),$E132-1973)</f>
        <v>566601</v>
      </c>
      <c r="G132" cm="1">
        <f t="array" ref="G132">INDEX('GMW - $100 oil'!$A$2:$MC$200,MATCH(1,('GMW - $100 oil'!$MC$2:$MC$200=G$3)*('GMW - $100 oil'!$MB$2:$MB$200=G$4),0),$E132-1973)</f>
        <v>340153</v>
      </c>
      <c r="H132" cm="1">
        <f t="array" ref="H132">INDEX('GMW - $100 oil'!$A$2:$MC$200,MATCH(1,('GMW - $100 oil'!$MC$2:$MC$200=H$3)*('GMW - $100 oil'!$MB$2:$MB$200=H$4),0),$E132-1973)</f>
        <v>93.3</v>
      </c>
      <c r="I132" cm="1">
        <f t="array" ref="I132">INDEX('GMW - $100 oil'!$A$2:$MC$200,MATCH(1,('GMW - $100 oil'!$MC$2:$MC$200=I$3)*('GMW - $100 oil'!$MB$2:$MB$200=I$4),0),$E132-1973)</f>
        <v>0.5</v>
      </c>
      <c r="J132" t="e" cm="1">
        <f t="array" ref="J132">INDEX('GMW - $100 oil'!$A$2:$MC$200,MATCH(1,('GMW - $100 oil'!$MC$2:$MC$200=J$3)*('GMW - $100 oil'!$MB$2:$MB$200=J$4),0),$E132-1973)</f>
        <v>#N/A</v>
      </c>
      <c r="K132" t="e" cm="1">
        <f t="array" ref="K132">INDEX('GMW - $100 oil'!$A$2:$MC$200,MATCH(1,('GMW - $100 oil'!$MC$2:$MC$200=K$3)*('GMW - $100 oil'!$MB$2:$MB$200=K$4),0),$E132-1973)</f>
        <v>#N/A</v>
      </c>
      <c r="L132" t="e" cm="1">
        <f t="array" ref="L132">INDEX('GMW - $100 oil'!$A$2:$MC$200,MATCH(1,('GMW - $100 oil'!$MC$2:$MC$200=L$3)*('GMW - $100 oil'!$MB$2:$MB$200=L$4),0),$E132-1973)</f>
        <v>#N/A</v>
      </c>
      <c r="M132" t="e" cm="1">
        <f t="array" ref="M132">INDEX('GMW - $100 oil'!$A$2:$MC$200,MATCH(1,('GMW - $100 oil'!$MC$2:$MC$200=M$3)*('GMW - $100 oil'!$MB$2:$MB$200=M$4),0),$E132-1973)</f>
        <v>#N/A</v>
      </c>
      <c r="N132" t="e" cm="1">
        <f t="array" ref="N132">INDEX('GMW - $100 oil'!$A$2:$MC$200,MATCH(1,('GMW - $100 oil'!$MC$2:$MC$200=N$3)*('GMW - $100 oil'!$MB$2:$MB$200=N$4),0),$E132-1973)</f>
        <v>#N/A</v>
      </c>
      <c r="O132" t="e" cm="1">
        <f t="array" ref="O132">INDEX('GMW - $100 oil'!$A$2:$MC$200,MATCH(1,('GMW - $100 oil'!$MC$2:$MC$200=O$3)*('GMW - $100 oil'!$MB$2:$MB$200=O$4),0),$E132-1973)</f>
        <v>#N/A</v>
      </c>
      <c r="P132" t="e" cm="1">
        <f t="array" ref="P132">INDEX('GMW - $100 oil'!$A$2:$MC$200,MATCH(1,('GMW - $100 oil'!$MC$2:$MC$200=P$3)*('GMW - $100 oil'!$MB$2:$MB$200=P$4),0),$E132-1973)</f>
        <v>#N/A</v>
      </c>
      <c r="Q132" t="e" cm="1">
        <f t="array" ref="Q132">INDEX('GMW - $100 oil'!$A$2:$MC$200,MATCH(1,('GMW - $100 oil'!$MC$2:$MC$200=Q$3)*('GMW - $100 oil'!$MB$2:$MB$200=Q$4),0),$E132-1973)</f>
        <v>#N/A</v>
      </c>
      <c r="R132" t="e" cm="1">
        <f t="array" ref="R132">INDEX('GMW - $100 oil'!$A$2:$MC$200,MATCH(1,('GMW - $100 oil'!$MC$2:$MC$200=R$3)*('GMW - $100 oil'!$MB$2:$MB$200=R$4),0),$E132-1973)</f>
        <v>#N/A</v>
      </c>
      <c r="S132" t="e" cm="1">
        <f t="array" ref="S132">INDEX('GMW - $100 oil'!$A$2:$MC$200,MATCH(1,('GMW - $100 oil'!$MC$2:$MC$200=S$3)*('GMW - $100 oil'!$MB$2:$MB$200=S$4),0),$E132-1973)</f>
        <v>#N/A</v>
      </c>
      <c r="T132" t="e" cm="1">
        <f t="array" ref="T132">INDEX('GMW - $100 oil'!$A$2:$MC$200,MATCH(1,('GMW - $100 oil'!$MC$2:$MC$200=T$3)*('GMW - $100 oil'!$MB$2:$MB$200=T$4),0),$E132-1973)</f>
        <v>#N/A</v>
      </c>
    </row>
    <row r="133" spans="1:20" x14ac:dyDescent="0.25">
      <c r="B133">
        <f t="shared" si="10"/>
        <v>2011</v>
      </c>
      <c r="C133">
        <f t="shared" si="10"/>
        <v>2011</v>
      </c>
      <c r="E133">
        <f t="shared" si="6"/>
        <v>2106</v>
      </c>
      <c r="F133" cm="1">
        <f t="array" ref="F133">INDEX('GMW - $100 oil'!$A$2:$MC$200,MATCH(1,('GMW - $100 oil'!$MC$2:$MC$200=F$3)*('GMW - $100 oil'!$MB$2:$MB$200=F$4),0),$E133-1973)</f>
        <v>567586</v>
      </c>
      <c r="G133" cm="1">
        <f t="array" ref="G133">INDEX('GMW - $100 oil'!$A$2:$MC$200,MATCH(1,('GMW - $100 oil'!$MC$2:$MC$200=G$3)*('GMW - $100 oil'!$MB$2:$MB$200=G$4),0),$E133-1973)</f>
        <v>340755</v>
      </c>
      <c r="H133" cm="1">
        <f t="array" ref="H133">INDEX('GMW - $100 oil'!$A$2:$MC$200,MATCH(1,('GMW - $100 oil'!$MC$2:$MC$200=H$3)*('GMW - $100 oil'!$MB$2:$MB$200=H$4),0),$E133-1973)</f>
        <v>93.833340000000007</v>
      </c>
      <c r="I133" cm="1">
        <f t="array" ref="I133">INDEX('GMW - $100 oil'!$A$2:$MC$200,MATCH(1,('GMW - $100 oil'!$MC$2:$MC$200=I$3)*('GMW - $100 oil'!$MB$2:$MB$200=I$4),0),$E133-1973)</f>
        <v>0.5</v>
      </c>
      <c r="J133" t="e" cm="1">
        <f t="array" ref="J133">INDEX('GMW - $100 oil'!$A$2:$MC$200,MATCH(1,('GMW - $100 oil'!$MC$2:$MC$200=J$3)*('GMW - $100 oil'!$MB$2:$MB$200=J$4),0),$E133-1973)</f>
        <v>#N/A</v>
      </c>
      <c r="K133" t="e" cm="1">
        <f t="array" ref="K133">INDEX('GMW - $100 oil'!$A$2:$MC$200,MATCH(1,('GMW - $100 oil'!$MC$2:$MC$200=K$3)*('GMW - $100 oil'!$MB$2:$MB$200=K$4),0),$E133-1973)</f>
        <v>#N/A</v>
      </c>
      <c r="L133" t="e" cm="1">
        <f t="array" ref="L133">INDEX('GMW - $100 oil'!$A$2:$MC$200,MATCH(1,('GMW - $100 oil'!$MC$2:$MC$200=L$3)*('GMW - $100 oil'!$MB$2:$MB$200=L$4),0),$E133-1973)</f>
        <v>#N/A</v>
      </c>
      <c r="M133" t="e" cm="1">
        <f t="array" ref="M133">INDEX('GMW - $100 oil'!$A$2:$MC$200,MATCH(1,('GMW - $100 oil'!$MC$2:$MC$200=M$3)*('GMW - $100 oil'!$MB$2:$MB$200=M$4),0),$E133-1973)</f>
        <v>#N/A</v>
      </c>
      <c r="N133" t="e" cm="1">
        <f t="array" ref="N133">INDEX('GMW - $100 oil'!$A$2:$MC$200,MATCH(1,('GMW - $100 oil'!$MC$2:$MC$200=N$3)*('GMW - $100 oil'!$MB$2:$MB$200=N$4),0),$E133-1973)</f>
        <v>#N/A</v>
      </c>
      <c r="O133" t="e" cm="1">
        <f t="array" ref="O133">INDEX('GMW - $100 oil'!$A$2:$MC$200,MATCH(1,('GMW - $100 oil'!$MC$2:$MC$200=O$3)*('GMW - $100 oil'!$MB$2:$MB$200=O$4),0),$E133-1973)</f>
        <v>#N/A</v>
      </c>
      <c r="P133" t="e" cm="1">
        <f t="array" ref="P133">INDEX('GMW - $100 oil'!$A$2:$MC$200,MATCH(1,('GMW - $100 oil'!$MC$2:$MC$200=P$3)*('GMW - $100 oil'!$MB$2:$MB$200=P$4),0),$E133-1973)</f>
        <v>#N/A</v>
      </c>
      <c r="Q133" t="e" cm="1">
        <f t="array" ref="Q133">INDEX('GMW - $100 oil'!$A$2:$MC$200,MATCH(1,('GMW - $100 oil'!$MC$2:$MC$200=Q$3)*('GMW - $100 oil'!$MB$2:$MB$200=Q$4),0),$E133-1973)</f>
        <v>#N/A</v>
      </c>
      <c r="R133" t="e" cm="1">
        <f t="array" ref="R133">INDEX('GMW - $100 oil'!$A$2:$MC$200,MATCH(1,('GMW - $100 oil'!$MC$2:$MC$200=R$3)*('GMW - $100 oil'!$MB$2:$MB$200=R$4),0),$E133-1973)</f>
        <v>#N/A</v>
      </c>
      <c r="S133" t="e" cm="1">
        <f t="array" ref="S133">INDEX('GMW - $100 oil'!$A$2:$MC$200,MATCH(1,('GMW - $100 oil'!$MC$2:$MC$200=S$3)*('GMW - $100 oil'!$MB$2:$MB$200=S$4),0),$E133-1973)</f>
        <v>#N/A</v>
      </c>
      <c r="T133" t="e" cm="1">
        <f t="array" ref="T133">INDEX('GMW - $100 oil'!$A$2:$MC$200,MATCH(1,('GMW - $100 oil'!$MC$2:$MC$200=T$3)*('GMW - $100 oil'!$MB$2:$MB$200=T$4),0),$E133-1973)</f>
        <v>#N/A</v>
      </c>
    </row>
    <row r="134" spans="1:20" x14ac:dyDescent="0.25">
      <c r="B134">
        <f t="shared" si="10"/>
        <v>2011</v>
      </c>
      <c r="C134">
        <f t="shared" si="10"/>
        <v>2011</v>
      </c>
      <c r="E134">
        <f t="shared" si="6"/>
        <v>2107</v>
      </c>
      <c r="F134" cm="1">
        <f t="array" ref="F134">INDEX('GMW - $100 oil'!$A$2:$MC$200,MATCH(1,('GMW - $100 oil'!$MC$2:$MC$200=F$3)*('GMW - $100 oil'!$MB$2:$MB$200=F$4),0),$E134-1973)</f>
        <v>568056</v>
      </c>
      <c r="G134" cm="1">
        <f t="array" ref="G134">INDEX('GMW - $100 oil'!$A$2:$MC$200,MATCH(1,('GMW - $100 oil'!$MC$2:$MC$200=G$3)*('GMW - $100 oil'!$MB$2:$MB$200=G$4),0),$E134-1973)</f>
        <v>341255</v>
      </c>
      <c r="H134" cm="1">
        <f t="array" ref="H134">INDEX('GMW - $100 oil'!$A$2:$MC$200,MATCH(1,('GMW - $100 oil'!$MC$2:$MC$200=H$3)*('GMW - $100 oil'!$MB$2:$MB$200=H$4),0),$E134-1973)</f>
        <v>94.733329999999995</v>
      </c>
      <c r="I134" cm="1">
        <f t="array" ref="I134">INDEX('GMW - $100 oil'!$A$2:$MC$200,MATCH(1,('GMW - $100 oil'!$MC$2:$MC$200=I$3)*('GMW - $100 oil'!$MB$2:$MB$200=I$4),0),$E134-1973)</f>
        <v>0.5</v>
      </c>
      <c r="J134" t="e" cm="1">
        <f t="array" ref="J134">INDEX('GMW - $100 oil'!$A$2:$MC$200,MATCH(1,('GMW - $100 oil'!$MC$2:$MC$200=J$3)*('GMW - $100 oil'!$MB$2:$MB$200=J$4),0),$E134-1973)</f>
        <v>#N/A</v>
      </c>
      <c r="K134" t="e" cm="1">
        <f t="array" ref="K134">INDEX('GMW - $100 oil'!$A$2:$MC$200,MATCH(1,('GMW - $100 oil'!$MC$2:$MC$200=K$3)*('GMW - $100 oil'!$MB$2:$MB$200=K$4),0),$E134-1973)</f>
        <v>#N/A</v>
      </c>
      <c r="L134" t="e" cm="1">
        <f t="array" ref="L134">INDEX('GMW - $100 oil'!$A$2:$MC$200,MATCH(1,('GMW - $100 oil'!$MC$2:$MC$200=L$3)*('GMW - $100 oil'!$MB$2:$MB$200=L$4),0),$E134-1973)</f>
        <v>#N/A</v>
      </c>
      <c r="M134" t="e" cm="1">
        <f t="array" ref="M134">INDEX('GMW - $100 oil'!$A$2:$MC$200,MATCH(1,('GMW - $100 oil'!$MC$2:$MC$200=M$3)*('GMW - $100 oil'!$MB$2:$MB$200=M$4),0),$E134-1973)</f>
        <v>#N/A</v>
      </c>
      <c r="N134" t="e" cm="1">
        <f t="array" ref="N134">INDEX('GMW - $100 oil'!$A$2:$MC$200,MATCH(1,('GMW - $100 oil'!$MC$2:$MC$200=N$3)*('GMW - $100 oil'!$MB$2:$MB$200=N$4),0),$E134-1973)</f>
        <v>#N/A</v>
      </c>
      <c r="O134" t="e" cm="1">
        <f t="array" ref="O134">INDEX('GMW - $100 oil'!$A$2:$MC$200,MATCH(1,('GMW - $100 oil'!$MC$2:$MC$200=O$3)*('GMW - $100 oil'!$MB$2:$MB$200=O$4),0),$E134-1973)</f>
        <v>#N/A</v>
      </c>
      <c r="P134" t="e" cm="1">
        <f t="array" ref="P134">INDEX('GMW - $100 oil'!$A$2:$MC$200,MATCH(1,('GMW - $100 oil'!$MC$2:$MC$200=P$3)*('GMW - $100 oil'!$MB$2:$MB$200=P$4),0),$E134-1973)</f>
        <v>#N/A</v>
      </c>
      <c r="Q134" t="e" cm="1">
        <f t="array" ref="Q134">INDEX('GMW - $100 oil'!$A$2:$MC$200,MATCH(1,('GMW - $100 oil'!$MC$2:$MC$200=Q$3)*('GMW - $100 oil'!$MB$2:$MB$200=Q$4),0),$E134-1973)</f>
        <v>#N/A</v>
      </c>
      <c r="R134" t="e" cm="1">
        <f t="array" ref="R134">INDEX('GMW - $100 oil'!$A$2:$MC$200,MATCH(1,('GMW - $100 oil'!$MC$2:$MC$200=R$3)*('GMW - $100 oil'!$MB$2:$MB$200=R$4),0),$E134-1973)</f>
        <v>#N/A</v>
      </c>
      <c r="S134" t="e" cm="1">
        <f t="array" ref="S134">INDEX('GMW - $100 oil'!$A$2:$MC$200,MATCH(1,('GMW - $100 oil'!$MC$2:$MC$200=S$3)*('GMW - $100 oil'!$MB$2:$MB$200=S$4),0),$E134-1973)</f>
        <v>#N/A</v>
      </c>
      <c r="T134" t="e" cm="1">
        <f t="array" ref="T134">INDEX('GMW - $100 oil'!$A$2:$MC$200,MATCH(1,('GMW - $100 oil'!$MC$2:$MC$200=T$3)*('GMW - $100 oil'!$MB$2:$MB$200=T$4),0),$E134-1973)</f>
        <v>#N/A</v>
      </c>
    </row>
    <row r="135" spans="1:20" x14ac:dyDescent="0.25">
      <c r="A135">
        <v>2012</v>
      </c>
      <c r="B135">
        <f t="shared" si="10"/>
        <v>2012</v>
      </c>
      <c r="C135">
        <f t="shared" si="10"/>
        <v>2011</v>
      </c>
      <c r="D135">
        <f t="shared" si="10"/>
        <v>2011</v>
      </c>
      <c r="E135">
        <f t="shared" si="6"/>
        <v>2108</v>
      </c>
      <c r="F135" cm="1">
        <f t="array" ref="F135">INDEX('GMW - $100 oil'!$A$2:$MC$200,MATCH(1,('GMW - $100 oil'!$MC$2:$MC$200=F$3)*('GMW - $100 oil'!$MB$2:$MB$200=F$4),0),$E135-1973)</f>
        <v>573416</v>
      </c>
      <c r="G135" cm="1">
        <f t="array" ref="G135">INDEX('GMW - $100 oil'!$A$2:$MC$200,MATCH(1,('GMW - $100 oil'!$MC$2:$MC$200=G$3)*('GMW - $100 oil'!$MB$2:$MB$200=G$4),0),$E135-1973)</f>
        <v>341708</v>
      </c>
      <c r="H135" cm="1">
        <f t="array" ref="H135">INDEX('GMW - $100 oil'!$A$2:$MC$200,MATCH(1,('GMW - $100 oil'!$MC$2:$MC$200=H$3)*('GMW - $100 oil'!$MB$2:$MB$200=H$4),0),$E135-1973)</f>
        <v>95.033330000000007</v>
      </c>
      <c r="I135" cm="1">
        <f t="array" ref="I135">INDEX('GMW - $100 oil'!$A$2:$MC$200,MATCH(1,('GMW - $100 oil'!$MC$2:$MC$200=I$3)*('GMW - $100 oil'!$MB$2:$MB$200=I$4),0),$E135-1973)</f>
        <v>0.5</v>
      </c>
      <c r="J135" t="e" cm="1">
        <f t="array" ref="J135">INDEX('GMW - $100 oil'!$A$2:$MC$200,MATCH(1,('GMW - $100 oil'!$MC$2:$MC$200=J$3)*('GMW - $100 oil'!$MB$2:$MB$200=J$4),0),$E135-1973)</f>
        <v>#N/A</v>
      </c>
      <c r="K135" t="e" cm="1">
        <f t="array" ref="K135">INDEX('GMW - $100 oil'!$A$2:$MC$200,MATCH(1,('GMW - $100 oil'!$MC$2:$MC$200=K$3)*('GMW - $100 oil'!$MB$2:$MB$200=K$4),0),$E135-1973)</f>
        <v>#N/A</v>
      </c>
      <c r="L135" t="e" cm="1">
        <f t="array" ref="L135">INDEX('GMW - $100 oil'!$A$2:$MC$200,MATCH(1,('GMW - $100 oil'!$MC$2:$MC$200=L$3)*('GMW - $100 oil'!$MB$2:$MB$200=L$4),0),$E135-1973)</f>
        <v>#N/A</v>
      </c>
      <c r="M135" t="e" cm="1">
        <f t="array" ref="M135">INDEX('GMW - $100 oil'!$A$2:$MC$200,MATCH(1,('GMW - $100 oil'!$MC$2:$MC$200=M$3)*('GMW - $100 oil'!$MB$2:$MB$200=M$4),0),$E135-1973)</f>
        <v>#N/A</v>
      </c>
      <c r="N135" t="e" cm="1">
        <f t="array" ref="N135">INDEX('GMW - $100 oil'!$A$2:$MC$200,MATCH(1,('GMW - $100 oil'!$MC$2:$MC$200=N$3)*('GMW - $100 oil'!$MB$2:$MB$200=N$4),0),$E135-1973)</f>
        <v>#N/A</v>
      </c>
      <c r="O135" t="e" cm="1">
        <f t="array" ref="O135">INDEX('GMW - $100 oil'!$A$2:$MC$200,MATCH(1,('GMW - $100 oil'!$MC$2:$MC$200=O$3)*('GMW - $100 oil'!$MB$2:$MB$200=O$4),0),$E135-1973)</f>
        <v>#N/A</v>
      </c>
      <c r="P135" t="e" cm="1">
        <f t="array" ref="P135">INDEX('GMW - $100 oil'!$A$2:$MC$200,MATCH(1,('GMW - $100 oil'!$MC$2:$MC$200=P$3)*('GMW - $100 oil'!$MB$2:$MB$200=P$4),0),$E135-1973)</f>
        <v>#N/A</v>
      </c>
      <c r="Q135" t="e" cm="1">
        <f t="array" ref="Q135">INDEX('GMW - $100 oil'!$A$2:$MC$200,MATCH(1,('GMW - $100 oil'!$MC$2:$MC$200=Q$3)*('GMW - $100 oil'!$MB$2:$MB$200=Q$4),0),$E135-1973)</f>
        <v>#N/A</v>
      </c>
      <c r="R135" t="e" cm="1">
        <f t="array" ref="R135">INDEX('GMW - $100 oil'!$A$2:$MC$200,MATCH(1,('GMW - $100 oil'!$MC$2:$MC$200=R$3)*('GMW - $100 oil'!$MB$2:$MB$200=R$4),0),$E135-1973)</f>
        <v>#N/A</v>
      </c>
      <c r="S135" t="e" cm="1">
        <f t="array" ref="S135">INDEX('GMW - $100 oil'!$A$2:$MC$200,MATCH(1,('GMW - $100 oil'!$MC$2:$MC$200=S$3)*('GMW - $100 oil'!$MB$2:$MB$200=S$4),0),$E135-1973)</f>
        <v>#N/A</v>
      </c>
      <c r="T135" t="e" cm="1">
        <f t="array" ref="T135">INDEX('GMW - $100 oil'!$A$2:$MC$200,MATCH(1,('GMW - $100 oil'!$MC$2:$MC$200=T$3)*('GMW - $100 oil'!$MB$2:$MB$200=T$4),0),$E135-1973)</f>
        <v>#N/A</v>
      </c>
    </row>
    <row r="136" spans="1:20" x14ac:dyDescent="0.25">
      <c r="B136">
        <f t="shared" si="10"/>
        <v>2012</v>
      </c>
      <c r="C136">
        <f t="shared" si="10"/>
        <v>2012</v>
      </c>
      <c r="E136">
        <f t="shared" si="6"/>
        <v>2109</v>
      </c>
      <c r="F136" cm="1">
        <f t="array" ref="F136">INDEX('GMW - $100 oil'!$A$2:$MC$200,MATCH(1,('GMW - $100 oil'!$MC$2:$MC$200=F$3)*('GMW - $100 oil'!$MB$2:$MB$200=F$4),0),$E136-1973)</f>
        <v>573112</v>
      </c>
      <c r="G136" cm="1">
        <f t="array" ref="G136">INDEX('GMW - $100 oil'!$A$2:$MC$200,MATCH(1,('GMW - $100 oil'!$MC$2:$MC$200=G$3)*('GMW - $100 oil'!$MB$2:$MB$200=G$4),0),$E136-1973)</f>
        <v>345006</v>
      </c>
      <c r="H136" cm="1">
        <f t="array" ref="H136">INDEX('GMW - $100 oil'!$A$2:$MC$200,MATCH(1,('GMW - $100 oil'!$MC$2:$MC$200=H$3)*('GMW - $100 oil'!$MB$2:$MB$200=H$4),0),$E136-1973)</f>
        <v>95.8</v>
      </c>
      <c r="I136" cm="1">
        <f t="array" ref="I136">INDEX('GMW - $100 oil'!$A$2:$MC$200,MATCH(1,('GMW - $100 oil'!$MC$2:$MC$200=I$3)*('GMW - $100 oil'!$MB$2:$MB$200=I$4),0),$E136-1973)</f>
        <v>0.5</v>
      </c>
      <c r="J136" t="e" cm="1">
        <f t="array" ref="J136">INDEX('GMW - $100 oil'!$A$2:$MC$200,MATCH(1,('GMW - $100 oil'!$MC$2:$MC$200=J$3)*('GMW - $100 oil'!$MB$2:$MB$200=J$4),0),$E136-1973)</f>
        <v>#N/A</v>
      </c>
      <c r="K136" t="e" cm="1">
        <f t="array" ref="K136">INDEX('GMW - $100 oil'!$A$2:$MC$200,MATCH(1,('GMW - $100 oil'!$MC$2:$MC$200=K$3)*('GMW - $100 oil'!$MB$2:$MB$200=K$4),0),$E136-1973)</f>
        <v>#N/A</v>
      </c>
      <c r="L136" t="e" cm="1">
        <f t="array" ref="L136">INDEX('GMW - $100 oil'!$A$2:$MC$200,MATCH(1,('GMW - $100 oil'!$MC$2:$MC$200=L$3)*('GMW - $100 oil'!$MB$2:$MB$200=L$4),0),$E136-1973)</f>
        <v>#N/A</v>
      </c>
      <c r="M136" t="e" cm="1">
        <f t="array" ref="M136">INDEX('GMW - $100 oil'!$A$2:$MC$200,MATCH(1,('GMW - $100 oil'!$MC$2:$MC$200=M$3)*('GMW - $100 oil'!$MB$2:$MB$200=M$4),0),$E136-1973)</f>
        <v>#N/A</v>
      </c>
      <c r="N136" t="e" cm="1">
        <f t="array" ref="N136">INDEX('GMW - $100 oil'!$A$2:$MC$200,MATCH(1,('GMW - $100 oil'!$MC$2:$MC$200=N$3)*('GMW - $100 oil'!$MB$2:$MB$200=N$4),0),$E136-1973)</f>
        <v>#N/A</v>
      </c>
      <c r="O136" t="e" cm="1">
        <f t="array" ref="O136">INDEX('GMW - $100 oil'!$A$2:$MC$200,MATCH(1,('GMW - $100 oil'!$MC$2:$MC$200=O$3)*('GMW - $100 oil'!$MB$2:$MB$200=O$4),0),$E136-1973)</f>
        <v>#N/A</v>
      </c>
      <c r="P136" t="e" cm="1">
        <f t="array" ref="P136">INDEX('GMW - $100 oil'!$A$2:$MC$200,MATCH(1,('GMW - $100 oil'!$MC$2:$MC$200=P$3)*('GMW - $100 oil'!$MB$2:$MB$200=P$4),0),$E136-1973)</f>
        <v>#N/A</v>
      </c>
      <c r="Q136" t="e" cm="1">
        <f t="array" ref="Q136">INDEX('GMW - $100 oil'!$A$2:$MC$200,MATCH(1,('GMW - $100 oil'!$MC$2:$MC$200=Q$3)*('GMW - $100 oil'!$MB$2:$MB$200=Q$4),0),$E136-1973)</f>
        <v>#N/A</v>
      </c>
      <c r="R136" t="e" cm="1">
        <f t="array" ref="R136">INDEX('GMW - $100 oil'!$A$2:$MC$200,MATCH(1,('GMW - $100 oil'!$MC$2:$MC$200=R$3)*('GMW - $100 oil'!$MB$2:$MB$200=R$4),0),$E136-1973)</f>
        <v>#N/A</v>
      </c>
      <c r="S136" t="e" cm="1">
        <f t="array" ref="S136">INDEX('GMW - $100 oil'!$A$2:$MC$200,MATCH(1,('GMW - $100 oil'!$MC$2:$MC$200=S$3)*('GMW - $100 oil'!$MB$2:$MB$200=S$4),0),$E136-1973)</f>
        <v>#N/A</v>
      </c>
      <c r="T136" t="e" cm="1">
        <f t="array" ref="T136">INDEX('GMW - $100 oil'!$A$2:$MC$200,MATCH(1,('GMW - $100 oil'!$MC$2:$MC$200=T$3)*('GMW - $100 oil'!$MB$2:$MB$200=T$4),0),$E136-1973)</f>
        <v>#N/A</v>
      </c>
    </row>
    <row r="137" spans="1:20" x14ac:dyDescent="0.25">
      <c r="B137">
        <f t="shared" si="10"/>
        <v>2012</v>
      </c>
      <c r="C137">
        <f t="shared" si="10"/>
        <v>2012</v>
      </c>
      <c r="E137">
        <f t="shared" ref="E137:E200" si="11">+E136+1</f>
        <v>2110</v>
      </c>
      <c r="F137" cm="1">
        <f t="array" ref="F137">INDEX('GMW - $100 oil'!$A$2:$MC$200,MATCH(1,('GMW - $100 oil'!$MC$2:$MC$200=F$3)*('GMW - $100 oil'!$MB$2:$MB$200=F$4),0),$E137-1973)</f>
        <v>579051</v>
      </c>
      <c r="G137" cm="1">
        <f t="array" ref="G137">INDEX('GMW - $100 oil'!$A$2:$MC$200,MATCH(1,('GMW - $100 oil'!$MC$2:$MC$200=G$3)*('GMW - $100 oil'!$MB$2:$MB$200=G$4),0),$E137-1973)</f>
        <v>349895</v>
      </c>
      <c r="H137" cm="1">
        <f t="array" ref="H137">INDEX('GMW - $100 oil'!$A$2:$MC$200,MATCH(1,('GMW - $100 oil'!$MC$2:$MC$200=H$3)*('GMW - $100 oil'!$MB$2:$MB$200=H$4),0),$E137-1973)</f>
        <v>96.066670000000002</v>
      </c>
      <c r="I137" cm="1">
        <f t="array" ref="I137">INDEX('GMW - $100 oil'!$A$2:$MC$200,MATCH(1,('GMW - $100 oil'!$MC$2:$MC$200=I$3)*('GMW - $100 oil'!$MB$2:$MB$200=I$4),0),$E137-1973)</f>
        <v>0.5</v>
      </c>
      <c r="J137" t="e" cm="1">
        <f t="array" ref="J137">INDEX('GMW - $100 oil'!$A$2:$MC$200,MATCH(1,('GMW - $100 oil'!$MC$2:$MC$200=J$3)*('GMW - $100 oil'!$MB$2:$MB$200=J$4),0),$E137-1973)</f>
        <v>#N/A</v>
      </c>
      <c r="K137" t="e" cm="1">
        <f t="array" ref="K137">INDEX('GMW - $100 oil'!$A$2:$MC$200,MATCH(1,('GMW - $100 oil'!$MC$2:$MC$200=K$3)*('GMW - $100 oil'!$MB$2:$MB$200=K$4),0),$E137-1973)</f>
        <v>#N/A</v>
      </c>
      <c r="L137" t="e" cm="1">
        <f t="array" ref="L137">INDEX('GMW - $100 oil'!$A$2:$MC$200,MATCH(1,('GMW - $100 oil'!$MC$2:$MC$200=L$3)*('GMW - $100 oil'!$MB$2:$MB$200=L$4),0),$E137-1973)</f>
        <v>#N/A</v>
      </c>
      <c r="M137" t="e" cm="1">
        <f t="array" ref="M137">INDEX('GMW - $100 oil'!$A$2:$MC$200,MATCH(1,('GMW - $100 oil'!$MC$2:$MC$200=M$3)*('GMW - $100 oil'!$MB$2:$MB$200=M$4),0),$E137-1973)</f>
        <v>#N/A</v>
      </c>
      <c r="N137" t="e" cm="1">
        <f t="array" ref="N137">INDEX('GMW - $100 oil'!$A$2:$MC$200,MATCH(1,('GMW - $100 oil'!$MC$2:$MC$200=N$3)*('GMW - $100 oil'!$MB$2:$MB$200=N$4),0),$E137-1973)</f>
        <v>#N/A</v>
      </c>
      <c r="O137" t="e" cm="1">
        <f t="array" ref="O137">INDEX('GMW - $100 oil'!$A$2:$MC$200,MATCH(1,('GMW - $100 oil'!$MC$2:$MC$200=O$3)*('GMW - $100 oil'!$MB$2:$MB$200=O$4),0),$E137-1973)</f>
        <v>#N/A</v>
      </c>
      <c r="P137" t="e" cm="1">
        <f t="array" ref="P137">INDEX('GMW - $100 oil'!$A$2:$MC$200,MATCH(1,('GMW - $100 oil'!$MC$2:$MC$200=P$3)*('GMW - $100 oil'!$MB$2:$MB$200=P$4),0),$E137-1973)</f>
        <v>#N/A</v>
      </c>
      <c r="Q137" t="e" cm="1">
        <f t="array" ref="Q137">INDEX('GMW - $100 oil'!$A$2:$MC$200,MATCH(1,('GMW - $100 oil'!$MC$2:$MC$200=Q$3)*('GMW - $100 oil'!$MB$2:$MB$200=Q$4),0),$E137-1973)</f>
        <v>#N/A</v>
      </c>
      <c r="R137" t="e" cm="1">
        <f t="array" ref="R137">INDEX('GMW - $100 oil'!$A$2:$MC$200,MATCH(1,('GMW - $100 oil'!$MC$2:$MC$200=R$3)*('GMW - $100 oil'!$MB$2:$MB$200=R$4),0),$E137-1973)</f>
        <v>#N/A</v>
      </c>
      <c r="S137" t="e" cm="1">
        <f t="array" ref="S137">INDEX('GMW - $100 oil'!$A$2:$MC$200,MATCH(1,('GMW - $100 oil'!$MC$2:$MC$200=S$3)*('GMW - $100 oil'!$MB$2:$MB$200=S$4),0),$E137-1973)</f>
        <v>#N/A</v>
      </c>
      <c r="T137" t="e" cm="1">
        <f t="array" ref="T137">INDEX('GMW - $100 oil'!$A$2:$MC$200,MATCH(1,('GMW - $100 oil'!$MC$2:$MC$200=T$3)*('GMW - $100 oil'!$MB$2:$MB$200=T$4),0),$E137-1973)</f>
        <v>#N/A</v>
      </c>
    </row>
    <row r="138" spans="1:20" x14ac:dyDescent="0.25">
      <c r="B138">
        <f t="shared" si="10"/>
        <v>2012</v>
      </c>
      <c r="C138">
        <f t="shared" si="10"/>
        <v>2012</v>
      </c>
      <c r="E138">
        <f t="shared" si="11"/>
        <v>2111</v>
      </c>
      <c r="F138" cm="1">
        <f t="array" ref="F138">INDEX('GMW - $100 oil'!$A$2:$MC$200,MATCH(1,('GMW - $100 oil'!$MC$2:$MC$200=F$3)*('GMW - $100 oil'!$MB$2:$MB$200=F$4),0),$E138-1973)</f>
        <v>578215</v>
      </c>
      <c r="G138" cm="1">
        <f t="array" ref="G138">INDEX('GMW - $100 oil'!$A$2:$MC$200,MATCH(1,('GMW - $100 oil'!$MC$2:$MC$200=G$3)*('GMW - $100 oil'!$MB$2:$MB$200=G$4),0),$E138-1973)</f>
        <v>355752</v>
      </c>
      <c r="H138" cm="1">
        <f t="array" ref="H138">INDEX('GMW - $100 oil'!$A$2:$MC$200,MATCH(1,('GMW - $100 oil'!$MC$2:$MC$200=H$3)*('GMW - $100 oil'!$MB$2:$MB$200=H$4),0),$E138-1973)</f>
        <v>97.266670000000005</v>
      </c>
      <c r="I138" cm="1">
        <f t="array" ref="I138">INDEX('GMW - $100 oil'!$A$2:$MC$200,MATCH(1,('GMW - $100 oil'!$MC$2:$MC$200=I$3)*('GMW - $100 oil'!$MB$2:$MB$200=I$4),0),$E138-1973)</f>
        <v>0.5</v>
      </c>
      <c r="J138" t="e" cm="1">
        <f t="array" ref="J138">INDEX('GMW - $100 oil'!$A$2:$MC$200,MATCH(1,('GMW - $100 oil'!$MC$2:$MC$200=J$3)*('GMW - $100 oil'!$MB$2:$MB$200=J$4),0),$E138-1973)</f>
        <v>#N/A</v>
      </c>
      <c r="K138" t="e" cm="1">
        <f t="array" ref="K138">INDEX('GMW - $100 oil'!$A$2:$MC$200,MATCH(1,('GMW - $100 oil'!$MC$2:$MC$200=K$3)*('GMW - $100 oil'!$MB$2:$MB$200=K$4),0),$E138-1973)</f>
        <v>#N/A</v>
      </c>
      <c r="L138" t="e" cm="1">
        <f t="array" ref="L138">INDEX('GMW - $100 oil'!$A$2:$MC$200,MATCH(1,('GMW - $100 oil'!$MC$2:$MC$200=L$3)*('GMW - $100 oil'!$MB$2:$MB$200=L$4),0),$E138-1973)</f>
        <v>#N/A</v>
      </c>
      <c r="M138" t="e" cm="1">
        <f t="array" ref="M138">INDEX('GMW - $100 oil'!$A$2:$MC$200,MATCH(1,('GMW - $100 oil'!$MC$2:$MC$200=M$3)*('GMW - $100 oil'!$MB$2:$MB$200=M$4),0),$E138-1973)</f>
        <v>#N/A</v>
      </c>
      <c r="N138" t="e" cm="1">
        <f t="array" ref="N138">INDEX('GMW - $100 oil'!$A$2:$MC$200,MATCH(1,('GMW - $100 oil'!$MC$2:$MC$200=N$3)*('GMW - $100 oil'!$MB$2:$MB$200=N$4),0),$E138-1973)</f>
        <v>#N/A</v>
      </c>
      <c r="O138" t="e" cm="1">
        <f t="array" ref="O138">INDEX('GMW - $100 oil'!$A$2:$MC$200,MATCH(1,('GMW - $100 oil'!$MC$2:$MC$200=O$3)*('GMW - $100 oil'!$MB$2:$MB$200=O$4),0),$E138-1973)</f>
        <v>#N/A</v>
      </c>
      <c r="P138" t="e" cm="1">
        <f t="array" ref="P138">INDEX('GMW - $100 oil'!$A$2:$MC$200,MATCH(1,('GMW - $100 oil'!$MC$2:$MC$200=P$3)*('GMW - $100 oil'!$MB$2:$MB$200=P$4),0),$E138-1973)</f>
        <v>#N/A</v>
      </c>
      <c r="Q138" t="e" cm="1">
        <f t="array" ref="Q138">INDEX('GMW - $100 oil'!$A$2:$MC$200,MATCH(1,('GMW - $100 oil'!$MC$2:$MC$200=Q$3)*('GMW - $100 oil'!$MB$2:$MB$200=Q$4),0),$E138-1973)</f>
        <v>#N/A</v>
      </c>
      <c r="R138" t="e" cm="1">
        <f t="array" ref="R138">INDEX('GMW - $100 oil'!$A$2:$MC$200,MATCH(1,('GMW - $100 oil'!$MC$2:$MC$200=R$3)*('GMW - $100 oil'!$MB$2:$MB$200=R$4),0),$E138-1973)</f>
        <v>#N/A</v>
      </c>
      <c r="S138" t="e" cm="1">
        <f t="array" ref="S138">INDEX('GMW - $100 oil'!$A$2:$MC$200,MATCH(1,('GMW - $100 oil'!$MC$2:$MC$200=S$3)*('GMW - $100 oil'!$MB$2:$MB$200=S$4),0),$E138-1973)</f>
        <v>#N/A</v>
      </c>
      <c r="T138" t="e" cm="1">
        <f t="array" ref="T138">INDEX('GMW - $100 oil'!$A$2:$MC$200,MATCH(1,('GMW - $100 oil'!$MC$2:$MC$200=T$3)*('GMW - $100 oil'!$MB$2:$MB$200=T$4),0),$E138-1973)</f>
        <v>#N/A</v>
      </c>
    </row>
    <row r="139" spans="1:20" x14ac:dyDescent="0.25">
      <c r="A139">
        <v>2013</v>
      </c>
      <c r="B139">
        <f t="shared" si="10"/>
        <v>2013</v>
      </c>
      <c r="C139">
        <f t="shared" si="10"/>
        <v>2012</v>
      </c>
      <c r="D139">
        <f t="shared" si="10"/>
        <v>2012</v>
      </c>
      <c r="E139">
        <f t="shared" si="11"/>
        <v>2112</v>
      </c>
      <c r="F139" cm="1">
        <f t="array" ref="F139">INDEX('GMW - $100 oil'!$A$2:$MC$200,MATCH(1,('GMW - $100 oil'!$MC$2:$MC$200=F$3)*('GMW - $100 oil'!$MB$2:$MB$200=F$4),0),$E139-1973)</f>
        <v>579749</v>
      </c>
      <c r="G139" cm="1">
        <f t="array" ref="G139">INDEX('GMW - $100 oil'!$A$2:$MC$200,MATCH(1,('GMW - $100 oil'!$MC$2:$MC$200=G$3)*('GMW - $100 oil'!$MB$2:$MB$200=G$4),0),$E139-1973)</f>
        <v>352851</v>
      </c>
      <c r="H139" cm="1">
        <f t="array" ref="H139">INDEX('GMW - $100 oil'!$A$2:$MC$200,MATCH(1,('GMW - $100 oil'!$MC$2:$MC$200=H$3)*('GMW - $100 oil'!$MB$2:$MB$200=H$4),0),$E139-1973)</f>
        <v>97.666659999999993</v>
      </c>
      <c r="I139" cm="1">
        <f t="array" ref="I139">INDEX('GMW - $100 oil'!$A$2:$MC$200,MATCH(1,('GMW - $100 oil'!$MC$2:$MC$200=I$3)*('GMW - $100 oil'!$MB$2:$MB$200=I$4),0),$E139-1973)</f>
        <v>0.5</v>
      </c>
      <c r="J139" t="e" cm="1">
        <f t="array" ref="J139">INDEX('GMW - $100 oil'!$A$2:$MC$200,MATCH(1,('GMW - $100 oil'!$MC$2:$MC$200=J$3)*('GMW - $100 oil'!$MB$2:$MB$200=J$4),0),$E139-1973)</f>
        <v>#N/A</v>
      </c>
      <c r="K139" t="e" cm="1">
        <f t="array" ref="K139">INDEX('GMW - $100 oil'!$A$2:$MC$200,MATCH(1,('GMW - $100 oil'!$MC$2:$MC$200=K$3)*('GMW - $100 oil'!$MB$2:$MB$200=K$4),0),$E139-1973)</f>
        <v>#N/A</v>
      </c>
      <c r="L139" t="e" cm="1">
        <f t="array" ref="L139">INDEX('GMW - $100 oil'!$A$2:$MC$200,MATCH(1,('GMW - $100 oil'!$MC$2:$MC$200=L$3)*('GMW - $100 oil'!$MB$2:$MB$200=L$4),0),$E139-1973)</f>
        <v>#N/A</v>
      </c>
      <c r="M139" t="e" cm="1">
        <f t="array" ref="M139">INDEX('GMW - $100 oil'!$A$2:$MC$200,MATCH(1,('GMW - $100 oil'!$MC$2:$MC$200=M$3)*('GMW - $100 oil'!$MB$2:$MB$200=M$4),0),$E139-1973)</f>
        <v>#N/A</v>
      </c>
      <c r="N139" t="e" cm="1">
        <f t="array" ref="N139">INDEX('GMW - $100 oil'!$A$2:$MC$200,MATCH(1,('GMW - $100 oil'!$MC$2:$MC$200=N$3)*('GMW - $100 oil'!$MB$2:$MB$200=N$4),0),$E139-1973)</f>
        <v>#N/A</v>
      </c>
      <c r="O139" t="e" cm="1">
        <f t="array" ref="O139">INDEX('GMW - $100 oil'!$A$2:$MC$200,MATCH(1,('GMW - $100 oil'!$MC$2:$MC$200=O$3)*('GMW - $100 oil'!$MB$2:$MB$200=O$4),0),$E139-1973)</f>
        <v>#N/A</v>
      </c>
      <c r="P139" t="e" cm="1">
        <f t="array" ref="P139">INDEX('GMW - $100 oil'!$A$2:$MC$200,MATCH(1,('GMW - $100 oil'!$MC$2:$MC$200=P$3)*('GMW - $100 oil'!$MB$2:$MB$200=P$4),0),$E139-1973)</f>
        <v>#N/A</v>
      </c>
      <c r="Q139" t="e" cm="1">
        <f t="array" ref="Q139">INDEX('GMW - $100 oil'!$A$2:$MC$200,MATCH(1,('GMW - $100 oil'!$MC$2:$MC$200=Q$3)*('GMW - $100 oil'!$MB$2:$MB$200=Q$4),0),$E139-1973)</f>
        <v>#N/A</v>
      </c>
      <c r="R139" t="e" cm="1">
        <f t="array" ref="R139">INDEX('GMW - $100 oil'!$A$2:$MC$200,MATCH(1,('GMW - $100 oil'!$MC$2:$MC$200=R$3)*('GMW - $100 oil'!$MB$2:$MB$200=R$4),0),$E139-1973)</f>
        <v>#N/A</v>
      </c>
      <c r="S139" t="e" cm="1">
        <f t="array" ref="S139">INDEX('GMW - $100 oil'!$A$2:$MC$200,MATCH(1,('GMW - $100 oil'!$MC$2:$MC$200=S$3)*('GMW - $100 oil'!$MB$2:$MB$200=S$4),0),$E139-1973)</f>
        <v>#N/A</v>
      </c>
      <c r="T139" t="e" cm="1">
        <f t="array" ref="T139">INDEX('GMW - $100 oil'!$A$2:$MC$200,MATCH(1,('GMW - $100 oil'!$MC$2:$MC$200=T$3)*('GMW - $100 oil'!$MB$2:$MB$200=T$4),0),$E139-1973)</f>
        <v>#N/A</v>
      </c>
    </row>
    <row r="140" spans="1:20" x14ac:dyDescent="0.25">
      <c r="B140">
        <f t="shared" ref="B140:D155" si="12">+B136+1</f>
        <v>2013</v>
      </c>
      <c r="C140">
        <f t="shared" si="12"/>
        <v>2013</v>
      </c>
      <c r="E140">
        <f t="shared" si="11"/>
        <v>2113</v>
      </c>
      <c r="F140" cm="1">
        <f t="array" ref="F140">INDEX('GMW - $100 oil'!$A$2:$MC$200,MATCH(1,('GMW - $100 oil'!$MC$2:$MC$200=F$3)*('GMW - $100 oil'!$MB$2:$MB$200=F$4),0),$E140-1973)</f>
        <v>583605</v>
      </c>
      <c r="G140" cm="1">
        <f t="array" ref="G140">INDEX('GMW - $100 oil'!$A$2:$MC$200,MATCH(1,('GMW - $100 oil'!$MC$2:$MC$200=G$3)*('GMW - $100 oil'!$MB$2:$MB$200=G$4),0),$E140-1973)</f>
        <v>355308</v>
      </c>
      <c r="H140" cm="1">
        <f t="array" ref="H140">INDEX('GMW - $100 oil'!$A$2:$MC$200,MATCH(1,('GMW - $100 oil'!$MC$2:$MC$200=H$3)*('GMW - $100 oil'!$MB$2:$MB$200=H$4),0),$E140-1973)</f>
        <v>98.366669999999999</v>
      </c>
      <c r="I140" cm="1">
        <f t="array" ref="I140">INDEX('GMW - $100 oil'!$A$2:$MC$200,MATCH(1,('GMW - $100 oil'!$MC$2:$MC$200=I$3)*('GMW - $100 oil'!$MB$2:$MB$200=I$4),0),$E140-1973)</f>
        <v>0.5</v>
      </c>
      <c r="J140" t="e" cm="1">
        <f t="array" ref="J140">INDEX('GMW - $100 oil'!$A$2:$MC$200,MATCH(1,('GMW - $100 oil'!$MC$2:$MC$200=J$3)*('GMW - $100 oil'!$MB$2:$MB$200=J$4),0),$E140-1973)</f>
        <v>#N/A</v>
      </c>
      <c r="K140" t="e" cm="1">
        <f t="array" ref="K140">INDEX('GMW - $100 oil'!$A$2:$MC$200,MATCH(1,('GMW - $100 oil'!$MC$2:$MC$200=K$3)*('GMW - $100 oil'!$MB$2:$MB$200=K$4),0),$E140-1973)</f>
        <v>#N/A</v>
      </c>
      <c r="L140" t="e" cm="1">
        <f t="array" ref="L140">INDEX('GMW - $100 oil'!$A$2:$MC$200,MATCH(1,('GMW - $100 oil'!$MC$2:$MC$200=L$3)*('GMW - $100 oil'!$MB$2:$MB$200=L$4),0),$E140-1973)</f>
        <v>#N/A</v>
      </c>
      <c r="M140" t="e" cm="1">
        <f t="array" ref="M140">INDEX('GMW - $100 oil'!$A$2:$MC$200,MATCH(1,('GMW - $100 oil'!$MC$2:$MC$200=M$3)*('GMW - $100 oil'!$MB$2:$MB$200=M$4),0),$E140-1973)</f>
        <v>#N/A</v>
      </c>
      <c r="N140" t="e" cm="1">
        <f t="array" ref="N140">INDEX('GMW - $100 oil'!$A$2:$MC$200,MATCH(1,('GMW - $100 oil'!$MC$2:$MC$200=N$3)*('GMW - $100 oil'!$MB$2:$MB$200=N$4),0),$E140-1973)</f>
        <v>#N/A</v>
      </c>
      <c r="O140" t="e" cm="1">
        <f t="array" ref="O140">INDEX('GMW - $100 oil'!$A$2:$MC$200,MATCH(1,('GMW - $100 oil'!$MC$2:$MC$200=O$3)*('GMW - $100 oil'!$MB$2:$MB$200=O$4),0),$E140-1973)</f>
        <v>#N/A</v>
      </c>
      <c r="P140" t="e" cm="1">
        <f t="array" ref="P140">INDEX('GMW - $100 oil'!$A$2:$MC$200,MATCH(1,('GMW - $100 oil'!$MC$2:$MC$200=P$3)*('GMW - $100 oil'!$MB$2:$MB$200=P$4),0),$E140-1973)</f>
        <v>#N/A</v>
      </c>
      <c r="Q140" t="e" cm="1">
        <f t="array" ref="Q140">INDEX('GMW - $100 oil'!$A$2:$MC$200,MATCH(1,('GMW - $100 oil'!$MC$2:$MC$200=Q$3)*('GMW - $100 oil'!$MB$2:$MB$200=Q$4),0),$E140-1973)</f>
        <v>#N/A</v>
      </c>
      <c r="R140" t="e" cm="1">
        <f t="array" ref="R140">INDEX('GMW - $100 oil'!$A$2:$MC$200,MATCH(1,('GMW - $100 oil'!$MC$2:$MC$200=R$3)*('GMW - $100 oil'!$MB$2:$MB$200=R$4),0),$E140-1973)</f>
        <v>#N/A</v>
      </c>
      <c r="S140" t="e" cm="1">
        <f t="array" ref="S140">INDEX('GMW - $100 oil'!$A$2:$MC$200,MATCH(1,('GMW - $100 oil'!$MC$2:$MC$200=S$3)*('GMW - $100 oil'!$MB$2:$MB$200=S$4),0),$E140-1973)</f>
        <v>#N/A</v>
      </c>
      <c r="T140" t="e" cm="1">
        <f t="array" ref="T140">INDEX('GMW - $100 oil'!$A$2:$MC$200,MATCH(1,('GMW - $100 oil'!$MC$2:$MC$200=T$3)*('GMW - $100 oil'!$MB$2:$MB$200=T$4),0),$E140-1973)</f>
        <v>#N/A</v>
      </c>
    </row>
    <row r="141" spans="1:20" x14ac:dyDescent="0.25">
      <c r="B141">
        <f t="shared" si="12"/>
        <v>2013</v>
      </c>
      <c r="C141">
        <f t="shared" si="12"/>
        <v>2013</v>
      </c>
      <c r="E141">
        <f t="shared" si="11"/>
        <v>2114</v>
      </c>
      <c r="F141" cm="1">
        <f t="array" ref="F141">INDEX('GMW - $100 oil'!$A$2:$MC$200,MATCH(1,('GMW - $100 oil'!$MC$2:$MC$200=F$3)*('GMW - $100 oil'!$MB$2:$MB$200=F$4),0),$E141-1973)</f>
        <v>588076</v>
      </c>
      <c r="G141" cm="1">
        <f t="array" ref="G141">INDEX('GMW - $100 oil'!$A$2:$MC$200,MATCH(1,('GMW - $100 oil'!$MC$2:$MC$200=G$3)*('GMW - $100 oil'!$MB$2:$MB$200=G$4),0),$E141-1973)</f>
        <v>359151</v>
      </c>
      <c r="H141" cm="1">
        <f t="array" ref="H141">INDEX('GMW - $100 oil'!$A$2:$MC$200,MATCH(1,('GMW - $100 oil'!$MC$2:$MC$200=H$3)*('GMW - $100 oil'!$MB$2:$MB$200=H$4),0),$E141-1973)</f>
        <v>98.7</v>
      </c>
      <c r="I141" cm="1">
        <f t="array" ref="I141">INDEX('GMW - $100 oil'!$A$2:$MC$200,MATCH(1,('GMW - $100 oil'!$MC$2:$MC$200=I$3)*('GMW - $100 oil'!$MB$2:$MB$200=I$4),0),$E141-1973)</f>
        <v>0.5</v>
      </c>
      <c r="J141" t="e" cm="1">
        <f t="array" ref="J141">INDEX('GMW - $100 oil'!$A$2:$MC$200,MATCH(1,('GMW - $100 oil'!$MC$2:$MC$200=J$3)*('GMW - $100 oil'!$MB$2:$MB$200=J$4),0),$E141-1973)</f>
        <v>#N/A</v>
      </c>
      <c r="K141" t="e" cm="1">
        <f t="array" ref="K141">INDEX('GMW - $100 oil'!$A$2:$MC$200,MATCH(1,('GMW - $100 oil'!$MC$2:$MC$200=K$3)*('GMW - $100 oil'!$MB$2:$MB$200=K$4),0),$E141-1973)</f>
        <v>#N/A</v>
      </c>
      <c r="L141" t="e" cm="1">
        <f t="array" ref="L141">INDEX('GMW - $100 oil'!$A$2:$MC$200,MATCH(1,('GMW - $100 oil'!$MC$2:$MC$200=L$3)*('GMW - $100 oil'!$MB$2:$MB$200=L$4),0),$E141-1973)</f>
        <v>#N/A</v>
      </c>
      <c r="M141" t="e" cm="1">
        <f t="array" ref="M141">INDEX('GMW - $100 oil'!$A$2:$MC$200,MATCH(1,('GMW - $100 oil'!$MC$2:$MC$200=M$3)*('GMW - $100 oil'!$MB$2:$MB$200=M$4),0),$E141-1973)</f>
        <v>#N/A</v>
      </c>
      <c r="N141" t="e" cm="1">
        <f t="array" ref="N141">INDEX('GMW - $100 oil'!$A$2:$MC$200,MATCH(1,('GMW - $100 oil'!$MC$2:$MC$200=N$3)*('GMW - $100 oil'!$MB$2:$MB$200=N$4),0),$E141-1973)</f>
        <v>#N/A</v>
      </c>
      <c r="O141" t="e" cm="1">
        <f t="array" ref="O141">INDEX('GMW - $100 oil'!$A$2:$MC$200,MATCH(1,('GMW - $100 oil'!$MC$2:$MC$200=O$3)*('GMW - $100 oil'!$MB$2:$MB$200=O$4),0),$E141-1973)</f>
        <v>#N/A</v>
      </c>
      <c r="P141" t="e" cm="1">
        <f t="array" ref="P141">INDEX('GMW - $100 oil'!$A$2:$MC$200,MATCH(1,('GMW - $100 oil'!$MC$2:$MC$200=P$3)*('GMW - $100 oil'!$MB$2:$MB$200=P$4),0),$E141-1973)</f>
        <v>#N/A</v>
      </c>
      <c r="Q141" t="e" cm="1">
        <f t="array" ref="Q141">INDEX('GMW - $100 oil'!$A$2:$MC$200,MATCH(1,('GMW - $100 oil'!$MC$2:$MC$200=Q$3)*('GMW - $100 oil'!$MB$2:$MB$200=Q$4),0),$E141-1973)</f>
        <v>#N/A</v>
      </c>
      <c r="R141" t="e" cm="1">
        <f t="array" ref="R141">INDEX('GMW - $100 oil'!$A$2:$MC$200,MATCH(1,('GMW - $100 oil'!$MC$2:$MC$200=R$3)*('GMW - $100 oil'!$MB$2:$MB$200=R$4),0),$E141-1973)</f>
        <v>#N/A</v>
      </c>
      <c r="S141" t="e" cm="1">
        <f t="array" ref="S141">INDEX('GMW - $100 oil'!$A$2:$MC$200,MATCH(1,('GMW - $100 oil'!$MC$2:$MC$200=S$3)*('GMW - $100 oil'!$MB$2:$MB$200=S$4),0),$E141-1973)</f>
        <v>#N/A</v>
      </c>
      <c r="T141" t="e" cm="1">
        <f t="array" ref="T141">INDEX('GMW - $100 oil'!$A$2:$MC$200,MATCH(1,('GMW - $100 oil'!$MC$2:$MC$200=T$3)*('GMW - $100 oil'!$MB$2:$MB$200=T$4),0),$E141-1973)</f>
        <v>#N/A</v>
      </c>
    </row>
    <row r="142" spans="1:20" x14ac:dyDescent="0.25">
      <c r="B142">
        <f t="shared" si="12"/>
        <v>2013</v>
      </c>
      <c r="C142">
        <f t="shared" si="12"/>
        <v>2013</v>
      </c>
      <c r="E142">
        <f t="shared" si="11"/>
        <v>2115</v>
      </c>
      <c r="F142" cm="1">
        <f t="array" ref="F142">INDEX('GMW - $100 oil'!$A$2:$MC$200,MATCH(1,('GMW - $100 oil'!$MC$2:$MC$200=F$3)*('GMW - $100 oil'!$MB$2:$MB$200=F$4),0),$E142-1973)</f>
        <v>591954</v>
      </c>
      <c r="G142" cm="1">
        <f t="array" ref="G142">INDEX('GMW - $100 oil'!$A$2:$MC$200,MATCH(1,('GMW - $100 oil'!$MC$2:$MC$200=G$3)*('GMW - $100 oil'!$MB$2:$MB$200=G$4),0),$E142-1973)</f>
        <v>360080</v>
      </c>
      <c r="H142" cm="1">
        <f t="array" ref="H142">INDEX('GMW - $100 oil'!$A$2:$MC$200,MATCH(1,('GMW - $100 oil'!$MC$2:$MC$200=H$3)*('GMW - $100 oil'!$MB$2:$MB$200=H$4),0),$E142-1973)</f>
        <v>99.3</v>
      </c>
      <c r="I142" cm="1">
        <f t="array" ref="I142">INDEX('GMW - $100 oil'!$A$2:$MC$200,MATCH(1,('GMW - $100 oil'!$MC$2:$MC$200=I$3)*('GMW - $100 oil'!$MB$2:$MB$200=I$4),0),$E142-1973)</f>
        <v>0.5</v>
      </c>
      <c r="J142" t="e" cm="1">
        <f t="array" ref="J142">INDEX('GMW - $100 oil'!$A$2:$MC$200,MATCH(1,('GMW - $100 oil'!$MC$2:$MC$200=J$3)*('GMW - $100 oil'!$MB$2:$MB$200=J$4),0),$E142-1973)</f>
        <v>#N/A</v>
      </c>
      <c r="K142" t="e" cm="1">
        <f t="array" ref="K142">INDEX('GMW - $100 oil'!$A$2:$MC$200,MATCH(1,('GMW - $100 oil'!$MC$2:$MC$200=K$3)*('GMW - $100 oil'!$MB$2:$MB$200=K$4),0),$E142-1973)</f>
        <v>#N/A</v>
      </c>
      <c r="L142" t="e" cm="1">
        <f t="array" ref="L142">INDEX('GMW - $100 oil'!$A$2:$MC$200,MATCH(1,('GMW - $100 oil'!$MC$2:$MC$200=L$3)*('GMW - $100 oil'!$MB$2:$MB$200=L$4),0),$E142-1973)</f>
        <v>#N/A</v>
      </c>
      <c r="M142" t="e" cm="1">
        <f t="array" ref="M142">INDEX('GMW - $100 oil'!$A$2:$MC$200,MATCH(1,('GMW - $100 oil'!$MC$2:$MC$200=M$3)*('GMW - $100 oil'!$MB$2:$MB$200=M$4),0),$E142-1973)</f>
        <v>#N/A</v>
      </c>
      <c r="N142" t="e" cm="1">
        <f t="array" ref="N142">INDEX('GMW - $100 oil'!$A$2:$MC$200,MATCH(1,('GMW - $100 oil'!$MC$2:$MC$200=N$3)*('GMW - $100 oil'!$MB$2:$MB$200=N$4),0),$E142-1973)</f>
        <v>#N/A</v>
      </c>
      <c r="O142" t="e" cm="1">
        <f t="array" ref="O142">INDEX('GMW - $100 oil'!$A$2:$MC$200,MATCH(1,('GMW - $100 oil'!$MC$2:$MC$200=O$3)*('GMW - $100 oil'!$MB$2:$MB$200=O$4),0),$E142-1973)</f>
        <v>#N/A</v>
      </c>
      <c r="P142" t="e" cm="1">
        <f t="array" ref="P142">INDEX('GMW - $100 oil'!$A$2:$MC$200,MATCH(1,('GMW - $100 oil'!$MC$2:$MC$200=P$3)*('GMW - $100 oil'!$MB$2:$MB$200=P$4),0),$E142-1973)</f>
        <v>#N/A</v>
      </c>
      <c r="Q142" t="e" cm="1">
        <f t="array" ref="Q142">INDEX('GMW - $100 oil'!$A$2:$MC$200,MATCH(1,('GMW - $100 oil'!$MC$2:$MC$200=Q$3)*('GMW - $100 oil'!$MB$2:$MB$200=Q$4),0),$E142-1973)</f>
        <v>#N/A</v>
      </c>
      <c r="R142" t="e" cm="1">
        <f t="array" ref="R142">INDEX('GMW - $100 oil'!$A$2:$MC$200,MATCH(1,('GMW - $100 oil'!$MC$2:$MC$200=R$3)*('GMW - $100 oil'!$MB$2:$MB$200=R$4),0),$E142-1973)</f>
        <v>#N/A</v>
      </c>
      <c r="S142" t="e" cm="1">
        <f t="array" ref="S142">INDEX('GMW - $100 oil'!$A$2:$MC$200,MATCH(1,('GMW - $100 oil'!$MC$2:$MC$200=S$3)*('GMW - $100 oil'!$MB$2:$MB$200=S$4),0),$E142-1973)</f>
        <v>#N/A</v>
      </c>
      <c r="T142" t="e" cm="1">
        <f t="array" ref="T142">INDEX('GMW - $100 oil'!$A$2:$MC$200,MATCH(1,('GMW - $100 oil'!$MC$2:$MC$200=T$3)*('GMW - $100 oil'!$MB$2:$MB$200=T$4),0),$E142-1973)</f>
        <v>#N/A</v>
      </c>
    </row>
    <row r="143" spans="1:20" x14ac:dyDescent="0.25">
      <c r="A143">
        <v>2014</v>
      </c>
      <c r="B143">
        <f t="shared" si="12"/>
        <v>2014</v>
      </c>
      <c r="C143">
        <f t="shared" si="12"/>
        <v>2013</v>
      </c>
      <c r="D143">
        <f t="shared" si="12"/>
        <v>2013</v>
      </c>
      <c r="E143">
        <f t="shared" si="11"/>
        <v>2116</v>
      </c>
      <c r="F143" cm="1">
        <f t="array" ref="F143">INDEX('GMW - $100 oil'!$A$2:$MC$200,MATCH(1,('GMW - $100 oil'!$MC$2:$MC$200=F$3)*('GMW - $100 oil'!$MB$2:$MB$200=F$4),0),$E143-1973)</f>
        <v>596696</v>
      </c>
      <c r="G143" cm="1">
        <f t="array" ref="G143">INDEX('GMW - $100 oil'!$A$2:$MC$200,MATCH(1,('GMW - $100 oil'!$MC$2:$MC$200=G$3)*('GMW - $100 oil'!$MB$2:$MB$200=G$4),0),$E143-1973)</f>
        <v>361463</v>
      </c>
      <c r="H143" cm="1">
        <f t="array" ref="H143">INDEX('GMW - $100 oil'!$A$2:$MC$200,MATCH(1,('GMW - $100 oil'!$MC$2:$MC$200=H$3)*('GMW - $100 oil'!$MB$2:$MB$200=H$4),0),$E143-1973)</f>
        <v>99.4</v>
      </c>
      <c r="I143" cm="1">
        <f t="array" ref="I143">INDEX('GMW - $100 oil'!$A$2:$MC$200,MATCH(1,('GMW - $100 oil'!$MC$2:$MC$200=I$3)*('GMW - $100 oil'!$MB$2:$MB$200=I$4),0),$E143-1973)</f>
        <v>0.5</v>
      </c>
      <c r="J143" t="e" cm="1">
        <f t="array" ref="J143">INDEX('GMW - $100 oil'!$A$2:$MC$200,MATCH(1,('GMW - $100 oil'!$MC$2:$MC$200=J$3)*('GMW - $100 oil'!$MB$2:$MB$200=J$4),0),$E143-1973)</f>
        <v>#N/A</v>
      </c>
      <c r="K143" t="e" cm="1">
        <f t="array" ref="K143">INDEX('GMW - $100 oil'!$A$2:$MC$200,MATCH(1,('GMW - $100 oil'!$MC$2:$MC$200=K$3)*('GMW - $100 oil'!$MB$2:$MB$200=K$4),0),$E143-1973)</f>
        <v>#N/A</v>
      </c>
      <c r="L143" t="e" cm="1">
        <f t="array" ref="L143">INDEX('GMW - $100 oil'!$A$2:$MC$200,MATCH(1,('GMW - $100 oil'!$MC$2:$MC$200=L$3)*('GMW - $100 oil'!$MB$2:$MB$200=L$4),0),$E143-1973)</f>
        <v>#N/A</v>
      </c>
      <c r="M143" t="e" cm="1">
        <f t="array" ref="M143">INDEX('GMW - $100 oil'!$A$2:$MC$200,MATCH(1,('GMW - $100 oil'!$MC$2:$MC$200=M$3)*('GMW - $100 oil'!$MB$2:$MB$200=M$4),0),$E143-1973)</f>
        <v>#N/A</v>
      </c>
      <c r="N143" t="e" cm="1">
        <f t="array" ref="N143">INDEX('GMW - $100 oil'!$A$2:$MC$200,MATCH(1,('GMW - $100 oil'!$MC$2:$MC$200=N$3)*('GMW - $100 oil'!$MB$2:$MB$200=N$4),0),$E143-1973)</f>
        <v>#N/A</v>
      </c>
      <c r="O143" t="e" cm="1">
        <f t="array" ref="O143">INDEX('GMW - $100 oil'!$A$2:$MC$200,MATCH(1,('GMW - $100 oil'!$MC$2:$MC$200=O$3)*('GMW - $100 oil'!$MB$2:$MB$200=O$4),0),$E143-1973)</f>
        <v>#N/A</v>
      </c>
      <c r="P143" t="e" cm="1">
        <f t="array" ref="P143">INDEX('GMW - $100 oil'!$A$2:$MC$200,MATCH(1,('GMW - $100 oil'!$MC$2:$MC$200=P$3)*('GMW - $100 oil'!$MB$2:$MB$200=P$4),0),$E143-1973)</f>
        <v>#N/A</v>
      </c>
      <c r="Q143" t="e" cm="1">
        <f t="array" ref="Q143">INDEX('GMW - $100 oil'!$A$2:$MC$200,MATCH(1,('GMW - $100 oil'!$MC$2:$MC$200=Q$3)*('GMW - $100 oil'!$MB$2:$MB$200=Q$4),0),$E143-1973)</f>
        <v>#N/A</v>
      </c>
      <c r="R143" t="e" cm="1">
        <f t="array" ref="R143">INDEX('GMW - $100 oil'!$A$2:$MC$200,MATCH(1,('GMW - $100 oil'!$MC$2:$MC$200=R$3)*('GMW - $100 oil'!$MB$2:$MB$200=R$4),0),$E143-1973)</f>
        <v>#N/A</v>
      </c>
      <c r="S143" t="e" cm="1">
        <f t="array" ref="S143">INDEX('GMW - $100 oil'!$A$2:$MC$200,MATCH(1,('GMW - $100 oil'!$MC$2:$MC$200=S$3)*('GMW - $100 oil'!$MB$2:$MB$200=S$4),0),$E143-1973)</f>
        <v>#N/A</v>
      </c>
      <c r="T143" t="e" cm="1">
        <f t="array" ref="T143">INDEX('GMW - $100 oil'!$A$2:$MC$200,MATCH(1,('GMW - $100 oil'!$MC$2:$MC$200=T$3)*('GMW - $100 oil'!$MB$2:$MB$200=T$4),0),$E143-1973)</f>
        <v>#N/A</v>
      </c>
    </row>
    <row r="144" spans="1:20" x14ac:dyDescent="0.25">
      <c r="B144">
        <f t="shared" si="12"/>
        <v>2014</v>
      </c>
      <c r="C144">
        <f t="shared" si="12"/>
        <v>2014</v>
      </c>
      <c r="E144">
        <f t="shared" si="11"/>
        <v>2117</v>
      </c>
      <c r="F144" cm="1">
        <f t="array" ref="F144">INDEX('GMW - $100 oil'!$A$2:$MC$200,MATCH(1,('GMW - $100 oil'!$MC$2:$MC$200=F$3)*('GMW - $100 oil'!$MB$2:$MB$200=F$4),0),$E144-1973)</f>
        <v>602310</v>
      </c>
      <c r="G144" cm="1">
        <f t="array" ref="G144">INDEX('GMW - $100 oil'!$A$2:$MC$200,MATCH(1,('GMW - $100 oil'!$MC$2:$MC$200=G$3)*('GMW - $100 oil'!$MB$2:$MB$200=G$4),0),$E144-1973)</f>
        <v>364739</v>
      </c>
      <c r="H144" cm="1">
        <f t="array" ref="H144">INDEX('GMW - $100 oil'!$A$2:$MC$200,MATCH(1,('GMW - $100 oil'!$MC$2:$MC$200=H$3)*('GMW - $100 oil'!$MB$2:$MB$200=H$4),0),$E144-1973)</f>
        <v>100.1</v>
      </c>
      <c r="I144" cm="1">
        <f t="array" ref="I144">INDEX('GMW - $100 oil'!$A$2:$MC$200,MATCH(1,('GMW - $100 oil'!$MC$2:$MC$200=I$3)*('GMW - $100 oil'!$MB$2:$MB$200=I$4),0),$E144-1973)</f>
        <v>0.5</v>
      </c>
      <c r="J144" t="e" cm="1">
        <f t="array" ref="J144">INDEX('GMW - $100 oil'!$A$2:$MC$200,MATCH(1,('GMW - $100 oil'!$MC$2:$MC$200=J$3)*('GMW - $100 oil'!$MB$2:$MB$200=J$4),0),$E144-1973)</f>
        <v>#N/A</v>
      </c>
      <c r="K144" t="e" cm="1">
        <f t="array" ref="K144">INDEX('GMW - $100 oil'!$A$2:$MC$200,MATCH(1,('GMW - $100 oil'!$MC$2:$MC$200=K$3)*('GMW - $100 oil'!$MB$2:$MB$200=K$4),0),$E144-1973)</f>
        <v>#N/A</v>
      </c>
      <c r="L144" t="e" cm="1">
        <f t="array" ref="L144">INDEX('GMW - $100 oil'!$A$2:$MC$200,MATCH(1,('GMW - $100 oil'!$MC$2:$MC$200=L$3)*('GMW - $100 oil'!$MB$2:$MB$200=L$4),0),$E144-1973)</f>
        <v>#N/A</v>
      </c>
      <c r="M144" t="e" cm="1">
        <f t="array" ref="M144">INDEX('GMW - $100 oil'!$A$2:$MC$200,MATCH(1,('GMW - $100 oil'!$MC$2:$MC$200=M$3)*('GMW - $100 oil'!$MB$2:$MB$200=M$4),0),$E144-1973)</f>
        <v>#N/A</v>
      </c>
      <c r="N144" t="e" cm="1">
        <f t="array" ref="N144">INDEX('GMW - $100 oil'!$A$2:$MC$200,MATCH(1,('GMW - $100 oil'!$MC$2:$MC$200=N$3)*('GMW - $100 oil'!$MB$2:$MB$200=N$4),0),$E144-1973)</f>
        <v>#N/A</v>
      </c>
      <c r="O144" t="e" cm="1">
        <f t="array" ref="O144">INDEX('GMW - $100 oil'!$A$2:$MC$200,MATCH(1,('GMW - $100 oil'!$MC$2:$MC$200=O$3)*('GMW - $100 oil'!$MB$2:$MB$200=O$4),0),$E144-1973)</f>
        <v>#N/A</v>
      </c>
      <c r="P144" t="e" cm="1">
        <f t="array" ref="P144">INDEX('GMW - $100 oil'!$A$2:$MC$200,MATCH(1,('GMW - $100 oil'!$MC$2:$MC$200=P$3)*('GMW - $100 oil'!$MB$2:$MB$200=P$4),0),$E144-1973)</f>
        <v>#N/A</v>
      </c>
      <c r="Q144" t="e" cm="1">
        <f t="array" ref="Q144">INDEX('GMW - $100 oil'!$A$2:$MC$200,MATCH(1,('GMW - $100 oil'!$MC$2:$MC$200=Q$3)*('GMW - $100 oil'!$MB$2:$MB$200=Q$4),0),$E144-1973)</f>
        <v>#N/A</v>
      </c>
      <c r="R144" t="e" cm="1">
        <f t="array" ref="R144">INDEX('GMW - $100 oil'!$A$2:$MC$200,MATCH(1,('GMW - $100 oil'!$MC$2:$MC$200=R$3)*('GMW - $100 oil'!$MB$2:$MB$200=R$4),0),$E144-1973)</f>
        <v>#N/A</v>
      </c>
      <c r="S144" t="e" cm="1">
        <f t="array" ref="S144">INDEX('GMW - $100 oil'!$A$2:$MC$200,MATCH(1,('GMW - $100 oil'!$MC$2:$MC$200=S$3)*('GMW - $100 oil'!$MB$2:$MB$200=S$4),0),$E144-1973)</f>
        <v>#N/A</v>
      </c>
      <c r="T144" t="e" cm="1">
        <f t="array" ref="T144">INDEX('GMW - $100 oil'!$A$2:$MC$200,MATCH(1,('GMW - $100 oil'!$MC$2:$MC$200=T$3)*('GMW - $100 oil'!$MB$2:$MB$200=T$4),0),$E144-1973)</f>
        <v>#N/A</v>
      </c>
    </row>
    <row r="145" spans="1:20" x14ac:dyDescent="0.25">
      <c r="B145">
        <f t="shared" si="12"/>
        <v>2014</v>
      </c>
      <c r="C145">
        <f t="shared" si="12"/>
        <v>2014</v>
      </c>
      <c r="E145">
        <f t="shared" si="11"/>
        <v>2118</v>
      </c>
      <c r="F145" cm="1">
        <f t="array" ref="F145">INDEX('GMW - $100 oil'!$A$2:$MC$200,MATCH(1,('GMW - $100 oil'!$MC$2:$MC$200=F$3)*('GMW - $100 oil'!$MB$2:$MB$200=F$4),0),$E145-1973)</f>
        <v>607213</v>
      </c>
      <c r="G145" cm="1">
        <f t="array" ref="G145">INDEX('GMW - $100 oil'!$A$2:$MC$200,MATCH(1,('GMW - $100 oil'!$MC$2:$MC$200=G$3)*('GMW - $100 oil'!$MB$2:$MB$200=G$4),0),$E145-1973)</f>
        <v>371275</v>
      </c>
      <c r="H145" cm="1">
        <f t="array" ref="H145">INDEX('GMW - $100 oil'!$A$2:$MC$200,MATCH(1,('GMW - $100 oil'!$MC$2:$MC$200=H$3)*('GMW - $100 oil'!$MB$2:$MB$200=H$4),0),$E145-1973)</f>
        <v>100.13330000000001</v>
      </c>
      <c r="I145" cm="1">
        <f t="array" ref="I145">INDEX('GMW - $100 oil'!$A$2:$MC$200,MATCH(1,('GMW - $100 oil'!$MC$2:$MC$200=I$3)*('GMW - $100 oil'!$MB$2:$MB$200=I$4),0),$E145-1973)</f>
        <v>0.5</v>
      </c>
      <c r="J145" t="e" cm="1">
        <f t="array" ref="J145">INDEX('GMW - $100 oil'!$A$2:$MC$200,MATCH(1,('GMW - $100 oil'!$MC$2:$MC$200=J$3)*('GMW - $100 oil'!$MB$2:$MB$200=J$4),0),$E145-1973)</f>
        <v>#N/A</v>
      </c>
      <c r="K145" t="e" cm="1">
        <f t="array" ref="K145">INDEX('GMW - $100 oil'!$A$2:$MC$200,MATCH(1,('GMW - $100 oil'!$MC$2:$MC$200=K$3)*('GMW - $100 oil'!$MB$2:$MB$200=K$4),0),$E145-1973)</f>
        <v>#N/A</v>
      </c>
      <c r="L145" t="e" cm="1">
        <f t="array" ref="L145">INDEX('GMW - $100 oil'!$A$2:$MC$200,MATCH(1,('GMW - $100 oil'!$MC$2:$MC$200=L$3)*('GMW - $100 oil'!$MB$2:$MB$200=L$4),0),$E145-1973)</f>
        <v>#N/A</v>
      </c>
      <c r="M145" t="e" cm="1">
        <f t="array" ref="M145">INDEX('GMW - $100 oil'!$A$2:$MC$200,MATCH(1,('GMW - $100 oil'!$MC$2:$MC$200=M$3)*('GMW - $100 oil'!$MB$2:$MB$200=M$4),0),$E145-1973)</f>
        <v>#N/A</v>
      </c>
      <c r="N145" t="e" cm="1">
        <f t="array" ref="N145">INDEX('GMW - $100 oil'!$A$2:$MC$200,MATCH(1,('GMW - $100 oil'!$MC$2:$MC$200=N$3)*('GMW - $100 oil'!$MB$2:$MB$200=N$4),0),$E145-1973)</f>
        <v>#N/A</v>
      </c>
      <c r="O145" t="e" cm="1">
        <f t="array" ref="O145">INDEX('GMW - $100 oil'!$A$2:$MC$200,MATCH(1,('GMW - $100 oil'!$MC$2:$MC$200=O$3)*('GMW - $100 oil'!$MB$2:$MB$200=O$4),0),$E145-1973)</f>
        <v>#N/A</v>
      </c>
      <c r="P145" t="e" cm="1">
        <f t="array" ref="P145">INDEX('GMW - $100 oil'!$A$2:$MC$200,MATCH(1,('GMW - $100 oil'!$MC$2:$MC$200=P$3)*('GMW - $100 oil'!$MB$2:$MB$200=P$4),0),$E145-1973)</f>
        <v>#N/A</v>
      </c>
      <c r="Q145" t="e" cm="1">
        <f t="array" ref="Q145">INDEX('GMW - $100 oil'!$A$2:$MC$200,MATCH(1,('GMW - $100 oil'!$MC$2:$MC$200=Q$3)*('GMW - $100 oil'!$MB$2:$MB$200=Q$4),0),$E145-1973)</f>
        <v>#N/A</v>
      </c>
      <c r="R145" t="e" cm="1">
        <f t="array" ref="R145">INDEX('GMW - $100 oil'!$A$2:$MC$200,MATCH(1,('GMW - $100 oil'!$MC$2:$MC$200=R$3)*('GMW - $100 oil'!$MB$2:$MB$200=R$4),0),$E145-1973)</f>
        <v>#N/A</v>
      </c>
      <c r="S145" t="e" cm="1">
        <f t="array" ref="S145">INDEX('GMW - $100 oil'!$A$2:$MC$200,MATCH(1,('GMW - $100 oil'!$MC$2:$MC$200=S$3)*('GMW - $100 oil'!$MB$2:$MB$200=S$4),0),$E145-1973)</f>
        <v>#N/A</v>
      </c>
      <c r="T145" t="e" cm="1">
        <f t="array" ref="T145">INDEX('GMW - $100 oil'!$A$2:$MC$200,MATCH(1,('GMW - $100 oil'!$MC$2:$MC$200=T$3)*('GMW - $100 oil'!$MB$2:$MB$200=T$4),0),$E145-1973)</f>
        <v>#N/A</v>
      </c>
    </row>
    <row r="146" spans="1:20" x14ac:dyDescent="0.25">
      <c r="B146">
        <f t="shared" si="12"/>
        <v>2014</v>
      </c>
      <c r="C146">
        <f t="shared" si="12"/>
        <v>2014</v>
      </c>
      <c r="E146">
        <f t="shared" si="11"/>
        <v>2119</v>
      </c>
      <c r="F146" cm="1">
        <f t="array" ref="F146">INDEX('GMW - $100 oil'!$A$2:$MC$200,MATCH(1,('GMW - $100 oil'!$MC$2:$MC$200=F$3)*('GMW - $100 oil'!$MB$2:$MB$200=F$4),0),$E146-1973)</f>
        <v>611220</v>
      </c>
      <c r="G146" cm="1">
        <f t="array" ref="G146">INDEX('GMW - $100 oil'!$A$2:$MC$200,MATCH(1,('GMW - $100 oil'!$MC$2:$MC$200=G$3)*('GMW - $100 oil'!$MB$2:$MB$200=G$4),0),$E146-1973)</f>
        <v>374107</v>
      </c>
      <c r="H146" cm="1">
        <f t="array" ref="H146">INDEX('GMW - $100 oil'!$A$2:$MC$200,MATCH(1,('GMW - $100 oil'!$MC$2:$MC$200=H$3)*('GMW - $100 oil'!$MB$2:$MB$200=H$4),0),$E146-1973)</f>
        <v>100.2</v>
      </c>
      <c r="I146" cm="1">
        <f t="array" ref="I146">INDEX('GMW - $100 oil'!$A$2:$MC$200,MATCH(1,('GMW - $100 oil'!$MC$2:$MC$200=I$3)*('GMW - $100 oil'!$MB$2:$MB$200=I$4),0),$E146-1973)</f>
        <v>0.5</v>
      </c>
      <c r="J146" t="e" cm="1">
        <f t="array" ref="J146">INDEX('GMW - $100 oil'!$A$2:$MC$200,MATCH(1,('GMW - $100 oil'!$MC$2:$MC$200=J$3)*('GMW - $100 oil'!$MB$2:$MB$200=J$4),0),$E146-1973)</f>
        <v>#N/A</v>
      </c>
      <c r="K146" t="e" cm="1">
        <f t="array" ref="K146">INDEX('GMW - $100 oil'!$A$2:$MC$200,MATCH(1,('GMW - $100 oil'!$MC$2:$MC$200=K$3)*('GMW - $100 oil'!$MB$2:$MB$200=K$4),0),$E146-1973)</f>
        <v>#N/A</v>
      </c>
      <c r="L146" t="e" cm="1">
        <f t="array" ref="L146">INDEX('GMW - $100 oil'!$A$2:$MC$200,MATCH(1,('GMW - $100 oil'!$MC$2:$MC$200=L$3)*('GMW - $100 oil'!$MB$2:$MB$200=L$4),0),$E146-1973)</f>
        <v>#N/A</v>
      </c>
      <c r="M146" t="e" cm="1">
        <f t="array" ref="M146">INDEX('GMW - $100 oil'!$A$2:$MC$200,MATCH(1,('GMW - $100 oil'!$MC$2:$MC$200=M$3)*('GMW - $100 oil'!$MB$2:$MB$200=M$4),0),$E146-1973)</f>
        <v>#N/A</v>
      </c>
      <c r="N146" t="e" cm="1">
        <f t="array" ref="N146">INDEX('GMW - $100 oil'!$A$2:$MC$200,MATCH(1,('GMW - $100 oil'!$MC$2:$MC$200=N$3)*('GMW - $100 oil'!$MB$2:$MB$200=N$4),0),$E146-1973)</f>
        <v>#N/A</v>
      </c>
      <c r="O146" t="e" cm="1">
        <f t="array" ref="O146">INDEX('GMW - $100 oil'!$A$2:$MC$200,MATCH(1,('GMW - $100 oil'!$MC$2:$MC$200=O$3)*('GMW - $100 oil'!$MB$2:$MB$200=O$4),0),$E146-1973)</f>
        <v>#N/A</v>
      </c>
      <c r="P146" t="e" cm="1">
        <f t="array" ref="P146">INDEX('GMW - $100 oil'!$A$2:$MC$200,MATCH(1,('GMW - $100 oil'!$MC$2:$MC$200=P$3)*('GMW - $100 oil'!$MB$2:$MB$200=P$4),0),$E146-1973)</f>
        <v>#N/A</v>
      </c>
      <c r="Q146" t="e" cm="1">
        <f t="array" ref="Q146">INDEX('GMW - $100 oil'!$A$2:$MC$200,MATCH(1,('GMW - $100 oil'!$MC$2:$MC$200=Q$3)*('GMW - $100 oil'!$MB$2:$MB$200=Q$4),0),$E146-1973)</f>
        <v>#N/A</v>
      </c>
      <c r="R146" t="e" cm="1">
        <f t="array" ref="R146">INDEX('GMW - $100 oil'!$A$2:$MC$200,MATCH(1,('GMW - $100 oil'!$MC$2:$MC$200=R$3)*('GMW - $100 oil'!$MB$2:$MB$200=R$4),0),$E146-1973)</f>
        <v>#N/A</v>
      </c>
      <c r="S146" t="e" cm="1">
        <f t="array" ref="S146">INDEX('GMW - $100 oil'!$A$2:$MC$200,MATCH(1,('GMW - $100 oil'!$MC$2:$MC$200=S$3)*('GMW - $100 oil'!$MB$2:$MB$200=S$4),0),$E146-1973)</f>
        <v>#N/A</v>
      </c>
      <c r="T146" t="e" cm="1">
        <f t="array" ref="T146">INDEX('GMW - $100 oil'!$A$2:$MC$200,MATCH(1,('GMW - $100 oil'!$MC$2:$MC$200=T$3)*('GMW - $100 oil'!$MB$2:$MB$200=T$4),0),$E146-1973)</f>
        <v>#N/A</v>
      </c>
    </row>
    <row r="147" spans="1:20" x14ac:dyDescent="0.25">
      <c r="A147">
        <v>2015</v>
      </c>
      <c r="B147">
        <f t="shared" si="12"/>
        <v>2015</v>
      </c>
      <c r="C147">
        <f t="shared" si="12"/>
        <v>2014</v>
      </c>
      <c r="D147">
        <f t="shared" si="12"/>
        <v>2014</v>
      </c>
      <c r="E147">
        <f t="shared" si="11"/>
        <v>2120</v>
      </c>
      <c r="F147" cm="1">
        <f t="array" ref="F147">INDEX('GMW - $100 oil'!$A$2:$MC$200,MATCH(1,('GMW - $100 oil'!$MC$2:$MC$200=F$3)*('GMW - $100 oil'!$MB$2:$MB$200=F$4),0),$E147-1973)</f>
        <v>613076</v>
      </c>
      <c r="G147" cm="1">
        <f t="array" ref="G147">INDEX('GMW - $100 oil'!$A$2:$MC$200,MATCH(1,('GMW - $100 oil'!$MC$2:$MC$200=G$3)*('GMW - $100 oil'!$MB$2:$MB$200=G$4),0),$E147-1973)</f>
        <v>375994</v>
      </c>
      <c r="H147" cm="1">
        <f t="array" ref="H147">INDEX('GMW - $100 oil'!$A$2:$MC$200,MATCH(1,('GMW - $100 oil'!$MC$2:$MC$200=H$3)*('GMW - $100 oil'!$MB$2:$MB$200=H$4),0),$E147-1973)</f>
        <v>99.5</v>
      </c>
      <c r="I147" cm="1">
        <f t="array" ref="I147">INDEX('GMW - $100 oil'!$A$2:$MC$200,MATCH(1,('GMW - $100 oil'!$MC$2:$MC$200=I$3)*('GMW - $100 oil'!$MB$2:$MB$200=I$4),0),$E147-1973)</f>
        <v>0.5</v>
      </c>
      <c r="J147" t="e" cm="1">
        <f t="array" ref="J147">INDEX('GMW - $100 oil'!$A$2:$MC$200,MATCH(1,('GMW - $100 oil'!$MC$2:$MC$200=J$3)*('GMW - $100 oil'!$MB$2:$MB$200=J$4),0),$E147-1973)</f>
        <v>#N/A</v>
      </c>
      <c r="K147" t="e" cm="1">
        <f t="array" ref="K147">INDEX('GMW - $100 oil'!$A$2:$MC$200,MATCH(1,('GMW - $100 oil'!$MC$2:$MC$200=K$3)*('GMW - $100 oil'!$MB$2:$MB$200=K$4),0),$E147-1973)</f>
        <v>#N/A</v>
      </c>
      <c r="L147" t="e" cm="1">
        <f t="array" ref="L147">INDEX('GMW - $100 oil'!$A$2:$MC$200,MATCH(1,('GMW - $100 oil'!$MC$2:$MC$200=L$3)*('GMW - $100 oil'!$MB$2:$MB$200=L$4),0),$E147-1973)</f>
        <v>#N/A</v>
      </c>
      <c r="M147" t="e" cm="1">
        <f t="array" ref="M147">INDEX('GMW - $100 oil'!$A$2:$MC$200,MATCH(1,('GMW - $100 oil'!$MC$2:$MC$200=M$3)*('GMW - $100 oil'!$MB$2:$MB$200=M$4),0),$E147-1973)</f>
        <v>#N/A</v>
      </c>
      <c r="N147" t="e" cm="1">
        <f t="array" ref="N147">INDEX('GMW - $100 oil'!$A$2:$MC$200,MATCH(1,('GMW - $100 oil'!$MC$2:$MC$200=N$3)*('GMW - $100 oil'!$MB$2:$MB$200=N$4),0),$E147-1973)</f>
        <v>#N/A</v>
      </c>
      <c r="O147" t="e" cm="1">
        <f t="array" ref="O147">INDEX('GMW - $100 oil'!$A$2:$MC$200,MATCH(1,('GMW - $100 oil'!$MC$2:$MC$200=O$3)*('GMW - $100 oil'!$MB$2:$MB$200=O$4),0),$E147-1973)</f>
        <v>#N/A</v>
      </c>
      <c r="P147" t="e" cm="1">
        <f t="array" ref="P147">INDEX('GMW - $100 oil'!$A$2:$MC$200,MATCH(1,('GMW - $100 oil'!$MC$2:$MC$200=P$3)*('GMW - $100 oil'!$MB$2:$MB$200=P$4),0),$E147-1973)</f>
        <v>#N/A</v>
      </c>
      <c r="Q147" t="e" cm="1">
        <f t="array" ref="Q147">INDEX('GMW - $100 oil'!$A$2:$MC$200,MATCH(1,('GMW - $100 oil'!$MC$2:$MC$200=Q$3)*('GMW - $100 oil'!$MB$2:$MB$200=Q$4),0),$E147-1973)</f>
        <v>#N/A</v>
      </c>
      <c r="R147" t="e" cm="1">
        <f t="array" ref="R147">INDEX('GMW - $100 oil'!$A$2:$MC$200,MATCH(1,('GMW - $100 oil'!$MC$2:$MC$200=R$3)*('GMW - $100 oil'!$MB$2:$MB$200=R$4),0),$E147-1973)</f>
        <v>#N/A</v>
      </c>
      <c r="S147" t="e" cm="1">
        <f t="array" ref="S147">INDEX('GMW - $100 oil'!$A$2:$MC$200,MATCH(1,('GMW - $100 oil'!$MC$2:$MC$200=S$3)*('GMW - $100 oil'!$MB$2:$MB$200=S$4),0),$E147-1973)</f>
        <v>#N/A</v>
      </c>
      <c r="T147" t="e" cm="1">
        <f t="array" ref="T147">INDEX('GMW - $100 oil'!$A$2:$MC$200,MATCH(1,('GMW - $100 oil'!$MC$2:$MC$200=T$3)*('GMW - $100 oil'!$MB$2:$MB$200=T$4),0),$E147-1973)</f>
        <v>#N/A</v>
      </c>
    </row>
    <row r="148" spans="1:20" x14ac:dyDescent="0.25">
      <c r="B148">
        <f t="shared" si="12"/>
        <v>2015</v>
      </c>
      <c r="C148">
        <f t="shared" si="12"/>
        <v>2015</v>
      </c>
      <c r="E148">
        <f t="shared" si="11"/>
        <v>2121</v>
      </c>
      <c r="F148" cm="1">
        <f t="array" ref="F148">INDEX('GMW - $100 oil'!$A$2:$MC$200,MATCH(1,('GMW - $100 oil'!$MC$2:$MC$200=F$3)*('GMW - $100 oil'!$MB$2:$MB$200=F$4),0),$E148-1973)</f>
        <v>615875</v>
      </c>
      <c r="G148" cm="1">
        <f t="array" ref="G148">INDEX('GMW - $100 oil'!$A$2:$MC$200,MATCH(1,('GMW - $100 oil'!$MC$2:$MC$200=G$3)*('GMW - $100 oil'!$MB$2:$MB$200=G$4),0),$E148-1973)</f>
        <v>377177</v>
      </c>
      <c r="H148" cm="1">
        <f t="array" ref="H148">INDEX('GMW - $100 oil'!$A$2:$MC$200,MATCH(1,('GMW - $100 oil'!$MC$2:$MC$200=H$3)*('GMW - $100 oil'!$MB$2:$MB$200=H$4),0),$E148-1973)</f>
        <v>100.0667</v>
      </c>
      <c r="I148" cm="1">
        <f t="array" ref="I148">INDEX('GMW - $100 oil'!$A$2:$MC$200,MATCH(1,('GMW - $100 oil'!$MC$2:$MC$200=I$3)*('GMW - $100 oil'!$MB$2:$MB$200=I$4),0),$E148-1973)</f>
        <v>0.5</v>
      </c>
      <c r="J148" t="e" cm="1">
        <f t="array" ref="J148">INDEX('GMW - $100 oil'!$A$2:$MC$200,MATCH(1,('GMW - $100 oil'!$MC$2:$MC$200=J$3)*('GMW - $100 oil'!$MB$2:$MB$200=J$4),0),$E148-1973)</f>
        <v>#N/A</v>
      </c>
      <c r="K148" t="e" cm="1">
        <f t="array" ref="K148">INDEX('GMW - $100 oil'!$A$2:$MC$200,MATCH(1,('GMW - $100 oil'!$MC$2:$MC$200=K$3)*('GMW - $100 oil'!$MB$2:$MB$200=K$4),0),$E148-1973)</f>
        <v>#N/A</v>
      </c>
      <c r="L148" t="e" cm="1">
        <f t="array" ref="L148">INDEX('GMW - $100 oil'!$A$2:$MC$200,MATCH(1,('GMW - $100 oil'!$MC$2:$MC$200=L$3)*('GMW - $100 oil'!$MB$2:$MB$200=L$4),0),$E148-1973)</f>
        <v>#N/A</v>
      </c>
      <c r="M148" t="e" cm="1">
        <f t="array" ref="M148">INDEX('GMW - $100 oil'!$A$2:$MC$200,MATCH(1,('GMW - $100 oil'!$MC$2:$MC$200=M$3)*('GMW - $100 oil'!$MB$2:$MB$200=M$4),0),$E148-1973)</f>
        <v>#N/A</v>
      </c>
      <c r="N148" t="e" cm="1">
        <f t="array" ref="N148">INDEX('GMW - $100 oil'!$A$2:$MC$200,MATCH(1,('GMW - $100 oil'!$MC$2:$MC$200=N$3)*('GMW - $100 oil'!$MB$2:$MB$200=N$4),0),$E148-1973)</f>
        <v>#N/A</v>
      </c>
      <c r="O148" t="e" cm="1">
        <f t="array" ref="O148">INDEX('GMW - $100 oil'!$A$2:$MC$200,MATCH(1,('GMW - $100 oil'!$MC$2:$MC$200=O$3)*('GMW - $100 oil'!$MB$2:$MB$200=O$4),0),$E148-1973)</f>
        <v>#N/A</v>
      </c>
      <c r="P148" t="e" cm="1">
        <f t="array" ref="P148">INDEX('GMW - $100 oil'!$A$2:$MC$200,MATCH(1,('GMW - $100 oil'!$MC$2:$MC$200=P$3)*('GMW - $100 oil'!$MB$2:$MB$200=P$4),0),$E148-1973)</f>
        <v>#N/A</v>
      </c>
      <c r="Q148" t="e" cm="1">
        <f t="array" ref="Q148">INDEX('GMW - $100 oil'!$A$2:$MC$200,MATCH(1,('GMW - $100 oil'!$MC$2:$MC$200=Q$3)*('GMW - $100 oil'!$MB$2:$MB$200=Q$4),0),$E148-1973)</f>
        <v>#N/A</v>
      </c>
      <c r="R148" t="e" cm="1">
        <f t="array" ref="R148">INDEX('GMW - $100 oil'!$A$2:$MC$200,MATCH(1,('GMW - $100 oil'!$MC$2:$MC$200=R$3)*('GMW - $100 oil'!$MB$2:$MB$200=R$4),0),$E148-1973)</f>
        <v>#N/A</v>
      </c>
      <c r="S148" t="e" cm="1">
        <f t="array" ref="S148">INDEX('GMW - $100 oil'!$A$2:$MC$200,MATCH(1,('GMW - $100 oil'!$MC$2:$MC$200=S$3)*('GMW - $100 oil'!$MB$2:$MB$200=S$4),0),$E148-1973)</f>
        <v>#N/A</v>
      </c>
      <c r="T148" t="e" cm="1">
        <f t="array" ref="T148">INDEX('GMW - $100 oil'!$A$2:$MC$200,MATCH(1,('GMW - $100 oil'!$MC$2:$MC$200=T$3)*('GMW - $100 oil'!$MB$2:$MB$200=T$4),0),$E148-1973)</f>
        <v>#N/A</v>
      </c>
    </row>
    <row r="149" spans="1:20" x14ac:dyDescent="0.25">
      <c r="B149">
        <f t="shared" si="12"/>
        <v>2015</v>
      </c>
      <c r="C149">
        <f t="shared" si="12"/>
        <v>2015</v>
      </c>
      <c r="E149">
        <f t="shared" si="11"/>
        <v>2122</v>
      </c>
      <c r="F149" cm="1">
        <f t="array" ref="F149">INDEX('GMW - $100 oil'!$A$2:$MC$200,MATCH(1,('GMW - $100 oil'!$MC$2:$MC$200=F$3)*('GMW - $100 oil'!$MB$2:$MB$200=F$4),0),$E149-1973)</f>
        <v>618263</v>
      </c>
      <c r="G149" cm="1">
        <f t="array" ref="G149">INDEX('GMW - $100 oil'!$A$2:$MC$200,MATCH(1,('GMW - $100 oil'!$MC$2:$MC$200=G$3)*('GMW - $100 oil'!$MB$2:$MB$200=G$4),0),$E149-1973)</f>
        <v>381986</v>
      </c>
      <c r="H149" cm="1">
        <f t="array" ref="H149">INDEX('GMW - $100 oil'!$A$2:$MC$200,MATCH(1,('GMW - $100 oil'!$MC$2:$MC$200=H$3)*('GMW - $100 oil'!$MB$2:$MB$200=H$4),0),$E149-1973)</f>
        <v>100.16670000000001</v>
      </c>
      <c r="I149" cm="1">
        <f t="array" ref="I149">INDEX('GMW - $100 oil'!$A$2:$MC$200,MATCH(1,('GMW - $100 oil'!$MC$2:$MC$200=I$3)*('GMW - $100 oil'!$MB$2:$MB$200=I$4),0),$E149-1973)</f>
        <v>0.5</v>
      </c>
      <c r="J149" t="e" cm="1">
        <f t="array" ref="J149">INDEX('GMW - $100 oil'!$A$2:$MC$200,MATCH(1,('GMW - $100 oil'!$MC$2:$MC$200=J$3)*('GMW - $100 oil'!$MB$2:$MB$200=J$4),0),$E149-1973)</f>
        <v>#N/A</v>
      </c>
      <c r="K149" t="e" cm="1">
        <f t="array" ref="K149">INDEX('GMW - $100 oil'!$A$2:$MC$200,MATCH(1,('GMW - $100 oil'!$MC$2:$MC$200=K$3)*('GMW - $100 oil'!$MB$2:$MB$200=K$4),0),$E149-1973)</f>
        <v>#N/A</v>
      </c>
      <c r="L149" t="e" cm="1">
        <f t="array" ref="L149">INDEX('GMW - $100 oil'!$A$2:$MC$200,MATCH(1,('GMW - $100 oil'!$MC$2:$MC$200=L$3)*('GMW - $100 oil'!$MB$2:$MB$200=L$4),0),$E149-1973)</f>
        <v>#N/A</v>
      </c>
      <c r="M149" t="e" cm="1">
        <f t="array" ref="M149">INDEX('GMW - $100 oil'!$A$2:$MC$200,MATCH(1,('GMW - $100 oil'!$MC$2:$MC$200=M$3)*('GMW - $100 oil'!$MB$2:$MB$200=M$4),0),$E149-1973)</f>
        <v>#N/A</v>
      </c>
      <c r="N149" t="e" cm="1">
        <f t="array" ref="N149">INDEX('GMW - $100 oil'!$A$2:$MC$200,MATCH(1,('GMW - $100 oil'!$MC$2:$MC$200=N$3)*('GMW - $100 oil'!$MB$2:$MB$200=N$4),0),$E149-1973)</f>
        <v>#N/A</v>
      </c>
      <c r="O149" t="e" cm="1">
        <f t="array" ref="O149">INDEX('GMW - $100 oil'!$A$2:$MC$200,MATCH(1,('GMW - $100 oil'!$MC$2:$MC$200=O$3)*('GMW - $100 oil'!$MB$2:$MB$200=O$4),0),$E149-1973)</f>
        <v>#N/A</v>
      </c>
      <c r="P149" t="e" cm="1">
        <f t="array" ref="P149">INDEX('GMW - $100 oil'!$A$2:$MC$200,MATCH(1,('GMW - $100 oil'!$MC$2:$MC$200=P$3)*('GMW - $100 oil'!$MB$2:$MB$200=P$4),0),$E149-1973)</f>
        <v>#N/A</v>
      </c>
      <c r="Q149" t="e" cm="1">
        <f t="array" ref="Q149">INDEX('GMW - $100 oil'!$A$2:$MC$200,MATCH(1,('GMW - $100 oil'!$MC$2:$MC$200=Q$3)*('GMW - $100 oil'!$MB$2:$MB$200=Q$4),0),$E149-1973)</f>
        <v>#N/A</v>
      </c>
      <c r="R149" t="e" cm="1">
        <f t="array" ref="R149">INDEX('GMW - $100 oil'!$A$2:$MC$200,MATCH(1,('GMW - $100 oil'!$MC$2:$MC$200=R$3)*('GMW - $100 oil'!$MB$2:$MB$200=R$4),0),$E149-1973)</f>
        <v>#N/A</v>
      </c>
      <c r="S149" t="e" cm="1">
        <f t="array" ref="S149">INDEX('GMW - $100 oil'!$A$2:$MC$200,MATCH(1,('GMW - $100 oil'!$MC$2:$MC$200=S$3)*('GMW - $100 oil'!$MB$2:$MB$200=S$4),0),$E149-1973)</f>
        <v>#N/A</v>
      </c>
      <c r="T149" t="e" cm="1">
        <f t="array" ref="T149">INDEX('GMW - $100 oil'!$A$2:$MC$200,MATCH(1,('GMW - $100 oil'!$MC$2:$MC$200=T$3)*('GMW - $100 oil'!$MB$2:$MB$200=T$4),0),$E149-1973)</f>
        <v>#N/A</v>
      </c>
    </row>
    <row r="150" spans="1:20" x14ac:dyDescent="0.25">
      <c r="B150">
        <f t="shared" si="12"/>
        <v>2015</v>
      </c>
      <c r="C150">
        <f t="shared" si="12"/>
        <v>2015</v>
      </c>
      <c r="E150">
        <f t="shared" si="11"/>
        <v>2123</v>
      </c>
      <c r="F150" cm="1">
        <f t="array" ref="F150">INDEX('GMW - $100 oil'!$A$2:$MC$200,MATCH(1,('GMW - $100 oil'!$MC$2:$MC$200=F$3)*('GMW - $100 oil'!$MB$2:$MB$200=F$4),0),$E150-1973)</f>
        <v>621968</v>
      </c>
      <c r="G150" cm="1">
        <f t="array" ref="G150">INDEX('GMW - $100 oil'!$A$2:$MC$200,MATCH(1,('GMW - $100 oil'!$MC$2:$MC$200=G$3)*('GMW - $100 oil'!$MB$2:$MB$200=G$4),0),$E150-1973)</f>
        <v>381066</v>
      </c>
      <c r="H150" cm="1">
        <f t="array" ref="H150">INDEX('GMW - $100 oil'!$A$2:$MC$200,MATCH(1,('GMW - $100 oil'!$MC$2:$MC$200=H$3)*('GMW - $100 oil'!$MB$2:$MB$200=H$4),0),$E150-1973)</f>
        <v>100.3</v>
      </c>
      <c r="I150" cm="1">
        <f t="array" ref="I150">INDEX('GMW - $100 oil'!$A$2:$MC$200,MATCH(1,('GMW - $100 oil'!$MC$2:$MC$200=I$3)*('GMW - $100 oil'!$MB$2:$MB$200=I$4),0),$E150-1973)</f>
        <v>0.5</v>
      </c>
      <c r="J150" t="e" cm="1">
        <f t="array" ref="J150">INDEX('GMW - $100 oil'!$A$2:$MC$200,MATCH(1,('GMW - $100 oil'!$MC$2:$MC$200=J$3)*('GMW - $100 oil'!$MB$2:$MB$200=J$4),0),$E150-1973)</f>
        <v>#N/A</v>
      </c>
      <c r="K150" t="e" cm="1">
        <f t="array" ref="K150">INDEX('GMW - $100 oil'!$A$2:$MC$200,MATCH(1,('GMW - $100 oil'!$MC$2:$MC$200=K$3)*('GMW - $100 oil'!$MB$2:$MB$200=K$4),0),$E150-1973)</f>
        <v>#N/A</v>
      </c>
      <c r="L150" t="e" cm="1">
        <f t="array" ref="L150">INDEX('GMW - $100 oil'!$A$2:$MC$200,MATCH(1,('GMW - $100 oil'!$MC$2:$MC$200=L$3)*('GMW - $100 oil'!$MB$2:$MB$200=L$4),0),$E150-1973)</f>
        <v>#N/A</v>
      </c>
      <c r="M150" t="e" cm="1">
        <f t="array" ref="M150">INDEX('GMW - $100 oil'!$A$2:$MC$200,MATCH(1,('GMW - $100 oil'!$MC$2:$MC$200=M$3)*('GMW - $100 oil'!$MB$2:$MB$200=M$4),0),$E150-1973)</f>
        <v>#N/A</v>
      </c>
      <c r="N150" t="e" cm="1">
        <f t="array" ref="N150">INDEX('GMW - $100 oil'!$A$2:$MC$200,MATCH(1,('GMW - $100 oil'!$MC$2:$MC$200=N$3)*('GMW - $100 oil'!$MB$2:$MB$200=N$4),0),$E150-1973)</f>
        <v>#N/A</v>
      </c>
      <c r="O150" t="e" cm="1">
        <f t="array" ref="O150">INDEX('GMW - $100 oil'!$A$2:$MC$200,MATCH(1,('GMW - $100 oil'!$MC$2:$MC$200=O$3)*('GMW - $100 oil'!$MB$2:$MB$200=O$4),0),$E150-1973)</f>
        <v>#N/A</v>
      </c>
      <c r="P150" t="e" cm="1">
        <f t="array" ref="P150">INDEX('GMW - $100 oil'!$A$2:$MC$200,MATCH(1,('GMW - $100 oil'!$MC$2:$MC$200=P$3)*('GMW - $100 oil'!$MB$2:$MB$200=P$4),0),$E150-1973)</f>
        <v>#N/A</v>
      </c>
      <c r="Q150" t="e" cm="1">
        <f t="array" ref="Q150">INDEX('GMW - $100 oil'!$A$2:$MC$200,MATCH(1,('GMW - $100 oil'!$MC$2:$MC$200=Q$3)*('GMW - $100 oil'!$MB$2:$MB$200=Q$4),0),$E150-1973)</f>
        <v>#N/A</v>
      </c>
      <c r="R150" t="e" cm="1">
        <f t="array" ref="R150">INDEX('GMW - $100 oil'!$A$2:$MC$200,MATCH(1,('GMW - $100 oil'!$MC$2:$MC$200=R$3)*('GMW - $100 oil'!$MB$2:$MB$200=R$4),0),$E150-1973)</f>
        <v>#N/A</v>
      </c>
      <c r="S150" t="e" cm="1">
        <f t="array" ref="S150">INDEX('GMW - $100 oil'!$A$2:$MC$200,MATCH(1,('GMW - $100 oil'!$MC$2:$MC$200=S$3)*('GMW - $100 oil'!$MB$2:$MB$200=S$4),0),$E150-1973)</f>
        <v>#N/A</v>
      </c>
      <c r="T150" t="e" cm="1">
        <f t="array" ref="T150">INDEX('GMW - $100 oil'!$A$2:$MC$200,MATCH(1,('GMW - $100 oil'!$MC$2:$MC$200=T$3)*('GMW - $100 oil'!$MB$2:$MB$200=T$4),0),$E150-1973)</f>
        <v>#N/A</v>
      </c>
    </row>
    <row r="151" spans="1:20" x14ac:dyDescent="0.25">
      <c r="A151">
        <v>2016</v>
      </c>
      <c r="B151">
        <f t="shared" si="12"/>
        <v>2016</v>
      </c>
      <c r="C151">
        <f t="shared" si="12"/>
        <v>2015</v>
      </c>
      <c r="D151">
        <f t="shared" si="12"/>
        <v>2015</v>
      </c>
      <c r="E151">
        <f t="shared" si="11"/>
        <v>2124</v>
      </c>
      <c r="F151" cm="1">
        <f t="array" ref="F151">INDEX('GMW - $100 oil'!$A$2:$MC$200,MATCH(1,('GMW - $100 oil'!$MC$2:$MC$200=F$3)*('GMW - $100 oil'!$MB$2:$MB$200=F$4),0),$E151-1973)</f>
        <v>625099</v>
      </c>
      <c r="G151" cm="1">
        <f t="array" ref="G151">INDEX('GMW - $100 oil'!$A$2:$MC$200,MATCH(1,('GMW - $100 oil'!$MC$2:$MC$200=G$3)*('GMW - $100 oil'!$MB$2:$MB$200=G$4),0),$E151-1973)</f>
        <v>388934</v>
      </c>
      <c r="H151" cm="1">
        <f t="array" ref="H151">INDEX('GMW - $100 oil'!$A$2:$MC$200,MATCH(1,('GMW - $100 oil'!$MC$2:$MC$200=H$3)*('GMW - $100 oil'!$MB$2:$MB$200=H$4),0),$E151-1973)</f>
        <v>99.833340000000007</v>
      </c>
      <c r="I151" cm="1">
        <f t="array" ref="I151">INDEX('GMW - $100 oil'!$A$2:$MC$200,MATCH(1,('GMW - $100 oil'!$MC$2:$MC$200=I$3)*('GMW - $100 oil'!$MB$2:$MB$200=I$4),0),$E151-1973)</f>
        <v>0.5</v>
      </c>
      <c r="J151" t="e" cm="1">
        <f t="array" ref="J151">INDEX('GMW - $100 oil'!$A$2:$MC$200,MATCH(1,('GMW - $100 oil'!$MC$2:$MC$200=J$3)*('GMW - $100 oil'!$MB$2:$MB$200=J$4),0),$E151-1973)</f>
        <v>#N/A</v>
      </c>
      <c r="K151" t="e" cm="1">
        <f t="array" ref="K151">INDEX('GMW - $100 oil'!$A$2:$MC$200,MATCH(1,('GMW - $100 oil'!$MC$2:$MC$200=K$3)*('GMW - $100 oil'!$MB$2:$MB$200=K$4),0),$E151-1973)</f>
        <v>#N/A</v>
      </c>
      <c r="L151" t="e" cm="1">
        <f t="array" ref="L151">INDEX('GMW - $100 oil'!$A$2:$MC$200,MATCH(1,('GMW - $100 oil'!$MC$2:$MC$200=L$3)*('GMW - $100 oil'!$MB$2:$MB$200=L$4),0),$E151-1973)</f>
        <v>#N/A</v>
      </c>
      <c r="M151" t="e" cm="1">
        <f t="array" ref="M151">INDEX('GMW - $100 oil'!$A$2:$MC$200,MATCH(1,('GMW - $100 oil'!$MC$2:$MC$200=M$3)*('GMW - $100 oil'!$MB$2:$MB$200=M$4),0),$E151-1973)</f>
        <v>#N/A</v>
      </c>
      <c r="N151" t="e" cm="1">
        <f t="array" ref="N151">INDEX('GMW - $100 oil'!$A$2:$MC$200,MATCH(1,('GMW - $100 oil'!$MC$2:$MC$200=N$3)*('GMW - $100 oil'!$MB$2:$MB$200=N$4),0),$E151-1973)</f>
        <v>#N/A</v>
      </c>
      <c r="O151" t="e" cm="1">
        <f t="array" ref="O151">INDEX('GMW - $100 oil'!$A$2:$MC$200,MATCH(1,('GMW - $100 oil'!$MC$2:$MC$200=O$3)*('GMW - $100 oil'!$MB$2:$MB$200=O$4),0),$E151-1973)</f>
        <v>#N/A</v>
      </c>
      <c r="P151" t="e" cm="1">
        <f t="array" ref="P151">INDEX('GMW - $100 oil'!$A$2:$MC$200,MATCH(1,('GMW - $100 oil'!$MC$2:$MC$200=P$3)*('GMW - $100 oil'!$MB$2:$MB$200=P$4),0),$E151-1973)</f>
        <v>#N/A</v>
      </c>
      <c r="Q151" t="e" cm="1">
        <f t="array" ref="Q151">INDEX('GMW - $100 oil'!$A$2:$MC$200,MATCH(1,('GMW - $100 oil'!$MC$2:$MC$200=Q$3)*('GMW - $100 oil'!$MB$2:$MB$200=Q$4),0),$E151-1973)</f>
        <v>#N/A</v>
      </c>
      <c r="R151" t="e" cm="1">
        <f t="array" ref="R151">INDEX('GMW - $100 oil'!$A$2:$MC$200,MATCH(1,('GMW - $100 oil'!$MC$2:$MC$200=R$3)*('GMW - $100 oil'!$MB$2:$MB$200=R$4),0),$E151-1973)</f>
        <v>#N/A</v>
      </c>
      <c r="S151" t="e" cm="1">
        <f t="array" ref="S151">INDEX('GMW - $100 oil'!$A$2:$MC$200,MATCH(1,('GMW - $100 oil'!$MC$2:$MC$200=S$3)*('GMW - $100 oil'!$MB$2:$MB$200=S$4),0),$E151-1973)</f>
        <v>#N/A</v>
      </c>
      <c r="T151" t="e" cm="1">
        <f t="array" ref="T151">INDEX('GMW - $100 oil'!$A$2:$MC$200,MATCH(1,('GMW - $100 oil'!$MC$2:$MC$200=T$3)*('GMW - $100 oil'!$MB$2:$MB$200=T$4),0),$E151-1973)</f>
        <v>#N/A</v>
      </c>
    </row>
    <row r="152" spans="1:20" x14ac:dyDescent="0.25">
      <c r="B152">
        <f t="shared" si="12"/>
        <v>2016</v>
      </c>
      <c r="C152">
        <f t="shared" si="12"/>
        <v>2016</v>
      </c>
      <c r="E152">
        <f t="shared" si="11"/>
        <v>2125</v>
      </c>
      <c r="F152" cm="1">
        <f t="array" ref="F152">INDEX('GMW - $100 oil'!$A$2:$MC$200,MATCH(1,('GMW - $100 oil'!$MC$2:$MC$200=F$3)*('GMW - $100 oil'!$MB$2:$MB$200=F$4),0),$E152-1973)</f>
        <v>629697</v>
      </c>
      <c r="G152" cm="1">
        <f t="array" ref="G152">INDEX('GMW - $100 oil'!$A$2:$MC$200,MATCH(1,('GMW - $100 oil'!$MC$2:$MC$200=G$3)*('GMW - $100 oil'!$MB$2:$MB$200=G$4),0),$E152-1973)</f>
        <v>392507</v>
      </c>
      <c r="H152" cm="1">
        <f t="array" ref="H152">INDEX('GMW - $100 oil'!$A$2:$MC$200,MATCH(1,('GMW - $100 oil'!$MC$2:$MC$200=H$3)*('GMW - $100 oil'!$MB$2:$MB$200=H$4),0),$E152-1973)</f>
        <v>100.4</v>
      </c>
      <c r="I152" cm="1">
        <f t="array" ref="I152">INDEX('GMW - $100 oil'!$A$2:$MC$200,MATCH(1,('GMW - $100 oil'!$MC$2:$MC$200=I$3)*('GMW - $100 oil'!$MB$2:$MB$200=I$4),0),$E152-1973)</f>
        <v>0.5</v>
      </c>
      <c r="J152" t="e" cm="1">
        <f t="array" ref="J152">INDEX('GMW - $100 oil'!$A$2:$MC$200,MATCH(1,('GMW - $100 oil'!$MC$2:$MC$200=J$3)*('GMW - $100 oil'!$MB$2:$MB$200=J$4),0),$E152-1973)</f>
        <v>#N/A</v>
      </c>
      <c r="K152" t="e" cm="1">
        <f t="array" ref="K152">INDEX('GMW - $100 oil'!$A$2:$MC$200,MATCH(1,('GMW - $100 oil'!$MC$2:$MC$200=K$3)*('GMW - $100 oil'!$MB$2:$MB$200=K$4),0),$E152-1973)</f>
        <v>#N/A</v>
      </c>
      <c r="L152" t="e" cm="1">
        <f t="array" ref="L152">INDEX('GMW - $100 oil'!$A$2:$MC$200,MATCH(1,('GMW - $100 oil'!$MC$2:$MC$200=L$3)*('GMW - $100 oil'!$MB$2:$MB$200=L$4),0),$E152-1973)</f>
        <v>#N/A</v>
      </c>
      <c r="M152" t="e" cm="1">
        <f t="array" ref="M152">INDEX('GMW - $100 oil'!$A$2:$MC$200,MATCH(1,('GMW - $100 oil'!$MC$2:$MC$200=M$3)*('GMW - $100 oil'!$MB$2:$MB$200=M$4),0),$E152-1973)</f>
        <v>#N/A</v>
      </c>
      <c r="N152" t="e" cm="1">
        <f t="array" ref="N152">INDEX('GMW - $100 oil'!$A$2:$MC$200,MATCH(1,('GMW - $100 oil'!$MC$2:$MC$200=N$3)*('GMW - $100 oil'!$MB$2:$MB$200=N$4),0),$E152-1973)</f>
        <v>#N/A</v>
      </c>
      <c r="O152" t="e" cm="1">
        <f t="array" ref="O152">INDEX('GMW - $100 oil'!$A$2:$MC$200,MATCH(1,('GMW - $100 oil'!$MC$2:$MC$200=O$3)*('GMW - $100 oil'!$MB$2:$MB$200=O$4),0),$E152-1973)</f>
        <v>#N/A</v>
      </c>
      <c r="P152" t="e" cm="1">
        <f t="array" ref="P152">INDEX('GMW - $100 oil'!$A$2:$MC$200,MATCH(1,('GMW - $100 oil'!$MC$2:$MC$200=P$3)*('GMW - $100 oil'!$MB$2:$MB$200=P$4),0),$E152-1973)</f>
        <v>#N/A</v>
      </c>
      <c r="Q152" t="e" cm="1">
        <f t="array" ref="Q152">INDEX('GMW - $100 oil'!$A$2:$MC$200,MATCH(1,('GMW - $100 oil'!$MC$2:$MC$200=Q$3)*('GMW - $100 oil'!$MB$2:$MB$200=Q$4),0),$E152-1973)</f>
        <v>#N/A</v>
      </c>
      <c r="R152" t="e" cm="1">
        <f t="array" ref="R152">INDEX('GMW - $100 oil'!$A$2:$MC$200,MATCH(1,('GMW - $100 oil'!$MC$2:$MC$200=R$3)*('GMW - $100 oil'!$MB$2:$MB$200=R$4),0),$E152-1973)</f>
        <v>#N/A</v>
      </c>
      <c r="S152" t="e" cm="1">
        <f t="array" ref="S152">INDEX('GMW - $100 oil'!$A$2:$MC$200,MATCH(1,('GMW - $100 oil'!$MC$2:$MC$200=S$3)*('GMW - $100 oil'!$MB$2:$MB$200=S$4),0),$E152-1973)</f>
        <v>#N/A</v>
      </c>
      <c r="T152" t="e" cm="1">
        <f t="array" ref="T152">INDEX('GMW - $100 oil'!$A$2:$MC$200,MATCH(1,('GMW - $100 oil'!$MC$2:$MC$200=T$3)*('GMW - $100 oil'!$MB$2:$MB$200=T$4),0),$E152-1973)</f>
        <v>#N/A</v>
      </c>
    </row>
    <row r="153" spans="1:20" x14ac:dyDescent="0.25">
      <c r="B153">
        <f t="shared" si="12"/>
        <v>2016</v>
      </c>
      <c r="C153">
        <f t="shared" si="12"/>
        <v>2016</v>
      </c>
      <c r="E153">
        <f t="shared" si="11"/>
        <v>2126</v>
      </c>
      <c r="F153" cm="1">
        <f t="array" ref="F153">INDEX('GMW - $100 oil'!$A$2:$MC$200,MATCH(1,('GMW - $100 oil'!$MC$2:$MC$200=F$3)*('GMW - $100 oil'!$MB$2:$MB$200=F$4),0),$E153-1973)</f>
        <v>632477</v>
      </c>
      <c r="G153" cm="1">
        <f t="array" ref="G153">INDEX('GMW - $100 oil'!$A$2:$MC$200,MATCH(1,('GMW - $100 oil'!$MC$2:$MC$200=G$3)*('GMW - $100 oil'!$MB$2:$MB$200=G$4),0),$E153-1973)</f>
        <v>395501</v>
      </c>
      <c r="H153" cm="1">
        <f t="array" ref="H153">INDEX('GMW - $100 oil'!$A$2:$MC$200,MATCH(1,('GMW - $100 oil'!$MC$2:$MC$200=H$3)*('GMW - $100 oil'!$MB$2:$MB$200=H$4),0),$E153-1973)</f>
        <v>100.86669999999999</v>
      </c>
      <c r="I153" cm="1">
        <f t="array" ref="I153">INDEX('GMW - $100 oil'!$A$2:$MC$200,MATCH(1,('GMW - $100 oil'!$MC$2:$MC$200=I$3)*('GMW - $100 oil'!$MB$2:$MB$200=I$4),0),$E153-1973)</f>
        <v>0.34090910000000002</v>
      </c>
      <c r="J153" t="e" cm="1">
        <f t="array" ref="J153">INDEX('GMW - $100 oil'!$A$2:$MC$200,MATCH(1,('GMW - $100 oil'!$MC$2:$MC$200=J$3)*('GMW - $100 oil'!$MB$2:$MB$200=J$4),0),$E153-1973)</f>
        <v>#N/A</v>
      </c>
      <c r="K153" t="e" cm="1">
        <f t="array" ref="K153">INDEX('GMW - $100 oil'!$A$2:$MC$200,MATCH(1,('GMW - $100 oil'!$MC$2:$MC$200=K$3)*('GMW - $100 oil'!$MB$2:$MB$200=K$4),0),$E153-1973)</f>
        <v>#N/A</v>
      </c>
      <c r="L153" t="e" cm="1">
        <f t="array" ref="L153">INDEX('GMW - $100 oil'!$A$2:$MC$200,MATCH(1,('GMW - $100 oil'!$MC$2:$MC$200=L$3)*('GMW - $100 oil'!$MB$2:$MB$200=L$4),0),$E153-1973)</f>
        <v>#N/A</v>
      </c>
      <c r="M153" t="e" cm="1">
        <f t="array" ref="M153">INDEX('GMW - $100 oil'!$A$2:$MC$200,MATCH(1,('GMW - $100 oil'!$MC$2:$MC$200=M$3)*('GMW - $100 oil'!$MB$2:$MB$200=M$4),0),$E153-1973)</f>
        <v>#N/A</v>
      </c>
      <c r="N153" t="e" cm="1">
        <f t="array" ref="N153">INDEX('GMW - $100 oil'!$A$2:$MC$200,MATCH(1,('GMW - $100 oil'!$MC$2:$MC$200=N$3)*('GMW - $100 oil'!$MB$2:$MB$200=N$4),0),$E153-1973)</f>
        <v>#N/A</v>
      </c>
      <c r="O153" t="e" cm="1">
        <f t="array" ref="O153">INDEX('GMW - $100 oil'!$A$2:$MC$200,MATCH(1,('GMW - $100 oil'!$MC$2:$MC$200=O$3)*('GMW - $100 oil'!$MB$2:$MB$200=O$4),0),$E153-1973)</f>
        <v>#N/A</v>
      </c>
      <c r="P153" t="e" cm="1">
        <f t="array" ref="P153">INDEX('GMW - $100 oil'!$A$2:$MC$200,MATCH(1,('GMW - $100 oil'!$MC$2:$MC$200=P$3)*('GMW - $100 oil'!$MB$2:$MB$200=P$4),0),$E153-1973)</f>
        <v>#N/A</v>
      </c>
      <c r="Q153" t="e" cm="1">
        <f t="array" ref="Q153">INDEX('GMW - $100 oil'!$A$2:$MC$200,MATCH(1,('GMW - $100 oil'!$MC$2:$MC$200=Q$3)*('GMW - $100 oil'!$MB$2:$MB$200=Q$4),0),$E153-1973)</f>
        <v>#N/A</v>
      </c>
      <c r="R153" t="e" cm="1">
        <f t="array" ref="R153">INDEX('GMW - $100 oil'!$A$2:$MC$200,MATCH(1,('GMW - $100 oil'!$MC$2:$MC$200=R$3)*('GMW - $100 oil'!$MB$2:$MB$200=R$4),0),$E153-1973)</f>
        <v>#N/A</v>
      </c>
      <c r="S153" t="e" cm="1">
        <f t="array" ref="S153">INDEX('GMW - $100 oil'!$A$2:$MC$200,MATCH(1,('GMW - $100 oil'!$MC$2:$MC$200=S$3)*('GMW - $100 oil'!$MB$2:$MB$200=S$4),0),$E153-1973)</f>
        <v>#N/A</v>
      </c>
      <c r="T153" t="e" cm="1">
        <f t="array" ref="T153">INDEX('GMW - $100 oil'!$A$2:$MC$200,MATCH(1,('GMW - $100 oil'!$MC$2:$MC$200=T$3)*('GMW - $100 oil'!$MB$2:$MB$200=T$4),0),$E153-1973)</f>
        <v>#N/A</v>
      </c>
    </row>
    <row r="154" spans="1:20" x14ac:dyDescent="0.25">
      <c r="B154">
        <f t="shared" si="12"/>
        <v>2016</v>
      </c>
      <c r="C154">
        <f t="shared" si="12"/>
        <v>2016</v>
      </c>
      <c r="E154">
        <f t="shared" si="11"/>
        <v>2127</v>
      </c>
      <c r="F154" cm="1">
        <f t="array" ref="F154">INDEX('GMW - $100 oil'!$A$2:$MC$200,MATCH(1,('GMW - $100 oil'!$MC$2:$MC$200=F$3)*('GMW - $100 oil'!$MB$2:$MB$200=F$4),0),$E154-1973)</f>
        <v>636392</v>
      </c>
      <c r="G154" cm="1">
        <f t="array" ref="G154">INDEX('GMW - $100 oil'!$A$2:$MC$200,MATCH(1,('GMW - $100 oil'!$MC$2:$MC$200=G$3)*('GMW - $100 oil'!$MB$2:$MB$200=G$4),0),$E154-1973)</f>
        <v>395973</v>
      </c>
      <c r="H154" cm="1">
        <f t="array" ref="H154">INDEX('GMW - $100 oil'!$A$2:$MC$200,MATCH(1,('GMW - $100 oil'!$MC$2:$MC$200=H$3)*('GMW - $100 oil'!$MB$2:$MB$200=H$4),0),$E154-1973)</f>
        <v>101.5</v>
      </c>
      <c r="I154" cm="1">
        <f t="array" ref="I154">INDEX('GMW - $100 oil'!$A$2:$MC$200,MATCH(1,('GMW - $100 oil'!$MC$2:$MC$200=I$3)*('GMW - $100 oil'!$MB$2:$MB$200=I$4),0),$E154-1973)</f>
        <v>0.25</v>
      </c>
      <c r="J154" t="e" cm="1">
        <f t="array" ref="J154">INDEX('GMW - $100 oil'!$A$2:$MC$200,MATCH(1,('GMW - $100 oil'!$MC$2:$MC$200=J$3)*('GMW - $100 oil'!$MB$2:$MB$200=J$4),0),$E154-1973)</f>
        <v>#N/A</v>
      </c>
      <c r="K154" t="e" cm="1">
        <f t="array" ref="K154">INDEX('GMW - $100 oil'!$A$2:$MC$200,MATCH(1,('GMW - $100 oil'!$MC$2:$MC$200=K$3)*('GMW - $100 oil'!$MB$2:$MB$200=K$4),0),$E154-1973)</f>
        <v>#N/A</v>
      </c>
      <c r="L154" t="e" cm="1">
        <f t="array" ref="L154">INDEX('GMW - $100 oil'!$A$2:$MC$200,MATCH(1,('GMW - $100 oil'!$MC$2:$MC$200=L$3)*('GMW - $100 oil'!$MB$2:$MB$200=L$4),0),$E154-1973)</f>
        <v>#N/A</v>
      </c>
      <c r="M154" t="e" cm="1">
        <f t="array" ref="M154">INDEX('GMW - $100 oil'!$A$2:$MC$200,MATCH(1,('GMW - $100 oil'!$MC$2:$MC$200=M$3)*('GMW - $100 oil'!$MB$2:$MB$200=M$4),0),$E154-1973)</f>
        <v>#N/A</v>
      </c>
      <c r="N154" t="e" cm="1">
        <f t="array" ref="N154">INDEX('GMW - $100 oil'!$A$2:$MC$200,MATCH(1,('GMW - $100 oil'!$MC$2:$MC$200=N$3)*('GMW - $100 oil'!$MB$2:$MB$200=N$4),0),$E154-1973)</f>
        <v>#N/A</v>
      </c>
      <c r="O154" t="e" cm="1">
        <f t="array" ref="O154">INDEX('GMW - $100 oil'!$A$2:$MC$200,MATCH(1,('GMW - $100 oil'!$MC$2:$MC$200=O$3)*('GMW - $100 oil'!$MB$2:$MB$200=O$4),0),$E154-1973)</f>
        <v>#N/A</v>
      </c>
      <c r="P154" t="e" cm="1">
        <f t="array" ref="P154">INDEX('GMW - $100 oil'!$A$2:$MC$200,MATCH(1,('GMW - $100 oil'!$MC$2:$MC$200=P$3)*('GMW - $100 oil'!$MB$2:$MB$200=P$4),0),$E154-1973)</f>
        <v>#N/A</v>
      </c>
      <c r="Q154" t="e" cm="1">
        <f t="array" ref="Q154">INDEX('GMW - $100 oil'!$A$2:$MC$200,MATCH(1,('GMW - $100 oil'!$MC$2:$MC$200=Q$3)*('GMW - $100 oil'!$MB$2:$MB$200=Q$4),0),$E154-1973)</f>
        <v>#N/A</v>
      </c>
      <c r="R154" t="e" cm="1">
        <f t="array" ref="R154">INDEX('GMW - $100 oil'!$A$2:$MC$200,MATCH(1,('GMW - $100 oil'!$MC$2:$MC$200=R$3)*('GMW - $100 oil'!$MB$2:$MB$200=R$4),0),$E154-1973)</f>
        <v>#N/A</v>
      </c>
      <c r="S154" t="e" cm="1">
        <f t="array" ref="S154">INDEX('GMW - $100 oil'!$A$2:$MC$200,MATCH(1,('GMW - $100 oil'!$MC$2:$MC$200=S$3)*('GMW - $100 oil'!$MB$2:$MB$200=S$4),0),$E154-1973)</f>
        <v>#N/A</v>
      </c>
      <c r="T154" t="e" cm="1">
        <f t="array" ref="T154">INDEX('GMW - $100 oil'!$A$2:$MC$200,MATCH(1,('GMW - $100 oil'!$MC$2:$MC$200=T$3)*('GMW - $100 oil'!$MB$2:$MB$200=T$4),0),$E154-1973)</f>
        <v>#N/A</v>
      </c>
    </row>
    <row r="155" spans="1:20" x14ac:dyDescent="0.25">
      <c r="A155">
        <v>2017</v>
      </c>
      <c r="B155">
        <f t="shared" si="12"/>
        <v>2017</v>
      </c>
      <c r="C155">
        <f t="shared" si="12"/>
        <v>2016</v>
      </c>
      <c r="D155">
        <f t="shared" si="12"/>
        <v>2016</v>
      </c>
      <c r="E155">
        <f t="shared" si="11"/>
        <v>2128</v>
      </c>
      <c r="F155" cm="1">
        <f t="array" ref="F155">INDEX('GMW - $100 oil'!$A$2:$MC$200,MATCH(1,('GMW - $100 oil'!$MC$2:$MC$200=F$3)*('GMW - $100 oil'!$MB$2:$MB$200=F$4),0),$E155-1973)</f>
        <v>642463</v>
      </c>
      <c r="G155" cm="1">
        <f t="array" ref="G155">INDEX('GMW - $100 oil'!$A$2:$MC$200,MATCH(1,('GMW - $100 oil'!$MC$2:$MC$200=G$3)*('GMW - $100 oil'!$MB$2:$MB$200=G$4),0),$E155-1973)</f>
        <v>399124</v>
      </c>
      <c r="H155" cm="1">
        <f t="array" ref="H155">INDEX('GMW - $100 oil'!$A$2:$MC$200,MATCH(1,('GMW - $100 oil'!$MC$2:$MC$200=H$3)*('GMW - $100 oil'!$MB$2:$MB$200=H$4),0),$E155-1973)</f>
        <v>102</v>
      </c>
      <c r="I155" cm="1">
        <f t="array" ref="I155">INDEX('GMW - $100 oil'!$A$2:$MC$200,MATCH(1,('GMW - $100 oil'!$MC$2:$MC$200=I$3)*('GMW - $100 oil'!$MB$2:$MB$200=I$4),0),$E155-1973)</f>
        <v>0.25</v>
      </c>
      <c r="J155" t="e" cm="1">
        <f t="array" ref="J155">INDEX('GMW - $100 oil'!$A$2:$MC$200,MATCH(1,('GMW - $100 oil'!$MC$2:$MC$200=J$3)*('GMW - $100 oil'!$MB$2:$MB$200=J$4),0),$E155-1973)</f>
        <v>#N/A</v>
      </c>
      <c r="K155" t="e" cm="1">
        <f t="array" ref="K155">INDEX('GMW - $100 oil'!$A$2:$MC$200,MATCH(1,('GMW - $100 oil'!$MC$2:$MC$200=K$3)*('GMW - $100 oil'!$MB$2:$MB$200=K$4),0),$E155-1973)</f>
        <v>#N/A</v>
      </c>
      <c r="L155" t="e" cm="1">
        <f t="array" ref="L155">INDEX('GMW - $100 oil'!$A$2:$MC$200,MATCH(1,('GMW - $100 oil'!$MC$2:$MC$200=L$3)*('GMW - $100 oil'!$MB$2:$MB$200=L$4),0),$E155-1973)</f>
        <v>#N/A</v>
      </c>
      <c r="M155" t="e" cm="1">
        <f t="array" ref="M155">INDEX('GMW - $100 oil'!$A$2:$MC$200,MATCH(1,('GMW - $100 oil'!$MC$2:$MC$200=M$3)*('GMW - $100 oil'!$MB$2:$MB$200=M$4),0),$E155-1973)</f>
        <v>#N/A</v>
      </c>
      <c r="N155" t="e" cm="1">
        <f t="array" ref="N155">INDEX('GMW - $100 oil'!$A$2:$MC$200,MATCH(1,('GMW - $100 oil'!$MC$2:$MC$200=N$3)*('GMW - $100 oil'!$MB$2:$MB$200=N$4),0),$E155-1973)</f>
        <v>#N/A</v>
      </c>
      <c r="O155" t="e" cm="1">
        <f t="array" ref="O155">INDEX('GMW - $100 oil'!$A$2:$MC$200,MATCH(1,('GMW - $100 oil'!$MC$2:$MC$200=O$3)*('GMW - $100 oil'!$MB$2:$MB$200=O$4),0),$E155-1973)</f>
        <v>#N/A</v>
      </c>
      <c r="P155" t="e" cm="1">
        <f t="array" ref="P155">INDEX('GMW - $100 oil'!$A$2:$MC$200,MATCH(1,('GMW - $100 oil'!$MC$2:$MC$200=P$3)*('GMW - $100 oil'!$MB$2:$MB$200=P$4),0),$E155-1973)</f>
        <v>#N/A</v>
      </c>
      <c r="Q155" t="e" cm="1">
        <f t="array" ref="Q155">INDEX('GMW - $100 oil'!$A$2:$MC$200,MATCH(1,('GMW - $100 oil'!$MC$2:$MC$200=Q$3)*('GMW - $100 oil'!$MB$2:$MB$200=Q$4),0),$E155-1973)</f>
        <v>#N/A</v>
      </c>
      <c r="R155" t="e" cm="1">
        <f t="array" ref="R155">INDEX('GMW - $100 oil'!$A$2:$MC$200,MATCH(1,('GMW - $100 oil'!$MC$2:$MC$200=R$3)*('GMW - $100 oil'!$MB$2:$MB$200=R$4),0),$E155-1973)</f>
        <v>#N/A</v>
      </c>
      <c r="S155" t="e" cm="1">
        <f t="array" ref="S155">INDEX('GMW - $100 oil'!$A$2:$MC$200,MATCH(1,('GMW - $100 oil'!$MC$2:$MC$200=S$3)*('GMW - $100 oil'!$MB$2:$MB$200=S$4),0),$E155-1973)</f>
        <v>#N/A</v>
      </c>
      <c r="T155" t="e" cm="1">
        <f t="array" ref="T155">INDEX('GMW - $100 oil'!$A$2:$MC$200,MATCH(1,('GMW - $100 oil'!$MC$2:$MC$200=T$3)*('GMW - $100 oil'!$MB$2:$MB$200=T$4),0),$E155-1973)</f>
        <v>#N/A</v>
      </c>
    </row>
    <row r="156" spans="1:20" x14ac:dyDescent="0.25">
      <c r="B156">
        <f t="shared" ref="B156:D171" si="13">+B152+1</f>
        <v>2017</v>
      </c>
      <c r="C156">
        <f t="shared" si="13"/>
        <v>2017</v>
      </c>
      <c r="E156">
        <f t="shared" si="11"/>
        <v>2129</v>
      </c>
      <c r="F156" cm="1">
        <f t="array" ref="F156">INDEX('GMW - $100 oil'!$A$2:$MC$200,MATCH(1,('GMW - $100 oil'!$MC$2:$MC$200=F$3)*('GMW - $100 oil'!$MB$2:$MB$200=F$4),0),$E156-1973)</f>
        <v>647944</v>
      </c>
      <c r="G156" cm="1">
        <f t="array" ref="G156">INDEX('GMW - $100 oil'!$A$2:$MC$200,MATCH(1,('GMW - $100 oil'!$MC$2:$MC$200=G$3)*('GMW - $100 oil'!$MB$2:$MB$200=G$4),0),$E156-1973)</f>
        <v>399139</v>
      </c>
      <c r="H156" cm="1">
        <f t="array" ref="H156">INDEX('GMW - $100 oil'!$A$2:$MC$200,MATCH(1,('GMW - $100 oil'!$MC$2:$MC$200=H$3)*('GMW - $100 oil'!$MB$2:$MB$200=H$4),0),$E156-1973)</f>
        <v>103.16670000000001</v>
      </c>
      <c r="I156" cm="1">
        <f t="array" ref="I156">INDEX('GMW - $100 oil'!$A$2:$MC$200,MATCH(1,('GMW - $100 oil'!$MC$2:$MC$200=I$3)*('GMW - $100 oil'!$MB$2:$MB$200=I$4),0),$E156-1973)</f>
        <v>0.25</v>
      </c>
      <c r="J156" t="e" cm="1">
        <f t="array" ref="J156">INDEX('GMW - $100 oil'!$A$2:$MC$200,MATCH(1,('GMW - $100 oil'!$MC$2:$MC$200=J$3)*('GMW - $100 oil'!$MB$2:$MB$200=J$4),0),$E156-1973)</f>
        <v>#N/A</v>
      </c>
      <c r="K156" t="e" cm="1">
        <f t="array" ref="K156">INDEX('GMW - $100 oil'!$A$2:$MC$200,MATCH(1,('GMW - $100 oil'!$MC$2:$MC$200=K$3)*('GMW - $100 oil'!$MB$2:$MB$200=K$4),0),$E156-1973)</f>
        <v>#N/A</v>
      </c>
      <c r="L156" t="e" cm="1">
        <f t="array" ref="L156">INDEX('GMW - $100 oil'!$A$2:$MC$200,MATCH(1,('GMW - $100 oil'!$MC$2:$MC$200=L$3)*('GMW - $100 oil'!$MB$2:$MB$200=L$4),0),$E156-1973)</f>
        <v>#N/A</v>
      </c>
      <c r="M156" t="e" cm="1">
        <f t="array" ref="M156">INDEX('GMW - $100 oil'!$A$2:$MC$200,MATCH(1,('GMW - $100 oil'!$MC$2:$MC$200=M$3)*('GMW - $100 oil'!$MB$2:$MB$200=M$4),0),$E156-1973)</f>
        <v>#N/A</v>
      </c>
      <c r="N156" t="e" cm="1">
        <f t="array" ref="N156">INDEX('GMW - $100 oil'!$A$2:$MC$200,MATCH(1,('GMW - $100 oil'!$MC$2:$MC$200=N$3)*('GMW - $100 oil'!$MB$2:$MB$200=N$4),0),$E156-1973)</f>
        <v>#N/A</v>
      </c>
      <c r="O156" t="e" cm="1">
        <f t="array" ref="O156">INDEX('GMW - $100 oil'!$A$2:$MC$200,MATCH(1,('GMW - $100 oil'!$MC$2:$MC$200=O$3)*('GMW - $100 oil'!$MB$2:$MB$200=O$4),0),$E156-1973)</f>
        <v>#N/A</v>
      </c>
      <c r="P156" t="e" cm="1">
        <f t="array" ref="P156">INDEX('GMW - $100 oil'!$A$2:$MC$200,MATCH(1,('GMW - $100 oil'!$MC$2:$MC$200=P$3)*('GMW - $100 oil'!$MB$2:$MB$200=P$4),0),$E156-1973)</f>
        <v>#N/A</v>
      </c>
      <c r="Q156" t="e" cm="1">
        <f t="array" ref="Q156">INDEX('GMW - $100 oil'!$A$2:$MC$200,MATCH(1,('GMW - $100 oil'!$MC$2:$MC$200=Q$3)*('GMW - $100 oil'!$MB$2:$MB$200=Q$4),0),$E156-1973)</f>
        <v>#N/A</v>
      </c>
      <c r="R156" t="e" cm="1">
        <f t="array" ref="R156">INDEX('GMW - $100 oil'!$A$2:$MC$200,MATCH(1,('GMW - $100 oil'!$MC$2:$MC$200=R$3)*('GMW - $100 oil'!$MB$2:$MB$200=R$4),0),$E156-1973)</f>
        <v>#N/A</v>
      </c>
      <c r="S156" t="e" cm="1">
        <f t="array" ref="S156">INDEX('GMW - $100 oil'!$A$2:$MC$200,MATCH(1,('GMW - $100 oil'!$MC$2:$MC$200=S$3)*('GMW - $100 oil'!$MB$2:$MB$200=S$4),0),$E156-1973)</f>
        <v>#N/A</v>
      </c>
      <c r="T156" t="e" cm="1">
        <f t="array" ref="T156">INDEX('GMW - $100 oil'!$A$2:$MC$200,MATCH(1,('GMW - $100 oil'!$MC$2:$MC$200=T$3)*('GMW - $100 oil'!$MB$2:$MB$200=T$4),0),$E156-1973)</f>
        <v>#N/A</v>
      </c>
    </row>
    <row r="157" spans="1:20" x14ac:dyDescent="0.25">
      <c r="B157">
        <f t="shared" si="13"/>
        <v>2017</v>
      </c>
      <c r="C157">
        <f t="shared" si="13"/>
        <v>2017</v>
      </c>
      <c r="E157">
        <f t="shared" si="11"/>
        <v>2130</v>
      </c>
      <c r="F157" cm="1">
        <f t="array" ref="F157">INDEX('GMW - $100 oil'!$A$2:$MC$200,MATCH(1,('GMW - $100 oil'!$MC$2:$MC$200=F$3)*('GMW - $100 oil'!$MB$2:$MB$200=F$4),0),$E157-1973)</f>
        <v>652329</v>
      </c>
      <c r="G157" cm="1">
        <f t="array" ref="G157">INDEX('GMW - $100 oil'!$A$2:$MC$200,MATCH(1,('GMW - $100 oil'!$MC$2:$MC$200=G$3)*('GMW - $100 oil'!$MB$2:$MB$200=G$4),0),$E157-1973)</f>
        <v>401714</v>
      </c>
      <c r="H157" cm="1">
        <f t="array" ref="H157">INDEX('GMW - $100 oil'!$A$2:$MC$200,MATCH(1,('GMW - $100 oil'!$MC$2:$MC$200=H$3)*('GMW - $100 oil'!$MB$2:$MB$200=H$4),0),$E157-1973)</f>
        <v>103.7</v>
      </c>
      <c r="I157" cm="1">
        <f t="array" ref="I157">INDEX('GMW - $100 oil'!$A$2:$MC$200,MATCH(1,('GMW - $100 oil'!$MC$2:$MC$200=I$3)*('GMW - $100 oil'!$MB$2:$MB$200=I$4),0),$E157-1973)</f>
        <v>0.25</v>
      </c>
      <c r="J157" t="e" cm="1">
        <f t="array" ref="J157">INDEX('GMW - $100 oil'!$A$2:$MC$200,MATCH(1,('GMW - $100 oil'!$MC$2:$MC$200=J$3)*('GMW - $100 oil'!$MB$2:$MB$200=J$4),0),$E157-1973)</f>
        <v>#N/A</v>
      </c>
      <c r="K157" t="e" cm="1">
        <f t="array" ref="K157">INDEX('GMW - $100 oil'!$A$2:$MC$200,MATCH(1,('GMW - $100 oil'!$MC$2:$MC$200=K$3)*('GMW - $100 oil'!$MB$2:$MB$200=K$4),0),$E157-1973)</f>
        <v>#N/A</v>
      </c>
      <c r="L157" t="e" cm="1">
        <f t="array" ref="L157">INDEX('GMW - $100 oil'!$A$2:$MC$200,MATCH(1,('GMW - $100 oil'!$MC$2:$MC$200=L$3)*('GMW - $100 oil'!$MB$2:$MB$200=L$4),0),$E157-1973)</f>
        <v>#N/A</v>
      </c>
      <c r="M157" t="e" cm="1">
        <f t="array" ref="M157">INDEX('GMW - $100 oil'!$A$2:$MC$200,MATCH(1,('GMW - $100 oil'!$MC$2:$MC$200=M$3)*('GMW - $100 oil'!$MB$2:$MB$200=M$4),0),$E157-1973)</f>
        <v>#N/A</v>
      </c>
      <c r="N157" t="e" cm="1">
        <f t="array" ref="N157">INDEX('GMW - $100 oil'!$A$2:$MC$200,MATCH(1,('GMW - $100 oil'!$MC$2:$MC$200=N$3)*('GMW - $100 oil'!$MB$2:$MB$200=N$4),0),$E157-1973)</f>
        <v>#N/A</v>
      </c>
      <c r="O157" t="e" cm="1">
        <f t="array" ref="O157">INDEX('GMW - $100 oil'!$A$2:$MC$200,MATCH(1,('GMW - $100 oil'!$MC$2:$MC$200=O$3)*('GMW - $100 oil'!$MB$2:$MB$200=O$4),0),$E157-1973)</f>
        <v>#N/A</v>
      </c>
      <c r="P157" t="e" cm="1">
        <f t="array" ref="P157">INDEX('GMW - $100 oil'!$A$2:$MC$200,MATCH(1,('GMW - $100 oil'!$MC$2:$MC$200=P$3)*('GMW - $100 oil'!$MB$2:$MB$200=P$4),0),$E157-1973)</f>
        <v>#N/A</v>
      </c>
      <c r="Q157" t="e" cm="1">
        <f t="array" ref="Q157">INDEX('GMW - $100 oil'!$A$2:$MC$200,MATCH(1,('GMW - $100 oil'!$MC$2:$MC$200=Q$3)*('GMW - $100 oil'!$MB$2:$MB$200=Q$4),0),$E157-1973)</f>
        <v>#N/A</v>
      </c>
      <c r="R157" t="e" cm="1">
        <f t="array" ref="R157">INDEX('GMW - $100 oil'!$A$2:$MC$200,MATCH(1,('GMW - $100 oil'!$MC$2:$MC$200=R$3)*('GMW - $100 oil'!$MB$2:$MB$200=R$4),0),$E157-1973)</f>
        <v>#N/A</v>
      </c>
      <c r="S157" t="e" cm="1">
        <f t="array" ref="S157">INDEX('GMW - $100 oil'!$A$2:$MC$200,MATCH(1,('GMW - $100 oil'!$MC$2:$MC$200=S$3)*('GMW - $100 oil'!$MB$2:$MB$200=S$4),0),$E157-1973)</f>
        <v>#N/A</v>
      </c>
      <c r="T157" t="e" cm="1">
        <f t="array" ref="T157">INDEX('GMW - $100 oil'!$A$2:$MC$200,MATCH(1,('GMW - $100 oil'!$MC$2:$MC$200=T$3)*('GMW - $100 oil'!$MB$2:$MB$200=T$4),0),$E157-1973)</f>
        <v>#N/A</v>
      </c>
    </row>
    <row r="158" spans="1:20" x14ac:dyDescent="0.25">
      <c r="B158">
        <f t="shared" si="13"/>
        <v>2017</v>
      </c>
      <c r="C158">
        <f t="shared" si="13"/>
        <v>2017</v>
      </c>
      <c r="E158">
        <f t="shared" si="11"/>
        <v>2131</v>
      </c>
      <c r="F158" cm="1">
        <f t="array" ref="F158">INDEX('GMW - $100 oil'!$A$2:$MC$200,MATCH(1,('GMW - $100 oil'!$MC$2:$MC$200=F$3)*('GMW - $100 oil'!$MB$2:$MB$200=F$4),0),$E158-1973)</f>
        <v>657225</v>
      </c>
      <c r="G158" cm="1">
        <f t="array" ref="G158">INDEX('GMW - $100 oil'!$A$2:$MC$200,MATCH(1,('GMW - $100 oil'!$MC$2:$MC$200=G$3)*('GMW - $100 oil'!$MB$2:$MB$200=G$4),0),$E158-1973)</f>
        <v>403747</v>
      </c>
      <c r="H158" cm="1">
        <f t="array" ref="H158">INDEX('GMW - $100 oil'!$A$2:$MC$200,MATCH(1,('GMW - $100 oil'!$MC$2:$MC$200=H$3)*('GMW - $100 oil'!$MB$2:$MB$200=H$4),0),$E158-1973)</f>
        <v>104.5667</v>
      </c>
      <c r="I158" cm="1">
        <f t="array" ref="I158">INDEX('GMW - $100 oil'!$A$2:$MC$200,MATCH(1,('GMW - $100 oil'!$MC$2:$MC$200=I$3)*('GMW - $100 oil'!$MB$2:$MB$200=I$4),0),$E158-1973)</f>
        <v>0.41153849999999997</v>
      </c>
      <c r="J158" t="e" cm="1">
        <f t="array" ref="J158">INDEX('GMW - $100 oil'!$A$2:$MC$200,MATCH(1,('GMW - $100 oil'!$MC$2:$MC$200=J$3)*('GMW - $100 oil'!$MB$2:$MB$200=J$4),0),$E158-1973)</f>
        <v>#N/A</v>
      </c>
      <c r="K158" t="e" cm="1">
        <f t="array" ref="K158">INDEX('GMW - $100 oil'!$A$2:$MC$200,MATCH(1,('GMW - $100 oil'!$MC$2:$MC$200=K$3)*('GMW - $100 oil'!$MB$2:$MB$200=K$4),0),$E158-1973)</f>
        <v>#N/A</v>
      </c>
      <c r="L158" t="e" cm="1">
        <f t="array" ref="L158">INDEX('GMW - $100 oil'!$A$2:$MC$200,MATCH(1,('GMW - $100 oil'!$MC$2:$MC$200=L$3)*('GMW - $100 oil'!$MB$2:$MB$200=L$4),0),$E158-1973)</f>
        <v>#N/A</v>
      </c>
      <c r="M158" t="e" cm="1">
        <f t="array" ref="M158">INDEX('GMW - $100 oil'!$A$2:$MC$200,MATCH(1,('GMW - $100 oil'!$MC$2:$MC$200=M$3)*('GMW - $100 oil'!$MB$2:$MB$200=M$4),0),$E158-1973)</f>
        <v>#N/A</v>
      </c>
      <c r="N158" t="e" cm="1">
        <f t="array" ref="N158">INDEX('GMW - $100 oil'!$A$2:$MC$200,MATCH(1,('GMW - $100 oil'!$MC$2:$MC$200=N$3)*('GMW - $100 oil'!$MB$2:$MB$200=N$4),0),$E158-1973)</f>
        <v>#N/A</v>
      </c>
      <c r="O158" t="e" cm="1">
        <f t="array" ref="O158">INDEX('GMW - $100 oil'!$A$2:$MC$200,MATCH(1,('GMW - $100 oil'!$MC$2:$MC$200=O$3)*('GMW - $100 oil'!$MB$2:$MB$200=O$4),0),$E158-1973)</f>
        <v>#N/A</v>
      </c>
      <c r="P158" t="e" cm="1">
        <f t="array" ref="P158">INDEX('GMW - $100 oil'!$A$2:$MC$200,MATCH(1,('GMW - $100 oil'!$MC$2:$MC$200=P$3)*('GMW - $100 oil'!$MB$2:$MB$200=P$4),0),$E158-1973)</f>
        <v>#N/A</v>
      </c>
      <c r="Q158" t="e" cm="1">
        <f t="array" ref="Q158">INDEX('GMW - $100 oil'!$A$2:$MC$200,MATCH(1,('GMW - $100 oil'!$MC$2:$MC$200=Q$3)*('GMW - $100 oil'!$MB$2:$MB$200=Q$4),0),$E158-1973)</f>
        <v>#N/A</v>
      </c>
      <c r="R158" t="e" cm="1">
        <f t="array" ref="R158">INDEX('GMW - $100 oil'!$A$2:$MC$200,MATCH(1,('GMW - $100 oil'!$MC$2:$MC$200=R$3)*('GMW - $100 oil'!$MB$2:$MB$200=R$4),0),$E158-1973)</f>
        <v>#N/A</v>
      </c>
      <c r="S158" t="e" cm="1">
        <f t="array" ref="S158">INDEX('GMW - $100 oil'!$A$2:$MC$200,MATCH(1,('GMW - $100 oil'!$MC$2:$MC$200=S$3)*('GMW - $100 oil'!$MB$2:$MB$200=S$4),0),$E158-1973)</f>
        <v>#N/A</v>
      </c>
      <c r="T158" t="e" cm="1">
        <f t="array" ref="T158">INDEX('GMW - $100 oil'!$A$2:$MC$200,MATCH(1,('GMW - $100 oil'!$MC$2:$MC$200=T$3)*('GMW - $100 oil'!$MB$2:$MB$200=T$4),0),$E158-1973)</f>
        <v>#N/A</v>
      </c>
    </row>
    <row r="159" spans="1:20" x14ac:dyDescent="0.25">
      <c r="A159">
        <v>2018</v>
      </c>
      <c r="B159">
        <f t="shared" si="13"/>
        <v>2018</v>
      </c>
      <c r="C159">
        <f t="shared" si="13"/>
        <v>2017</v>
      </c>
      <c r="D159">
        <f t="shared" si="13"/>
        <v>2017</v>
      </c>
      <c r="E159">
        <f t="shared" si="11"/>
        <v>2132</v>
      </c>
      <c r="F159" cm="1">
        <f t="array" ref="F159">INDEX('GMW - $100 oil'!$A$2:$MC$200,MATCH(1,('GMW - $100 oil'!$MC$2:$MC$200=F$3)*('GMW - $100 oil'!$MB$2:$MB$200=F$4),0),$E159-1973)</f>
        <v>657741</v>
      </c>
      <c r="G159" cm="1">
        <f t="array" ref="G159">INDEX('GMW - $100 oil'!$A$2:$MC$200,MATCH(1,('GMW - $100 oil'!$MC$2:$MC$200=G$3)*('GMW - $100 oil'!$MB$2:$MB$200=G$4),0),$E159-1973)</f>
        <v>406073</v>
      </c>
      <c r="H159" cm="1">
        <f t="array" ref="H159">INDEX('GMW - $100 oil'!$A$2:$MC$200,MATCH(1,('GMW - $100 oil'!$MC$2:$MC$200=H$3)*('GMW - $100 oil'!$MB$2:$MB$200=H$4),0),$E159-1973)</f>
        <v>104.7667</v>
      </c>
      <c r="I159" cm="1">
        <f t="array" ref="I159">INDEX('GMW - $100 oil'!$A$2:$MC$200,MATCH(1,('GMW - $100 oil'!$MC$2:$MC$200=I$3)*('GMW - $100 oil'!$MB$2:$MB$200=I$4),0),$E159-1973)</f>
        <v>0.5</v>
      </c>
      <c r="J159" t="e" cm="1">
        <f t="array" ref="J159">INDEX('GMW - $100 oil'!$A$2:$MC$200,MATCH(1,('GMW - $100 oil'!$MC$2:$MC$200=J$3)*('GMW - $100 oil'!$MB$2:$MB$200=J$4),0),$E159-1973)</f>
        <v>#N/A</v>
      </c>
      <c r="K159" t="e" cm="1">
        <f t="array" ref="K159">INDEX('GMW - $100 oil'!$A$2:$MC$200,MATCH(1,('GMW - $100 oil'!$MC$2:$MC$200=K$3)*('GMW - $100 oil'!$MB$2:$MB$200=K$4),0),$E159-1973)</f>
        <v>#N/A</v>
      </c>
      <c r="L159" t="e" cm="1">
        <f t="array" ref="L159">INDEX('GMW - $100 oil'!$A$2:$MC$200,MATCH(1,('GMW - $100 oil'!$MC$2:$MC$200=L$3)*('GMW - $100 oil'!$MB$2:$MB$200=L$4),0),$E159-1973)</f>
        <v>#N/A</v>
      </c>
      <c r="M159" t="e" cm="1">
        <f t="array" ref="M159">INDEX('GMW - $100 oil'!$A$2:$MC$200,MATCH(1,('GMW - $100 oil'!$MC$2:$MC$200=M$3)*('GMW - $100 oil'!$MB$2:$MB$200=M$4),0),$E159-1973)</f>
        <v>#N/A</v>
      </c>
      <c r="N159" t="e" cm="1">
        <f t="array" ref="N159">INDEX('GMW - $100 oil'!$A$2:$MC$200,MATCH(1,('GMW - $100 oil'!$MC$2:$MC$200=N$3)*('GMW - $100 oil'!$MB$2:$MB$200=N$4),0),$E159-1973)</f>
        <v>#N/A</v>
      </c>
      <c r="O159" t="e" cm="1">
        <f t="array" ref="O159">INDEX('GMW - $100 oil'!$A$2:$MC$200,MATCH(1,('GMW - $100 oil'!$MC$2:$MC$200=O$3)*('GMW - $100 oil'!$MB$2:$MB$200=O$4),0),$E159-1973)</f>
        <v>#N/A</v>
      </c>
      <c r="P159" t="e" cm="1">
        <f t="array" ref="P159">INDEX('GMW - $100 oil'!$A$2:$MC$200,MATCH(1,('GMW - $100 oil'!$MC$2:$MC$200=P$3)*('GMW - $100 oil'!$MB$2:$MB$200=P$4),0),$E159-1973)</f>
        <v>#N/A</v>
      </c>
      <c r="Q159" t="e" cm="1">
        <f t="array" ref="Q159">INDEX('GMW - $100 oil'!$A$2:$MC$200,MATCH(1,('GMW - $100 oil'!$MC$2:$MC$200=Q$3)*('GMW - $100 oil'!$MB$2:$MB$200=Q$4),0),$E159-1973)</f>
        <v>#N/A</v>
      </c>
      <c r="R159" t="e" cm="1">
        <f t="array" ref="R159">INDEX('GMW - $100 oil'!$A$2:$MC$200,MATCH(1,('GMW - $100 oil'!$MC$2:$MC$200=R$3)*('GMW - $100 oil'!$MB$2:$MB$200=R$4),0),$E159-1973)</f>
        <v>#N/A</v>
      </c>
      <c r="S159" t="e" cm="1">
        <f t="array" ref="S159">INDEX('GMW - $100 oil'!$A$2:$MC$200,MATCH(1,('GMW - $100 oil'!$MC$2:$MC$200=S$3)*('GMW - $100 oil'!$MB$2:$MB$200=S$4),0),$E159-1973)</f>
        <v>#N/A</v>
      </c>
      <c r="T159" t="e" cm="1">
        <f t="array" ref="T159">INDEX('GMW - $100 oil'!$A$2:$MC$200,MATCH(1,('GMW - $100 oil'!$MC$2:$MC$200=T$3)*('GMW - $100 oil'!$MB$2:$MB$200=T$4),0),$E159-1973)</f>
        <v>#N/A</v>
      </c>
    </row>
    <row r="160" spans="1:20" x14ac:dyDescent="0.25">
      <c r="B160">
        <f t="shared" si="13"/>
        <v>2018</v>
      </c>
      <c r="C160">
        <f t="shared" si="13"/>
        <v>2018</v>
      </c>
      <c r="E160">
        <f t="shared" si="11"/>
        <v>2133</v>
      </c>
      <c r="F160" cm="1">
        <f t="array" ref="F160">INDEX('GMW - $100 oil'!$A$2:$MC$200,MATCH(1,('GMW - $100 oil'!$MC$2:$MC$200=F$3)*('GMW - $100 oil'!$MB$2:$MB$200=F$4),0),$E160-1973)</f>
        <v>659172</v>
      </c>
      <c r="G160" cm="1">
        <f t="array" ref="G160">INDEX('GMW - $100 oil'!$A$2:$MC$200,MATCH(1,('GMW - $100 oil'!$MC$2:$MC$200=G$3)*('GMW - $100 oil'!$MB$2:$MB$200=G$4),0),$E160-1973)</f>
        <v>404497</v>
      </c>
      <c r="H160" cm="1">
        <f t="array" ref="H160">INDEX('GMW - $100 oil'!$A$2:$MC$200,MATCH(1,('GMW - $100 oil'!$MC$2:$MC$200=H$3)*('GMW - $100 oil'!$MB$2:$MB$200=H$4),0),$E160-1973)</f>
        <v>105.66670000000001</v>
      </c>
      <c r="I160" cm="1">
        <f t="array" ref="I160">INDEX('GMW - $100 oil'!$A$2:$MC$200,MATCH(1,('GMW - $100 oil'!$MC$2:$MC$200=I$3)*('GMW - $100 oil'!$MB$2:$MB$200=I$4),0),$E160-1973)</f>
        <v>0.5</v>
      </c>
      <c r="J160" t="e" cm="1">
        <f t="array" ref="J160">INDEX('GMW - $100 oil'!$A$2:$MC$200,MATCH(1,('GMW - $100 oil'!$MC$2:$MC$200=J$3)*('GMW - $100 oil'!$MB$2:$MB$200=J$4),0),$E160-1973)</f>
        <v>#N/A</v>
      </c>
      <c r="K160" t="e" cm="1">
        <f t="array" ref="K160">INDEX('GMW - $100 oil'!$A$2:$MC$200,MATCH(1,('GMW - $100 oil'!$MC$2:$MC$200=K$3)*('GMW - $100 oil'!$MB$2:$MB$200=K$4),0),$E160-1973)</f>
        <v>#N/A</v>
      </c>
      <c r="L160" t="e" cm="1">
        <f t="array" ref="L160">INDEX('GMW - $100 oil'!$A$2:$MC$200,MATCH(1,('GMW - $100 oil'!$MC$2:$MC$200=L$3)*('GMW - $100 oil'!$MB$2:$MB$200=L$4),0),$E160-1973)</f>
        <v>#N/A</v>
      </c>
      <c r="M160" t="e" cm="1">
        <f t="array" ref="M160">INDEX('GMW - $100 oil'!$A$2:$MC$200,MATCH(1,('GMW - $100 oil'!$MC$2:$MC$200=M$3)*('GMW - $100 oil'!$MB$2:$MB$200=M$4),0),$E160-1973)</f>
        <v>#N/A</v>
      </c>
      <c r="N160" t="e" cm="1">
        <f t="array" ref="N160">INDEX('GMW - $100 oil'!$A$2:$MC$200,MATCH(1,('GMW - $100 oil'!$MC$2:$MC$200=N$3)*('GMW - $100 oil'!$MB$2:$MB$200=N$4),0),$E160-1973)</f>
        <v>#N/A</v>
      </c>
      <c r="O160" t="e" cm="1">
        <f t="array" ref="O160">INDEX('GMW - $100 oil'!$A$2:$MC$200,MATCH(1,('GMW - $100 oil'!$MC$2:$MC$200=O$3)*('GMW - $100 oil'!$MB$2:$MB$200=O$4),0),$E160-1973)</f>
        <v>#N/A</v>
      </c>
      <c r="P160" t="e" cm="1">
        <f t="array" ref="P160">INDEX('GMW - $100 oil'!$A$2:$MC$200,MATCH(1,('GMW - $100 oil'!$MC$2:$MC$200=P$3)*('GMW - $100 oil'!$MB$2:$MB$200=P$4),0),$E160-1973)</f>
        <v>#N/A</v>
      </c>
      <c r="Q160" t="e" cm="1">
        <f t="array" ref="Q160">INDEX('GMW - $100 oil'!$A$2:$MC$200,MATCH(1,('GMW - $100 oil'!$MC$2:$MC$200=Q$3)*('GMW - $100 oil'!$MB$2:$MB$200=Q$4),0),$E160-1973)</f>
        <v>#N/A</v>
      </c>
      <c r="R160" t="e" cm="1">
        <f t="array" ref="R160">INDEX('GMW - $100 oil'!$A$2:$MC$200,MATCH(1,('GMW - $100 oil'!$MC$2:$MC$200=R$3)*('GMW - $100 oil'!$MB$2:$MB$200=R$4),0),$E160-1973)</f>
        <v>#N/A</v>
      </c>
      <c r="S160" t="e" cm="1">
        <f t="array" ref="S160">INDEX('GMW - $100 oil'!$A$2:$MC$200,MATCH(1,('GMW - $100 oil'!$MC$2:$MC$200=S$3)*('GMW - $100 oil'!$MB$2:$MB$200=S$4),0),$E160-1973)</f>
        <v>#N/A</v>
      </c>
      <c r="T160" t="e" cm="1">
        <f t="array" ref="T160">INDEX('GMW - $100 oil'!$A$2:$MC$200,MATCH(1,('GMW - $100 oil'!$MC$2:$MC$200=T$3)*('GMW - $100 oil'!$MB$2:$MB$200=T$4),0),$E160-1973)</f>
        <v>#N/A</v>
      </c>
    </row>
    <row r="161" spans="1:20" x14ac:dyDescent="0.25">
      <c r="B161">
        <f t="shared" si="13"/>
        <v>2018</v>
      </c>
      <c r="C161">
        <f t="shared" si="13"/>
        <v>2018</v>
      </c>
      <c r="E161">
        <f t="shared" si="11"/>
        <v>2134</v>
      </c>
      <c r="F161" cm="1">
        <f t="array" ref="F161">INDEX('GMW - $100 oil'!$A$2:$MC$200,MATCH(1,('GMW - $100 oil'!$MC$2:$MC$200=F$3)*('GMW - $100 oil'!$MB$2:$MB$200=F$4),0),$E161-1973)</f>
        <v>661262</v>
      </c>
      <c r="G161" cm="1">
        <f t="array" ref="G161">INDEX('GMW - $100 oil'!$A$2:$MC$200,MATCH(1,('GMW - $100 oil'!$MC$2:$MC$200=G$3)*('GMW - $100 oil'!$MB$2:$MB$200=G$4),0),$E161-1973)</f>
        <v>408017</v>
      </c>
      <c r="H161" cm="1">
        <f t="array" ref="H161">INDEX('GMW - $100 oil'!$A$2:$MC$200,MATCH(1,('GMW - $100 oil'!$MC$2:$MC$200=H$3)*('GMW - $100 oil'!$MB$2:$MB$200=H$4),0),$E161-1973)</f>
        <v>106.3</v>
      </c>
      <c r="I161" cm="1">
        <f t="array" ref="I161">INDEX('GMW - $100 oil'!$A$2:$MC$200,MATCH(1,('GMW - $100 oil'!$MC$2:$MC$200=I$3)*('GMW - $100 oil'!$MB$2:$MB$200=I$4),0),$E161-1973)</f>
        <v>0.66153850000000003</v>
      </c>
      <c r="J161" t="e" cm="1">
        <f t="array" ref="J161">INDEX('GMW - $100 oil'!$A$2:$MC$200,MATCH(1,('GMW - $100 oil'!$MC$2:$MC$200=J$3)*('GMW - $100 oil'!$MB$2:$MB$200=J$4),0),$E161-1973)</f>
        <v>#N/A</v>
      </c>
      <c r="K161" t="e" cm="1">
        <f t="array" ref="K161">INDEX('GMW - $100 oil'!$A$2:$MC$200,MATCH(1,('GMW - $100 oil'!$MC$2:$MC$200=K$3)*('GMW - $100 oil'!$MB$2:$MB$200=K$4),0),$E161-1973)</f>
        <v>#N/A</v>
      </c>
      <c r="L161" t="e" cm="1">
        <f t="array" ref="L161">INDEX('GMW - $100 oil'!$A$2:$MC$200,MATCH(1,('GMW - $100 oil'!$MC$2:$MC$200=L$3)*('GMW - $100 oil'!$MB$2:$MB$200=L$4),0),$E161-1973)</f>
        <v>#N/A</v>
      </c>
      <c r="M161" t="e" cm="1">
        <f t="array" ref="M161">INDEX('GMW - $100 oil'!$A$2:$MC$200,MATCH(1,('GMW - $100 oil'!$MC$2:$MC$200=M$3)*('GMW - $100 oil'!$MB$2:$MB$200=M$4),0),$E161-1973)</f>
        <v>#N/A</v>
      </c>
      <c r="N161" t="e" cm="1">
        <f t="array" ref="N161">INDEX('GMW - $100 oil'!$A$2:$MC$200,MATCH(1,('GMW - $100 oil'!$MC$2:$MC$200=N$3)*('GMW - $100 oil'!$MB$2:$MB$200=N$4),0),$E161-1973)</f>
        <v>#N/A</v>
      </c>
      <c r="O161" t="e" cm="1">
        <f t="array" ref="O161">INDEX('GMW - $100 oil'!$A$2:$MC$200,MATCH(1,('GMW - $100 oil'!$MC$2:$MC$200=O$3)*('GMW - $100 oil'!$MB$2:$MB$200=O$4),0),$E161-1973)</f>
        <v>#N/A</v>
      </c>
      <c r="P161" t="e" cm="1">
        <f t="array" ref="P161">INDEX('GMW - $100 oil'!$A$2:$MC$200,MATCH(1,('GMW - $100 oil'!$MC$2:$MC$200=P$3)*('GMW - $100 oil'!$MB$2:$MB$200=P$4),0),$E161-1973)</f>
        <v>#N/A</v>
      </c>
      <c r="Q161" t="e" cm="1">
        <f t="array" ref="Q161">INDEX('GMW - $100 oil'!$A$2:$MC$200,MATCH(1,('GMW - $100 oil'!$MC$2:$MC$200=Q$3)*('GMW - $100 oil'!$MB$2:$MB$200=Q$4),0),$E161-1973)</f>
        <v>#N/A</v>
      </c>
      <c r="R161" t="e" cm="1">
        <f t="array" ref="R161">INDEX('GMW - $100 oil'!$A$2:$MC$200,MATCH(1,('GMW - $100 oil'!$MC$2:$MC$200=R$3)*('GMW - $100 oil'!$MB$2:$MB$200=R$4),0),$E161-1973)</f>
        <v>#N/A</v>
      </c>
      <c r="S161" t="e" cm="1">
        <f t="array" ref="S161">INDEX('GMW - $100 oil'!$A$2:$MC$200,MATCH(1,('GMW - $100 oil'!$MC$2:$MC$200=S$3)*('GMW - $100 oil'!$MB$2:$MB$200=S$4),0),$E161-1973)</f>
        <v>#N/A</v>
      </c>
      <c r="T161" t="e" cm="1">
        <f t="array" ref="T161">INDEX('GMW - $100 oil'!$A$2:$MC$200,MATCH(1,('GMW - $100 oil'!$MC$2:$MC$200=T$3)*('GMW - $100 oil'!$MB$2:$MB$200=T$4),0),$E161-1973)</f>
        <v>#N/A</v>
      </c>
    </row>
    <row r="162" spans="1:20" x14ac:dyDescent="0.25">
      <c r="B162">
        <f t="shared" si="13"/>
        <v>2018</v>
      </c>
      <c r="C162">
        <f t="shared" si="13"/>
        <v>2018</v>
      </c>
      <c r="E162">
        <f t="shared" si="11"/>
        <v>2135</v>
      </c>
      <c r="F162" cm="1">
        <f t="array" ref="F162">INDEX('GMW - $100 oil'!$A$2:$MC$200,MATCH(1,('GMW - $100 oil'!$MC$2:$MC$200=F$3)*('GMW - $100 oil'!$MB$2:$MB$200=F$4),0),$E162-1973)</f>
        <v>662120</v>
      </c>
      <c r="G162" cm="1">
        <f t="array" ref="G162">INDEX('GMW - $100 oil'!$A$2:$MC$200,MATCH(1,('GMW - $100 oil'!$MC$2:$MC$200=G$3)*('GMW - $100 oil'!$MB$2:$MB$200=G$4),0),$E162-1973)</f>
        <v>412655</v>
      </c>
      <c r="H162" cm="1">
        <f t="array" ref="H162">INDEX('GMW - $100 oil'!$A$2:$MC$200,MATCH(1,('GMW - $100 oil'!$MC$2:$MC$200=H$3)*('GMW - $100 oil'!$MB$2:$MB$200=H$4),0),$E162-1973)</f>
        <v>106.9333</v>
      </c>
      <c r="I162" cm="1">
        <f t="array" ref="I162">INDEX('GMW - $100 oil'!$A$2:$MC$200,MATCH(1,('GMW - $100 oil'!$MC$2:$MC$200=I$3)*('GMW - $100 oil'!$MB$2:$MB$200=I$4),0),$E162-1973)</f>
        <v>0.75</v>
      </c>
      <c r="J162" t="e" cm="1">
        <f t="array" ref="J162">INDEX('GMW - $100 oil'!$A$2:$MC$200,MATCH(1,('GMW - $100 oil'!$MC$2:$MC$200=J$3)*('GMW - $100 oil'!$MB$2:$MB$200=J$4),0),$E162-1973)</f>
        <v>#N/A</v>
      </c>
      <c r="K162" t="e" cm="1">
        <f t="array" ref="K162">INDEX('GMW - $100 oil'!$A$2:$MC$200,MATCH(1,('GMW - $100 oil'!$MC$2:$MC$200=K$3)*('GMW - $100 oil'!$MB$2:$MB$200=K$4),0),$E162-1973)</f>
        <v>#N/A</v>
      </c>
      <c r="L162" t="e" cm="1">
        <f t="array" ref="L162">INDEX('GMW - $100 oil'!$A$2:$MC$200,MATCH(1,('GMW - $100 oil'!$MC$2:$MC$200=L$3)*('GMW - $100 oil'!$MB$2:$MB$200=L$4),0),$E162-1973)</f>
        <v>#N/A</v>
      </c>
      <c r="M162" t="e" cm="1">
        <f t="array" ref="M162">INDEX('GMW - $100 oil'!$A$2:$MC$200,MATCH(1,('GMW - $100 oil'!$MC$2:$MC$200=M$3)*('GMW - $100 oil'!$MB$2:$MB$200=M$4),0),$E162-1973)</f>
        <v>#N/A</v>
      </c>
      <c r="N162" t="e" cm="1">
        <f t="array" ref="N162">INDEX('GMW - $100 oil'!$A$2:$MC$200,MATCH(1,('GMW - $100 oil'!$MC$2:$MC$200=N$3)*('GMW - $100 oil'!$MB$2:$MB$200=N$4),0),$E162-1973)</f>
        <v>#N/A</v>
      </c>
      <c r="O162" t="e" cm="1">
        <f t="array" ref="O162">INDEX('GMW - $100 oil'!$A$2:$MC$200,MATCH(1,('GMW - $100 oil'!$MC$2:$MC$200=O$3)*('GMW - $100 oil'!$MB$2:$MB$200=O$4),0),$E162-1973)</f>
        <v>#N/A</v>
      </c>
      <c r="P162" t="e" cm="1">
        <f t="array" ref="P162">INDEX('GMW - $100 oil'!$A$2:$MC$200,MATCH(1,('GMW - $100 oil'!$MC$2:$MC$200=P$3)*('GMW - $100 oil'!$MB$2:$MB$200=P$4),0),$E162-1973)</f>
        <v>#N/A</v>
      </c>
      <c r="Q162" t="e" cm="1">
        <f t="array" ref="Q162">INDEX('GMW - $100 oil'!$A$2:$MC$200,MATCH(1,('GMW - $100 oil'!$MC$2:$MC$200=Q$3)*('GMW - $100 oil'!$MB$2:$MB$200=Q$4),0),$E162-1973)</f>
        <v>#N/A</v>
      </c>
      <c r="R162" t="e" cm="1">
        <f t="array" ref="R162">INDEX('GMW - $100 oil'!$A$2:$MC$200,MATCH(1,('GMW - $100 oil'!$MC$2:$MC$200=R$3)*('GMW - $100 oil'!$MB$2:$MB$200=R$4),0),$E162-1973)</f>
        <v>#N/A</v>
      </c>
      <c r="S162" t="e" cm="1">
        <f t="array" ref="S162">INDEX('GMW - $100 oil'!$A$2:$MC$200,MATCH(1,('GMW - $100 oil'!$MC$2:$MC$200=S$3)*('GMW - $100 oil'!$MB$2:$MB$200=S$4),0),$E162-1973)</f>
        <v>#N/A</v>
      </c>
      <c r="T162" t="e" cm="1">
        <f t="array" ref="T162">INDEX('GMW - $100 oil'!$A$2:$MC$200,MATCH(1,('GMW - $100 oil'!$MC$2:$MC$200=T$3)*('GMW - $100 oil'!$MB$2:$MB$200=T$4),0),$E162-1973)</f>
        <v>#N/A</v>
      </c>
    </row>
    <row r="163" spans="1:20" x14ac:dyDescent="0.25">
      <c r="A163">
        <v>2019</v>
      </c>
      <c r="B163">
        <f t="shared" si="13"/>
        <v>2019</v>
      </c>
      <c r="C163">
        <f t="shared" si="13"/>
        <v>2018</v>
      </c>
      <c r="D163">
        <f t="shared" si="13"/>
        <v>2018</v>
      </c>
      <c r="E163">
        <f t="shared" si="11"/>
        <v>2136</v>
      </c>
      <c r="F163" cm="1">
        <f t="array" ref="F163">INDEX('GMW - $100 oil'!$A$2:$MC$200,MATCH(1,('GMW - $100 oil'!$MC$2:$MC$200=F$3)*('GMW - $100 oil'!$MB$2:$MB$200=F$4),0),$E163-1973)</f>
        <v>665456</v>
      </c>
      <c r="G163" cm="1">
        <f t="array" ref="G163">INDEX('GMW - $100 oil'!$A$2:$MC$200,MATCH(1,('GMW - $100 oil'!$MC$2:$MC$200=G$3)*('GMW - $100 oil'!$MB$2:$MB$200=G$4),0),$E163-1973)</f>
        <v>412090</v>
      </c>
      <c r="H163" cm="1">
        <f t="array" ref="H163">INDEX('GMW - $100 oil'!$A$2:$MC$200,MATCH(1,('GMW - $100 oil'!$MC$2:$MC$200=H$3)*('GMW - $100 oil'!$MB$2:$MB$200=H$4),0),$E163-1973)</f>
        <v>106.7</v>
      </c>
      <c r="I163" cm="1">
        <f t="array" ref="I163">INDEX('GMW - $100 oil'!$A$2:$MC$200,MATCH(1,('GMW - $100 oil'!$MC$2:$MC$200=I$3)*('GMW - $100 oil'!$MB$2:$MB$200=I$4),0),$E163-1973)</f>
        <v>0.75</v>
      </c>
      <c r="J163" t="e" cm="1">
        <f t="array" ref="J163">INDEX('GMW - $100 oil'!$A$2:$MC$200,MATCH(1,('GMW - $100 oil'!$MC$2:$MC$200=J$3)*('GMW - $100 oil'!$MB$2:$MB$200=J$4),0),$E163-1973)</f>
        <v>#N/A</v>
      </c>
      <c r="K163" t="e" cm="1">
        <f t="array" ref="K163">INDEX('GMW - $100 oil'!$A$2:$MC$200,MATCH(1,('GMW - $100 oil'!$MC$2:$MC$200=K$3)*('GMW - $100 oil'!$MB$2:$MB$200=K$4),0),$E163-1973)</f>
        <v>#N/A</v>
      </c>
      <c r="L163" t="e" cm="1">
        <f t="array" ref="L163">INDEX('GMW - $100 oil'!$A$2:$MC$200,MATCH(1,('GMW - $100 oil'!$MC$2:$MC$200=L$3)*('GMW - $100 oil'!$MB$2:$MB$200=L$4),0),$E163-1973)</f>
        <v>#N/A</v>
      </c>
      <c r="M163" t="e" cm="1">
        <f t="array" ref="M163">INDEX('GMW - $100 oil'!$A$2:$MC$200,MATCH(1,('GMW - $100 oil'!$MC$2:$MC$200=M$3)*('GMW - $100 oil'!$MB$2:$MB$200=M$4),0),$E163-1973)</f>
        <v>#N/A</v>
      </c>
      <c r="N163" t="e" cm="1">
        <f t="array" ref="N163">INDEX('GMW - $100 oil'!$A$2:$MC$200,MATCH(1,('GMW - $100 oil'!$MC$2:$MC$200=N$3)*('GMW - $100 oil'!$MB$2:$MB$200=N$4),0),$E163-1973)</f>
        <v>#N/A</v>
      </c>
      <c r="O163" t="e" cm="1">
        <f t="array" ref="O163">INDEX('GMW - $100 oil'!$A$2:$MC$200,MATCH(1,('GMW - $100 oil'!$MC$2:$MC$200=O$3)*('GMW - $100 oil'!$MB$2:$MB$200=O$4),0),$E163-1973)</f>
        <v>#N/A</v>
      </c>
      <c r="P163" t="e" cm="1">
        <f t="array" ref="P163">INDEX('GMW - $100 oil'!$A$2:$MC$200,MATCH(1,('GMW - $100 oil'!$MC$2:$MC$200=P$3)*('GMW - $100 oil'!$MB$2:$MB$200=P$4),0),$E163-1973)</f>
        <v>#N/A</v>
      </c>
      <c r="Q163" t="e" cm="1">
        <f t="array" ref="Q163">INDEX('GMW - $100 oil'!$A$2:$MC$200,MATCH(1,('GMW - $100 oil'!$MC$2:$MC$200=Q$3)*('GMW - $100 oil'!$MB$2:$MB$200=Q$4),0),$E163-1973)</f>
        <v>#N/A</v>
      </c>
      <c r="R163" t="e" cm="1">
        <f t="array" ref="R163">INDEX('GMW - $100 oil'!$A$2:$MC$200,MATCH(1,('GMW - $100 oil'!$MC$2:$MC$200=R$3)*('GMW - $100 oil'!$MB$2:$MB$200=R$4),0),$E163-1973)</f>
        <v>#N/A</v>
      </c>
      <c r="S163" t="e" cm="1">
        <f t="array" ref="S163">INDEX('GMW - $100 oil'!$A$2:$MC$200,MATCH(1,('GMW - $100 oil'!$MC$2:$MC$200=S$3)*('GMW - $100 oil'!$MB$2:$MB$200=S$4),0),$E163-1973)</f>
        <v>#N/A</v>
      </c>
      <c r="T163" t="e" cm="1">
        <f t="array" ref="T163">INDEX('GMW - $100 oil'!$A$2:$MC$200,MATCH(1,('GMW - $100 oil'!$MC$2:$MC$200=T$3)*('GMW - $100 oil'!$MB$2:$MB$200=T$4),0),$E163-1973)</f>
        <v>#N/A</v>
      </c>
    </row>
    <row r="164" spans="1:20" x14ac:dyDescent="0.25">
      <c r="B164">
        <f t="shared" si="13"/>
        <v>2019</v>
      </c>
      <c r="C164">
        <f t="shared" si="13"/>
        <v>2019</v>
      </c>
      <c r="E164">
        <f t="shared" si="11"/>
        <v>2137</v>
      </c>
      <c r="F164" cm="1">
        <f t="array" ref="F164">INDEX('GMW - $100 oil'!$A$2:$MC$200,MATCH(1,('GMW - $100 oil'!$MC$2:$MC$200=F$3)*('GMW - $100 oil'!$MB$2:$MB$200=F$4),0),$E164-1973)</f>
        <v>666875</v>
      </c>
      <c r="G164" cm="1">
        <f t="array" ref="G164">INDEX('GMW - $100 oil'!$A$2:$MC$200,MATCH(1,('GMW - $100 oil'!$MC$2:$MC$200=G$3)*('GMW - $100 oil'!$MB$2:$MB$200=G$4),0),$E164-1973)</f>
        <v>413136</v>
      </c>
      <c r="H164" cm="1">
        <f t="array" ref="H164">INDEX('GMW - $100 oil'!$A$2:$MC$200,MATCH(1,('GMW - $100 oil'!$MC$2:$MC$200=H$3)*('GMW - $100 oil'!$MB$2:$MB$200=H$4),0),$E164-1973)</f>
        <v>107.8</v>
      </c>
      <c r="I164" cm="1">
        <f t="array" ref="I164">INDEX('GMW - $100 oil'!$A$2:$MC$200,MATCH(1,('GMW - $100 oil'!$MC$2:$MC$200=I$3)*('GMW - $100 oil'!$MB$2:$MB$200=I$4),0),$E164-1973)</f>
        <v>0.75</v>
      </c>
      <c r="J164" t="e" cm="1">
        <f t="array" ref="J164">INDEX('GMW - $100 oil'!$A$2:$MC$200,MATCH(1,('GMW - $100 oil'!$MC$2:$MC$200=J$3)*('GMW - $100 oil'!$MB$2:$MB$200=J$4),0),$E164-1973)</f>
        <v>#N/A</v>
      </c>
      <c r="K164" t="e" cm="1">
        <f t="array" ref="K164">INDEX('GMW - $100 oil'!$A$2:$MC$200,MATCH(1,('GMW - $100 oil'!$MC$2:$MC$200=K$3)*('GMW - $100 oil'!$MB$2:$MB$200=K$4),0),$E164-1973)</f>
        <v>#N/A</v>
      </c>
      <c r="L164" t="e" cm="1">
        <f t="array" ref="L164">INDEX('GMW - $100 oil'!$A$2:$MC$200,MATCH(1,('GMW - $100 oil'!$MC$2:$MC$200=L$3)*('GMW - $100 oil'!$MB$2:$MB$200=L$4),0),$E164-1973)</f>
        <v>#N/A</v>
      </c>
      <c r="M164" t="e" cm="1">
        <f t="array" ref="M164">INDEX('GMW - $100 oil'!$A$2:$MC$200,MATCH(1,('GMW - $100 oil'!$MC$2:$MC$200=M$3)*('GMW - $100 oil'!$MB$2:$MB$200=M$4),0),$E164-1973)</f>
        <v>#N/A</v>
      </c>
      <c r="N164" t="e" cm="1">
        <f t="array" ref="N164">INDEX('GMW - $100 oil'!$A$2:$MC$200,MATCH(1,('GMW - $100 oil'!$MC$2:$MC$200=N$3)*('GMW - $100 oil'!$MB$2:$MB$200=N$4),0),$E164-1973)</f>
        <v>#N/A</v>
      </c>
      <c r="O164" t="e" cm="1">
        <f t="array" ref="O164">INDEX('GMW - $100 oil'!$A$2:$MC$200,MATCH(1,('GMW - $100 oil'!$MC$2:$MC$200=O$3)*('GMW - $100 oil'!$MB$2:$MB$200=O$4),0),$E164-1973)</f>
        <v>#N/A</v>
      </c>
      <c r="P164" t="e" cm="1">
        <f t="array" ref="P164">INDEX('GMW - $100 oil'!$A$2:$MC$200,MATCH(1,('GMW - $100 oil'!$MC$2:$MC$200=P$3)*('GMW - $100 oil'!$MB$2:$MB$200=P$4),0),$E164-1973)</f>
        <v>#N/A</v>
      </c>
      <c r="Q164" t="e" cm="1">
        <f t="array" ref="Q164">INDEX('GMW - $100 oil'!$A$2:$MC$200,MATCH(1,('GMW - $100 oil'!$MC$2:$MC$200=Q$3)*('GMW - $100 oil'!$MB$2:$MB$200=Q$4),0),$E164-1973)</f>
        <v>#N/A</v>
      </c>
      <c r="R164" t="e" cm="1">
        <f t="array" ref="R164">INDEX('GMW - $100 oil'!$A$2:$MC$200,MATCH(1,('GMW - $100 oil'!$MC$2:$MC$200=R$3)*('GMW - $100 oil'!$MB$2:$MB$200=R$4),0),$E164-1973)</f>
        <v>#N/A</v>
      </c>
      <c r="S164" t="e" cm="1">
        <f t="array" ref="S164">INDEX('GMW - $100 oil'!$A$2:$MC$200,MATCH(1,('GMW - $100 oil'!$MC$2:$MC$200=S$3)*('GMW - $100 oil'!$MB$2:$MB$200=S$4),0),$E164-1973)</f>
        <v>#N/A</v>
      </c>
      <c r="T164" t="e" cm="1">
        <f t="array" ref="T164">INDEX('GMW - $100 oil'!$A$2:$MC$200,MATCH(1,('GMW - $100 oil'!$MC$2:$MC$200=T$3)*('GMW - $100 oil'!$MB$2:$MB$200=T$4),0),$E164-1973)</f>
        <v>#N/A</v>
      </c>
    </row>
    <row r="165" spans="1:20" x14ac:dyDescent="0.25">
      <c r="B165">
        <f t="shared" si="13"/>
        <v>2019</v>
      </c>
      <c r="C165">
        <f t="shared" si="13"/>
        <v>2019</v>
      </c>
      <c r="E165">
        <f t="shared" si="11"/>
        <v>2138</v>
      </c>
      <c r="F165" cm="1">
        <f t="array" ref="F165">INDEX('GMW - $100 oil'!$A$2:$MC$200,MATCH(1,('GMW - $100 oil'!$MC$2:$MC$200=F$3)*('GMW - $100 oil'!$MB$2:$MB$200=F$4),0),$E165-1973)</f>
        <v>670547</v>
      </c>
      <c r="G165" cm="1">
        <f t="array" ref="G165">INDEX('GMW - $100 oil'!$A$2:$MC$200,MATCH(1,('GMW - $100 oil'!$MC$2:$MC$200=G$3)*('GMW - $100 oil'!$MB$2:$MB$200=G$4),0),$E165-1973)</f>
        <v>412951</v>
      </c>
      <c r="H165" cm="1">
        <f t="array" ref="H165">INDEX('GMW - $100 oil'!$A$2:$MC$200,MATCH(1,('GMW - $100 oil'!$MC$2:$MC$200=H$3)*('GMW - $100 oil'!$MB$2:$MB$200=H$4),0),$E165-1973)</f>
        <v>108.2667</v>
      </c>
      <c r="I165" cm="1">
        <f t="array" ref="I165">INDEX('GMW - $100 oil'!$A$2:$MC$200,MATCH(1,('GMW - $100 oil'!$MC$2:$MC$200=I$3)*('GMW - $100 oil'!$MB$2:$MB$200=I$4),0),$E165-1973)</f>
        <v>0.75</v>
      </c>
      <c r="J165" t="e" cm="1">
        <f t="array" ref="J165">INDEX('GMW - $100 oil'!$A$2:$MC$200,MATCH(1,('GMW - $100 oil'!$MC$2:$MC$200=J$3)*('GMW - $100 oil'!$MB$2:$MB$200=J$4),0),$E165-1973)</f>
        <v>#N/A</v>
      </c>
      <c r="K165" t="e" cm="1">
        <f t="array" ref="K165">INDEX('GMW - $100 oil'!$A$2:$MC$200,MATCH(1,('GMW - $100 oil'!$MC$2:$MC$200=K$3)*('GMW - $100 oil'!$MB$2:$MB$200=K$4),0),$E165-1973)</f>
        <v>#N/A</v>
      </c>
      <c r="L165" t="e" cm="1">
        <f t="array" ref="L165">INDEX('GMW - $100 oil'!$A$2:$MC$200,MATCH(1,('GMW - $100 oil'!$MC$2:$MC$200=L$3)*('GMW - $100 oil'!$MB$2:$MB$200=L$4),0),$E165-1973)</f>
        <v>#N/A</v>
      </c>
      <c r="M165" t="e" cm="1">
        <f t="array" ref="M165">INDEX('GMW - $100 oil'!$A$2:$MC$200,MATCH(1,('GMW - $100 oil'!$MC$2:$MC$200=M$3)*('GMW - $100 oil'!$MB$2:$MB$200=M$4),0),$E165-1973)</f>
        <v>#N/A</v>
      </c>
      <c r="N165" t="e" cm="1">
        <f t="array" ref="N165">INDEX('GMW - $100 oil'!$A$2:$MC$200,MATCH(1,('GMW - $100 oil'!$MC$2:$MC$200=N$3)*('GMW - $100 oil'!$MB$2:$MB$200=N$4),0),$E165-1973)</f>
        <v>#N/A</v>
      </c>
      <c r="O165" t="e" cm="1">
        <f t="array" ref="O165">INDEX('GMW - $100 oil'!$A$2:$MC$200,MATCH(1,('GMW - $100 oil'!$MC$2:$MC$200=O$3)*('GMW - $100 oil'!$MB$2:$MB$200=O$4),0),$E165-1973)</f>
        <v>#N/A</v>
      </c>
      <c r="P165" t="e" cm="1">
        <f t="array" ref="P165">INDEX('GMW - $100 oil'!$A$2:$MC$200,MATCH(1,('GMW - $100 oil'!$MC$2:$MC$200=P$3)*('GMW - $100 oil'!$MB$2:$MB$200=P$4),0),$E165-1973)</f>
        <v>#N/A</v>
      </c>
      <c r="Q165" t="e" cm="1">
        <f t="array" ref="Q165">INDEX('GMW - $100 oil'!$A$2:$MC$200,MATCH(1,('GMW - $100 oil'!$MC$2:$MC$200=Q$3)*('GMW - $100 oil'!$MB$2:$MB$200=Q$4),0),$E165-1973)</f>
        <v>#N/A</v>
      </c>
      <c r="R165" t="e" cm="1">
        <f t="array" ref="R165">INDEX('GMW - $100 oil'!$A$2:$MC$200,MATCH(1,('GMW - $100 oil'!$MC$2:$MC$200=R$3)*('GMW - $100 oil'!$MB$2:$MB$200=R$4),0),$E165-1973)</f>
        <v>#N/A</v>
      </c>
      <c r="S165" t="e" cm="1">
        <f t="array" ref="S165">INDEX('GMW - $100 oil'!$A$2:$MC$200,MATCH(1,('GMW - $100 oil'!$MC$2:$MC$200=S$3)*('GMW - $100 oil'!$MB$2:$MB$200=S$4),0),$E165-1973)</f>
        <v>#N/A</v>
      </c>
      <c r="T165" t="e" cm="1">
        <f t="array" ref="T165">INDEX('GMW - $100 oil'!$A$2:$MC$200,MATCH(1,('GMW - $100 oil'!$MC$2:$MC$200=T$3)*('GMW - $100 oil'!$MB$2:$MB$200=T$4),0),$E165-1973)</f>
        <v>#N/A</v>
      </c>
    </row>
    <row r="166" spans="1:20" x14ac:dyDescent="0.25">
      <c r="B166">
        <f t="shared" si="13"/>
        <v>2019</v>
      </c>
      <c r="C166">
        <f t="shared" si="13"/>
        <v>2019</v>
      </c>
      <c r="E166">
        <f t="shared" si="11"/>
        <v>2139</v>
      </c>
      <c r="F166" cm="1">
        <f t="array" ref="F166">INDEX('GMW - $100 oil'!$A$2:$MC$200,MATCH(1,('GMW - $100 oil'!$MC$2:$MC$200=F$3)*('GMW - $100 oil'!$MB$2:$MB$200=F$4),0),$E166-1973)</f>
        <v>670587</v>
      </c>
      <c r="G166" cm="1">
        <f t="array" ref="G166">INDEX('GMW - $100 oil'!$A$2:$MC$200,MATCH(1,('GMW - $100 oil'!$MC$2:$MC$200=G$3)*('GMW - $100 oil'!$MB$2:$MB$200=G$4),0),$E166-1973)</f>
        <v>412487</v>
      </c>
      <c r="H166" cm="1">
        <f t="array" ref="H166">INDEX('GMW - $100 oil'!$A$2:$MC$200,MATCH(1,('GMW - $100 oil'!$MC$2:$MC$200=H$3)*('GMW - $100 oil'!$MB$2:$MB$200=H$4),0),$E166-1973)</f>
        <v>108.4333</v>
      </c>
      <c r="I166" cm="1">
        <f t="array" ref="I166">INDEX('GMW - $100 oil'!$A$2:$MC$200,MATCH(1,('GMW - $100 oil'!$MC$2:$MC$200=I$3)*('GMW - $100 oil'!$MB$2:$MB$200=I$4),0),$E166-1973)</f>
        <v>0.75</v>
      </c>
      <c r="J166" t="e" cm="1">
        <f t="array" ref="J166">INDEX('GMW - $100 oil'!$A$2:$MC$200,MATCH(1,('GMW - $100 oil'!$MC$2:$MC$200=J$3)*('GMW - $100 oil'!$MB$2:$MB$200=J$4),0),$E166-1973)</f>
        <v>#N/A</v>
      </c>
      <c r="K166" t="e" cm="1">
        <f t="array" ref="K166">INDEX('GMW - $100 oil'!$A$2:$MC$200,MATCH(1,('GMW - $100 oil'!$MC$2:$MC$200=K$3)*('GMW - $100 oil'!$MB$2:$MB$200=K$4),0),$E166-1973)</f>
        <v>#N/A</v>
      </c>
      <c r="L166" t="e" cm="1">
        <f t="array" ref="L166">INDEX('GMW - $100 oil'!$A$2:$MC$200,MATCH(1,('GMW - $100 oil'!$MC$2:$MC$200=L$3)*('GMW - $100 oil'!$MB$2:$MB$200=L$4),0),$E166-1973)</f>
        <v>#N/A</v>
      </c>
      <c r="M166" t="e" cm="1">
        <f t="array" ref="M166">INDEX('GMW - $100 oil'!$A$2:$MC$200,MATCH(1,('GMW - $100 oil'!$MC$2:$MC$200=M$3)*('GMW - $100 oil'!$MB$2:$MB$200=M$4),0),$E166-1973)</f>
        <v>#N/A</v>
      </c>
      <c r="N166" t="e" cm="1">
        <f t="array" ref="N166">INDEX('GMW - $100 oil'!$A$2:$MC$200,MATCH(1,('GMW - $100 oil'!$MC$2:$MC$200=N$3)*('GMW - $100 oil'!$MB$2:$MB$200=N$4),0),$E166-1973)</f>
        <v>#N/A</v>
      </c>
      <c r="O166" t="e" cm="1">
        <f t="array" ref="O166">INDEX('GMW - $100 oil'!$A$2:$MC$200,MATCH(1,('GMW - $100 oil'!$MC$2:$MC$200=O$3)*('GMW - $100 oil'!$MB$2:$MB$200=O$4),0),$E166-1973)</f>
        <v>#N/A</v>
      </c>
      <c r="P166" t="e" cm="1">
        <f t="array" ref="P166">INDEX('GMW - $100 oil'!$A$2:$MC$200,MATCH(1,('GMW - $100 oil'!$MC$2:$MC$200=P$3)*('GMW - $100 oil'!$MB$2:$MB$200=P$4),0),$E166-1973)</f>
        <v>#N/A</v>
      </c>
      <c r="Q166" t="e" cm="1">
        <f t="array" ref="Q166">INDEX('GMW - $100 oil'!$A$2:$MC$200,MATCH(1,('GMW - $100 oil'!$MC$2:$MC$200=Q$3)*('GMW - $100 oil'!$MB$2:$MB$200=Q$4),0),$E166-1973)</f>
        <v>#N/A</v>
      </c>
      <c r="R166" t="e" cm="1">
        <f t="array" ref="R166">INDEX('GMW - $100 oil'!$A$2:$MC$200,MATCH(1,('GMW - $100 oil'!$MC$2:$MC$200=R$3)*('GMW - $100 oil'!$MB$2:$MB$200=R$4),0),$E166-1973)</f>
        <v>#N/A</v>
      </c>
      <c r="S166" t="e" cm="1">
        <f t="array" ref="S166">INDEX('GMW - $100 oil'!$A$2:$MC$200,MATCH(1,('GMW - $100 oil'!$MC$2:$MC$200=S$3)*('GMW - $100 oil'!$MB$2:$MB$200=S$4),0),$E166-1973)</f>
        <v>#N/A</v>
      </c>
      <c r="T166" t="e" cm="1">
        <f t="array" ref="T166">INDEX('GMW - $100 oil'!$A$2:$MC$200,MATCH(1,('GMW - $100 oil'!$MC$2:$MC$200=T$3)*('GMW - $100 oil'!$MB$2:$MB$200=T$4),0),$E166-1973)</f>
        <v>#N/A</v>
      </c>
    </row>
    <row r="167" spans="1:20" x14ac:dyDescent="0.25">
      <c r="A167">
        <v>2020</v>
      </c>
      <c r="B167">
        <f t="shared" si="13"/>
        <v>2020</v>
      </c>
      <c r="C167">
        <f t="shared" si="13"/>
        <v>2019</v>
      </c>
      <c r="D167">
        <f t="shared" si="13"/>
        <v>2019</v>
      </c>
      <c r="E167">
        <f t="shared" si="11"/>
        <v>2140</v>
      </c>
      <c r="F167" cm="1">
        <f t="array" ref="F167">INDEX('GMW - $100 oil'!$A$2:$MC$200,MATCH(1,('GMW - $100 oil'!$MC$2:$MC$200=F$3)*('GMW - $100 oil'!$MB$2:$MB$200=F$4),0),$E167-1973)</f>
        <v>652180</v>
      </c>
      <c r="G167" cm="1">
        <f t="array" ref="G167">INDEX('GMW - $100 oil'!$A$2:$MC$200,MATCH(1,('GMW - $100 oil'!$MC$2:$MC$200=G$3)*('GMW - $100 oil'!$MB$2:$MB$200=G$4),0),$E167-1973)</f>
        <v>400748</v>
      </c>
      <c r="H167" cm="1">
        <f t="array" ref="H167">INDEX('GMW - $100 oil'!$A$2:$MC$200,MATCH(1,('GMW - $100 oil'!$MC$2:$MC$200=H$3)*('GMW - $100 oil'!$MB$2:$MB$200=H$4),0),$E167-1973)</f>
        <v>108.4667</v>
      </c>
      <c r="I167" cm="1">
        <f t="array" ref="I167">INDEX('GMW - $100 oil'!$A$2:$MC$200,MATCH(1,('GMW - $100 oil'!$MC$2:$MC$200=I$3)*('GMW - $100 oil'!$MB$2:$MB$200=I$4),0),$E167-1973)</f>
        <v>0.61384620000000001</v>
      </c>
      <c r="J167" t="e" cm="1">
        <f t="array" ref="J167">INDEX('GMW - $100 oil'!$A$2:$MC$200,MATCH(1,('GMW - $100 oil'!$MC$2:$MC$200=J$3)*('GMW - $100 oil'!$MB$2:$MB$200=J$4),0),$E167-1973)</f>
        <v>#N/A</v>
      </c>
      <c r="K167" t="e" cm="1">
        <f t="array" ref="K167">INDEX('GMW - $100 oil'!$A$2:$MC$200,MATCH(1,('GMW - $100 oil'!$MC$2:$MC$200=K$3)*('GMW - $100 oil'!$MB$2:$MB$200=K$4),0),$E167-1973)</f>
        <v>#N/A</v>
      </c>
      <c r="L167" t="e" cm="1">
        <f t="array" ref="L167">INDEX('GMW - $100 oil'!$A$2:$MC$200,MATCH(1,('GMW - $100 oil'!$MC$2:$MC$200=L$3)*('GMW - $100 oil'!$MB$2:$MB$200=L$4),0),$E167-1973)</f>
        <v>#N/A</v>
      </c>
      <c r="M167" t="e" cm="1">
        <f t="array" ref="M167">INDEX('GMW - $100 oil'!$A$2:$MC$200,MATCH(1,('GMW - $100 oil'!$MC$2:$MC$200=M$3)*('GMW - $100 oil'!$MB$2:$MB$200=M$4),0),$E167-1973)</f>
        <v>#N/A</v>
      </c>
      <c r="N167" t="e" cm="1">
        <f t="array" ref="N167">INDEX('GMW - $100 oil'!$A$2:$MC$200,MATCH(1,('GMW - $100 oil'!$MC$2:$MC$200=N$3)*('GMW - $100 oil'!$MB$2:$MB$200=N$4),0),$E167-1973)</f>
        <v>#N/A</v>
      </c>
      <c r="O167" t="e" cm="1">
        <f t="array" ref="O167">INDEX('GMW - $100 oil'!$A$2:$MC$200,MATCH(1,('GMW - $100 oil'!$MC$2:$MC$200=O$3)*('GMW - $100 oil'!$MB$2:$MB$200=O$4),0),$E167-1973)</f>
        <v>#N/A</v>
      </c>
      <c r="P167" t="e" cm="1">
        <f t="array" ref="P167">INDEX('GMW - $100 oil'!$A$2:$MC$200,MATCH(1,('GMW - $100 oil'!$MC$2:$MC$200=P$3)*('GMW - $100 oil'!$MB$2:$MB$200=P$4),0),$E167-1973)</f>
        <v>#N/A</v>
      </c>
      <c r="Q167" t="e" cm="1">
        <f t="array" ref="Q167">INDEX('GMW - $100 oil'!$A$2:$MC$200,MATCH(1,('GMW - $100 oil'!$MC$2:$MC$200=Q$3)*('GMW - $100 oil'!$MB$2:$MB$200=Q$4),0),$E167-1973)</f>
        <v>#N/A</v>
      </c>
      <c r="R167" t="e" cm="1">
        <f t="array" ref="R167">INDEX('GMW - $100 oil'!$A$2:$MC$200,MATCH(1,('GMW - $100 oil'!$MC$2:$MC$200=R$3)*('GMW - $100 oil'!$MB$2:$MB$200=R$4),0),$E167-1973)</f>
        <v>#N/A</v>
      </c>
      <c r="S167" t="e" cm="1">
        <f t="array" ref="S167">INDEX('GMW - $100 oil'!$A$2:$MC$200,MATCH(1,('GMW - $100 oil'!$MC$2:$MC$200=S$3)*('GMW - $100 oil'!$MB$2:$MB$200=S$4),0),$E167-1973)</f>
        <v>#N/A</v>
      </c>
      <c r="T167" t="e" cm="1">
        <f t="array" ref="T167">INDEX('GMW - $100 oil'!$A$2:$MC$200,MATCH(1,('GMW - $100 oil'!$MC$2:$MC$200=T$3)*('GMW - $100 oil'!$MB$2:$MB$200=T$4),0),$E167-1973)</f>
        <v>#N/A</v>
      </c>
    </row>
    <row r="168" spans="1:20" x14ac:dyDescent="0.25">
      <c r="B168">
        <f t="shared" si="13"/>
        <v>2020</v>
      </c>
      <c r="C168">
        <f t="shared" si="13"/>
        <v>2020</v>
      </c>
      <c r="E168">
        <f t="shared" si="11"/>
        <v>2141</v>
      </c>
      <c r="F168" cm="1">
        <f t="array" ref="F168">INDEX('GMW - $100 oil'!$A$2:$MC$200,MATCH(1,('GMW - $100 oil'!$MC$2:$MC$200=F$3)*('GMW - $100 oil'!$MB$2:$MB$200=F$4),0),$E168-1973)</f>
        <v>522356</v>
      </c>
      <c r="G168" cm="1">
        <f t="array" ref="G168">INDEX('GMW - $100 oil'!$A$2:$MC$200,MATCH(1,('GMW - $100 oil'!$MC$2:$MC$200=G$3)*('GMW - $100 oil'!$MB$2:$MB$200=G$4),0),$E168-1973)</f>
        <v>308486</v>
      </c>
      <c r="H168" cm="1">
        <f t="array" ref="H168">INDEX('GMW - $100 oil'!$A$2:$MC$200,MATCH(1,('GMW - $100 oil'!$MC$2:$MC$200=H$3)*('GMW - $100 oil'!$MB$2:$MB$200=H$4),0),$E168-1973)</f>
        <v>108.5333</v>
      </c>
      <c r="I168" cm="1">
        <f t="array" ref="I168">INDEX('GMW - $100 oil'!$A$2:$MC$200,MATCH(1,('GMW - $100 oil'!$MC$2:$MC$200=I$3)*('GMW - $100 oil'!$MB$2:$MB$200=I$4),0),$E168-1973)</f>
        <v>0.1</v>
      </c>
      <c r="J168" t="e" cm="1">
        <f t="array" ref="J168">INDEX('GMW - $100 oil'!$A$2:$MC$200,MATCH(1,('GMW - $100 oil'!$MC$2:$MC$200=J$3)*('GMW - $100 oil'!$MB$2:$MB$200=J$4),0),$E168-1973)</f>
        <v>#N/A</v>
      </c>
      <c r="K168" t="e" cm="1">
        <f t="array" ref="K168">INDEX('GMW - $100 oil'!$A$2:$MC$200,MATCH(1,('GMW - $100 oil'!$MC$2:$MC$200=K$3)*('GMW - $100 oil'!$MB$2:$MB$200=K$4),0),$E168-1973)</f>
        <v>#N/A</v>
      </c>
      <c r="L168" t="e" cm="1">
        <f t="array" ref="L168">INDEX('GMW - $100 oil'!$A$2:$MC$200,MATCH(1,('GMW - $100 oil'!$MC$2:$MC$200=L$3)*('GMW - $100 oil'!$MB$2:$MB$200=L$4),0),$E168-1973)</f>
        <v>#N/A</v>
      </c>
      <c r="M168" t="e" cm="1">
        <f t="array" ref="M168">INDEX('GMW - $100 oil'!$A$2:$MC$200,MATCH(1,('GMW - $100 oil'!$MC$2:$MC$200=M$3)*('GMW - $100 oil'!$MB$2:$MB$200=M$4),0),$E168-1973)</f>
        <v>#N/A</v>
      </c>
      <c r="N168" t="e" cm="1">
        <f t="array" ref="N168">INDEX('GMW - $100 oil'!$A$2:$MC$200,MATCH(1,('GMW - $100 oil'!$MC$2:$MC$200=N$3)*('GMW - $100 oil'!$MB$2:$MB$200=N$4),0),$E168-1973)</f>
        <v>#N/A</v>
      </c>
      <c r="O168" t="e" cm="1">
        <f t="array" ref="O168">INDEX('GMW - $100 oil'!$A$2:$MC$200,MATCH(1,('GMW - $100 oil'!$MC$2:$MC$200=O$3)*('GMW - $100 oil'!$MB$2:$MB$200=O$4),0),$E168-1973)</f>
        <v>#N/A</v>
      </c>
      <c r="P168" t="e" cm="1">
        <f t="array" ref="P168">INDEX('GMW - $100 oil'!$A$2:$MC$200,MATCH(1,('GMW - $100 oil'!$MC$2:$MC$200=P$3)*('GMW - $100 oil'!$MB$2:$MB$200=P$4),0),$E168-1973)</f>
        <v>#N/A</v>
      </c>
      <c r="Q168" t="e" cm="1">
        <f t="array" ref="Q168">INDEX('GMW - $100 oil'!$A$2:$MC$200,MATCH(1,('GMW - $100 oil'!$MC$2:$MC$200=Q$3)*('GMW - $100 oil'!$MB$2:$MB$200=Q$4),0),$E168-1973)</f>
        <v>#N/A</v>
      </c>
      <c r="R168" t="e" cm="1">
        <f t="array" ref="R168">INDEX('GMW - $100 oil'!$A$2:$MC$200,MATCH(1,('GMW - $100 oil'!$MC$2:$MC$200=R$3)*('GMW - $100 oil'!$MB$2:$MB$200=R$4),0),$E168-1973)</f>
        <v>#N/A</v>
      </c>
      <c r="S168" t="e" cm="1">
        <f t="array" ref="S168">INDEX('GMW - $100 oil'!$A$2:$MC$200,MATCH(1,('GMW - $100 oil'!$MC$2:$MC$200=S$3)*('GMW - $100 oil'!$MB$2:$MB$200=S$4),0),$E168-1973)</f>
        <v>#N/A</v>
      </c>
      <c r="T168" t="e" cm="1">
        <f t="array" ref="T168">INDEX('GMW - $100 oil'!$A$2:$MC$200,MATCH(1,('GMW - $100 oil'!$MC$2:$MC$200=T$3)*('GMW - $100 oil'!$MB$2:$MB$200=T$4),0),$E168-1973)</f>
        <v>#N/A</v>
      </c>
    </row>
    <row r="169" spans="1:20" x14ac:dyDescent="0.25">
      <c r="B169">
        <f t="shared" si="13"/>
        <v>2020</v>
      </c>
      <c r="C169">
        <f t="shared" si="13"/>
        <v>2020</v>
      </c>
      <c r="E169">
        <f t="shared" si="11"/>
        <v>2142</v>
      </c>
      <c r="F169" cm="1">
        <f t="array" ref="F169">INDEX('GMW - $100 oil'!$A$2:$MC$200,MATCH(1,('GMW - $100 oil'!$MC$2:$MC$200=F$3)*('GMW - $100 oil'!$MB$2:$MB$200=F$4),0),$E169-1973)</f>
        <v>610972</v>
      </c>
      <c r="G169" cm="1">
        <f t="array" ref="G169">INDEX('GMW - $100 oil'!$A$2:$MC$200,MATCH(1,('GMW - $100 oil'!$MC$2:$MC$200=G$3)*('GMW - $100 oil'!$MB$2:$MB$200=G$4),0),$E169-1973)</f>
        <v>369291</v>
      </c>
      <c r="H169" cm="1">
        <f t="array" ref="H169">INDEX('GMW - $100 oil'!$A$2:$MC$200,MATCH(1,('GMW - $100 oil'!$MC$2:$MC$200=H$3)*('GMW - $100 oil'!$MB$2:$MB$200=H$4),0),$E169-1973)</f>
        <v>108.9333</v>
      </c>
      <c r="I169" cm="1">
        <f t="array" ref="I169">INDEX('GMW - $100 oil'!$A$2:$MC$200,MATCH(1,('GMW - $100 oil'!$MC$2:$MC$200=I$3)*('GMW - $100 oil'!$MB$2:$MB$200=I$4),0),$E169-1973)</f>
        <v>0.1</v>
      </c>
      <c r="J169" t="e" cm="1">
        <f t="array" ref="J169">INDEX('GMW - $100 oil'!$A$2:$MC$200,MATCH(1,('GMW - $100 oil'!$MC$2:$MC$200=J$3)*('GMW - $100 oil'!$MB$2:$MB$200=J$4),0),$E169-1973)</f>
        <v>#N/A</v>
      </c>
      <c r="K169" t="e" cm="1">
        <f t="array" ref="K169">INDEX('GMW - $100 oil'!$A$2:$MC$200,MATCH(1,('GMW - $100 oil'!$MC$2:$MC$200=K$3)*('GMW - $100 oil'!$MB$2:$MB$200=K$4),0),$E169-1973)</f>
        <v>#N/A</v>
      </c>
      <c r="L169" t="e" cm="1">
        <f t="array" ref="L169">INDEX('GMW - $100 oil'!$A$2:$MC$200,MATCH(1,('GMW - $100 oil'!$MC$2:$MC$200=L$3)*('GMW - $100 oil'!$MB$2:$MB$200=L$4),0),$E169-1973)</f>
        <v>#N/A</v>
      </c>
      <c r="M169" t="e" cm="1">
        <f t="array" ref="M169">INDEX('GMW - $100 oil'!$A$2:$MC$200,MATCH(1,('GMW - $100 oil'!$MC$2:$MC$200=M$3)*('GMW - $100 oil'!$MB$2:$MB$200=M$4),0),$E169-1973)</f>
        <v>#N/A</v>
      </c>
      <c r="N169" t="e" cm="1">
        <f t="array" ref="N169">INDEX('GMW - $100 oil'!$A$2:$MC$200,MATCH(1,('GMW - $100 oil'!$MC$2:$MC$200=N$3)*('GMW - $100 oil'!$MB$2:$MB$200=N$4),0),$E169-1973)</f>
        <v>#N/A</v>
      </c>
      <c r="O169" t="e" cm="1">
        <f t="array" ref="O169">INDEX('GMW - $100 oil'!$A$2:$MC$200,MATCH(1,('GMW - $100 oil'!$MC$2:$MC$200=O$3)*('GMW - $100 oil'!$MB$2:$MB$200=O$4),0),$E169-1973)</f>
        <v>#N/A</v>
      </c>
      <c r="P169" t="e" cm="1">
        <f t="array" ref="P169">INDEX('GMW - $100 oil'!$A$2:$MC$200,MATCH(1,('GMW - $100 oil'!$MC$2:$MC$200=P$3)*('GMW - $100 oil'!$MB$2:$MB$200=P$4),0),$E169-1973)</f>
        <v>#N/A</v>
      </c>
      <c r="Q169" t="e" cm="1">
        <f t="array" ref="Q169">INDEX('GMW - $100 oil'!$A$2:$MC$200,MATCH(1,('GMW - $100 oil'!$MC$2:$MC$200=Q$3)*('GMW - $100 oil'!$MB$2:$MB$200=Q$4),0),$E169-1973)</f>
        <v>#N/A</v>
      </c>
      <c r="R169" t="e" cm="1">
        <f t="array" ref="R169">INDEX('GMW - $100 oil'!$A$2:$MC$200,MATCH(1,('GMW - $100 oil'!$MC$2:$MC$200=R$3)*('GMW - $100 oil'!$MB$2:$MB$200=R$4),0),$E169-1973)</f>
        <v>#N/A</v>
      </c>
      <c r="S169" t="e" cm="1">
        <f t="array" ref="S169">INDEX('GMW - $100 oil'!$A$2:$MC$200,MATCH(1,('GMW - $100 oil'!$MC$2:$MC$200=S$3)*('GMW - $100 oil'!$MB$2:$MB$200=S$4),0),$E169-1973)</f>
        <v>#N/A</v>
      </c>
      <c r="T169" t="e" cm="1">
        <f t="array" ref="T169">INDEX('GMW - $100 oil'!$A$2:$MC$200,MATCH(1,('GMW - $100 oil'!$MC$2:$MC$200=T$3)*('GMW - $100 oil'!$MB$2:$MB$200=T$4),0),$E169-1973)</f>
        <v>#N/A</v>
      </c>
    </row>
    <row r="170" spans="1:20" x14ac:dyDescent="0.25">
      <c r="B170">
        <f t="shared" si="13"/>
        <v>2020</v>
      </c>
      <c r="C170">
        <f t="shared" si="13"/>
        <v>2020</v>
      </c>
      <c r="E170">
        <f t="shared" si="11"/>
        <v>2143</v>
      </c>
      <c r="F170" cm="1">
        <f t="array" ref="F170">INDEX('GMW - $100 oil'!$A$2:$MC$200,MATCH(1,('GMW - $100 oil'!$MC$2:$MC$200=F$3)*('GMW - $100 oil'!$MB$2:$MB$200=F$4),0),$E170-1973)</f>
        <v>619330</v>
      </c>
      <c r="G170" cm="1">
        <f t="array" ref="G170">INDEX('GMW - $100 oil'!$A$2:$MC$200,MATCH(1,('GMW - $100 oil'!$MC$2:$MC$200=G$3)*('GMW - $100 oil'!$MB$2:$MB$200=G$4),0),$E170-1973)</f>
        <v>362708</v>
      </c>
      <c r="H170" cm="1">
        <f t="array" ref="H170">INDEX('GMW - $100 oil'!$A$2:$MC$200,MATCH(1,('GMW - $100 oil'!$MC$2:$MC$200=H$3)*('GMW - $100 oil'!$MB$2:$MB$200=H$4),0),$E170-1973)</f>
        <v>109.0667</v>
      </c>
      <c r="I170" cm="1">
        <f t="array" ref="I170">INDEX('GMW - $100 oil'!$A$2:$MC$200,MATCH(1,('GMW - $100 oil'!$MC$2:$MC$200=I$3)*('GMW - $100 oil'!$MB$2:$MB$200=I$4),0),$E170-1973)</f>
        <v>0.1</v>
      </c>
      <c r="J170" t="e" cm="1">
        <f t="array" ref="J170">INDEX('GMW - $100 oil'!$A$2:$MC$200,MATCH(1,('GMW - $100 oil'!$MC$2:$MC$200=J$3)*('GMW - $100 oil'!$MB$2:$MB$200=J$4),0),$E170-1973)</f>
        <v>#N/A</v>
      </c>
      <c r="K170" t="e" cm="1">
        <f t="array" ref="K170">INDEX('GMW - $100 oil'!$A$2:$MC$200,MATCH(1,('GMW - $100 oil'!$MC$2:$MC$200=K$3)*('GMW - $100 oil'!$MB$2:$MB$200=K$4),0),$E170-1973)</f>
        <v>#N/A</v>
      </c>
      <c r="L170" t="e" cm="1">
        <f t="array" ref="L170">INDEX('GMW - $100 oil'!$A$2:$MC$200,MATCH(1,('GMW - $100 oil'!$MC$2:$MC$200=L$3)*('GMW - $100 oil'!$MB$2:$MB$200=L$4),0),$E170-1973)</f>
        <v>#N/A</v>
      </c>
      <c r="M170" t="e" cm="1">
        <f t="array" ref="M170">INDEX('GMW - $100 oil'!$A$2:$MC$200,MATCH(1,('GMW - $100 oil'!$MC$2:$MC$200=M$3)*('GMW - $100 oil'!$MB$2:$MB$200=M$4),0),$E170-1973)</f>
        <v>#N/A</v>
      </c>
      <c r="N170" t="e" cm="1">
        <f t="array" ref="N170">INDEX('GMW - $100 oil'!$A$2:$MC$200,MATCH(1,('GMW - $100 oil'!$MC$2:$MC$200=N$3)*('GMW - $100 oil'!$MB$2:$MB$200=N$4),0),$E170-1973)</f>
        <v>#N/A</v>
      </c>
      <c r="O170" t="e" cm="1">
        <f t="array" ref="O170">INDEX('GMW - $100 oil'!$A$2:$MC$200,MATCH(1,('GMW - $100 oil'!$MC$2:$MC$200=O$3)*('GMW - $100 oil'!$MB$2:$MB$200=O$4),0),$E170-1973)</f>
        <v>#N/A</v>
      </c>
      <c r="P170" t="e" cm="1">
        <f t="array" ref="P170">INDEX('GMW - $100 oil'!$A$2:$MC$200,MATCH(1,('GMW - $100 oil'!$MC$2:$MC$200=P$3)*('GMW - $100 oil'!$MB$2:$MB$200=P$4),0),$E170-1973)</f>
        <v>#N/A</v>
      </c>
      <c r="Q170" t="e" cm="1">
        <f t="array" ref="Q170">INDEX('GMW - $100 oil'!$A$2:$MC$200,MATCH(1,('GMW - $100 oil'!$MC$2:$MC$200=Q$3)*('GMW - $100 oil'!$MB$2:$MB$200=Q$4),0),$E170-1973)</f>
        <v>#N/A</v>
      </c>
      <c r="R170" t="e" cm="1">
        <f t="array" ref="R170">INDEX('GMW - $100 oil'!$A$2:$MC$200,MATCH(1,('GMW - $100 oil'!$MC$2:$MC$200=R$3)*('GMW - $100 oil'!$MB$2:$MB$200=R$4),0),$E170-1973)</f>
        <v>#N/A</v>
      </c>
      <c r="S170" t="e" cm="1">
        <f t="array" ref="S170">INDEX('GMW - $100 oil'!$A$2:$MC$200,MATCH(1,('GMW - $100 oil'!$MC$2:$MC$200=S$3)*('GMW - $100 oil'!$MB$2:$MB$200=S$4),0),$E170-1973)</f>
        <v>#N/A</v>
      </c>
      <c r="T170" t="e" cm="1">
        <f t="array" ref="T170">INDEX('GMW - $100 oil'!$A$2:$MC$200,MATCH(1,('GMW - $100 oil'!$MC$2:$MC$200=T$3)*('GMW - $100 oil'!$MB$2:$MB$200=T$4),0),$E170-1973)</f>
        <v>#N/A</v>
      </c>
    </row>
    <row r="171" spans="1:20" x14ac:dyDescent="0.25">
      <c r="A171">
        <v>2021</v>
      </c>
      <c r="B171">
        <f t="shared" si="13"/>
        <v>2021</v>
      </c>
      <c r="C171">
        <f t="shared" si="13"/>
        <v>2020</v>
      </c>
      <c r="D171">
        <f t="shared" si="13"/>
        <v>2020</v>
      </c>
      <c r="E171">
        <f t="shared" si="11"/>
        <v>2144</v>
      </c>
      <c r="F171" cm="1">
        <f t="array" ref="F171">INDEX('GMW - $100 oil'!$A$2:$MC$200,MATCH(1,('GMW - $100 oil'!$MC$2:$MC$200=F$3)*('GMW - $100 oil'!$MB$2:$MB$200=F$4),0),$E171-1973)</f>
        <v>612665</v>
      </c>
      <c r="G171" cm="1">
        <f t="array" ref="G171">INDEX('GMW - $100 oil'!$A$2:$MC$200,MATCH(1,('GMW - $100 oil'!$MC$2:$MC$200=G$3)*('GMW - $100 oil'!$MB$2:$MB$200=G$4),0),$E171-1973)</f>
        <v>349378</v>
      </c>
      <c r="H171" cm="1">
        <f t="array" ref="H171">INDEX('GMW - $100 oil'!$A$2:$MC$200,MATCH(1,('GMW - $100 oil'!$MC$2:$MC$200=H$3)*('GMW - $100 oil'!$MB$2:$MB$200=H$4),0),$E171-1973)</f>
        <v>109.16670000000001</v>
      </c>
      <c r="I171" cm="1">
        <f t="array" ref="I171">INDEX('GMW - $100 oil'!$A$2:$MC$200,MATCH(1,('GMW - $100 oil'!$MC$2:$MC$200=I$3)*('GMW - $100 oil'!$MB$2:$MB$200=I$4),0),$E171-1973)</f>
        <v>0.1</v>
      </c>
      <c r="J171" t="e" cm="1">
        <f t="array" ref="J171">INDEX('GMW - $100 oil'!$A$2:$MC$200,MATCH(1,('GMW - $100 oil'!$MC$2:$MC$200=J$3)*('GMW - $100 oil'!$MB$2:$MB$200=J$4),0),$E171-1973)</f>
        <v>#N/A</v>
      </c>
      <c r="K171" t="e" cm="1">
        <f t="array" ref="K171">INDEX('GMW - $100 oil'!$A$2:$MC$200,MATCH(1,('GMW - $100 oil'!$MC$2:$MC$200=K$3)*('GMW - $100 oil'!$MB$2:$MB$200=K$4),0),$E171-1973)</f>
        <v>#N/A</v>
      </c>
      <c r="L171" t="e" cm="1">
        <f t="array" ref="L171">INDEX('GMW - $100 oil'!$A$2:$MC$200,MATCH(1,('GMW - $100 oil'!$MC$2:$MC$200=L$3)*('GMW - $100 oil'!$MB$2:$MB$200=L$4),0),$E171-1973)</f>
        <v>#N/A</v>
      </c>
      <c r="M171" t="e" cm="1">
        <f t="array" ref="M171">INDEX('GMW - $100 oil'!$A$2:$MC$200,MATCH(1,('GMW - $100 oil'!$MC$2:$MC$200=M$3)*('GMW - $100 oil'!$MB$2:$MB$200=M$4),0),$E171-1973)</f>
        <v>#N/A</v>
      </c>
      <c r="N171" t="e" cm="1">
        <f t="array" ref="N171">INDEX('GMW - $100 oil'!$A$2:$MC$200,MATCH(1,('GMW - $100 oil'!$MC$2:$MC$200=N$3)*('GMW - $100 oil'!$MB$2:$MB$200=N$4),0),$E171-1973)</f>
        <v>#N/A</v>
      </c>
      <c r="O171" t="e" cm="1">
        <f t="array" ref="O171">INDEX('GMW - $100 oil'!$A$2:$MC$200,MATCH(1,('GMW - $100 oil'!$MC$2:$MC$200=O$3)*('GMW - $100 oil'!$MB$2:$MB$200=O$4),0),$E171-1973)</f>
        <v>#N/A</v>
      </c>
      <c r="P171" t="e" cm="1">
        <f t="array" ref="P171">INDEX('GMW - $100 oil'!$A$2:$MC$200,MATCH(1,('GMW - $100 oil'!$MC$2:$MC$200=P$3)*('GMW - $100 oil'!$MB$2:$MB$200=P$4),0),$E171-1973)</f>
        <v>#N/A</v>
      </c>
      <c r="Q171" t="e" cm="1">
        <f t="array" ref="Q171">INDEX('GMW - $100 oil'!$A$2:$MC$200,MATCH(1,('GMW - $100 oil'!$MC$2:$MC$200=Q$3)*('GMW - $100 oil'!$MB$2:$MB$200=Q$4),0),$E171-1973)</f>
        <v>#N/A</v>
      </c>
      <c r="R171" t="e" cm="1">
        <f t="array" ref="R171">INDEX('GMW - $100 oil'!$A$2:$MC$200,MATCH(1,('GMW - $100 oil'!$MC$2:$MC$200=R$3)*('GMW - $100 oil'!$MB$2:$MB$200=R$4),0),$E171-1973)</f>
        <v>#N/A</v>
      </c>
      <c r="S171" t="e" cm="1">
        <f t="array" ref="S171">INDEX('GMW - $100 oil'!$A$2:$MC$200,MATCH(1,('GMW - $100 oil'!$MC$2:$MC$200=S$3)*('GMW - $100 oil'!$MB$2:$MB$200=S$4),0),$E171-1973)</f>
        <v>#N/A</v>
      </c>
      <c r="T171" t="e" cm="1">
        <f t="array" ref="T171">INDEX('GMW - $100 oil'!$A$2:$MC$200,MATCH(1,('GMW - $100 oil'!$MC$2:$MC$200=T$3)*('GMW - $100 oil'!$MB$2:$MB$200=T$4),0),$E171-1973)</f>
        <v>#N/A</v>
      </c>
    </row>
    <row r="172" spans="1:20" x14ac:dyDescent="0.25">
      <c r="B172">
        <f t="shared" ref="B172:D187" si="14">+B168+1</f>
        <v>2021</v>
      </c>
      <c r="C172">
        <f t="shared" si="14"/>
        <v>2021</v>
      </c>
      <c r="E172">
        <f t="shared" si="11"/>
        <v>2145</v>
      </c>
      <c r="F172" cm="1">
        <f t="array" ref="F172">INDEX('GMW - $100 oil'!$A$2:$MC$200,MATCH(1,('GMW - $100 oil'!$MC$2:$MC$200=F$3)*('GMW - $100 oil'!$MB$2:$MB$200=F$4),0),$E172-1973)</f>
        <v>655443</v>
      </c>
      <c r="G172" cm="1">
        <f t="array" ref="G172">INDEX('GMW - $100 oil'!$A$2:$MC$200,MATCH(1,('GMW - $100 oil'!$MC$2:$MC$200=G$3)*('GMW - $100 oil'!$MB$2:$MB$200=G$4),0),$E172-1973)</f>
        <v>389324</v>
      </c>
      <c r="H172" cm="1">
        <f t="array" ref="H172">INDEX('GMW - $100 oil'!$A$2:$MC$200,MATCH(1,('GMW - $100 oil'!$MC$2:$MC$200=H$3)*('GMW - $100 oil'!$MB$2:$MB$200=H$4),0),$E172-1973)</f>
        <v>110.7333</v>
      </c>
      <c r="I172" cm="1">
        <f t="array" ref="I172">INDEX('GMW - $100 oil'!$A$2:$MC$200,MATCH(1,('GMW - $100 oil'!$MC$2:$MC$200=I$3)*('GMW - $100 oil'!$MB$2:$MB$200=I$4),0),$E172-1973)</f>
        <v>0.1</v>
      </c>
      <c r="J172" t="e" cm="1">
        <f t="array" ref="J172">INDEX('GMW - $100 oil'!$A$2:$MC$200,MATCH(1,('GMW - $100 oil'!$MC$2:$MC$200=J$3)*('GMW - $100 oil'!$MB$2:$MB$200=J$4),0),$E172-1973)</f>
        <v>#N/A</v>
      </c>
      <c r="K172" t="e" cm="1">
        <f t="array" ref="K172">INDEX('GMW - $100 oil'!$A$2:$MC$200,MATCH(1,('GMW - $100 oil'!$MC$2:$MC$200=K$3)*('GMW - $100 oil'!$MB$2:$MB$200=K$4),0),$E172-1973)</f>
        <v>#N/A</v>
      </c>
      <c r="L172" t="e" cm="1">
        <f t="array" ref="L172">INDEX('GMW - $100 oil'!$A$2:$MC$200,MATCH(1,('GMW - $100 oil'!$MC$2:$MC$200=L$3)*('GMW - $100 oil'!$MB$2:$MB$200=L$4),0),$E172-1973)</f>
        <v>#N/A</v>
      </c>
      <c r="M172" t="e" cm="1">
        <f t="array" ref="M172">INDEX('GMW - $100 oil'!$A$2:$MC$200,MATCH(1,('GMW - $100 oil'!$MC$2:$MC$200=M$3)*('GMW - $100 oil'!$MB$2:$MB$200=M$4),0),$E172-1973)</f>
        <v>#N/A</v>
      </c>
      <c r="N172" t="e" cm="1">
        <f t="array" ref="N172">INDEX('GMW - $100 oil'!$A$2:$MC$200,MATCH(1,('GMW - $100 oil'!$MC$2:$MC$200=N$3)*('GMW - $100 oil'!$MB$2:$MB$200=N$4),0),$E172-1973)</f>
        <v>#N/A</v>
      </c>
      <c r="O172" t="e" cm="1">
        <f t="array" ref="O172">INDEX('GMW - $100 oil'!$A$2:$MC$200,MATCH(1,('GMW - $100 oil'!$MC$2:$MC$200=O$3)*('GMW - $100 oil'!$MB$2:$MB$200=O$4),0),$E172-1973)</f>
        <v>#N/A</v>
      </c>
      <c r="P172" t="e" cm="1">
        <f t="array" ref="P172">INDEX('GMW - $100 oil'!$A$2:$MC$200,MATCH(1,('GMW - $100 oil'!$MC$2:$MC$200=P$3)*('GMW - $100 oil'!$MB$2:$MB$200=P$4),0),$E172-1973)</f>
        <v>#N/A</v>
      </c>
      <c r="Q172" t="e" cm="1">
        <f t="array" ref="Q172">INDEX('GMW - $100 oil'!$A$2:$MC$200,MATCH(1,('GMW - $100 oil'!$MC$2:$MC$200=Q$3)*('GMW - $100 oil'!$MB$2:$MB$200=Q$4),0),$E172-1973)</f>
        <v>#N/A</v>
      </c>
      <c r="R172" t="e" cm="1">
        <f t="array" ref="R172">INDEX('GMW - $100 oil'!$A$2:$MC$200,MATCH(1,('GMW - $100 oil'!$MC$2:$MC$200=R$3)*('GMW - $100 oil'!$MB$2:$MB$200=R$4),0),$E172-1973)</f>
        <v>#N/A</v>
      </c>
      <c r="S172" t="e" cm="1">
        <f t="array" ref="S172">INDEX('GMW - $100 oil'!$A$2:$MC$200,MATCH(1,('GMW - $100 oil'!$MC$2:$MC$200=S$3)*('GMW - $100 oil'!$MB$2:$MB$200=S$4),0),$E172-1973)</f>
        <v>#N/A</v>
      </c>
      <c r="T172" t="e" cm="1">
        <f t="array" ref="T172">INDEX('GMW - $100 oil'!$A$2:$MC$200,MATCH(1,('GMW - $100 oil'!$MC$2:$MC$200=T$3)*('GMW - $100 oil'!$MB$2:$MB$200=T$4),0),$E172-1973)</f>
        <v>#N/A</v>
      </c>
    </row>
    <row r="173" spans="1:20" x14ac:dyDescent="0.25">
      <c r="B173">
        <f t="shared" si="14"/>
        <v>2021</v>
      </c>
      <c r="C173">
        <f t="shared" si="14"/>
        <v>2021</v>
      </c>
      <c r="E173">
        <f t="shared" si="11"/>
        <v>2146</v>
      </c>
      <c r="F173" cm="1">
        <f t="array" ref="F173">INDEX('GMW - $100 oil'!$A$2:$MC$200,MATCH(1,('GMW - $100 oil'!$MC$2:$MC$200=F$3)*('GMW - $100 oil'!$MB$2:$MB$200=F$4),0),$E173-1973)</f>
        <v>666498</v>
      </c>
      <c r="G173" cm="1">
        <f t="array" ref="G173">INDEX('GMW - $100 oil'!$A$2:$MC$200,MATCH(1,('GMW - $100 oil'!$MC$2:$MC$200=G$3)*('GMW - $100 oil'!$MB$2:$MB$200=G$4),0),$E173-1973)</f>
        <v>401314</v>
      </c>
      <c r="H173" cm="1">
        <f t="array" ref="H173">INDEX('GMW - $100 oil'!$A$2:$MC$200,MATCH(1,('GMW - $100 oil'!$MC$2:$MC$200=H$3)*('GMW - $100 oil'!$MB$2:$MB$200=H$4),0),$E173-1973)</f>
        <v>111.9333</v>
      </c>
      <c r="I173" cm="1">
        <f t="array" ref="I173">INDEX('GMW - $100 oil'!$A$2:$MC$200,MATCH(1,('GMW - $100 oil'!$MC$2:$MC$200=I$3)*('GMW - $100 oil'!$MB$2:$MB$200=I$4),0),$E173-1973)</f>
        <v>0.1</v>
      </c>
      <c r="J173" t="e" cm="1">
        <f t="array" ref="J173">INDEX('GMW - $100 oil'!$A$2:$MC$200,MATCH(1,('GMW - $100 oil'!$MC$2:$MC$200=J$3)*('GMW - $100 oil'!$MB$2:$MB$200=J$4),0),$E173-1973)</f>
        <v>#N/A</v>
      </c>
      <c r="K173" t="e" cm="1">
        <f t="array" ref="K173">INDEX('GMW - $100 oil'!$A$2:$MC$200,MATCH(1,('GMW - $100 oil'!$MC$2:$MC$200=K$3)*('GMW - $100 oil'!$MB$2:$MB$200=K$4),0),$E173-1973)</f>
        <v>#N/A</v>
      </c>
      <c r="L173" t="e" cm="1">
        <f t="array" ref="L173">INDEX('GMW - $100 oil'!$A$2:$MC$200,MATCH(1,('GMW - $100 oil'!$MC$2:$MC$200=L$3)*('GMW - $100 oil'!$MB$2:$MB$200=L$4),0),$E173-1973)</f>
        <v>#N/A</v>
      </c>
      <c r="M173" t="e" cm="1">
        <f t="array" ref="M173">INDEX('GMW - $100 oil'!$A$2:$MC$200,MATCH(1,('GMW - $100 oil'!$MC$2:$MC$200=M$3)*('GMW - $100 oil'!$MB$2:$MB$200=M$4),0),$E173-1973)</f>
        <v>#N/A</v>
      </c>
      <c r="N173" t="e" cm="1">
        <f t="array" ref="N173">INDEX('GMW - $100 oil'!$A$2:$MC$200,MATCH(1,('GMW - $100 oil'!$MC$2:$MC$200=N$3)*('GMW - $100 oil'!$MB$2:$MB$200=N$4),0),$E173-1973)</f>
        <v>#N/A</v>
      </c>
      <c r="O173" t="e" cm="1">
        <f t="array" ref="O173">INDEX('GMW - $100 oil'!$A$2:$MC$200,MATCH(1,('GMW - $100 oil'!$MC$2:$MC$200=O$3)*('GMW - $100 oil'!$MB$2:$MB$200=O$4),0),$E173-1973)</f>
        <v>#N/A</v>
      </c>
      <c r="P173" t="e" cm="1">
        <f t="array" ref="P173">INDEX('GMW - $100 oil'!$A$2:$MC$200,MATCH(1,('GMW - $100 oil'!$MC$2:$MC$200=P$3)*('GMW - $100 oil'!$MB$2:$MB$200=P$4),0),$E173-1973)</f>
        <v>#N/A</v>
      </c>
      <c r="Q173" t="e" cm="1">
        <f t="array" ref="Q173">INDEX('GMW - $100 oil'!$A$2:$MC$200,MATCH(1,('GMW - $100 oil'!$MC$2:$MC$200=Q$3)*('GMW - $100 oil'!$MB$2:$MB$200=Q$4),0),$E173-1973)</f>
        <v>#N/A</v>
      </c>
      <c r="R173" t="e" cm="1">
        <f t="array" ref="R173">INDEX('GMW - $100 oil'!$A$2:$MC$200,MATCH(1,('GMW - $100 oil'!$MC$2:$MC$200=R$3)*('GMW - $100 oil'!$MB$2:$MB$200=R$4),0),$E173-1973)</f>
        <v>#N/A</v>
      </c>
      <c r="S173" t="e" cm="1">
        <f t="array" ref="S173">INDEX('GMW - $100 oil'!$A$2:$MC$200,MATCH(1,('GMW - $100 oil'!$MC$2:$MC$200=S$3)*('GMW - $100 oil'!$MB$2:$MB$200=S$4),0),$E173-1973)</f>
        <v>#N/A</v>
      </c>
      <c r="T173" t="e" cm="1">
        <f t="array" ref="T173">INDEX('GMW - $100 oil'!$A$2:$MC$200,MATCH(1,('GMW - $100 oil'!$MC$2:$MC$200=T$3)*('GMW - $100 oil'!$MB$2:$MB$200=T$4),0),$E173-1973)</f>
        <v>#N/A</v>
      </c>
    </row>
    <row r="174" spans="1:20" x14ac:dyDescent="0.25">
      <c r="B174">
        <f t="shared" si="14"/>
        <v>2021</v>
      </c>
      <c r="C174">
        <f t="shared" si="14"/>
        <v>2021</v>
      </c>
      <c r="E174">
        <f t="shared" si="11"/>
        <v>2147</v>
      </c>
      <c r="F174" cm="1">
        <f t="array" ref="F174">INDEX('GMW - $100 oil'!$A$2:$MC$200,MATCH(1,('GMW - $100 oil'!$MC$2:$MC$200=F$3)*('GMW - $100 oil'!$MB$2:$MB$200=F$4),0),$E174-1973)</f>
        <v>675680</v>
      </c>
      <c r="G174" cm="1">
        <f t="array" ref="G174">INDEX('GMW - $100 oil'!$A$2:$MC$200,MATCH(1,('GMW - $100 oil'!$MC$2:$MC$200=G$3)*('GMW - $100 oil'!$MB$2:$MB$200=G$4),0),$E174-1973)</f>
        <v>402019</v>
      </c>
      <c r="H174" cm="1">
        <f t="array" ref="H174">INDEX('GMW - $100 oil'!$A$2:$MC$200,MATCH(1,('GMW - $100 oil'!$MC$2:$MC$200=H$3)*('GMW - $100 oil'!$MB$2:$MB$200=H$4),0),$E174-1973)</f>
        <v>114.4</v>
      </c>
      <c r="I174" cm="1">
        <f t="array" ref="I174">INDEX('GMW - $100 oil'!$A$2:$MC$200,MATCH(1,('GMW - $100 oil'!$MC$2:$MC$200=I$3)*('GMW - $100 oil'!$MB$2:$MB$200=I$4),0),$E174-1973)</f>
        <v>0.12727269999999999</v>
      </c>
      <c r="J174" t="e" cm="1">
        <f t="array" ref="J174">INDEX('GMW - $100 oil'!$A$2:$MC$200,MATCH(1,('GMW - $100 oil'!$MC$2:$MC$200=J$3)*('GMW - $100 oil'!$MB$2:$MB$200=J$4),0),$E174-1973)</f>
        <v>#N/A</v>
      </c>
      <c r="K174" t="e" cm="1">
        <f t="array" ref="K174">INDEX('GMW - $100 oil'!$A$2:$MC$200,MATCH(1,('GMW - $100 oil'!$MC$2:$MC$200=K$3)*('GMW - $100 oil'!$MB$2:$MB$200=K$4),0),$E174-1973)</f>
        <v>#N/A</v>
      </c>
      <c r="L174" t="e" cm="1">
        <f t="array" ref="L174">INDEX('GMW - $100 oil'!$A$2:$MC$200,MATCH(1,('GMW - $100 oil'!$MC$2:$MC$200=L$3)*('GMW - $100 oil'!$MB$2:$MB$200=L$4),0),$E174-1973)</f>
        <v>#N/A</v>
      </c>
      <c r="M174" t="e" cm="1">
        <f t="array" ref="M174">INDEX('GMW - $100 oil'!$A$2:$MC$200,MATCH(1,('GMW - $100 oil'!$MC$2:$MC$200=M$3)*('GMW - $100 oil'!$MB$2:$MB$200=M$4),0),$E174-1973)</f>
        <v>#N/A</v>
      </c>
      <c r="N174" t="e" cm="1">
        <f t="array" ref="N174">INDEX('GMW - $100 oil'!$A$2:$MC$200,MATCH(1,('GMW - $100 oil'!$MC$2:$MC$200=N$3)*('GMW - $100 oil'!$MB$2:$MB$200=N$4),0),$E174-1973)</f>
        <v>#N/A</v>
      </c>
      <c r="O174" t="e" cm="1">
        <f t="array" ref="O174">INDEX('GMW - $100 oil'!$A$2:$MC$200,MATCH(1,('GMW - $100 oil'!$MC$2:$MC$200=O$3)*('GMW - $100 oil'!$MB$2:$MB$200=O$4),0),$E174-1973)</f>
        <v>#N/A</v>
      </c>
      <c r="P174" t="e" cm="1">
        <f t="array" ref="P174">INDEX('GMW - $100 oil'!$A$2:$MC$200,MATCH(1,('GMW - $100 oil'!$MC$2:$MC$200=P$3)*('GMW - $100 oil'!$MB$2:$MB$200=P$4),0),$E174-1973)</f>
        <v>#N/A</v>
      </c>
      <c r="Q174" t="e" cm="1">
        <f t="array" ref="Q174">INDEX('GMW - $100 oil'!$A$2:$MC$200,MATCH(1,('GMW - $100 oil'!$MC$2:$MC$200=Q$3)*('GMW - $100 oil'!$MB$2:$MB$200=Q$4),0),$E174-1973)</f>
        <v>#N/A</v>
      </c>
      <c r="R174" t="e" cm="1">
        <f t="array" ref="R174">INDEX('GMW - $100 oil'!$A$2:$MC$200,MATCH(1,('GMW - $100 oil'!$MC$2:$MC$200=R$3)*('GMW - $100 oil'!$MB$2:$MB$200=R$4),0),$E174-1973)</f>
        <v>#N/A</v>
      </c>
      <c r="S174" t="e" cm="1">
        <f t="array" ref="S174">INDEX('GMW - $100 oil'!$A$2:$MC$200,MATCH(1,('GMW - $100 oil'!$MC$2:$MC$200=S$3)*('GMW - $100 oil'!$MB$2:$MB$200=S$4),0),$E174-1973)</f>
        <v>#N/A</v>
      </c>
      <c r="T174" t="e" cm="1">
        <f t="array" ref="T174">INDEX('GMW - $100 oil'!$A$2:$MC$200,MATCH(1,('GMW - $100 oil'!$MC$2:$MC$200=T$3)*('GMW - $100 oil'!$MB$2:$MB$200=T$4),0),$E174-1973)</f>
        <v>#N/A</v>
      </c>
    </row>
    <row r="175" spans="1:20" x14ac:dyDescent="0.25">
      <c r="A175">
        <v>2022</v>
      </c>
      <c r="B175">
        <f t="shared" si="14"/>
        <v>2022</v>
      </c>
      <c r="C175">
        <f t="shared" si="14"/>
        <v>2021</v>
      </c>
      <c r="D175">
        <f t="shared" si="14"/>
        <v>2021</v>
      </c>
      <c r="E175">
        <f t="shared" si="11"/>
        <v>2148</v>
      </c>
      <c r="F175" cm="1">
        <f t="array" ref="F175">INDEX('GMW - $100 oil'!$A$2:$MC$200,MATCH(1,('GMW - $100 oil'!$MC$2:$MC$200=F$3)*('GMW - $100 oil'!$MB$2:$MB$200=F$4),0),$E175-1973)</f>
        <v>682527</v>
      </c>
      <c r="G175" cm="1">
        <f t="array" ref="G175">INDEX('GMW - $100 oil'!$A$2:$MC$200,MATCH(1,('GMW - $100 oil'!$MC$2:$MC$200=G$3)*('GMW - $100 oil'!$MB$2:$MB$200=G$4),0),$E175-1973)</f>
        <v>407981</v>
      </c>
      <c r="H175" cm="1">
        <f t="array" ref="H175">INDEX('GMW - $100 oil'!$A$2:$MC$200,MATCH(1,('GMW - $100 oil'!$MC$2:$MC$200=H$3)*('GMW - $100 oil'!$MB$2:$MB$200=H$4),0),$E175-1973)</f>
        <v>115.9333</v>
      </c>
      <c r="I175" cm="1">
        <f t="array" ref="I175">INDEX('GMW - $100 oil'!$A$2:$MC$200,MATCH(1,('GMW - $100 oil'!$MC$2:$MC$200=I$3)*('GMW - $100 oil'!$MB$2:$MB$200=I$4),0),$E175-1973)</f>
        <v>0.453125</v>
      </c>
      <c r="J175" t="e" cm="1">
        <f t="array" ref="J175">INDEX('GMW - $100 oil'!$A$2:$MC$200,MATCH(1,('GMW - $100 oil'!$MC$2:$MC$200=J$3)*('GMW - $100 oil'!$MB$2:$MB$200=J$4),0),$E175-1973)</f>
        <v>#N/A</v>
      </c>
      <c r="K175" t="e" cm="1">
        <f t="array" ref="K175">INDEX('GMW - $100 oil'!$A$2:$MC$200,MATCH(1,('GMW - $100 oil'!$MC$2:$MC$200=K$3)*('GMW - $100 oil'!$MB$2:$MB$200=K$4),0),$E175-1973)</f>
        <v>#N/A</v>
      </c>
      <c r="L175" t="e" cm="1">
        <f t="array" ref="L175">INDEX('GMW - $100 oil'!$A$2:$MC$200,MATCH(1,('GMW - $100 oil'!$MC$2:$MC$200=L$3)*('GMW - $100 oil'!$MB$2:$MB$200=L$4),0),$E175-1973)</f>
        <v>#N/A</v>
      </c>
      <c r="M175" t="e" cm="1">
        <f t="array" ref="M175">INDEX('GMW - $100 oil'!$A$2:$MC$200,MATCH(1,('GMW - $100 oil'!$MC$2:$MC$200=M$3)*('GMW - $100 oil'!$MB$2:$MB$200=M$4),0),$E175-1973)</f>
        <v>#N/A</v>
      </c>
      <c r="N175" t="e" cm="1">
        <f t="array" ref="N175">INDEX('GMW - $100 oil'!$A$2:$MC$200,MATCH(1,('GMW - $100 oil'!$MC$2:$MC$200=N$3)*('GMW - $100 oil'!$MB$2:$MB$200=N$4),0),$E175-1973)</f>
        <v>#N/A</v>
      </c>
      <c r="O175" t="e" cm="1">
        <f t="array" ref="O175">INDEX('GMW - $100 oil'!$A$2:$MC$200,MATCH(1,('GMW - $100 oil'!$MC$2:$MC$200=O$3)*('GMW - $100 oil'!$MB$2:$MB$200=O$4),0),$E175-1973)</f>
        <v>#N/A</v>
      </c>
      <c r="P175" t="e" cm="1">
        <f t="array" ref="P175">INDEX('GMW - $100 oil'!$A$2:$MC$200,MATCH(1,('GMW - $100 oil'!$MC$2:$MC$200=P$3)*('GMW - $100 oil'!$MB$2:$MB$200=P$4),0),$E175-1973)</f>
        <v>#N/A</v>
      </c>
      <c r="Q175" t="e" cm="1">
        <f t="array" ref="Q175">INDEX('GMW - $100 oil'!$A$2:$MC$200,MATCH(1,('GMW - $100 oil'!$MC$2:$MC$200=Q$3)*('GMW - $100 oil'!$MB$2:$MB$200=Q$4),0),$E175-1973)</f>
        <v>#N/A</v>
      </c>
      <c r="R175" t="e" cm="1">
        <f t="array" ref="R175">INDEX('GMW - $100 oil'!$A$2:$MC$200,MATCH(1,('GMW - $100 oil'!$MC$2:$MC$200=R$3)*('GMW - $100 oil'!$MB$2:$MB$200=R$4),0),$E175-1973)</f>
        <v>#N/A</v>
      </c>
      <c r="S175" t="e" cm="1">
        <f t="array" ref="S175">INDEX('GMW - $100 oil'!$A$2:$MC$200,MATCH(1,('GMW - $100 oil'!$MC$2:$MC$200=S$3)*('GMW - $100 oil'!$MB$2:$MB$200=S$4),0),$E175-1973)</f>
        <v>#N/A</v>
      </c>
      <c r="T175" t="e" cm="1">
        <f t="array" ref="T175">INDEX('GMW - $100 oil'!$A$2:$MC$200,MATCH(1,('GMW - $100 oil'!$MC$2:$MC$200=T$3)*('GMW - $100 oil'!$MB$2:$MB$200=T$4),0),$E175-1973)</f>
        <v>#N/A</v>
      </c>
    </row>
    <row r="176" spans="1:20" x14ac:dyDescent="0.25">
      <c r="B176">
        <f t="shared" si="14"/>
        <v>2022</v>
      </c>
      <c r="C176">
        <f t="shared" si="14"/>
        <v>2022</v>
      </c>
      <c r="E176">
        <f t="shared" si="11"/>
        <v>2149</v>
      </c>
      <c r="F176" cm="1">
        <f t="array" ref="F176">INDEX('GMW - $100 oil'!$A$2:$MC$200,MATCH(1,('GMW - $100 oil'!$MC$2:$MC$200=F$3)*('GMW - $100 oil'!$MB$2:$MB$200=F$4),0),$E176-1973)</f>
        <v>686335</v>
      </c>
      <c r="G176" cm="1">
        <f t="array" ref="G176">INDEX('GMW - $100 oil'!$A$2:$MC$200,MATCH(1,('GMW - $100 oil'!$MC$2:$MC$200=G$3)*('GMW - $100 oil'!$MB$2:$MB$200=G$4),0),$E176-1973)</f>
        <v>415833</v>
      </c>
      <c r="H176" cm="1">
        <f t="array" ref="H176">INDEX('GMW - $100 oil'!$A$2:$MC$200,MATCH(1,('GMW - $100 oil'!$MC$2:$MC$200=H$3)*('GMW - $100 oil'!$MB$2:$MB$200=H$4),0),$E176-1973)</f>
        <v>120.86669999999999</v>
      </c>
      <c r="I176" cm="1">
        <f t="array" ref="I176">INDEX('GMW - $100 oil'!$A$2:$MC$200,MATCH(1,('GMW - $100 oil'!$MC$2:$MC$200=I$3)*('GMW - $100 oil'!$MB$2:$MB$200=I$4),0),$E176-1973)</f>
        <v>0.95</v>
      </c>
      <c r="J176" t="e" cm="1">
        <f t="array" ref="J176">INDEX('GMW - $100 oil'!$A$2:$MC$200,MATCH(1,('GMW - $100 oil'!$MC$2:$MC$200=J$3)*('GMW - $100 oil'!$MB$2:$MB$200=J$4),0),$E176-1973)</f>
        <v>#N/A</v>
      </c>
      <c r="K176" t="e" cm="1">
        <f t="array" ref="K176">INDEX('GMW - $100 oil'!$A$2:$MC$200,MATCH(1,('GMW - $100 oil'!$MC$2:$MC$200=K$3)*('GMW - $100 oil'!$MB$2:$MB$200=K$4),0),$E176-1973)</f>
        <v>#N/A</v>
      </c>
      <c r="L176" t="e" cm="1">
        <f t="array" ref="L176">INDEX('GMW - $100 oil'!$A$2:$MC$200,MATCH(1,('GMW - $100 oil'!$MC$2:$MC$200=L$3)*('GMW - $100 oil'!$MB$2:$MB$200=L$4),0),$E176-1973)</f>
        <v>#N/A</v>
      </c>
      <c r="M176" t="e" cm="1">
        <f t="array" ref="M176">INDEX('GMW - $100 oil'!$A$2:$MC$200,MATCH(1,('GMW - $100 oil'!$MC$2:$MC$200=M$3)*('GMW - $100 oil'!$MB$2:$MB$200=M$4),0),$E176-1973)</f>
        <v>#N/A</v>
      </c>
      <c r="N176" t="e" cm="1">
        <f t="array" ref="N176">INDEX('GMW - $100 oil'!$A$2:$MC$200,MATCH(1,('GMW - $100 oil'!$MC$2:$MC$200=N$3)*('GMW - $100 oil'!$MB$2:$MB$200=N$4),0),$E176-1973)</f>
        <v>#N/A</v>
      </c>
      <c r="O176" t="e" cm="1">
        <f t="array" ref="O176">INDEX('GMW - $100 oil'!$A$2:$MC$200,MATCH(1,('GMW - $100 oil'!$MC$2:$MC$200=O$3)*('GMW - $100 oil'!$MB$2:$MB$200=O$4),0),$E176-1973)</f>
        <v>#N/A</v>
      </c>
      <c r="P176" t="e" cm="1">
        <f t="array" ref="P176">INDEX('GMW - $100 oil'!$A$2:$MC$200,MATCH(1,('GMW - $100 oil'!$MC$2:$MC$200=P$3)*('GMW - $100 oil'!$MB$2:$MB$200=P$4),0),$E176-1973)</f>
        <v>#N/A</v>
      </c>
      <c r="Q176" t="e" cm="1">
        <f t="array" ref="Q176">INDEX('GMW - $100 oil'!$A$2:$MC$200,MATCH(1,('GMW - $100 oil'!$MC$2:$MC$200=Q$3)*('GMW - $100 oil'!$MB$2:$MB$200=Q$4),0),$E176-1973)</f>
        <v>#N/A</v>
      </c>
      <c r="R176" t="e" cm="1">
        <f t="array" ref="R176">INDEX('GMW - $100 oil'!$A$2:$MC$200,MATCH(1,('GMW - $100 oil'!$MC$2:$MC$200=R$3)*('GMW - $100 oil'!$MB$2:$MB$200=R$4),0),$E176-1973)</f>
        <v>#N/A</v>
      </c>
      <c r="S176" t="e" cm="1">
        <f t="array" ref="S176">INDEX('GMW - $100 oil'!$A$2:$MC$200,MATCH(1,('GMW - $100 oil'!$MC$2:$MC$200=S$3)*('GMW - $100 oil'!$MB$2:$MB$200=S$4),0),$E176-1973)</f>
        <v>#N/A</v>
      </c>
      <c r="T176" t="e" cm="1">
        <f t="array" ref="T176">INDEX('GMW - $100 oil'!$A$2:$MC$200,MATCH(1,('GMW - $100 oil'!$MC$2:$MC$200=T$3)*('GMW - $100 oil'!$MB$2:$MB$200=T$4),0),$E176-1973)</f>
        <v>#N/A</v>
      </c>
    </row>
    <row r="177" spans="1:20" x14ac:dyDescent="0.25">
      <c r="B177">
        <f t="shared" si="14"/>
        <v>2022</v>
      </c>
      <c r="C177">
        <f t="shared" si="14"/>
        <v>2022</v>
      </c>
      <c r="E177">
        <f t="shared" si="11"/>
        <v>2150</v>
      </c>
      <c r="F177" cm="1">
        <f t="array" ref="F177">INDEX('GMW - $100 oil'!$A$2:$MC$200,MATCH(1,('GMW - $100 oil'!$MC$2:$MC$200=F$3)*('GMW - $100 oil'!$MB$2:$MB$200=F$4),0),$E177-1973)</f>
        <v>687029</v>
      </c>
      <c r="G177" cm="1">
        <f t="array" ref="G177">INDEX('GMW - $100 oil'!$A$2:$MC$200,MATCH(1,('GMW - $100 oil'!$MC$2:$MC$200=G$3)*('GMW - $100 oil'!$MB$2:$MB$200=G$4),0),$E177-1973)</f>
        <v>416076</v>
      </c>
      <c r="H177" cm="1">
        <f t="array" ref="H177">INDEX('GMW - $100 oil'!$A$2:$MC$200,MATCH(1,('GMW - $100 oil'!$MC$2:$MC$200=H$3)*('GMW - $100 oil'!$MB$2:$MB$200=H$4),0),$E177-1973)</f>
        <v>123.13330000000001</v>
      </c>
      <c r="I177" cm="1">
        <f t="array" ref="I177">INDEX('GMW - $100 oil'!$A$2:$MC$200,MATCH(1,('GMW - $100 oil'!$MC$2:$MC$200=I$3)*('GMW - $100 oil'!$MB$2:$MB$200=I$4),0),$E177-1973)</f>
        <v>1.6212120000000001</v>
      </c>
      <c r="J177" t="e" cm="1">
        <f t="array" ref="J177">INDEX('GMW - $100 oil'!$A$2:$MC$200,MATCH(1,('GMW - $100 oil'!$MC$2:$MC$200=J$3)*('GMW - $100 oil'!$MB$2:$MB$200=J$4),0),$E177-1973)</f>
        <v>#N/A</v>
      </c>
      <c r="K177" t="e" cm="1">
        <f t="array" ref="K177">INDEX('GMW - $100 oil'!$A$2:$MC$200,MATCH(1,('GMW - $100 oil'!$MC$2:$MC$200=K$3)*('GMW - $100 oil'!$MB$2:$MB$200=K$4),0),$E177-1973)</f>
        <v>#N/A</v>
      </c>
      <c r="L177" t="e" cm="1">
        <f t="array" ref="L177">INDEX('GMW - $100 oil'!$A$2:$MC$200,MATCH(1,('GMW - $100 oil'!$MC$2:$MC$200=L$3)*('GMW - $100 oil'!$MB$2:$MB$200=L$4),0),$E177-1973)</f>
        <v>#N/A</v>
      </c>
      <c r="M177" t="e" cm="1">
        <f t="array" ref="M177">INDEX('GMW - $100 oil'!$A$2:$MC$200,MATCH(1,('GMW - $100 oil'!$MC$2:$MC$200=M$3)*('GMW - $100 oil'!$MB$2:$MB$200=M$4),0),$E177-1973)</f>
        <v>#N/A</v>
      </c>
      <c r="N177" t="e" cm="1">
        <f t="array" ref="N177">INDEX('GMW - $100 oil'!$A$2:$MC$200,MATCH(1,('GMW - $100 oil'!$MC$2:$MC$200=N$3)*('GMW - $100 oil'!$MB$2:$MB$200=N$4),0),$E177-1973)</f>
        <v>#N/A</v>
      </c>
      <c r="O177" t="e" cm="1">
        <f t="array" ref="O177">INDEX('GMW - $100 oil'!$A$2:$MC$200,MATCH(1,('GMW - $100 oil'!$MC$2:$MC$200=O$3)*('GMW - $100 oil'!$MB$2:$MB$200=O$4),0),$E177-1973)</f>
        <v>#N/A</v>
      </c>
      <c r="P177" t="e" cm="1">
        <f t="array" ref="P177">INDEX('GMW - $100 oil'!$A$2:$MC$200,MATCH(1,('GMW - $100 oil'!$MC$2:$MC$200=P$3)*('GMW - $100 oil'!$MB$2:$MB$200=P$4),0),$E177-1973)</f>
        <v>#N/A</v>
      </c>
      <c r="Q177" t="e" cm="1">
        <f t="array" ref="Q177">INDEX('GMW - $100 oil'!$A$2:$MC$200,MATCH(1,('GMW - $100 oil'!$MC$2:$MC$200=Q$3)*('GMW - $100 oil'!$MB$2:$MB$200=Q$4),0),$E177-1973)</f>
        <v>#N/A</v>
      </c>
      <c r="R177" t="e" cm="1">
        <f t="array" ref="R177">INDEX('GMW - $100 oil'!$A$2:$MC$200,MATCH(1,('GMW - $100 oil'!$MC$2:$MC$200=R$3)*('GMW - $100 oil'!$MB$2:$MB$200=R$4),0),$E177-1973)</f>
        <v>#N/A</v>
      </c>
      <c r="S177" t="e" cm="1">
        <f t="array" ref="S177">INDEX('GMW - $100 oil'!$A$2:$MC$200,MATCH(1,('GMW - $100 oil'!$MC$2:$MC$200=S$3)*('GMW - $100 oil'!$MB$2:$MB$200=S$4),0),$E177-1973)</f>
        <v>#N/A</v>
      </c>
      <c r="T177" t="e" cm="1">
        <f t="array" ref="T177">INDEX('GMW - $100 oil'!$A$2:$MC$200,MATCH(1,('GMW - $100 oil'!$MC$2:$MC$200=T$3)*('GMW - $100 oil'!$MB$2:$MB$200=T$4),0),$E177-1973)</f>
        <v>#N/A</v>
      </c>
    </row>
    <row r="178" spans="1:20" x14ac:dyDescent="0.25">
      <c r="B178">
        <f t="shared" si="14"/>
        <v>2022</v>
      </c>
      <c r="C178">
        <f t="shared" si="14"/>
        <v>2022</v>
      </c>
      <c r="E178">
        <f t="shared" si="11"/>
        <v>2151</v>
      </c>
      <c r="F178" cm="1">
        <f t="array" ref="F178">INDEX('GMW - $100 oil'!$A$2:$MC$200,MATCH(1,('GMW - $100 oil'!$MC$2:$MC$200=F$3)*('GMW - $100 oil'!$MB$2:$MB$200=F$4),0),$E178-1973)</f>
        <v>688817</v>
      </c>
      <c r="G178" cm="1">
        <f t="array" ref="G178">INDEX('GMW - $100 oil'!$A$2:$MC$200,MATCH(1,('GMW - $100 oil'!$MC$2:$MC$200=G$3)*('GMW - $100 oil'!$MB$2:$MB$200=G$4),0),$E178-1973)</f>
        <v>417728</v>
      </c>
      <c r="H178" cm="1">
        <f t="array" ref="H178">INDEX('GMW - $100 oil'!$A$2:$MC$200,MATCH(1,('GMW - $100 oil'!$MC$2:$MC$200=H$3)*('GMW - $100 oil'!$MB$2:$MB$200=H$4),0),$E178-1973)</f>
        <v>126.7</v>
      </c>
      <c r="I178" cm="1">
        <f t="array" ref="I178">INDEX('GMW - $100 oil'!$A$2:$MC$200,MATCH(1,('GMW - $100 oil'!$MC$2:$MC$200=I$3)*('GMW - $100 oil'!$MB$2:$MB$200=I$4),0),$E178-1973)</f>
        <v>2.8269229999999999</v>
      </c>
      <c r="J178" t="e" cm="1">
        <f t="array" ref="J178">INDEX('GMW - $100 oil'!$A$2:$MC$200,MATCH(1,('GMW - $100 oil'!$MC$2:$MC$200=J$3)*('GMW - $100 oil'!$MB$2:$MB$200=J$4),0),$E178-1973)</f>
        <v>#N/A</v>
      </c>
      <c r="K178" t="e" cm="1">
        <f t="array" ref="K178">INDEX('GMW - $100 oil'!$A$2:$MC$200,MATCH(1,('GMW - $100 oil'!$MC$2:$MC$200=K$3)*('GMW - $100 oil'!$MB$2:$MB$200=K$4),0),$E178-1973)</f>
        <v>#N/A</v>
      </c>
      <c r="L178" t="e" cm="1">
        <f t="array" ref="L178">INDEX('GMW - $100 oil'!$A$2:$MC$200,MATCH(1,('GMW - $100 oil'!$MC$2:$MC$200=L$3)*('GMW - $100 oil'!$MB$2:$MB$200=L$4),0),$E178-1973)</f>
        <v>#N/A</v>
      </c>
      <c r="M178" t="e" cm="1">
        <f t="array" ref="M178">INDEX('GMW - $100 oil'!$A$2:$MC$200,MATCH(1,('GMW - $100 oil'!$MC$2:$MC$200=M$3)*('GMW - $100 oil'!$MB$2:$MB$200=M$4),0),$E178-1973)</f>
        <v>#N/A</v>
      </c>
      <c r="N178" t="e" cm="1">
        <f t="array" ref="N178">INDEX('GMW - $100 oil'!$A$2:$MC$200,MATCH(1,('GMW - $100 oil'!$MC$2:$MC$200=N$3)*('GMW - $100 oil'!$MB$2:$MB$200=N$4),0),$E178-1973)</f>
        <v>#N/A</v>
      </c>
      <c r="O178" t="e" cm="1">
        <f t="array" ref="O178">INDEX('GMW - $100 oil'!$A$2:$MC$200,MATCH(1,('GMW - $100 oil'!$MC$2:$MC$200=O$3)*('GMW - $100 oil'!$MB$2:$MB$200=O$4),0),$E178-1973)</f>
        <v>#N/A</v>
      </c>
      <c r="P178" t="e" cm="1">
        <f t="array" ref="P178">INDEX('GMW - $100 oil'!$A$2:$MC$200,MATCH(1,('GMW - $100 oil'!$MC$2:$MC$200=P$3)*('GMW - $100 oil'!$MB$2:$MB$200=P$4),0),$E178-1973)</f>
        <v>#N/A</v>
      </c>
      <c r="Q178" t="e" cm="1">
        <f t="array" ref="Q178">INDEX('GMW - $100 oil'!$A$2:$MC$200,MATCH(1,('GMW - $100 oil'!$MC$2:$MC$200=Q$3)*('GMW - $100 oil'!$MB$2:$MB$200=Q$4),0),$E178-1973)</f>
        <v>#N/A</v>
      </c>
      <c r="R178" t="e" cm="1">
        <f t="array" ref="R178">INDEX('GMW - $100 oil'!$A$2:$MC$200,MATCH(1,('GMW - $100 oil'!$MC$2:$MC$200=R$3)*('GMW - $100 oil'!$MB$2:$MB$200=R$4),0),$E178-1973)</f>
        <v>#N/A</v>
      </c>
      <c r="S178" t="e" cm="1">
        <f t="array" ref="S178">INDEX('GMW - $100 oil'!$A$2:$MC$200,MATCH(1,('GMW - $100 oil'!$MC$2:$MC$200=S$3)*('GMW - $100 oil'!$MB$2:$MB$200=S$4),0),$E178-1973)</f>
        <v>#N/A</v>
      </c>
      <c r="T178" t="e" cm="1">
        <f t="array" ref="T178">INDEX('GMW - $100 oil'!$A$2:$MC$200,MATCH(1,('GMW - $100 oil'!$MC$2:$MC$200=T$3)*('GMW - $100 oil'!$MB$2:$MB$200=T$4),0),$E178-1973)</f>
        <v>#N/A</v>
      </c>
    </row>
    <row r="179" spans="1:20" x14ac:dyDescent="0.25">
      <c r="A179">
        <v>2023</v>
      </c>
      <c r="B179">
        <f t="shared" si="14"/>
        <v>2023</v>
      </c>
      <c r="C179">
        <f t="shared" si="14"/>
        <v>2022</v>
      </c>
      <c r="D179">
        <f t="shared" si="14"/>
        <v>2022</v>
      </c>
      <c r="E179">
        <f t="shared" si="11"/>
        <v>2152</v>
      </c>
      <c r="F179" cm="1">
        <f t="array" ref="F179">INDEX('GMW - $100 oil'!$A$2:$MC$200,MATCH(1,('GMW - $100 oil'!$MC$2:$MC$200=F$3)*('GMW - $100 oil'!$MB$2:$MB$200=F$4),0),$E179-1973)</f>
        <v>689206</v>
      </c>
      <c r="G179" cm="1">
        <f t="array" ref="G179">INDEX('GMW - $100 oil'!$A$2:$MC$200,MATCH(1,('GMW - $100 oil'!$MC$2:$MC$200=G$3)*('GMW - $100 oil'!$MB$2:$MB$200=G$4),0),$E179-1973)</f>
        <v>415180</v>
      </c>
      <c r="H179" cm="1">
        <f t="array" ref="H179">INDEX('GMW - $100 oil'!$A$2:$MC$200,MATCH(1,('GMW - $100 oil'!$MC$2:$MC$200=H$3)*('GMW - $100 oil'!$MB$2:$MB$200=H$4),0),$E179-1973)</f>
        <v>127.7333</v>
      </c>
      <c r="I179" cm="1">
        <f t="array" ref="I179">INDEX('GMW - $100 oil'!$A$2:$MC$200,MATCH(1,('GMW - $100 oil'!$MC$2:$MC$200=I$3)*('GMW - $100 oil'!$MB$2:$MB$200=I$4),0),$E179-1973)</f>
        <v>3.85</v>
      </c>
      <c r="J179" t="e" cm="1">
        <f t="array" ref="J179">INDEX('GMW - $100 oil'!$A$2:$MC$200,MATCH(1,('GMW - $100 oil'!$MC$2:$MC$200=J$3)*('GMW - $100 oil'!$MB$2:$MB$200=J$4),0),$E179-1973)</f>
        <v>#N/A</v>
      </c>
      <c r="K179" t="e" cm="1">
        <f t="array" ref="K179">INDEX('GMW - $100 oil'!$A$2:$MC$200,MATCH(1,('GMW - $100 oil'!$MC$2:$MC$200=K$3)*('GMW - $100 oil'!$MB$2:$MB$200=K$4),0),$E179-1973)</f>
        <v>#N/A</v>
      </c>
      <c r="L179" t="e" cm="1">
        <f t="array" ref="L179">INDEX('GMW - $100 oil'!$A$2:$MC$200,MATCH(1,('GMW - $100 oil'!$MC$2:$MC$200=L$3)*('GMW - $100 oil'!$MB$2:$MB$200=L$4),0),$E179-1973)</f>
        <v>#N/A</v>
      </c>
      <c r="M179" t="e" cm="1">
        <f t="array" ref="M179">INDEX('GMW - $100 oil'!$A$2:$MC$200,MATCH(1,('GMW - $100 oil'!$MC$2:$MC$200=M$3)*('GMW - $100 oil'!$MB$2:$MB$200=M$4),0),$E179-1973)</f>
        <v>#N/A</v>
      </c>
      <c r="N179" t="e" cm="1">
        <f t="array" ref="N179">INDEX('GMW - $100 oil'!$A$2:$MC$200,MATCH(1,('GMW - $100 oil'!$MC$2:$MC$200=N$3)*('GMW - $100 oil'!$MB$2:$MB$200=N$4),0),$E179-1973)</f>
        <v>#N/A</v>
      </c>
      <c r="O179" t="e" cm="1">
        <f t="array" ref="O179">INDEX('GMW - $100 oil'!$A$2:$MC$200,MATCH(1,('GMW - $100 oil'!$MC$2:$MC$200=O$3)*('GMW - $100 oil'!$MB$2:$MB$200=O$4),0),$E179-1973)</f>
        <v>#N/A</v>
      </c>
      <c r="P179" t="e" cm="1">
        <f t="array" ref="P179">INDEX('GMW - $100 oil'!$A$2:$MC$200,MATCH(1,('GMW - $100 oil'!$MC$2:$MC$200=P$3)*('GMW - $100 oil'!$MB$2:$MB$200=P$4),0),$E179-1973)</f>
        <v>#N/A</v>
      </c>
      <c r="Q179" t="e" cm="1">
        <f t="array" ref="Q179">INDEX('GMW - $100 oil'!$A$2:$MC$200,MATCH(1,('GMW - $100 oil'!$MC$2:$MC$200=Q$3)*('GMW - $100 oil'!$MB$2:$MB$200=Q$4),0),$E179-1973)</f>
        <v>#N/A</v>
      </c>
      <c r="R179" t="e" cm="1">
        <f t="array" ref="R179">INDEX('GMW - $100 oil'!$A$2:$MC$200,MATCH(1,('GMW - $100 oil'!$MC$2:$MC$200=R$3)*('GMW - $100 oil'!$MB$2:$MB$200=R$4),0),$E179-1973)</f>
        <v>#N/A</v>
      </c>
      <c r="S179" t="e" cm="1">
        <f t="array" ref="S179">INDEX('GMW - $100 oil'!$A$2:$MC$200,MATCH(1,('GMW - $100 oil'!$MC$2:$MC$200=S$3)*('GMW - $100 oil'!$MB$2:$MB$200=S$4),0),$E179-1973)</f>
        <v>#N/A</v>
      </c>
      <c r="T179" t="e" cm="1">
        <f t="array" ref="T179">INDEX('GMW - $100 oil'!$A$2:$MC$200,MATCH(1,('GMW - $100 oil'!$MC$2:$MC$200=T$3)*('GMW - $100 oil'!$MB$2:$MB$200=T$4),0),$E179-1973)</f>
        <v>#N/A</v>
      </c>
    </row>
    <row r="180" spans="1:20" x14ac:dyDescent="0.25">
      <c r="B180">
        <f t="shared" si="14"/>
        <v>2023</v>
      </c>
      <c r="C180">
        <f t="shared" si="14"/>
        <v>2023</v>
      </c>
      <c r="E180">
        <f t="shared" si="11"/>
        <v>2153</v>
      </c>
      <c r="F180" cm="1">
        <f t="array" ref="F180">INDEX('GMW - $100 oil'!$A$2:$MC$200,MATCH(1,('GMW - $100 oil'!$MC$2:$MC$200=F$3)*('GMW - $100 oil'!$MB$2:$MB$200=F$4),0),$E180-1973)</f>
        <v>689491</v>
      </c>
      <c r="G180" cm="1">
        <f t="array" ref="G180">INDEX('GMW - $100 oil'!$A$2:$MC$200,MATCH(1,('GMW - $100 oil'!$MC$2:$MC$200=G$3)*('GMW - $100 oil'!$MB$2:$MB$200=G$4),0),$E180-1973)</f>
        <v>416034</v>
      </c>
      <c r="H180" cm="1">
        <f t="array" ref="H180">INDEX('GMW - $100 oil'!$A$2:$MC$200,MATCH(1,('GMW - $100 oil'!$MC$2:$MC$200=H$3)*('GMW - $100 oil'!$MB$2:$MB$200=H$4),0),$E180-1973)</f>
        <v>131.0667</v>
      </c>
      <c r="I180" cm="1">
        <f t="array" ref="I180">INDEX('GMW - $100 oil'!$A$2:$MC$200,MATCH(1,('GMW - $100 oil'!$MC$2:$MC$200=I$3)*('GMW - $100 oil'!$MB$2:$MB$200=I$4),0),$E180-1973)</f>
        <v>4.4461539999999999</v>
      </c>
      <c r="J180" t="e" cm="1">
        <f t="array" ref="J180">INDEX('GMW - $100 oil'!$A$2:$MC$200,MATCH(1,('GMW - $100 oil'!$MC$2:$MC$200=J$3)*('GMW - $100 oil'!$MB$2:$MB$200=J$4),0),$E180-1973)</f>
        <v>#N/A</v>
      </c>
      <c r="K180" t="e" cm="1">
        <f t="array" ref="K180">INDEX('GMW - $100 oil'!$A$2:$MC$200,MATCH(1,('GMW - $100 oil'!$MC$2:$MC$200=K$3)*('GMW - $100 oil'!$MB$2:$MB$200=K$4),0),$E180-1973)</f>
        <v>#N/A</v>
      </c>
      <c r="L180" t="e" cm="1">
        <f t="array" ref="L180">INDEX('GMW - $100 oil'!$A$2:$MC$200,MATCH(1,('GMW - $100 oil'!$MC$2:$MC$200=L$3)*('GMW - $100 oil'!$MB$2:$MB$200=L$4),0),$E180-1973)</f>
        <v>#N/A</v>
      </c>
      <c r="M180" t="e" cm="1">
        <f t="array" ref="M180">INDEX('GMW - $100 oil'!$A$2:$MC$200,MATCH(1,('GMW - $100 oil'!$MC$2:$MC$200=M$3)*('GMW - $100 oil'!$MB$2:$MB$200=M$4),0),$E180-1973)</f>
        <v>#N/A</v>
      </c>
      <c r="N180" t="e" cm="1">
        <f t="array" ref="N180">INDEX('GMW - $100 oil'!$A$2:$MC$200,MATCH(1,('GMW - $100 oil'!$MC$2:$MC$200=N$3)*('GMW - $100 oil'!$MB$2:$MB$200=N$4),0),$E180-1973)</f>
        <v>#N/A</v>
      </c>
      <c r="O180" t="e" cm="1">
        <f t="array" ref="O180">INDEX('GMW - $100 oil'!$A$2:$MC$200,MATCH(1,('GMW - $100 oil'!$MC$2:$MC$200=O$3)*('GMW - $100 oil'!$MB$2:$MB$200=O$4),0),$E180-1973)</f>
        <v>#N/A</v>
      </c>
      <c r="P180" t="e" cm="1">
        <f t="array" ref="P180">INDEX('GMW - $100 oil'!$A$2:$MC$200,MATCH(1,('GMW - $100 oil'!$MC$2:$MC$200=P$3)*('GMW - $100 oil'!$MB$2:$MB$200=P$4),0),$E180-1973)</f>
        <v>#N/A</v>
      </c>
      <c r="Q180" t="e" cm="1">
        <f t="array" ref="Q180">INDEX('GMW - $100 oil'!$A$2:$MC$200,MATCH(1,('GMW - $100 oil'!$MC$2:$MC$200=Q$3)*('GMW - $100 oil'!$MB$2:$MB$200=Q$4),0),$E180-1973)</f>
        <v>#N/A</v>
      </c>
      <c r="R180" t="e" cm="1">
        <f t="array" ref="R180">INDEX('GMW - $100 oil'!$A$2:$MC$200,MATCH(1,('GMW - $100 oil'!$MC$2:$MC$200=R$3)*('GMW - $100 oil'!$MB$2:$MB$200=R$4),0),$E180-1973)</f>
        <v>#N/A</v>
      </c>
      <c r="S180" t="e" cm="1">
        <f t="array" ref="S180">INDEX('GMW - $100 oil'!$A$2:$MC$200,MATCH(1,('GMW - $100 oil'!$MC$2:$MC$200=S$3)*('GMW - $100 oil'!$MB$2:$MB$200=S$4),0),$E180-1973)</f>
        <v>#N/A</v>
      </c>
      <c r="T180" t="e" cm="1">
        <f t="array" ref="T180">INDEX('GMW - $100 oil'!$A$2:$MC$200,MATCH(1,('GMW - $100 oil'!$MC$2:$MC$200=T$3)*('GMW - $100 oil'!$MB$2:$MB$200=T$4),0),$E180-1973)</f>
        <v>#N/A</v>
      </c>
    </row>
    <row r="181" spans="1:20" x14ac:dyDescent="0.25">
      <c r="B181">
        <f t="shared" si="14"/>
        <v>2023</v>
      </c>
      <c r="C181">
        <f t="shared" si="14"/>
        <v>2023</v>
      </c>
      <c r="E181">
        <f t="shared" si="11"/>
        <v>2154</v>
      </c>
      <c r="F181" cm="1">
        <f t="array" ref="F181">INDEX('GMW - $100 oil'!$A$2:$MC$200,MATCH(1,('GMW - $100 oil'!$MC$2:$MC$200=F$3)*('GMW - $100 oil'!$MB$2:$MB$200=F$4),0),$E181-1973)</f>
        <v>687839</v>
      </c>
      <c r="G181" cm="1">
        <f t="array" ref="G181">INDEX('GMW - $100 oil'!$A$2:$MC$200,MATCH(1,('GMW - $100 oil'!$MC$2:$MC$200=G$3)*('GMW - $100 oil'!$MB$2:$MB$200=G$4),0),$E181-1973)</f>
        <v>410873</v>
      </c>
      <c r="H181" cm="1">
        <f t="array" ref="H181">INDEX('GMW - $100 oil'!$A$2:$MC$200,MATCH(1,('GMW - $100 oil'!$MC$2:$MC$200=H$3)*('GMW - $100 oil'!$MB$2:$MB$200=H$4),0),$E181-1973)</f>
        <v>131.4</v>
      </c>
      <c r="I181" cm="1">
        <f t="array" ref="I181">INDEX('GMW - $100 oil'!$A$2:$MC$200,MATCH(1,('GMW - $100 oil'!$MC$2:$MC$200=I$3)*('GMW - $100 oil'!$MB$2:$MB$200=I$4),0),$E181-1973)</f>
        <v>5.1615390000000003</v>
      </c>
      <c r="J181" t="e" cm="1">
        <f t="array" ref="J181">INDEX('GMW - $100 oil'!$A$2:$MC$200,MATCH(1,('GMW - $100 oil'!$MC$2:$MC$200=J$3)*('GMW - $100 oil'!$MB$2:$MB$200=J$4),0),$E181-1973)</f>
        <v>#N/A</v>
      </c>
      <c r="K181" t="e" cm="1">
        <f t="array" ref="K181">INDEX('GMW - $100 oil'!$A$2:$MC$200,MATCH(1,('GMW - $100 oil'!$MC$2:$MC$200=K$3)*('GMW - $100 oil'!$MB$2:$MB$200=K$4),0),$E181-1973)</f>
        <v>#N/A</v>
      </c>
      <c r="L181" t="e" cm="1">
        <f t="array" ref="L181">INDEX('GMW - $100 oil'!$A$2:$MC$200,MATCH(1,('GMW - $100 oil'!$MC$2:$MC$200=L$3)*('GMW - $100 oil'!$MB$2:$MB$200=L$4),0),$E181-1973)</f>
        <v>#N/A</v>
      </c>
      <c r="M181" t="e" cm="1">
        <f t="array" ref="M181">INDEX('GMW - $100 oil'!$A$2:$MC$200,MATCH(1,('GMW - $100 oil'!$MC$2:$MC$200=M$3)*('GMW - $100 oil'!$MB$2:$MB$200=M$4),0),$E181-1973)</f>
        <v>#N/A</v>
      </c>
      <c r="N181" t="e" cm="1">
        <f t="array" ref="N181">INDEX('GMW - $100 oil'!$A$2:$MC$200,MATCH(1,('GMW - $100 oil'!$MC$2:$MC$200=N$3)*('GMW - $100 oil'!$MB$2:$MB$200=N$4),0),$E181-1973)</f>
        <v>#N/A</v>
      </c>
      <c r="O181" t="e" cm="1">
        <f t="array" ref="O181">INDEX('GMW - $100 oil'!$A$2:$MC$200,MATCH(1,('GMW - $100 oil'!$MC$2:$MC$200=O$3)*('GMW - $100 oil'!$MB$2:$MB$200=O$4),0),$E181-1973)</f>
        <v>#N/A</v>
      </c>
      <c r="P181" t="e" cm="1">
        <f t="array" ref="P181">INDEX('GMW - $100 oil'!$A$2:$MC$200,MATCH(1,('GMW - $100 oil'!$MC$2:$MC$200=P$3)*('GMW - $100 oil'!$MB$2:$MB$200=P$4),0),$E181-1973)</f>
        <v>#N/A</v>
      </c>
      <c r="Q181" t="e" cm="1">
        <f t="array" ref="Q181">INDEX('GMW - $100 oil'!$A$2:$MC$200,MATCH(1,('GMW - $100 oil'!$MC$2:$MC$200=Q$3)*('GMW - $100 oil'!$MB$2:$MB$200=Q$4),0),$E181-1973)</f>
        <v>#N/A</v>
      </c>
      <c r="R181" t="e" cm="1">
        <f t="array" ref="R181">INDEX('GMW - $100 oil'!$A$2:$MC$200,MATCH(1,('GMW - $100 oil'!$MC$2:$MC$200=R$3)*('GMW - $100 oil'!$MB$2:$MB$200=R$4),0),$E181-1973)</f>
        <v>#N/A</v>
      </c>
      <c r="S181" t="e" cm="1">
        <f t="array" ref="S181">INDEX('GMW - $100 oil'!$A$2:$MC$200,MATCH(1,('GMW - $100 oil'!$MC$2:$MC$200=S$3)*('GMW - $100 oil'!$MB$2:$MB$200=S$4),0),$E181-1973)</f>
        <v>#N/A</v>
      </c>
      <c r="T181" t="e" cm="1">
        <f t="array" ref="T181">INDEX('GMW - $100 oil'!$A$2:$MC$200,MATCH(1,('GMW - $100 oil'!$MC$2:$MC$200=T$3)*('GMW - $100 oil'!$MB$2:$MB$200=T$4),0),$E181-1973)</f>
        <v>#N/A</v>
      </c>
    </row>
    <row r="182" spans="1:20" x14ac:dyDescent="0.25">
      <c r="B182">
        <f t="shared" si="14"/>
        <v>2023</v>
      </c>
      <c r="C182">
        <f t="shared" si="14"/>
        <v>2023</v>
      </c>
      <c r="E182">
        <f t="shared" si="11"/>
        <v>2155</v>
      </c>
      <c r="F182" cm="1">
        <f t="array" ref="F182">INDEX('GMW - $100 oil'!$A$2:$MC$200,MATCH(1,('GMW - $100 oil'!$MC$2:$MC$200=F$3)*('GMW - $100 oil'!$MB$2:$MB$200=F$4),0),$E182-1973)</f>
        <v>685628</v>
      </c>
      <c r="G182" cm="1">
        <f t="array" ref="G182">INDEX('GMW - $100 oil'!$A$2:$MC$200,MATCH(1,('GMW - $100 oil'!$MC$2:$MC$200=G$3)*('GMW - $100 oil'!$MB$2:$MB$200=G$4),0),$E182-1973)</f>
        <v>410194</v>
      </c>
      <c r="H182" cm="1">
        <f t="array" ref="H182">INDEX('GMW - $100 oil'!$A$2:$MC$200,MATCH(1,('GMW - $100 oil'!$MC$2:$MC$200=H$3)*('GMW - $100 oil'!$MB$2:$MB$200=H$4),0),$E182-1973)</f>
        <v>131.9667</v>
      </c>
      <c r="I182" cm="1">
        <f t="array" ref="I182">INDEX('GMW - $100 oil'!$A$2:$MC$200,MATCH(1,('GMW - $100 oil'!$MC$2:$MC$200=I$3)*('GMW - $100 oil'!$MB$2:$MB$200=I$4),0),$E182-1973)</f>
        <v>5.25</v>
      </c>
      <c r="J182" t="e" cm="1">
        <f t="array" ref="J182">INDEX('GMW - $100 oil'!$A$2:$MC$200,MATCH(1,('GMW - $100 oil'!$MC$2:$MC$200=J$3)*('GMW - $100 oil'!$MB$2:$MB$200=J$4),0),$E182-1973)</f>
        <v>#N/A</v>
      </c>
      <c r="K182" t="e" cm="1">
        <f t="array" ref="K182">INDEX('GMW - $100 oil'!$A$2:$MC$200,MATCH(1,('GMW - $100 oil'!$MC$2:$MC$200=K$3)*('GMW - $100 oil'!$MB$2:$MB$200=K$4),0),$E182-1973)</f>
        <v>#N/A</v>
      </c>
      <c r="L182" t="e" cm="1">
        <f t="array" ref="L182">INDEX('GMW - $100 oil'!$A$2:$MC$200,MATCH(1,('GMW - $100 oil'!$MC$2:$MC$200=L$3)*('GMW - $100 oil'!$MB$2:$MB$200=L$4),0),$E182-1973)</f>
        <v>#N/A</v>
      </c>
      <c r="M182" t="e" cm="1">
        <f t="array" ref="M182">INDEX('GMW - $100 oil'!$A$2:$MC$200,MATCH(1,('GMW - $100 oil'!$MC$2:$MC$200=M$3)*('GMW - $100 oil'!$MB$2:$MB$200=M$4),0),$E182-1973)</f>
        <v>#N/A</v>
      </c>
      <c r="N182" t="e" cm="1">
        <f t="array" ref="N182">INDEX('GMW - $100 oil'!$A$2:$MC$200,MATCH(1,('GMW - $100 oil'!$MC$2:$MC$200=N$3)*('GMW - $100 oil'!$MB$2:$MB$200=N$4),0),$E182-1973)</f>
        <v>#N/A</v>
      </c>
      <c r="O182" t="e" cm="1">
        <f t="array" ref="O182">INDEX('GMW - $100 oil'!$A$2:$MC$200,MATCH(1,('GMW - $100 oil'!$MC$2:$MC$200=O$3)*('GMW - $100 oil'!$MB$2:$MB$200=O$4),0),$E182-1973)</f>
        <v>#N/A</v>
      </c>
      <c r="P182" t="e" cm="1">
        <f t="array" ref="P182">INDEX('GMW - $100 oil'!$A$2:$MC$200,MATCH(1,('GMW - $100 oil'!$MC$2:$MC$200=P$3)*('GMW - $100 oil'!$MB$2:$MB$200=P$4),0),$E182-1973)</f>
        <v>#N/A</v>
      </c>
      <c r="Q182" t="e" cm="1">
        <f t="array" ref="Q182">INDEX('GMW - $100 oil'!$A$2:$MC$200,MATCH(1,('GMW - $100 oil'!$MC$2:$MC$200=Q$3)*('GMW - $100 oil'!$MB$2:$MB$200=Q$4),0),$E182-1973)</f>
        <v>#N/A</v>
      </c>
      <c r="R182" t="e" cm="1">
        <f t="array" ref="R182">INDEX('GMW - $100 oil'!$A$2:$MC$200,MATCH(1,('GMW - $100 oil'!$MC$2:$MC$200=R$3)*('GMW - $100 oil'!$MB$2:$MB$200=R$4),0),$E182-1973)</f>
        <v>#N/A</v>
      </c>
      <c r="S182" t="e" cm="1">
        <f t="array" ref="S182">INDEX('GMW - $100 oil'!$A$2:$MC$200,MATCH(1,('GMW - $100 oil'!$MC$2:$MC$200=S$3)*('GMW - $100 oil'!$MB$2:$MB$200=S$4),0),$E182-1973)</f>
        <v>#N/A</v>
      </c>
      <c r="T182" t="e" cm="1">
        <f t="array" ref="T182">INDEX('GMW - $100 oil'!$A$2:$MC$200,MATCH(1,('GMW - $100 oil'!$MC$2:$MC$200=T$3)*('GMW - $100 oil'!$MB$2:$MB$200=T$4),0),$E182-1973)</f>
        <v>#N/A</v>
      </c>
    </row>
    <row r="183" spans="1:20" x14ac:dyDescent="0.25">
      <c r="A183">
        <v>2024</v>
      </c>
      <c r="B183">
        <f t="shared" si="14"/>
        <v>2024</v>
      </c>
      <c r="C183">
        <f t="shared" si="14"/>
        <v>2023</v>
      </c>
      <c r="D183">
        <f t="shared" si="14"/>
        <v>2023</v>
      </c>
      <c r="E183">
        <f t="shared" si="11"/>
        <v>2156</v>
      </c>
      <c r="F183" cm="1">
        <f t="array" ref="F183">INDEX('GMW - $100 oil'!$A$2:$MC$200,MATCH(1,('GMW - $100 oil'!$MC$2:$MC$200=F$3)*('GMW - $100 oil'!$MB$2:$MB$200=F$4),0),$E183-1973)</f>
        <v>691198</v>
      </c>
      <c r="G183" cm="1">
        <f t="array" ref="G183">INDEX('GMW - $100 oil'!$A$2:$MC$200,MATCH(1,('GMW - $100 oil'!$MC$2:$MC$200=G$3)*('GMW - $100 oil'!$MB$2:$MB$200=G$4),0),$E183-1973)</f>
        <v>411349</v>
      </c>
      <c r="H183" cm="1">
        <f t="array" ref="H183">INDEX('GMW - $100 oil'!$A$2:$MC$200,MATCH(1,('GMW - $100 oil'!$MC$2:$MC$200=H$3)*('GMW - $100 oil'!$MB$2:$MB$200=H$4),0),$E183-1973)</f>
        <v>132.26669999999999</v>
      </c>
      <c r="I183" cm="1">
        <f t="array" ref="I183">INDEX('GMW - $100 oil'!$A$2:$MC$200,MATCH(1,('GMW - $100 oil'!$MC$2:$MC$200=I$3)*('GMW - $100 oil'!$MB$2:$MB$200=I$4),0),$E183-1973)</f>
        <v>5.25</v>
      </c>
      <c r="J183" t="e" cm="1">
        <f t="array" ref="J183">INDEX('GMW - $100 oil'!$A$2:$MC$200,MATCH(1,('GMW - $100 oil'!$MC$2:$MC$200=J$3)*('GMW - $100 oil'!$MB$2:$MB$200=J$4),0),$E183-1973)</f>
        <v>#N/A</v>
      </c>
      <c r="K183" t="e" cm="1">
        <f t="array" ref="K183">INDEX('GMW - $100 oil'!$A$2:$MC$200,MATCH(1,('GMW - $100 oil'!$MC$2:$MC$200=K$3)*('GMW - $100 oil'!$MB$2:$MB$200=K$4),0),$E183-1973)</f>
        <v>#N/A</v>
      </c>
      <c r="L183" t="e" cm="1">
        <f t="array" ref="L183">INDEX('GMW - $100 oil'!$A$2:$MC$200,MATCH(1,('GMW - $100 oil'!$MC$2:$MC$200=L$3)*('GMW - $100 oil'!$MB$2:$MB$200=L$4),0),$E183-1973)</f>
        <v>#N/A</v>
      </c>
      <c r="M183" t="e" cm="1">
        <f t="array" ref="M183">INDEX('GMW - $100 oil'!$A$2:$MC$200,MATCH(1,('GMW - $100 oil'!$MC$2:$MC$200=M$3)*('GMW - $100 oil'!$MB$2:$MB$200=M$4),0),$E183-1973)</f>
        <v>#N/A</v>
      </c>
      <c r="N183" t="e" cm="1">
        <f t="array" ref="N183">INDEX('GMW - $100 oil'!$A$2:$MC$200,MATCH(1,('GMW - $100 oil'!$MC$2:$MC$200=N$3)*('GMW - $100 oil'!$MB$2:$MB$200=N$4),0),$E183-1973)</f>
        <v>#N/A</v>
      </c>
      <c r="O183" t="e" cm="1">
        <f t="array" ref="O183">INDEX('GMW - $100 oil'!$A$2:$MC$200,MATCH(1,('GMW - $100 oil'!$MC$2:$MC$200=O$3)*('GMW - $100 oil'!$MB$2:$MB$200=O$4),0),$E183-1973)</f>
        <v>#N/A</v>
      </c>
      <c r="P183" t="e" cm="1">
        <f t="array" ref="P183">INDEX('GMW - $100 oil'!$A$2:$MC$200,MATCH(1,('GMW - $100 oil'!$MC$2:$MC$200=P$3)*('GMW - $100 oil'!$MB$2:$MB$200=P$4),0),$E183-1973)</f>
        <v>#N/A</v>
      </c>
      <c r="Q183" t="e" cm="1">
        <f t="array" ref="Q183">INDEX('GMW - $100 oil'!$A$2:$MC$200,MATCH(1,('GMW - $100 oil'!$MC$2:$MC$200=Q$3)*('GMW - $100 oil'!$MB$2:$MB$200=Q$4),0),$E183-1973)</f>
        <v>#N/A</v>
      </c>
      <c r="R183" t="e" cm="1">
        <f t="array" ref="R183">INDEX('GMW - $100 oil'!$A$2:$MC$200,MATCH(1,('GMW - $100 oil'!$MC$2:$MC$200=R$3)*('GMW - $100 oil'!$MB$2:$MB$200=R$4),0),$E183-1973)</f>
        <v>#N/A</v>
      </c>
      <c r="S183" t="e" cm="1">
        <f t="array" ref="S183">INDEX('GMW - $100 oil'!$A$2:$MC$200,MATCH(1,('GMW - $100 oil'!$MC$2:$MC$200=S$3)*('GMW - $100 oil'!$MB$2:$MB$200=S$4),0),$E183-1973)</f>
        <v>#N/A</v>
      </c>
      <c r="T183" t="e" cm="1">
        <f t="array" ref="T183">INDEX('GMW - $100 oil'!$A$2:$MC$200,MATCH(1,('GMW - $100 oil'!$MC$2:$MC$200=T$3)*('GMW - $100 oil'!$MB$2:$MB$200=T$4),0),$E183-1973)</f>
        <v>#N/A</v>
      </c>
    </row>
    <row r="184" spans="1:20" x14ac:dyDescent="0.25">
      <c r="B184">
        <f t="shared" si="14"/>
        <v>2024</v>
      </c>
      <c r="C184">
        <f t="shared" si="14"/>
        <v>2024</v>
      </c>
      <c r="E184">
        <f t="shared" si="11"/>
        <v>2157</v>
      </c>
      <c r="F184" cm="1">
        <f t="array" ref="F184">INDEX('GMW - $100 oil'!$A$2:$MC$200,MATCH(1,('GMW - $100 oil'!$MC$2:$MC$200=F$3)*('GMW - $100 oil'!$MB$2:$MB$200=F$4),0),$E184-1973)</f>
        <v>695280</v>
      </c>
      <c r="G184" cm="1">
        <f t="array" ref="G184">INDEX('GMW - $100 oil'!$A$2:$MC$200,MATCH(1,('GMW - $100 oil'!$MC$2:$MC$200=G$3)*('GMW - $100 oil'!$MB$2:$MB$200=G$4),0),$E184-1973)</f>
        <v>411115</v>
      </c>
      <c r="H184" cm="1">
        <f t="array" ref="H184">INDEX('GMW - $100 oil'!$A$2:$MC$200,MATCH(1,('GMW - $100 oil'!$MC$2:$MC$200=H$3)*('GMW - $100 oil'!$MB$2:$MB$200=H$4),0),$E184-1973)</f>
        <v>133.83330000000001</v>
      </c>
      <c r="I184" cm="1">
        <f t="array" ref="I184">INDEX('GMW - $100 oil'!$A$2:$MC$200,MATCH(1,('GMW - $100 oil'!$MC$2:$MC$200=I$3)*('GMW - $100 oil'!$MB$2:$MB$200=I$4),0),$E184-1973)</f>
        <v>5.25</v>
      </c>
      <c r="J184" t="e" cm="1">
        <f t="array" ref="J184">INDEX('GMW - $100 oil'!$A$2:$MC$200,MATCH(1,('GMW - $100 oil'!$MC$2:$MC$200=J$3)*('GMW - $100 oil'!$MB$2:$MB$200=J$4),0),$E184-1973)</f>
        <v>#N/A</v>
      </c>
      <c r="K184" t="e" cm="1">
        <f t="array" ref="K184">INDEX('GMW - $100 oil'!$A$2:$MC$200,MATCH(1,('GMW - $100 oil'!$MC$2:$MC$200=K$3)*('GMW - $100 oil'!$MB$2:$MB$200=K$4),0),$E184-1973)</f>
        <v>#N/A</v>
      </c>
      <c r="L184" t="e" cm="1">
        <f t="array" ref="L184">INDEX('GMW - $100 oil'!$A$2:$MC$200,MATCH(1,('GMW - $100 oil'!$MC$2:$MC$200=L$3)*('GMW - $100 oil'!$MB$2:$MB$200=L$4),0),$E184-1973)</f>
        <v>#N/A</v>
      </c>
      <c r="M184" t="e" cm="1">
        <f t="array" ref="M184">INDEX('GMW - $100 oil'!$A$2:$MC$200,MATCH(1,('GMW - $100 oil'!$MC$2:$MC$200=M$3)*('GMW - $100 oil'!$MB$2:$MB$200=M$4),0),$E184-1973)</f>
        <v>#N/A</v>
      </c>
      <c r="N184" t="e" cm="1">
        <f t="array" ref="N184">INDEX('GMW - $100 oil'!$A$2:$MC$200,MATCH(1,('GMW - $100 oil'!$MC$2:$MC$200=N$3)*('GMW - $100 oil'!$MB$2:$MB$200=N$4),0),$E184-1973)</f>
        <v>#N/A</v>
      </c>
      <c r="O184" t="e" cm="1">
        <f t="array" ref="O184">INDEX('GMW - $100 oil'!$A$2:$MC$200,MATCH(1,('GMW - $100 oil'!$MC$2:$MC$200=O$3)*('GMW - $100 oil'!$MB$2:$MB$200=O$4),0),$E184-1973)</f>
        <v>#N/A</v>
      </c>
      <c r="P184" t="e" cm="1">
        <f t="array" ref="P184">INDEX('GMW - $100 oil'!$A$2:$MC$200,MATCH(1,('GMW - $100 oil'!$MC$2:$MC$200=P$3)*('GMW - $100 oil'!$MB$2:$MB$200=P$4),0),$E184-1973)</f>
        <v>#N/A</v>
      </c>
      <c r="Q184" t="e" cm="1">
        <f t="array" ref="Q184">INDEX('GMW - $100 oil'!$A$2:$MC$200,MATCH(1,('GMW - $100 oil'!$MC$2:$MC$200=Q$3)*('GMW - $100 oil'!$MB$2:$MB$200=Q$4),0),$E184-1973)</f>
        <v>#N/A</v>
      </c>
      <c r="R184" t="e" cm="1">
        <f t="array" ref="R184">INDEX('GMW - $100 oil'!$A$2:$MC$200,MATCH(1,('GMW - $100 oil'!$MC$2:$MC$200=R$3)*('GMW - $100 oil'!$MB$2:$MB$200=R$4),0),$E184-1973)</f>
        <v>#N/A</v>
      </c>
      <c r="S184" t="e" cm="1">
        <f t="array" ref="S184">INDEX('GMW - $100 oil'!$A$2:$MC$200,MATCH(1,('GMW - $100 oil'!$MC$2:$MC$200=S$3)*('GMW - $100 oil'!$MB$2:$MB$200=S$4),0),$E184-1973)</f>
        <v>#N/A</v>
      </c>
      <c r="T184" t="e" cm="1">
        <f t="array" ref="T184">INDEX('GMW - $100 oil'!$A$2:$MC$200,MATCH(1,('GMW - $100 oil'!$MC$2:$MC$200=T$3)*('GMW - $100 oil'!$MB$2:$MB$200=T$4),0),$E184-1973)</f>
        <v>#N/A</v>
      </c>
    </row>
    <row r="185" spans="1:20" x14ac:dyDescent="0.25">
      <c r="B185">
        <f t="shared" si="14"/>
        <v>2024</v>
      </c>
      <c r="C185">
        <f t="shared" si="14"/>
        <v>2024</v>
      </c>
      <c r="E185">
        <f t="shared" si="11"/>
        <v>2158</v>
      </c>
      <c r="F185" cm="1">
        <f t="array" ref="F185">INDEX('GMW - $100 oil'!$A$2:$MC$200,MATCH(1,('GMW - $100 oil'!$MC$2:$MC$200=F$3)*('GMW - $100 oil'!$MB$2:$MB$200=F$4),0),$E185-1973)</f>
        <v>696853</v>
      </c>
      <c r="G185" cm="1">
        <f t="array" ref="G185">INDEX('GMW - $100 oil'!$A$2:$MC$200,MATCH(1,('GMW - $100 oil'!$MC$2:$MC$200=G$3)*('GMW - $100 oil'!$MB$2:$MB$200=G$4),0),$E185-1973)</f>
        <v>413915</v>
      </c>
      <c r="H185" cm="1">
        <f t="array" ref="H185">INDEX('GMW - $100 oil'!$A$2:$MC$200,MATCH(1,('GMW - $100 oil'!$MC$2:$MC$200=H$3)*('GMW - $100 oil'!$MB$2:$MB$200=H$4),0),$E185-1973)</f>
        <v>134.1</v>
      </c>
      <c r="I185" cm="1">
        <f t="array" ref="I185">INDEX('GMW - $100 oil'!$A$2:$MC$200,MATCH(1,('GMW - $100 oil'!$MC$2:$MC$200=I$3)*('GMW - $100 oil'!$MB$2:$MB$200=I$4),0),$E185-1973)</f>
        <v>5.0871209999999998</v>
      </c>
      <c r="J185" t="e" cm="1">
        <f t="array" ref="J185">INDEX('GMW - $100 oil'!$A$2:$MC$200,MATCH(1,('GMW - $100 oil'!$MC$2:$MC$200=J$3)*('GMW - $100 oil'!$MB$2:$MB$200=J$4),0),$E185-1973)</f>
        <v>#N/A</v>
      </c>
      <c r="K185" t="e" cm="1">
        <f t="array" ref="K185">INDEX('GMW - $100 oil'!$A$2:$MC$200,MATCH(1,('GMW - $100 oil'!$MC$2:$MC$200=K$3)*('GMW - $100 oil'!$MB$2:$MB$200=K$4),0),$E185-1973)</f>
        <v>#N/A</v>
      </c>
      <c r="L185" t="e" cm="1">
        <f t="array" ref="L185">INDEX('GMW - $100 oil'!$A$2:$MC$200,MATCH(1,('GMW - $100 oil'!$MC$2:$MC$200=L$3)*('GMW - $100 oil'!$MB$2:$MB$200=L$4),0),$E185-1973)</f>
        <v>#N/A</v>
      </c>
      <c r="M185" t="e" cm="1">
        <f t="array" ref="M185">INDEX('GMW - $100 oil'!$A$2:$MC$200,MATCH(1,('GMW - $100 oil'!$MC$2:$MC$200=M$3)*('GMW - $100 oil'!$MB$2:$MB$200=M$4),0),$E185-1973)</f>
        <v>#N/A</v>
      </c>
      <c r="N185" t="e" cm="1">
        <f t="array" ref="N185">INDEX('GMW - $100 oil'!$A$2:$MC$200,MATCH(1,('GMW - $100 oil'!$MC$2:$MC$200=N$3)*('GMW - $100 oil'!$MB$2:$MB$200=N$4),0),$E185-1973)</f>
        <v>#N/A</v>
      </c>
      <c r="O185" t="e" cm="1">
        <f t="array" ref="O185">INDEX('GMW - $100 oil'!$A$2:$MC$200,MATCH(1,('GMW - $100 oil'!$MC$2:$MC$200=O$3)*('GMW - $100 oil'!$MB$2:$MB$200=O$4),0),$E185-1973)</f>
        <v>#N/A</v>
      </c>
      <c r="P185" t="e" cm="1">
        <f t="array" ref="P185">INDEX('GMW - $100 oil'!$A$2:$MC$200,MATCH(1,('GMW - $100 oil'!$MC$2:$MC$200=P$3)*('GMW - $100 oil'!$MB$2:$MB$200=P$4),0),$E185-1973)</f>
        <v>#N/A</v>
      </c>
      <c r="Q185" t="e" cm="1">
        <f t="array" ref="Q185">INDEX('GMW - $100 oil'!$A$2:$MC$200,MATCH(1,('GMW - $100 oil'!$MC$2:$MC$200=Q$3)*('GMW - $100 oil'!$MB$2:$MB$200=Q$4),0),$E185-1973)</f>
        <v>#N/A</v>
      </c>
      <c r="R185" t="e" cm="1">
        <f t="array" ref="R185">INDEX('GMW - $100 oil'!$A$2:$MC$200,MATCH(1,('GMW - $100 oil'!$MC$2:$MC$200=R$3)*('GMW - $100 oil'!$MB$2:$MB$200=R$4),0),$E185-1973)</f>
        <v>#N/A</v>
      </c>
      <c r="S185" t="e" cm="1">
        <f t="array" ref="S185">INDEX('GMW - $100 oil'!$A$2:$MC$200,MATCH(1,('GMW - $100 oil'!$MC$2:$MC$200=S$3)*('GMW - $100 oil'!$MB$2:$MB$200=S$4),0),$E185-1973)</f>
        <v>#N/A</v>
      </c>
      <c r="T185" t="e" cm="1">
        <f t="array" ref="T185">INDEX('GMW - $100 oil'!$A$2:$MC$200,MATCH(1,('GMW - $100 oil'!$MC$2:$MC$200=T$3)*('GMW - $100 oil'!$MB$2:$MB$200=T$4),0),$E185-1973)</f>
        <v>#N/A</v>
      </c>
    </row>
    <row r="186" spans="1:20" x14ac:dyDescent="0.25">
      <c r="B186">
        <f t="shared" si="14"/>
        <v>2024</v>
      </c>
      <c r="C186">
        <f t="shared" si="14"/>
        <v>2024</v>
      </c>
      <c r="E186">
        <f t="shared" si="11"/>
        <v>2159</v>
      </c>
      <c r="F186" cm="1">
        <f t="array" ref="F186">INDEX('GMW - $100 oil'!$A$2:$MC$200,MATCH(1,('GMW - $100 oil'!$MC$2:$MC$200=F$3)*('GMW - $100 oil'!$MB$2:$MB$200=F$4),0),$E186-1973)</f>
        <v>698780</v>
      </c>
      <c r="G186" cm="1">
        <f t="array" ref="G186">INDEX('GMW - $100 oil'!$A$2:$MC$200,MATCH(1,('GMW - $100 oil'!$MC$2:$MC$200=G$3)*('GMW - $100 oil'!$MB$2:$MB$200=G$4),0),$E186-1973)</f>
        <v>414482</v>
      </c>
      <c r="H186" cm="1">
        <f t="array" ref="H186">INDEX('GMW - $100 oil'!$A$2:$MC$200,MATCH(1,('GMW - $100 oil'!$MC$2:$MC$200=H$3)*('GMW - $100 oil'!$MB$2:$MB$200=H$4),0),$E186-1973)</f>
        <v>135.23330000000001</v>
      </c>
      <c r="I186" cm="1">
        <f t="array" ref="I186">INDEX('GMW - $100 oil'!$A$2:$MC$200,MATCH(1,('GMW - $100 oil'!$MC$2:$MC$200=I$3)*('GMW - $100 oil'!$MB$2:$MB$200=I$4),0),$E186-1973)</f>
        <v>4.8522730000000003</v>
      </c>
      <c r="J186" t="e" cm="1">
        <f t="array" ref="J186">INDEX('GMW - $100 oil'!$A$2:$MC$200,MATCH(1,('GMW - $100 oil'!$MC$2:$MC$200=J$3)*('GMW - $100 oil'!$MB$2:$MB$200=J$4),0),$E186-1973)</f>
        <v>#N/A</v>
      </c>
      <c r="K186" t="e" cm="1">
        <f t="array" ref="K186">INDEX('GMW - $100 oil'!$A$2:$MC$200,MATCH(1,('GMW - $100 oil'!$MC$2:$MC$200=K$3)*('GMW - $100 oil'!$MB$2:$MB$200=K$4),0),$E186-1973)</f>
        <v>#N/A</v>
      </c>
      <c r="L186" t="e" cm="1">
        <f t="array" ref="L186">INDEX('GMW - $100 oil'!$A$2:$MC$200,MATCH(1,('GMW - $100 oil'!$MC$2:$MC$200=L$3)*('GMW - $100 oil'!$MB$2:$MB$200=L$4),0),$E186-1973)</f>
        <v>#N/A</v>
      </c>
      <c r="M186" t="e" cm="1">
        <f t="array" ref="M186">INDEX('GMW - $100 oil'!$A$2:$MC$200,MATCH(1,('GMW - $100 oil'!$MC$2:$MC$200=M$3)*('GMW - $100 oil'!$MB$2:$MB$200=M$4),0),$E186-1973)</f>
        <v>#N/A</v>
      </c>
      <c r="N186" t="e" cm="1">
        <f t="array" ref="N186">INDEX('GMW - $100 oil'!$A$2:$MC$200,MATCH(1,('GMW - $100 oil'!$MC$2:$MC$200=N$3)*('GMW - $100 oil'!$MB$2:$MB$200=N$4),0),$E186-1973)</f>
        <v>#N/A</v>
      </c>
      <c r="O186" t="e" cm="1">
        <f t="array" ref="O186">INDEX('GMW - $100 oil'!$A$2:$MC$200,MATCH(1,('GMW - $100 oil'!$MC$2:$MC$200=O$3)*('GMW - $100 oil'!$MB$2:$MB$200=O$4),0),$E186-1973)</f>
        <v>#N/A</v>
      </c>
      <c r="P186" t="e" cm="1">
        <f t="array" ref="P186">INDEX('GMW - $100 oil'!$A$2:$MC$200,MATCH(1,('GMW - $100 oil'!$MC$2:$MC$200=P$3)*('GMW - $100 oil'!$MB$2:$MB$200=P$4),0),$E186-1973)</f>
        <v>#N/A</v>
      </c>
      <c r="Q186" t="e" cm="1">
        <f t="array" ref="Q186">INDEX('GMW - $100 oil'!$A$2:$MC$200,MATCH(1,('GMW - $100 oil'!$MC$2:$MC$200=Q$3)*('GMW - $100 oil'!$MB$2:$MB$200=Q$4),0),$E186-1973)</f>
        <v>#N/A</v>
      </c>
      <c r="R186" t="e" cm="1">
        <f t="array" ref="R186">INDEX('GMW - $100 oil'!$A$2:$MC$200,MATCH(1,('GMW - $100 oil'!$MC$2:$MC$200=R$3)*('GMW - $100 oil'!$MB$2:$MB$200=R$4),0),$E186-1973)</f>
        <v>#N/A</v>
      </c>
      <c r="S186" t="e" cm="1">
        <f t="array" ref="S186">INDEX('GMW - $100 oil'!$A$2:$MC$200,MATCH(1,('GMW - $100 oil'!$MC$2:$MC$200=S$3)*('GMW - $100 oil'!$MB$2:$MB$200=S$4),0),$E186-1973)</f>
        <v>#N/A</v>
      </c>
      <c r="T186" t="e" cm="1">
        <f t="array" ref="T186">INDEX('GMW - $100 oil'!$A$2:$MC$200,MATCH(1,('GMW - $100 oil'!$MC$2:$MC$200=T$3)*('GMW - $100 oil'!$MB$2:$MB$200=T$4),0),$E186-1973)</f>
        <v>#N/A</v>
      </c>
    </row>
    <row r="187" spans="1:20" x14ac:dyDescent="0.25">
      <c r="A187">
        <v>2025</v>
      </c>
      <c r="B187">
        <f t="shared" si="14"/>
        <v>2025</v>
      </c>
      <c r="C187">
        <f t="shared" si="14"/>
        <v>2024</v>
      </c>
      <c r="D187">
        <f t="shared" si="14"/>
        <v>2024</v>
      </c>
      <c r="E187">
        <f t="shared" si="11"/>
        <v>2160</v>
      </c>
      <c r="F187" cm="1">
        <f t="array" ref="F187">INDEX('GMW - $100 oil'!$A$2:$MC$200,MATCH(1,('GMW - $100 oil'!$MC$2:$MC$200=F$3)*('GMW - $100 oil'!$MB$2:$MB$200=F$4),0),$E187-1973)</f>
        <v>703373</v>
      </c>
      <c r="G187" cm="1">
        <f t="array" ref="G187">INDEX('GMW - $100 oil'!$A$2:$MC$200,MATCH(1,('GMW - $100 oil'!$MC$2:$MC$200=G$3)*('GMW - $100 oil'!$MB$2:$MB$200=G$4),0),$E187-1973)</f>
        <v>415670</v>
      </c>
      <c r="H187" cm="1">
        <f t="array" ref="H187">INDEX('GMW - $100 oil'!$A$2:$MC$200,MATCH(1,('GMW - $100 oil'!$MC$2:$MC$200=H$3)*('GMW - $100 oil'!$MB$2:$MB$200=H$4),0),$E187-1973)</f>
        <v>135.9667</v>
      </c>
      <c r="I187" cm="1">
        <f t="array" ref="I187">INDEX('GMW - $100 oil'!$A$2:$MC$200,MATCH(1,('GMW - $100 oil'!$MC$2:$MC$200=I$3)*('GMW - $100 oil'!$MB$2:$MB$200=I$4),0),$E187-1973)</f>
        <v>4.6015629999999996</v>
      </c>
      <c r="J187" t="e" cm="1">
        <f t="array" ref="J187">INDEX('GMW - $100 oil'!$A$2:$MC$200,MATCH(1,('GMW - $100 oil'!$MC$2:$MC$200=J$3)*('GMW - $100 oil'!$MB$2:$MB$200=J$4),0),$E187-1973)</f>
        <v>#N/A</v>
      </c>
      <c r="K187" t="e" cm="1">
        <f t="array" ref="K187">INDEX('GMW - $100 oil'!$A$2:$MC$200,MATCH(1,('GMW - $100 oil'!$MC$2:$MC$200=K$3)*('GMW - $100 oil'!$MB$2:$MB$200=K$4),0),$E187-1973)</f>
        <v>#N/A</v>
      </c>
      <c r="L187" t="e" cm="1">
        <f t="array" ref="L187">INDEX('GMW - $100 oil'!$A$2:$MC$200,MATCH(1,('GMW - $100 oil'!$MC$2:$MC$200=L$3)*('GMW - $100 oil'!$MB$2:$MB$200=L$4),0),$E187-1973)</f>
        <v>#N/A</v>
      </c>
      <c r="M187" t="e" cm="1">
        <f t="array" ref="M187">INDEX('GMW - $100 oil'!$A$2:$MC$200,MATCH(1,('GMW - $100 oil'!$MC$2:$MC$200=M$3)*('GMW - $100 oil'!$MB$2:$MB$200=M$4),0),$E187-1973)</f>
        <v>#N/A</v>
      </c>
      <c r="N187" t="e" cm="1">
        <f t="array" ref="N187">INDEX('GMW - $100 oil'!$A$2:$MC$200,MATCH(1,('GMW - $100 oil'!$MC$2:$MC$200=N$3)*('GMW - $100 oil'!$MB$2:$MB$200=N$4),0),$E187-1973)</f>
        <v>#N/A</v>
      </c>
      <c r="O187" t="e" cm="1">
        <f t="array" ref="O187">INDEX('GMW - $100 oil'!$A$2:$MC$200,MATCH(1,('GMW - $100 oil'!$MC$2:$MC$200=O$3)*('GMW - $100 oil'!$MB$2:$MB$200=O$4),0),$E187-1973)</f>
        <v>#N/A</v>
      </c>
      <c r="P187" t="e" cm="1">
        <f t="array" ref="P187">INDEX('GMW - $100 oil'!$A$2:$MC$200,MATCH(1,('GMW - $100 oil'!$MC$2:$MC$200=P$3)*('GMW - $100 oil'!$MB$2:$MB$200=P$4),0),$E187-1973)</f>
        <v>#N/A</v>
      </c>
      <c r="Q187" t="e" cm="1">
        <f t="array" ref="Q187">INDEX('GMW - $100 oil'!$A$2:$MC$200,MATCH(1,('GMW - $100 oil'!$MC$2:$MC$200=Q$3)*('GMW - $100 oil'!$MB$2:$MB$200=Q$4),0),$E187-1973)</f>
        <v>#N/A</v>
      </c>
      <c r="R187" t="e" cm="1">
        <f t="array" ref="R187">INDEX('GMW - $100 oil'!$A$2:$MC$200,MATCH(1,('GMW - $100 oil'!$MC$2:$MC$200=R$3)*('GMW - $100 oil'!$MB$2:$MB$200=R$4),0),$E187-1973)</f>
        <v>#N/A</v>
      </c>
      <c r="S187" t="e" cm="1">
        <f t="array" ref="S187">INDEX('GMW - $100 oil'!$A$2:$MC$200,MATCH(1,('GMW - $100 oil'!$MC$2:$MC$200=S$3)*('GMW - $100 oil'!$MB$2:$MB$200=S$4),0),$E187-1973)</f>
        <v>#N/A</v>
      </c>
      <c r="T187" t="e" cm="1">
        <f t="array" ref="T187">INDEX('GMW - $100 oil'!$A$2:$MC$200,MATCH(1,('GMW - $100 oil'!$MC$2:$MC$200=T$3)*('GMW - $100 oil'!$MB$2:$MB$200=T$4),0),$E187-1973)</f>
        <v>#N/A</v>
      </c>
    </row>
    <row r="188" spans="1:20" x14ac:dyDescent="0.25">
      <c r="B188">
        <f t="shared" ref="B188:D203" si="15">+B184+1</f>
        <v>2025</v>
      </c>
      <c r="C188">
        <f t="shared" si="15"/>
        <v>2025</v>
      </c>
      <c r="E188">
        <f t="shared" si="11"/>
        <v>2161</v>
      </c>
      <c r="F188" cm="1">
        <f t="array" ref="F188">INDEX('GMW - $100 oil'!$A$2:$MC$200,MATCH(1,('GMW - $100 oil'!$MC$2:$MC$200=F$3)*('GMW - $100 oil'!$MB$2:$MB$200=F$4),0),$E188-1973)</f>
        <v>704798</v>
      </c>
      <c r="G188" cm="1">
        <f t="array" ref="G188">INDEX('GMW - $100 oil'!$A$2:$MC$200,MATCH(1,('GMW - $100 oil'!$MC$2:$MC$200=G$3)*('GMW - $100 oil'!$MB$2:$MB$200=G$4),0),$E188-1973)</f>
        <v>415858</v>
      </c>
      <c r="H188" cm="1">
        <f t="array" ref="H188">INDEX('GMW - $100 oil'!$A$2:$MC$200,MATCH(1,('GMW - $100 oil'!$MC$2:$MC$200=H$3)*('GMW - $100 oil'!$MB$2:$MB$200=H$4),0),$E188-1973)</f>
        <v>138.5</v>
      </c>
      <c r="I188" cm="1">
        <f t="array" ref="I188">INDEX('GMW - $100 oil'!$A$2:$MC$200,MATCH(1,('GMW - $100 oil'!$MC$2:$MC$200=I$3)*('GMW - $100 oil'!$MB$2:$MB$200=I$4),0),$E188-1973)</f>
        <v>4.3538459999999999</v>
      </c>
      <c r="J188" t="e" cm="1">
        <f t="array" ref="J188">INDEX('GMW - $100 oil'!$A$2:$MC$200,MATCH(1,('GMW - $100 oil'!$MC$2:$MC$200=J$3)*('GMW - $100 oil'!$MB$2:$MB$200=J$4),0),$E188-1973)</f>
        <v>#N/A</v>
      </c>
      <c r="K188" t="e" cm="1">
        <f t="array" ref="K188">INDEX('GMW - $100 oil'!$A$2:$MC$200,MATCH(1,('GMW - $100 oil'!$MC$2:$MC$200=K$3)*('GMW - $100 oil'!$MB$2:$MB$200=K$4),0),$E188-1973)</f>
        <v>#N/A</v>
      </c>
      <c r="L188" t="e" cm="1">
        <f t="array" ref="L188">INDEX('GMW - $100 oil'!$A$2:$MC$200,MATCH(1,('GMW - $100 oil'!$MC$2:$MC$200=L$3)*('GMW - $100 oil'!$MB$2:$MB$200=L$4),0),$E188-1973)</f>
        <v>#N/A</v>
      </c>
      <c r="M188" t="e" cm="1">
        <f t="array" ref="M188">INDEX('GMW - $100 oil'!$A$2:$MC$200,MATCH(1,('GMW - $100 oil'!$MC$2:$MC$200=M$3)*('GMW - $100 oil'!$MB$2:$MB$200=M$4),0),$E188-1973)</f>
        <v>#N/A</v>
      </c>
      <c r="N188" t="e" cm="1">
        <f t="array" ref="N188">INDEX('GMW - $100 oil'!$A$2:$MC$200,MATCH(1,('GMW - $100 oil'!$MC$2:$MC$200=N$3)*('GMW - $100 oil'!$MB$2:$MB$200=N$4),0),$E188-1973)</f>
        <v>#N/A</v>
      </c>
      <c r="O188" t="e" cm="1">
        <f t="array" ref="O188">INDEX('GMW - $100 oil'!$A$2:$MC$200,MATCH(1,('GMW - $100 oil'!$MC$2:$MC$200=O$3)*('GMW - $100 oil'!$MB$2:$MB$200=O$4),0),$E188-1973)</f>
        <v>#N/A</v>
      </c>
      <c r="P188" t="e" cm="1">
        <f t="array" ref="P188">INDEX('GMW - $100 oil'!$A$2:$MC$200,MATCH(1,('GMW - $100 oil'!$MC$2:$MC$200=P$3)*('GMW - $100 oil'!$MB$2:$MB$200=P$4),0),$E188-1973)</f>
        <v>#N/A</v>
      </c>
      <c r="Q188" t="e" cm="1">
        <f t="array" ref="Q188">INDEX('GMW - $100 oil'!$A$2:$MC$200,MATCH(1,('GMW - $100 oil'!$MC$2:$MC$200=Q$3)*('GMW - $100 oil'!$MB$2:$MB$200=Q$4),0),$E188-1973)</f>
        <v>#N/A</v>
      </c>
      <c r="R188" t="e" cm="1">
        <f t="array" ref="R188">INDEX('GMW - $100 oil'!$A$2:$MC$200,MATCH(1,('GMW - $100 oil'!$MC$2:$MC$200=R$3)*('GMW - $100 oil'!$MB$2:$MB$200=R$4),0),$E188-1973)</f>
        <v>#N/A</v>
      </c>
      <c r="S188" t="e" cm="1">
        <f t="array" ref="S188">INDEX('GMW - $100 oil'!$A$2:$MC$200,MATCH(1,('GMW - $100 oil'!$MC$2:$MC$200=S$3)*('GMW - $100 oil'!$MB$2:$MB$200=S$4),0),$E188-1973)</f>
        <v>#N/A</v>
      </c>
      <c r="T188" t="e" cm="1">
        <f t="array" ref="T188">INDEX('GMW - $100 oil'!$A$2:$MC$200,MATCH(1,('GMW - $100 oil'!$MC$2:$MC$200=T$3)*('GMW - $100 oil'!$MB$2:$MB$200=T$4),0),$E188-1973)</f>
        <v>#N/A</v>
      </c>
    </row>
    <row r="189" spans="1:20" x14ac:dyDescent="0.25">
      <c r="B189">
        <f t="shared" si="15"/>
        <v>2025</v>
      </c>
      <c r="C189">
        <f t="shared" si="15"/>
        <v>2025</v>
      </c>
      <c r="E189">
        <f t="shared" si="11"/>
        <v>2162</v>
      </c>
      <c r="F189" cm="1">
        <f t="array" ref="F189">INDEX('GMW - $100 oil'!$A$2:$MC$200,MATCH(1,('GMW - $100 oil'!$MC$2:$MC$200=F$3)*('GMW - $100 oil'!$MB$2:$MB$200=F$4),0),$E189-1973)</f>
        <v>705187</v>
      </c>
      <c r="G189" cm="1">
        <f t="array" ref="G189">INDEX('GMW - $100 oil'!$A$2:$MC$200,MATCH(1,('GMW - $100 oil'!$MC$2:$MC$200=G$3)*('GMW - $100 oil'!$MB$2:$MB$200=G$4),0),$E189-1973)</f>
        <v>417589</v>
      </c>
      <c r="H189" cm="1">
        <f t="array" ref="H189">INDEX('GMW - $100 oil'!$A$2:$MC$200,MATCH(1,('GMW - $100 oil'!$MC$2:$MC$200=H$3)*('GMW - $100 oil'!$MB$2:$MB$200=H$4),0),$E189-1973)</f>
        <v>139.19999999999999</v>
      </c>
      <c r="I189" cm="1">
        <f t="array" ref="I189">INDEX('GMW - $100 oil'!$A$2:$MC$200,MATCH(1,('GMW - $100 oil'!$MC$2:$MC$200=I$3)*('GMW - $100 oil'!$MB$2:$MB$200=I$4),0),$E189-1973)</f>
        <v>4.1022730000000003</v>
      </c>
      <c r="J189" t="e" cm="1">
        <f t="array" ref="J189">INDEX('GMW - $100 oil'!$A$2:$MC$200,MATCH(1,('GMW - $100 oil'!$MC$2:$MC$200=J$3)*('GMW - $100 oil'!$MB$2:$MB$200=J$4),0),$E189-1973)</f>
        <v>#N/A</v>
      </c>
      <c r="K189" t="e" cm="1">
        <f t="array" ref="K189">INDEX('GMW - $100 oil'!$A$2:$MC$200,MATCH(1,('GMW - $100 oil'!$MC$2:$MC$200=K$3)*('GMW - $100 oil'!$MB$2:$MB$200=K$4),0),$E189-1973)</f>
        <v>#N/A</v>
      </c>
      <c r="L189" t="e" cm="1">
        <f t="array" ref="L189">INDEX('GMW - $100 oil'!$A$2:$MC$200,MATCH(1,('GMW - $100 oil'!$MC$2:$MC$200=L$3)*('GMW - $100 oil'!$MB$2:$MB$200=L$4),0),$E189-1973)</f>
        <v>#N/A</v>
      </c>
      <c r="M189" t="e" cm="1">
        <f t="array" ref="M189">INDEX('GMW - $100 oil'!$A$2:$MC$200,MATCH(1,('GMW - $100 oil'!$MC$2:$MC$200=M$3)*('GMW - $100 oil'!$MB$2:$MB$200=M$4),0),$E189-1973)</f>
        <v>#N/A</v>
      </c>
      <c r="N189" t="e" cm="1">
        <f t="array" ref="N189">INDEX('GMW - $100 oil'!$A$2:$MC$200,MATCH(1,('GMW - $100 oil'!$MC$2:$MC$200=N$3)*('GMW - $100 oil'!$MB$2:$MB$200=N$4),0),$E189-1973)</f>
        <v>#N/A</v>
      </c>
      <c r="O189" t="e" cm="1">
        <f t="array" ref="O189">INDEX('GMW - $100 oil'!$A$2:$MC$200,MATCH(1,('GMW - $100 oil'!$MC$2:$MC$200=O$3)*('GMW - $100 oil'!$MB$2:$MB$200=O$4),0),$E189-1973)</f>
        <v>#N/A</v>
      </c>
      <c r="P189" t="e" cm="1">
        <f t="array" ref="P189">INDEX('GMW - $100 oil'!$A$2:$MC$200,MATCH(1,('GMW - $100 oil'!$MC$2:$MC$200=P$3)*('GMW - $100 oil'!$MB$2:$MB$200=P$4),0),$E189-1973)</f>
        <v>#N/A</v>
      </c>
      <c r="Q189" t="e" cm="1">
        <f t="array" ref="Q189">INDEX('GMW - $100 oil'!$A$2:$MC$200,MATCH(1,('GMW - $100 oil'!$MC$2:$MC$200=Q$3)*('GMW - $100 oil'!$MB$2:$MB$200=Q$4),0),$E189-1973)</f>
        <v>#N/A</v>
      </c>
      <c r="R189" t="e" cm="1">
        <f t="array" ref="R189">INDEX('GMW - $100 oil'!$A$2:$MC$200,MATCH(1,('GMW - $100 oil'!$MC$2:$MC$200=R$3)*('GMW - $100 oil'!$MB$2:$MB$200=R$4),0),$E189-1973)</f>
        <v>#N/A</v>
      </c>
      <c r="S189" t="e" cm="1">
        <f t="array" ref="S189">INDEX('GMW - $100 oil'!$A$2:$MC$200,MATCH(1,('GMW - $100 oil'!$MC$2:$MC$200=S$3)*('GMW - $100 oil'!$MB$2:$MB$200=S$4),0),$E189-1973)</f>
        <v>#N/A</v>
      </c>
      <c r="T189" t="e" cm="1">
        <f t="array" ref="T189">INDEX('GMW - $100 oil'!$A$2:$MC$200,MATCH(1,('GMW - $100 oil'!$MC$2:$MC$200=T$3)*('GMW - $100 oil'!$MB$2:$MB$200=T$4),0),$E189-1973)</f>
        <v>#N/A</v>
      </c>
    </row>
    <row r="190" spans="1:20" x14ac:dyDescent="0.25">
      <c r="B190">
        <f t="shared" si="15"/>
        <v>2025</v>
      </c>
      <c r="C190">
        <f t="shared" si="15"/>
        <v>2025</v>
      </c>
      <c r="E190">
        <f t="shared" si="11"/>
        <v>2163</v>
      </c>
      <c r="F190" cm="1">
        <f t="array" ref="F190">INDEX('GMW - $100 oil'!$A$2:$MC$200,MATCH(1,('GMW - $100 oil'!$MC$2:$MC$200=F$3)*('GMW - $100 oil'!$MB$2:$MB$200=F$4),0),$E190-1973)</f>
        <v>705571</v>
      </c>
      <c r="G190" cm="1">
        <f t="array" ref="G190">INDEX('GMW - $100 oil'!$A$2:$MC$200,MATCH(1,('GMW - $100 oil'!$MC$2:$MC$200=G$3)*('GMW - $100 oil'!$MB$2:$MB$200=G$4),0),$E190-1973)</f>
        <v>418232</v>
      </c>
      <c r="H190" cm="1">
        <f t="array" ref="H190">INDEX('GMW - $100 oil'!$A$2:$MC$200,MATCH(1,('GMW - $100 oil'!$MC$2:$MC$200=H$3)*('GMW - $100 oil'!$MB$2:$MB$200=H$4),0),$E190-1973)</f>
        <v>139.80000000000001</v>
      </c>
      <c r="I190" cm="1">
        <f t="array" ref="I190">INDEX('GMW - $100 oil'!$A$2:$MC$200,MATCH(1,('GMW - $100 oil'!$MC$2:$MC$200=I$3)*('GMW - $100 oil'!$MB$2:$MB$200=I$4),0),$E190-1973)</f>
        <v>3.9621209999999998</v>
      </c>
      <c r="J190" t="e" cm="1">
        <f t="array" ref="J190">INDEX('GMW - $100 oil'!$A$2:$MC$200,MATCH(1,('GMW - $100 oil'!$MC$2:$MC$200=J$3)*('GMW - $100 oil'!$MB$2:$MB$200=J$4),0),$E190-1973)</f>
        <v>#N/A</v>
      </c>
      <c r="K190" t="e" cm="1">
        <f t="array" ref="K190">INDEX('GMW - $100 oil'!$A$2:$MC$200,MATCH(1,('GMW - $100 oil'!$MC$2:$MC$200=K$3)*('GMW - $100 oil'!$MB$2:$MB$200=K$4),0),$E190-1973)</f>
        <v>#N/A</v>
      </c>
      <c r="L190" t="e" cm="1">
        <f t="array" ref="L190">INDEX('GMW - $100 oil'!$A$2:$MC$200,MATCH(1,('GMW - $100 oil'!$MC$2:$MC$200=L$3)*('GMW - $100 oil'!$MB$2:$MB$200=L$4),0),$E190-1973)</f>
        <v>#N/A</v>
      </c>
      <c r="M190" t="e" cm="1">
        <f t="array" ref="M190">INDEX('GMW - $100 oil'!$A$2:$MC$200,MATCH(1,('GMW - $100 oil'!$MC$2:$MC$200=M$3)*('GMW - $100 oil'!$MB$2:$MB$200=M$4),0),$E190-1973)</f>
        <v>#N/A</v>
      </c>
      <c r="N190" t="e" cm="1">
        <f t="array" ref="N190">INDEX('GMW - $100 oil'!$A$2:$MC$200,MATCH(1,('GMW - $100 oil'!$MC$2:$MC$200=N$3)*('GMW - $100 oil'!$MB$2:$MB$200=N$4),0),$E190-1973)</f>
        <v>#N/A</v>
      </c>
      <c r="O190" t="e" cm="1">
        <f t="array" ref="O190">INDEX('GMW - $100 oil'!$A$2:$MC$200,MATCH(1,('GMW - $100 oil'!$MC$2:$MC$200=O$3)*('GMW - $100 oil'!$MB$2:$MB$200=O$4),0),$E190-1973)</f>
        <v>#N/A</v>
      </c>
      <c r="P190" t="e" cm="1">
        <f t="array" ref="P190">INDEX('GMW - $100 oil'!$A$2:$MC$200,MATCH(1,('GMW - $100 oil'!$MC$2:$MC$200=P$3)*('GMW - $100 oil'!$MB$2:$MB$200=P$4),0),$E190-1973)</f>
        <v>#N/A</v>
      </c>
      <c r="Q190" t="e" cm="1">
        <f t="array" ref="Q190">INDEX('GMW - $100 oil'!$A$2:$MC$200,MATCH(1,('GMW - $100 oil'!$MC$2:$MC$200=Q$3)*('GMW - $100 oil'!$MB$2:$MB$200=Q$4),0),$E190-1973)</f>
        <v>#N/A</v>
      </c>
      <c r="R190" t="e" cm="1">
        <f t="array" ref="R190">INDEX('GMW - $100 oil'!$A$2:$MC$200,MATCH(1,('GMW - $100 oil'!$MC$2:$MC$200=R$3)*('GMW - $100 oil'!$MB$2:$MB$200=R$4),0),$E190-1973)</f>
        <v>#N/A</v>
      </c>
      <c r="S190" t="e" cm="1">
        <f t="array" ref="S190">INDEX('GMW - $100 oil'!$A$2:$MC$200,MATCH(1,('GMW - $100 oil'!$MC$2:$MC$200=S$3)*('GMW - $100 oil'!$MB$2:$MB$200=S$4),0),$E190-1973)</f>
        <v>#N/A</v>
      </c>
      <c r="T190" t="e" cm="1">
        <f t="array" ref="T190">INDEX('GMW - $100 oil'!$A$2:$MC$200,MATCH(1,('GMW - $100 oil'!$MC$2:$MC$200=T$3)*('GMW - $100 oil'!$MB$2:$MB$200=T$4),0),$E190-1973)</f>
        <v>#N/A</v>
      </c>
    </row>
    <row r="191" spans="1:20" x14ac:dyDescent="0.25">
      <c r="A191">
        <v>2026</v>
      </c>
      <c r="B191">
        <f t="shared" si="15"/>
        <v>2026</v>
      </c>
      <c r="C191">
        <f t="shared" si="15"/>
        <v>2025</v>
      </c>
      <c r="D191">
        <f t="shared" si="15"/>
        <v>2025</v>
      </c>
      <c r="E191">
        <f t="shared" si="11"/>
        <v>2164</v>
      </c>
      <c r="F191" cm="1">
        <f t="array" ref="F191">INDEX('GMW - $100 oil'!$A$2:$MC$200,MATCH(1,('GMW - $100 oil'!$MC$2:$MC$200=F$3)*('GMW - $100 oil'!$MB$2:$MB$200=F$4),0),$E191-1973)</f>
        <v>707948.3</v>
      </c>
      <c r="G191" cm="1">
        <f t="array" ref="G191">INDEX('GMW - $100 oil'!$A$2:$MC$200,MATCH(1,('GMW - $100 oil'!$MC$2:$MC$200=G$3)*('GMW - $100 oil'!$MB$2:$MB$200=G$4),0),$E191-1973)</f>
        <v>418902.7</v>
      </c>
      <c r="H191" cm="1">
        <f t="array" ref="H191">INDEX('GMW - $100 oil'!$A$2:$MC$200,MATCH(1,('GMW - $100 oil'!$MC$2:$MC$200=H$3)*('GMW - $100 oil'!$MB$2:$MB$200=H$4),0),$E191-1973)</f>
        <v>140.04140000000001</v>
      </c>
      <c r="I191" cm="1">
        <f t="array" ref="I191">INDEX('GMW - $100 oil'!$A$2:$MC$200,MATCH(1,('GMW - $100 oil'!$MC$2:$MC$200=I$3)*('GMW - $100 oil'!$MB$2:$MB$200=I$4),0),$E191-1973)</f>
        <v>3.7590499999999998</v>
      </c>
      <c r="J191" t="e" cm="1">
        <f t="array" ref="J191">INDEX('GMW - $100 oil'!$A$2:$MC$200,MATCH(1,('GMW - $100 oil'!$MC$2:$MC$200=J$3)*('GMW - $100 oil'!$MB$2:$MB$200=J$4),0),$E191-1973)</f>
        <v>#N/A</v>
      </c>
      <c r="K191" t="e" cm="1">
        <f t="array" ref="K191">INDEX('GMW - $100 oil'!$A$2:$MC$200,MATCH(1,('GMW - $100 oil'!$MC$2:$MC$200=K$3)*('GMW - $100 oil'!$MB$2:$MB$200=K$4),0),$E191-1973)</f>
        <v>#N/A</v>
      </c>
      <c r="L191" t="e" cm="1">
        <f t="array" ref="L191">INDEX('GMW - $100 oil'!$A$2:$MC$200,MATCH(1,('GMW - $100 oil'!$MC$2:$MC$200=L$3)*('GMW - $100 oil'!$MB$2:$MB$200=L$4),0),$E191-1973)</f>
        <v>#N/A</v>
      </c>
      <c r="M191" t="e" cm="1">
        <f t="array" ref="M191">INDEX('GMW - $100 oil'!$A$2:$MC$200,MATCH(1,('GMW - $100 oil'!$MC$2:$MC$200=M$3)*('GMW - $100 oil'!$MB$2:$MB$200=M$4),0),$E191-1973)</f>
        <v>#N/A</v>
      </c>
      <c r="N191" t="e" cm="1">
        <f t="array" ref="N191">INDEX('GMW - $100 oil'!$A$2:$MC$200,MATCH(1,('GMW - $100 oil'!$MC$2:$MC$200=N$3)*('GMW - $100 oil'!$MB$2:$MB$200=N$4),0),$E191-1973)</f>
        <v>#N/A</v>
      </c>
      <c r="O191" t="e" cm="1">
        <f t="array" ref="O191">INDEX('GMW - $100 oil'!$A$2:$MC$200,MATCH(1,('GMW - $100 oil'!$MC$2:$MC$200=O$3)*('GMW - $100 oil'!$MB$2:$MB$200=O$4),0),$E191-1973)</f>
        <v>#N/A</v>
      </c>
      <c r="P191" t="e" cm="1">
        <f t="array" ref="P191">INDEX('GMW - $100 oil'!$A$2:$MC$200,MATCH(1,('GMW - $100 oil'!$MC$2:$MC$200=P$3)*('GMW - $100 oil'!$MB$2:$MB$200=P$4),0),$E191-1973)</f>
        <v>#N/A</v>
      </c>
      <c r="Q191" t="e" cm="1">
        <f t="array" ref="Q191">INDEX('GMW - $100 oil'!$A$2:$MC$200,MATCH(1,('GMW - $100 oil'!$MC$2:$MC$200=Q$3)*('GMW - $100 oil'!$MB$2:$MB$200=Q$4),0),$E191-1973)</f>
        <v>#N/A</v>
      </c>
      <c r="R191" t="e" cm="1">
        <f t="array" ref="R191">INDEX('GMW - $100 oil'!$A$2:$MC$200,MATCH(1,('GMW - $100 oil'!$MC$2:$MC$200=R$3)*('GMW - $100 oil'!$MB$2:$MB$200=R$4),0),$E191-1973)</f>
        <v>#N/A</v>
      </c>
      <c r="S191" t="e" cm="1">
        <f t="array" ref="S191">INDEX('GMW - $100 oil'!$A$2:$MC$200,MATCH(1,('GMW - $100 oil'!$MC$2:$MC$200=S$3)*('GMW - $100 oil'!$MB$2:$MB$200=S$4),0),$E191-1973)</f>
        <v>#N/A</v>
      </c>
      <c r="T191" t="e" cm="1">
        <f t="array" ref="T191">INDEX('GMW - $100 oil'!$A$2:$MC$200,MATCH(1,('GMW - $100 oil'!$MC$2:$MC$200=T$3)*('GMW - $100 oil'!$MB$2:$MB$200=T$4),0),$E191-1973)</f>
        <v>#N/A</v>
      </c>
    </row>
    <row r="192" spans="1:20" x14ac:dyDescent="0.25">
      <c r="B192">
        <f t="shared" si="15"/>
        <v>2026</v>
      </c>
      <c r="C192">
        <f t="shared" si="15"/>
        <v>2026</v>
      </c>
      <c r="E192">
        <f t="shared" si="11"/>
        <v>2165</v>
      </c>
      <c r="F192" cm="1">
        <f t="array" ref="F192">INDEX('GMW - $100 oil'!$A$2:$MC$200,MATCH(1,('GMW - $100 oil'!$MC$2:$MC$200=F$3)*('GMW - $100 oil'!$MB$2:$MB$200=F$4),0),$E192-1973)</f>
        <v>708599.8</v>
      </c>
      <c r="G192" cm="1">
        <f t="array" ref="G192">INDEX('GMW - $100 oil'!$A$2:$MC$200,MATCH(1,('GMW - $100 oil'!$MC$2:$MC$200=G$3)*('GMW - $100 oil'!$MB$2:$MB$200=G$4),0),$E192-1973)</f>
        <v>418810.7</v>
      </c>
      <c r="H192" cm="1">
        <f t="array" ref="H192">INDEX('GMW - $100 oil'!$A$2:$MC$200,MATCH(1,('GMW - $100 oil'!$MC$2:$MC$200=H$3)*('GMW - $100 oil'!$MB$2:$MB$200=H$4),0),$E192-1973)</f>
        <v>142.67509999999999</v>
      </c>
      <c r="I192" cm="1">
        <f t="array" ref="I192">INDEX('GMW - $100 oil'!$A$2:$MC$200,MATCH(1,('GMW - $100 oil'!$MC$2:$MC$200=I$3)*('GMW - $100 oil'!$MB$2:$MB$200=I$4),0),$E192-1973)</f>
        <v>3.6277089999999999</v>
      </c>
      <c r="J192" t="e" cm="1">
        <f t="array" ref="J192">INDEX('GMW - $100 oil'!$A$2:$MC$200,MATCH(1,('GMW - $100 oil'!$MC$2:$MC$200=J$3)*('GMW - $100 oil'!$MB$2:$MB$200=J$4),0),$E192-1973)</f>
        <v>#N/A</v>
      </c>
      <c r="K192" t="e" cm="1">
        <f t="array" ref="K192">INDEX('GMW - $100 oil'!$A$2:$MC$200,MATCH(1,('GMW - $100 oil'!$MC$2:$MC$200=K$3)*('GMW - $100 oil'!$MB$2:$MB$200=K$4),0),$E192-1973)</f>
        <v>#N/A</v>
      </c>
      <c r="L192" t="e" cm="1">
        <f t="array" ref="L192">INDEX('GMW - $100 oil'!$A$2:$MC$200,MATCH(1,('GMW - $100 oil'!$MC$2:$MC$200=L$3)*('GMW - $100 oil'!$MB$2:$MB$200=L$4),0),$E192-1973)</f>
        <v>#N/A</v>
      </c>
      <c r="M192" t="e" cm="1">
        <f t="array" ref="M192">INDEX('GMW - $100 oil'!$A$2:$MC$200,MATCH(1,('GMW - $100 oil'!$MC$2:$MC$200=M$3)*('GMW - $100 oil'!$MB$2:$MB$200=M$4),0),$E192-1973)</f>
        <v>#N/A</v>
      </c>
      <c r="N192" t="e" cm="1">
        <f t="array" ref="N192">INDEX('GMW - $100 oil'!$A$2:$MC$200,MATCH(1,('GMW - $100 oil'!$MC$2:$MC$200=N$3)*('GMW - $100 oil'!$MB$2:$MB$200=N$4),0),$E192-1973)</f>
        <v>#N/A</v>
      </c>
      <c r="O192" t="e" cm="1">
        <f t="array" ref="O192">INDEX('GMW - $100 oil'!$A$2:$MC$200,MATCH(1,('GMW - $100 oil'!$MC$2:$MC$200=O$3)*('GMW - $100 oil'!$MB$2:$MB$200=O$4),0),$E192-1973)</f>
        <v>#N/A</v>
      </c>
      <c r="P192" t="e" cm="1">
        <f t="array" ref="P192">INDEX('GMW - $100 oil'!$A$2:$MC$200,MATCH(1,('GMW - $100 oil'!$MC$2:$MC$200=P$3)*('GMW - $100 oil'!$MB$2:$MB$200=P$4),0),$E192-1973)</f>
        <v>#N/A</v>
      </c>
      <c r="Q192" t="e" cm="1">
        <f t="array" ref="Q192">INDEX('GMW - $100 oil'!$A$2:$MC$200,MATCH(1,('GMW - $100 oil'!$MC$2:$MC$200=Q$3)*('GMW - $100 oil'!$MB$2:$MB$200=Q$4),0),$E192-1973)</f>
        <v>#N/A</v>
      </c>
      <c r="R192" t="e" cm="1">
        <f t="array" ref="R192">INDEX('GMW - $100 oil'!$A$2:$MC$200,MATCH(1,('GMW - $100 oil'!$MC$2:$MC$200=R$3)*('GMW - $100 oil'!$MB$2:$MB$200=R$4),0),$E192-1973)</f>
        <v>#N/A</v>
      </c>
      <c r="S192" t="e" cm="1">
        <f t="array" ref="S192">INDEX('GMW - $100 oil'!$A$2:$MC$200,MATCH(1,('GMW - $100 oil'!$MC$2:$MC$200=S$3)*('GMW - $100 oil'!$MB$2:$MB$200=S$4),0),$E192-1973)</f>
        <v>#N/A</v>
      </c>
      <c r="T192" t="e" cm="1">
        <f t="array" ref="T192">INDEX('GMW - $100 oil'!$A$2:$MC$200,MATCH(1,('GMW - $100 oil'!$MC$2:$MC$200=T$3)*('GMW - $100 oil'!$MB$2:$MB$200=T$4),0),$E192-1973)</f>
        <v>#N/A</v>
      </c>
    </row>
    <row r="193" spans="1:20" x14ac:dyDescent="0.25">
      <c r="B193">
        <f t="shared" si="15"/>
        <v>2026</v>
      </c>
      <c r="C193">
        <f t="shared" si="15"/>
        <v>2026</v>
      </c>
      <c r="E193">
        <f t="shared" si="11"/>
        <v>2166</v>
      </c>
      <c r="F193" cm="1">
        <f t="array" ref="F193">INDEX('GMW - $100 oil'!$A$2:$MC$200,MATCH(1,('GMW - $100 oil'!$MC$2:$MC$200=F$3)*('GMW - $100 oil'!$MB$2:$MB$200=F$4),0),$E193-1973)</f>
        <v>708960.2</v>
      </c>
      <c r="G193" cm="1">
        <f t="array" ref="G193">INDEX('GMW - $100 oil'!$A$2:$MC$200,MATCH(1,('GMW - $100 oil'!$MC$2:$MC$200=G$3)*('GMW - $100 oil'!$MB$2:$MB$200=G$4),0),$E193-1973)</f>
        <v>418620.5</v>
      </c>
      <c r="H193" cm="1">
        <f t="array" ref="H193">INDEX('GMW - $100 oil'!$A$2:$MC$200,MATCH(1,('GMW - $100 oil'!$MC$2:$MC$200=H$3)*('GMW - $100 oil'!$MB$2:$MB$200=H$4),0),$E193-1973)</f>
        <v>144.5033</v>
      </c>
      <c r="I193" cm="1">
        <f t="array" ref="I193">INDEX('GMW - $100 oil'!$A$2:$MC$200,MATCH(1,('GMW - $100 oil'!$MC$2:$MC$200=I$3)*('GMW - $100 oil'!$MB$2:$MB$200=I$4),0),$E193-1973)</f>
        <v>3.613537</v>
      </c>
      <c r="J193" t="e" cm="1">
        <f t="array" ref="J193">INDEX('GMW - $100 oil'!$A$2:$MC$200,MATCH(1,('GMW - $100 oil'!$MC$2:$MC$200=J$3)*('GMW - $100 oil'!$MB$2:$MB$200=J$4),0),$E193-1973)</f>
        <v>#N/A</v>
      </c>
      <c r="K193" t="e" cm="1">
        <f t="array" ref="K193">INDEX('GMW - $100 oil'!$A$2:$MC$200,MATCH(1,('GMW - $100 oil'!$MC$2:$MC$200=K$3)*('GMW - $100 oil'!$MB$2:$MB$200=K$4),0),$E193-1973)</f>
        <v>#N/A</v>
      </c>
      <c r="L193" t="e" cm="1">
        <f t="array" ref="L193">INDEX('GMW - $100 oil'!$A$2:$MC$200,MATCH(1,('GMW - $100 oil'!$MC$2:$MC$200=L$3)*('GMW - $100 oil'!$MB$2:$MB$200=L$4),0),$E193-1973)</f>
        <v>#N/A</v>
      </c>
      <c r="M193" t="e" cm="1">
        <f t="array" ref="M193">INDEX('GMW - $100 oil'!$A$2:$MC$200,MATCH(1,('GMW - $100 oil'!$MC$2:$MC$200=M$3)*('GMW - $100 oil'!$MB$2:$MB$200=M$4),0),$E193-1973)</f>
        <v>#N/A</v>
      </c>
      <c r="N193" t="e" cm="1">
        <f t="array" ref="N193">INDEX('GMW - $100 oil'!$A$2:$MC$200,MATCH(1,('GMW - $100 oil'!$MC$2:$MC$200=N$3)*('GMW - $100 oil'!$MB$2:$MB$200=N$4),0),$E193-1973)</f>
        <v>#N/A</v>
      </c>
      <c r="O193" t="e" cm="1">
        <f t="array" ref="O193">INDEX('GMW - $100 oil'!$A$2:$MC$200,MATCH(1,('GMW - $100 oil'!$MC$2:$MC$200=O$3)*('GMW - $100 oil'!$MB$2:$MB$200=O$4),0),$E193-1973)</f>
        <v>#N/A</v>
      </c>
      <c r="P193" t="e" cm="1">
        <f t="array" ref="P193">INDEX('GMW - $100 oil'!$A$2:$MC$200,MATCH(1,('GMW - $100 oil'!$MC$2:$MC$200=P$3)*('GMW - $100 oil'!$MB$2:$MB$200=P$4),0),$E193-1973)</f>
        <v>#N/A</v>
      </c>
      <c r="Q193" t="e" cm="1">
        <f t="array" ref="Q193">INDEX('GMW - $100 oil'!$A$2:$MC$200,MATCH(1,('GMW - $100 oil'!$MC$2:$MC$200=Q$3)*('GMW - $100 oil'!$MB$2:$MB$200=Q$4),0),$E193-1973)</f>
        <v>#N/A</v>
      </c>
      <c r="R193" t="e" cm="1">
        <f t="array" ref="R193">INDEX('GMW - $100 oil'!$A$2:$MC$200,MATCH(1,('GMW - $100 oil'!$MC$2:$MC$200=R$3)*('GMW - $100 oil'!$MB$2:$MB$200=R$4),0),$E193-1973)</f>
        <v>#N/A</v>
      </c>
      <c r="S193" t="e" cm="1">
        <f t="array" ref="S193">INDEX('GMW - $100 oil'!$A$2:$MC$200,MATCH(1,('GMW - $100 oil'!$MC$2:$MC$200=S$3)*('GMW - $100 oil'!$MB$2:$MB$200=S$4),0),$E193-1973)</f>
        <v>#N/A</v>
      </c>
      <c r="T193" t="e" cm="1">
        <f t="array" ref="T193">INDEX('GMW - $100 oil'!$A$2:$MC$200,MATCH(1,('GMW - $100 oil'!$MC$2:$MC$200=T$3)*('GMW - $100 oil'!$MB$2:$MB$200=T$4),0),$E193-1973)</f>
        <v>#N/A</v>
      </c>
    </row>
    <row r="194" spans="1:20" x14ac:dyDescent="0.25">
      <c r="B194">
        <f t="shared" si="15"/>
        <v>2026</v>
      </c>
      <c r="C194">
        <f t="shared" si="15"/>
        <v>2026</v>
      </c>
      <c r="E194">
        <f t="shared" si="11"/>
        <v>2167</v>
      </c>
      <c r="F194" cm="1">
        <f t="array" ref="F194">INDEX('GMW - $100 oil'!$A$2:$MC$200,MATCH(1,('GMW - $100 oil'!$MC$2:$MC$200=F$3)*('GMW - $100 oil'!$MB$2:$MB$200=F$4),0),$E194-1973)</f>
        <v>710694.8</v>
      </c>
      <c r="G194" cm="1">
        <f t="array" ref="G194">INDEX('GMW - $100 oil'!$A$2:$MC$200,MATCH(1,('GMW - $100 oil'!$MC$2:$MC$200=G$3)*('GMW - $100 oil'!$MB$2:$MB$200=G$4),0),$E194-1973)</f>
        <v>419332.1</v>
      </c>
      <c r="H194" cm="1">
        <f t="array" ref="H194">INDEX('GMW - $100 oil'!$A$2:$MC$200,MATCH(1,('GMW - $100 oil'!$MC$2:$MC$200=H$3)*('GMW - $100 oil'!$MB$2:$MB$200=H$4),0),$E194-1973)</f>
        <v>144.5137</v>
      </c>
      <c r="I194" cm="1">
        <f t="array" ref="I194">INDEX('GMW - $100 oil'!$A$2:$MC$200,MATCH(1,('GMW - $100 oil'!$MC$2:$MC$200=I$3)*('GMW - $100 oil'!$MB$2:$MB$200=I$4),0),$E194-1973)</f>
        <v>3.5504280000000001</v>
      </c>
      <c r="J194" t="e" cm="1">
        <f t="array" ref="J194">INDEX('GMW - $100 oil'!$A$2:$MC$200,MATCH(1,('GMW - $100 oil'!$MC$2:$MC$200=J$3)*('GMW - $100 oil'!$MB$2:$MB$200=J$4),0),$E194-1973)</f>
        <v>#N/A</v>
      </c>
      <c r="K194" t="e" cm="1">
        <f t="array" ref="K194">INDEX('GMW - $100 oil'!$A$2:$MC$200,MATCH(1,('GMW - $100 oil'!$MC$2:$MC$200=K$3)*('GMW - $100 oil'!$MB$2:$MB$200=K$4),0),$E194-1973)</f>
        <v>#N/A</v>
      </c>
      <c r="L194" t="e" cm="1">
        <f t="array" ref="L194">INDEX('GMW - $100 oil'!$A$2:$MC$200,MATCH(1,('GMW - $100 oil'!$MC$2:$MC$200=L$3)*('GMW - $100 oil'!$MB$2:$MB$200=L$4),0),$E194-1973)</f>
        <v>#N/A</v>
      </c>
      <c r="M194" t="e" cm="1">
        <f t="array" ref="M194">INDEX('GMW - $100 oil'!$A$2:$MC$200,MATCH(1,('GMW - $100 oil'!$MC$2:$MC$200=M$3)*('GMW - $100 oil'!$MB$2:$MB$200=M$4),0),$E194-1973)</f>
        <v>#N/A</v>
      </c>
      <c r="N194" t="e" cm="1">
        <f t="array" ref="N194">INDEX('GMW - $100 oil'!$A$2:$MC$200,MATCH(1,('GMW - $100 oil'!$MC$2:$MC$200=N$3)*('GMW - $100 oil'!$MB$2:$MB$200=N$4),0),$E194-1973)</f>
        <v>#N/A</v>
      </c>
      <c r="O194" t="e" cm="1">
        <f t="array" ref="O194">INDEX('GMW - $100 oil'!$A$2:$MC$200,MATCH(1,('GMW - $100 oil'!$MC$2:$MC$200=O$3)*('GMW - $100 oil'!$MB$2:$MB$200=O$4),0),$E194-1973)</f>
        <v>#N/A</v>
      </c>
      <c r="P194" t="e" cm="1">
        <f t="array" ref="P194">INDEX('GMW - $100 oil'!$A$2:$MC$200,MATCH(1,('GMW - $100 oil'!$MC$2:$MC$200=P$3)*('GMW - $100 oil'!$MB$2:$MB$200=P$4),0),$E194-1973)</f>
        <v>#N/A</v>
      </c>
      <c r="Q194" t="e" cm="1">
        <f t="array" ref="Q194">INDEX('GMW - $100 oil'!$A$2:$MC$200,MATCH(1,('GMW - $100 oil'!$MC$2:$MC$200=Q$3)*('GMW - $100 oil'!$MB$2:$MB$200=Q$4),0),$E194-1973)</f>
        <v>#N/A</v>
      </c>
      <c r="R194" t="e" cm="1">
        <f t="array" ref="R194">INDEX('GMW - $100 oil'!$A$2:$MC$200,MATCH(1,('GMW - $100 oil'!$MC$2:$MC$200=R$3)*('GMW - $100 oil'!$MB$2:$MB$200=R$4),0),$E194-1973)</f>
        <v>#N/A</v>
      </c>
      <c r="S194" t="e" cm="1">
        <f t="array" ref="S194">INDEX('GMW - $100 oil'!$A$2:$MC$200,MATCH(1,('GMW - $100 oil'!$MC$2:$MC$200=S$3)*('GMW - $100 oil'!$MB$2:$MB$200=S$4),0),$E194-1973)</f>
        <v>#N/A</v>
      </c>
      <c r="T194" t="e" cm="1">
        <f t="array" ref="T194">INDEX('GMW - $100 oil'!$A$2:$MC$200,MATCH(1,('GMW - $100 oil'!$MC$2:$MC$200=T$3)*('GMW - $100 oil'!$MB$2:$MB$200=T$4),0),$E194-1973)</f>
        <v>#N/A</v>
      </c>
    </row>
    <row r="195" spans="1:20" x14ac:dyDescent="0.25">
      <c r="A195">
        <v>2027</v>
      </c>
      <c r="B195">
        <f t="shared" si="15"/>
        <v>2027</v>
      </c>
      <c r="C195">
        <f t="shared" si="15"/>
        <v>2026</v>
      </c>
      <c r="D195">
        <f t="shared" si="15"/>
        <v>2026</v>
      </c>
      <c r="E195">
        <f t="shared" si="11"/>
        <v>2168</v>
      </c>
      <c r="F195" cm="1">
        <f t="array" ref="F195">INDEX('GMW - $100 oil'!$A$2:$MC$200,MATCH(1,('GMW - $100 oil'!$MC$2:$MC$200=F$3)*('GMW - $100 oil'!$MB$2:$MB$200=F$4),0),$E195-1973)</f>
        <v>713679.8</v>
      </c>
      <c r="G195" cm="1">
        <f t="array" ref="G195">INDEX('GMW - $100 oil'!$A$2:$MC$200,MATCH(1,('GMW - $100 oil'!$MC$2:$MC$200=G$3)*('GMW - $100 oil'!$MB$2:$MB$200=G$4),0),$E195-1973)</f>
        <v>420672.3</v>
      </c>
      <c r="H195" cm="1">
        <f t="array" ref="H195">INDEX('GMW - $100 oil'!$A$2:$MC$200,MATCH(1,('GMW - $100 oil'!$MC$2:$MC$200=H$3)*('GMW - $100 oil'!$MB$2:$MB$200=H$4),0),$E195-1973)</f>
        <v>144.02529999999999</v>
      </c>
      <c r="I195" cm="1">
        <f t="array" ref="I195">INDEX('GMW - $100 oil'!$A$2:$MC$200,MATCH(1,('GMW - $100 oil'!$MC$2:$MC$200=I$3)*('GMW - $100 oil'!$MB$2:$MB$200=I$4),0),$E195-1973)</f>
        <v>3.5475560000000002</v>
      </c>
      <c r="J195" t="e" cm="1">
        <f t="array" ref="J195">INDEX('GMW - $100 oil'!$A$2:$MC$200,MATCH(1,('GMW - $100 oil'!$MC$2:$MC$200=J$3)*('GMW - $100 oil'!$MB$2:$MB$200=J$4),0),$E195-1973)</f>
        <v>#N/A</v>
      </c>
      <c r="K195" t="e" cm="1">
        <f t="array" ref="K195">INDEX('GMW - $100 oil'!$A$2:$MC$200,MATCH(1,('GMW - $100 oil'!$MC$2:$MC$200=K$3)*('GMW - $100 oil'!$MB$2:$MB$200=K$4),0),$E195-1973)</f>
        <v>#N/A</v>
      </c>
      <c r="L195" t="e" cm="1">
        <f t="array" ref="L195">INDEX('GMW - $100 oil'!$A$2:$MC$200,MATCH(1,('GMW - $100 oil'!$MC$2:$MC$200=L$3)*('GMW - $100 oil'!$MB$2:$MB$200=L$4),0),$E195-1973)</f>
        <v>#N/A</v>
      </c>
      <c r="M195" t="e" cm="1">
        <f t="array" ref="M195">INDEX('GMW - $100 oil'!$A$2:$MC$200,MATCH(1,('GMW - $100 oil'!$MC$2:$MC$200=M$3)*('GMW - $100 oil'!$MB$2:$MB$200=M$4),0),$E195-1973)</f>
        <v>#N/A</v>
      </c>
      <c r="N195" t="e" cm="1">
        <f t="array" ref="N195">INDEX('GMW - $100 oil'!$A$2:$MC$200,MATCH(1,('GMW - $100 oil'!$MC$2:$MC$200=N$3)*('GMW - $100 oil'!$MB$2:$MB$200=N$4),0),$E195-1973)</f>
        <v>#N/A</v>
      </c>
      <c r="O195" t="e" cm="1">
        <f t="array" ref="O195">INDEX('GMW - $100 oil'!$A$2:$MC$200,MATCH(1,('GMW - $100 oil'!$MC$2:$MC$200=O$3)*('GMW - $100 oil'!$MB$2:$MB$200=O$4),0),$E195-1973)</f>
        <v>#N/A</v>
      </c>
      <c r="P195" t="e" cm="1">
        <f t="array" ref="P195">INDEX('GMW - $100 oil'!$A$2:$MC$200,MATCH(1,('GMW - $100 oil'!$MC$2:$MC$200=P$3)*('GMW - $100 oil'!$MB$2:$MB$200=P$4),0),$E195-1973)</f>
        <v>#N/A</v>
      </c>
      <c r="Q195" t="e" cm="1">
        <f t="array" ref="Q195">INDEX('GMW - $100 oil'!$A$2:$MC$200,MATCH(1,('GMW - $100 oil'!$MC$2:$MC$200=Q$3)*('GMW - $100 oil'!$MB$2:$MB$200=Q$4),0),$E195-1973)</f>
        <v>#N/A</v>
      </c>
      <c r="R195" t="e" cm="1">
        <f t="array" ref="R195">INDEX('GMW - $100 oil'!$A$2:$MC$200,MATCH(1,('GMW - $100 oil'!$MC$2:$MC$200=R$3)*('GMW - $100 oil'!$MB$2:$MB$200=R$4),0),$E195-1973)</f>
        <v>#N/A</v>
      </c>
      <c r="S195" t="e" cm="1">
        <f t="array" ref="S195">INDEX('GMW - $100 oil'!$A$2:$MC$200,MATCH(1,('GMW - $100 oil'!$MC$2:$MC$200=S$3)*('GMW - $100 oil'!$MB$2:$MB$200=S$4),0),$E195-1973)</f>
        <v>#N/A</v>
      </c>
      <c r="T195" t="e" cm="1">
        <f t="array" ref="T195">INDEX('GMW - $100 oil'!$A$2:$MC$200,MATCH(1,('GMW - $100 oil'!$MC$2:$MC$200=T$3)*('GMW - $100 oil'!$MB$2:$MB$200=T$4),0),$E195-1973)</f>
        <v>#N/A</v>
      </c>
    </row>
    <row r="196" spans="1:20" x14ac:dyDescent="0.25">
      <c r="B196">
        <f t="shared" si="15"/>
        <v>2027</v>
      </c>
      <c r="C196">
        <f t="shared" si="15"/>
        <v>2027</v>
      </c>
      <c r="E196">
        <f t="shared" si="11"/>
        <v>2169</v>
      </c>
      <c r="F196" cm="1">
        <f t="array" ref="F196">INDEX('GMW - $100 oil'!$A$2:$MC$200,MATCH(1,('GMW - $100 oil'!$MC$2:$MC$200=F$3)*('GMW - $100 oil'!$MB$2:$MB$200=F$4),0),$E196-1973)</f>
        <v>716742.6</v>
      </c>
      <c r="G196" cm="1">
        <f t="array" ref="G196">INDEX('GMW - $100 oil'!$A$2:$MC$200,MATCH(1,('GMW - $100 oil'!$MC$2:$MC$200=G$3)*('GMW - $100 oil'!$MB$2:$MB$200=G$4),0),$E196-1973)</f>
        <v>421944.5</v>
      </c>
      <c r="H196" cm="1">
        <f t="array" ref="H196">INDEX('GMW - $100 oil'!$A$2:$MC$200,MATCH(1,('GMW - $100 oil'!$MC$2:$MC$200=H$3)*('GMW - $100 oil'!$MB$2:$MB$200=H$4),0),$E196-1973)</f>
        <v>145.4366</v>
      </c>
      <c r="I196" cm="1">
        <f t="array" ref="I196">INDEX('GMW - $100 oil'!$A$2:$MC$200,MATCH(1,('GMW - $100 oil'!$MC$2:$MC$200=I$3)*('GMW - $100 oil'!$MB$2:$MB$200=I$4),0),$E196-1973)</f>
        <v>3.4133719999999999</v>
      </c>
      <c r="J196" t="e" cm="1">
        <f t="array" ref="J196">INDEX('GMW - $100 oil'!$A$2:$MC$200,MATCH(1,('GMW - $100 oil'!$MC$2:$MC$200=J$3)*('GMW - $100 oil'!$MB$2:$MB$200=J$4),0),$E196-1973)</f>
        <v>#N/A</v>
      </c>
      <c r="K196" t="e" cm="1">
        <f t="array" ref="K196">INDEX('GMW - $100 oil'!$A$2:$MC$200,MATCH(1,('GMW - $100 oil'!$MC$2:$MC$200=K$3)*('GMW - $100 oil'!$MB$2:$MB$200=K$4),0),$E196-1973)</f>
        <v>#N/A</v>
      </c>
      <c r="L196" t="e" cm="1">
        <f t="array" ref="L196">INDEX('GMW - $100 oil'!$A$2:$MC$200,MATCH(1,('GMW - $100 oil'!$MC$2:$MC$200=L$3)*('GMW - $100 oil'!$MB$2:$MB$200=L$4),0),$E196-1973)</f>
        <v>#N/A</v>
      </c>
      <c r="M196" t="e" cm="1">
        <f t="array" ref="M196">INDEX('GMW - $100 oil'!$A$2:$MC$200,MATCH(1,('GMW - $100 oil'!$MC$2:$MC$200=M$3)*('GMW - $100 oil'!$MB$2:$MB$200=M$4),0),$E196-1973)</f>
        <v>#N/A</v>
      </c>
      <c r="N196" t="e" cm="1">
        <f t="array" ref="N196">INDEX('GMW - $100 oil'!$A$2:$MC$200,MATCH(1,('GMW - $100 oil'!$MC$2:$MC$200=N$3)*('GMW - $100 oil'!$MB$2:$MB$200=N$4),0),$E196-1973)</f>
        <v>#N/A</v>
      </c>
      <c r="O196" t="e" cm="1">
        <f t="array" ref="O196">INDEX('GMW - $100 oil'!$A$2:$MC$200,MATCH(1,('GMW - $100 oil'!$MC$2:$MC$200=O$3)*('GMW - $100 oil'!$MB$2:$MB$200=O$4),0),$E196-1973)</f>
        <v>#N/A</v>
      </c>
      <c r="P196" t="e" cm="1">
        <f t="array" ref="P196">INDEX('GMW - $100 oil'!$A$2:$MC$200,MATCH(1,('GMW - $100 oil'!$MC$2:$MC$200=P$3)*('GMW - $100 oil'!$MB$2:$MB$200=P$4),0),$E196-1973)</f>
        <v>#N/A</v>
      </c>
      <c r="Q196" t="e" cm="1">
        <f t="array" ref="Q196">INDEX('GMW - $100 oil'!$A$2:$MC$200,MATCH(1,('GMW - $100 oil'!$MC$2:$MC$200=Q$3)*('GMW - $100 oil'!$MB$2:$MB$200=Q$4),0),$E196-1973)</f>
        <v>#N/A</v>
      </c>
      <c r="R196" t="e" cm="1">
        <f t="array" ref="R196">INDEX('GMW - $100 oil'!$A$2:$MC$200,MATCH(1,('GMW - $100 oil'!$MC$2:$MC$200=R$3)*('GMW - $100 oil'!$MB$2:$MB$200=R$4),0),$E196-1973)</f>
        <v>#N/A</v>
      </c>
      <c r="S196" t="e" cm="1">
        <f t="array" ref="S196">INDEX('GMW - $100 oil'!$A$2:$MC$200,MATCH(1,('GMW - $100 oil'!$MC$2:$MC$200=S$3)*('GMW - $100 oil'!$MB$2:$MB$200=S$4),0),$E196-1973)</f>
        <v>#N/A</v>
      </c>
      <c r="T196" t="e" cm="1">
        <f t="array" ref="T196">INDEX('GMW - $100 oil'!$A$2:$MC$200,MATCH(1,('GMW - $100 oil'!$MC$2:$MC$200=T$3)*('GMW - $100 oil'!$MB$2:$MB$200=T$4),0),$E196-1973)</f>
        <v>#N/A</v>
      </c>
    </row>
    <row r="197" spans="1:20" x14ac:dyDescent="0.25">
      <c r="B197">
        <f t="shared" si="15"/>
        <v>2027</v>
      </c>
      <c r="C197">
        <f t="shared" si="15"/>
        <v>2027</v>
      </c>
      <c r="E197">
        <f t="shared" si="11"/>
        <v>2170</v>
      </c>
      <c r="F197" cm="1">
        <f t="array" ref="F197">INDEX('GMW - $100 oil'!$A$2:$MC$200,MATCH(1,('GMW - $100 oil'!$MC$2:$MC$200=F$3)*('GMW - $100 oil'!$MB$2:$MB$200=F$4),0),$E197-1973)</f>
        <v>719855.3</v>
      </c>
      <c r="G197" cm="1">
        <f t="array" ref="G197">INDEX('GMW - $100 oil'!$A$2:$MC$200,MATCH(1,('GMW - $100 oil'!$MC$2:$MC$200=G$3)*('GMW - $100 oil'!$MB$2:$MB$200=G$4),0),$E197-1973)</f>
        <v>423285.1</v>
      </c>
      <c r="H197" cm="1">
        <f t="array" ref="H197">INDEX('GMW - $100 oil'!$A$2:$MC$200,MATCH(1,('GMW - $100 oil'!$MC$2:$MC$200=H$3)*('GMW - $100 oil'!$MB$2:$MB$200=H$4),0),$E197-1973)</f>
        <v>145.9331</v>
      </c>
      <c r="I197" cm="1">
        <f t="array" ref="I197">INDEX('GMW - $100 oil'!$A$2:$MC$200,MATCH(1,('GMW - $100 oil'!$MC$2:$MC$200=I$3)*('GMW - $100 oil'!$MB$2:$MB$200=I$4),0),$E197-1973)</f>
        <v>3.3161990000000001</v>
      </c>
      <c r="J197" t="e" cm="1">
        <f t="array" ref="J197">INDEX('GMW - $100 oil'!$A$2:$MC$200,MATCH(1,('GMW - $100 oil'!$MC$2:$MC$200=J$3)*('GMW - $100 oil'!$MB$2:$MB$200=J$4),0),$E197-1973)</f>
        <v>#N/A</v>
      </c>
      <c r="K197" t="e" cm="1">
        <f t="array" ref="K197">INDEX('GMW - $100 oil'!$A$2:$MC$200,MATCH(1,('GMW - $100 oil'!$MC$2:$MC$200=K$3)*('GMW - $100 oil'!$MB$2:$MB$200=K$4),0),$E197-1973)</f>
        <v>#N/A</v>
      </c>
      <c r="L197" t="e" cm="1">
        <f t="array" ref="L197">INDEX('GMW - $100 oil'!$A$2:$MC$200,MATCH(1,('GMW - $100 oil'!$MC$2:$MC$200=L$3)*('GMW - $100 oil'!$MB$2:$MB$200=L$4),0),$E197-1973)</f>
        <v>#N/A</v>
      </c>
      <c r="M197" t="e" cm="1">
        <f t="array" ref="M197">INDEX('GMW - $100 oil'!$A$2:$MC$200,MATCH(1,('GMW - $100 oil'!$MC$2:$MC$200=M$3)*('GMW - $100 oil'!$MB$2:$MB$200=M$4),0),$E197-1973)</f>
        <v>#N/A</v>
      </c>
      <c r="N197" t="e" cm="1">
        <f t="array" ref="N197">INDEX('GMW - $100 oil'!$A$2:$MC$200,MATCH(1,('GMW - $100 oil'!$MC$2:$MC$200=N$3)*('GMW - $100 oil'!$MB$2:$MB$200=N$4),0),$E197-1973)</f>
        <v>#N/A</v>
      </c>
      <c r="O197" t="e" cm="1">
        <f t="array" ref="O197">INDEX('GMW - $100 oil'!$A$2:$MC$200,MATCH(1,('GMW - $100 oil'!$MC$2:$MC$200=O$3)*('GMW - $100 oil'!$MB$2:$MB$200=O$4),0),$E197-1973)</f>
        <v>#N/A</v>
      </c>
      <c r="P197" t="e" cm="1">
        <f t="array" ref="P197">INDEX('GMW - $100 oil'!$A$2:$MC$200,MATCH(1,('GMW - $100 oil'!$MC$2:$MC$200=P$3)*('GMW - $100 oil'!$MB$2:$MB$200=P$4),0),$E197-1973)</f>
        <v>#N/A</v>
      </c>
      <c r="Q197" t="e" cm="1">
        <f t="array" ref="Q197">INDEX('GMW - $100 oil'!$A$2:$MC$200,MATCH(1,('GMW - $100 oil'!$MC$2:$MC$200=Q$3)*('GMW - $100 oil'!$MB$2:$MB$200=Q$4),0),$E197-1973)</f>
        <v>#N/A</v>
      </c>
      <c r="R197" t="e" cm="1">
        <f t="array" ref="R197">INDEX('GMW - $100 oil'!$A$2:$MC$200,MATCH(1,('GMW - $100 oil'!$MC$2:$MC$200=R$3)*('GMW - $100 oil'!$MB$2:$MB$200=R$4),0),$E197-1973)</f>
        <v>#N/A</v>
      </c>
      <c r="S197" t="e" cm="1">
        <f t="array" ref="S197">INDEX('GMW - $100 oil'!$A$2:$MC$200,MATCH(1,('GMW - $100 oil'!$MC$2:$MC$200=S$3)*('GMW - $100 oil'!$MB$2:$MB$200=S$4),0),$E197-1973)</f>
        <v>#N/A</v>
      </c>
      <c r="T197" t="e" cm="1">
        <f t="array" ref="T197">INDEX('GMW - $100 oil'!$A$2:$MC$200,MATCH(1,('GMW - $100 oil'!$MC$2:$MC$200=T$3)*('GMW - $100 oil'!$MB$2:$MB$200=T$4),0),$E197-1973)</f>
        <v>#N/A</v>
      </c>
    </row>
    <row r="198" spans="1:20" x14ac:dyDescent="0.25">
      <c r="B198">
        <f t="shared" si="15"/>
        <v>2027</v>
      </c>
      <c r="C198">
        <f t="shared" si="15"/>
        <v>2027</v>
      </c>
      <c r="E198">
        <f t="shared" si="11"/>
        <v>2171</v>
      </c>
      <c r="F198" cm="1">
        <f t="array" ref="F198">INDEX('GMW - $100 oil'!$A$2:$MC$200,MATCH(1,('GMW - $100 oil'!$MC$2:$MC$200=F$3)*('GMW - $100 oil'!$MB$2:$MB$200=F$4),0),$E198-1973)</f>
        <v>722678.2</v>
      </c>
      <c r="G198" cm="1">
        <f t="array" ref="G198">INDEX('GMW - $100 oil'!$A$2:$MC$200,MATCH(1,('GMW - $100 oil'!$MC$2:$MC$200=G$3)*('GMW - $100 oil'!$MB$2:$MB$200=G$4),0),$E198-1973)</f>
        <v>424548</v>
      </c>
      <c r="H198" cm="1">
        <f t="array" ref="H198">INDEX('GMW - $100 oil'!$A$2:$MC$200,MATCH(1,('GMW - $100 oil'!$MC$2:$MC$200=H$3)*('GMW - $100 oil'!$MB$2:$MB$200=H$4),0),$E198-1973)</f>
        <v>146.46690000000001</v>
      </c>
      <c r="I198" cm="1">
        <f t="array" ref="I198">INDEX('GMW - $100 oil'!$A$2:$MC$200,MATCH(1,('GMW - $100 oil'!$MC$2:$MC$200=I$3)*('GMW - $100 oil'!$MB$2:$MB$200=I$4),0),$E198-1973)</f>
        <v>3.2484160000000002</v>
      </c>
      <c r="J198" t="e" cm="1">
        <f t="array" ref="J198">INDEX('GMW - $100 oil'!$A$2:$MC$200,MATCH(1,('GMW - $100 oil'!$MC$2:$MC$200=J$3)*('GMW - $100 oil'!$MB$2:$MB$200=J$4),0),$E198-1973)</f>
        <v>#N/A</v>
      </c>
      <c r="K198" t="e" cm="1">
        <f t="array" ref="K198">INDEX('GMW - $100 oil'!$A$2:$MC$200,MATCH(1,('GMW - $100 oil'!$MC$2:$MC$200=K$3)*('GMW - $100 oil'!$MB$2:$MB$200=K$4),0),$E198-1973)</f>
        <v>#N/A</v>
      </c>
      <c r="L198" t="e" cm="1">
        <f t="array" ref="L198">INDEX('GMW - $100 oil'!$A$2:$MC$200,MATCH(1,('GMW - $100 oil'!$MC$2:$MC$200=L$3)*('GMW - $100 oil'!$MB$2:$MB$200=L$4),0),$E198-1973)</f>
        <v>#N/A</v>
      </c>
      <c r="M198" t="e" cm="1">
        <f t="array" ref="M198">INDEX('GMW - $100 oil'!$A$2:$MC$200,MATCH(1,('GMW - $100 oil'!$MC$2:$MC$200=M$3)*('GMW - $100 oil'!$MB$2:$MB$200=M$4),0),$E198-1973)</f>
        <v>#N/A</v>
      </c>
      <c r="N198" t="e" cm="1">
        <f t="array" ref="N198">INDEX('GMW - $100 oil'!$A$2:$MC$200,MATCH(1,('GMW - $100 oil'!$MC$2:$MC$200=N$3)*('GMW - $100 oil'!$MB$2:$MB$200=N$4),0),$E198-1973)</f>
        <v>#N/A</v>
      </c>
      <c r="O198" t="e" cm="1">
        <f t="array" ref="O198">INDEX('GMW - $100 oil'!$A$2:$MC$200,MATCH(1,('GMW - $100 oil'!$MC$2:$MC$200=O$3)*('GMW - $100 oil'!$MB$2:$MB$200=O$4),0),$E198-1973)</f>
        <v>#N/A</v>
      </c>
      <c r="P198" t="e" cm="1">
        <f t="array" ref="P198">INDEX('GMW - $100 oil'!$A$2:$MC$200,MATCH(1,('GMW - $100 oil'!$MC$2:$MC$200=P$3)*('GMW - $100 oil'!$MB$2:$MB$200=P$4),0),$E198-1973)</f>
        <v>#N/A</v>
      </c>
      <c r="Q198" t="e" cm="1">
        <f t="array" ref="Q198">INDEX('GMW - $100 oil'!$A$2:$MC$200,MATCH(1,('GMW - $100 oil'!$MC$2:$MC$200=Q$3)*('GMW - $100 oil'!$MB$2:$MB$200=Q$4),0),$E198-1973)</f>
        <v>#N/A</v>
      </c>
      <c r="R198" t="e" cm="1">
        <f t="array" ref="R198">INDEX('GMW - $100 oil'!$A$2:$MC$200,MATCH(1,('GMW - $100 oil'!$MC$2:$MC$200=R$3)*('GMW - $100 oil'!$MB$2:$MB$200=R$4),0),$E198-1973)</f>
        <v>#N/A</v>
      </c>
      <c r="S198" t="e" cm="1">
        <f t="array" ref="S198">INDEX('GMW - $100 oil'!$A$2:$MC$200,MATCH(1,('GMW - $100 oil'!$MC$2:$MC$200=S$3)*('GMW - $100 oil'!$MB$2:$MB$200=S$4),0),$E198-1973)</f>
        <v>#N/A</v>
      </c>
      <c r="T198" t="e" cm="1">
        <f t="array" ref="T198">INDEX('GMW - $100 oil'!$A$2:$MC$200,MATCH(1,('GMW - $100 oil'!$MC$2:$MC$200=T$3)*('GMW - $100 oil'!$MB$2:$MB$200=T$4),0),$E198-1973)</f>
        <v>#N/A</v>
      </c>
    </row>
    <row r="199" spans="1:20" x14ac:dyDescent="0.25">
      <c r="A199">
        <v>2028</v>
      </c>
      <c r="B199">
        <f t="shared" si="15"/>
        <v>2028</v>
      </c>
      <c r="C199">
        <f t="shared" si="15"/>
        <v>2027</v>
      </c>
      <c r="D199">
        <f t="shared" si="15"/>
        <v>2027</v>
      </c>
      <c r="E199">
        <f t="shared" si="11"/>
        <v>2172</v>
      </c>
      <c r="F199" cm="1">
        <f t="array" ref="F199">INDEX('GMW - $100 oil'!$A$2:$MC$200,MATCH(1,('GMW - $100 oil'!$MC$2:$MC$200=F$3)*('GMW - $100 oil'!$MB$2:$MB$200=F$4),0),$E199-1973)</f>
        <v>725570.6</v>
      </c>
      <c r="G199" cm="1">
        <f t="array" ref="G199">INDEX('GMW - $100 oil'!$A$2:$MC$200,MATCH(1,('GMW - $100 oil'!$MC$2:$MC$200=G$3)*('GMW - $100 oil'!$MB$2:$MB$200=G$4),0),$E199-1973)</f>
        <v>426094</v>
      </c>
      <c r="H199" cm="1">
        <f t="array" ref="H199">INDEX('GMW - $100 oil'!$A$2:$MC$200,MATCH(1,('GMW - $100 oil'!$MC$2:$MC$200=H$3)*('GMW - $100 oil'!$MB$2:$MB$200=H$4),0),$E199-1973)</f>
        <v>146.6755</v>
      </c>
      <c r="I199" cm="1">
        <f t="array" ref="I199">INDEX('GMW - $100 oil'!$A$2:$MC$200,MATCH(1,('GMW - $100 oil'!$MC$2:$MC$200=I$3)*('GMW - $100 oil'!$MB$2:$MB$200=I$4),0),$E199-1973)</f>
        <v>3.1608610000000001</v>
      </c>
      <c r="J199" t="e" cm="1">
        <f t="array" ref="J199">INDEX('GMW - $100 oil'!$A$2:$MC$200,MATCH(1,('GMW - $100 oil'!$MC$2:$MC$200=J$3)*('GMW - $100 oil'!$MB$2:$MB$200=J$4),0),$E199-1973)</f>
        <v>#N/A</v>
      </c>
      <c r="K199" t="e" cm="1">
        <f t="array" ref="K199">INDEX('GMW - $100 oil'!$A$2:$MC$200,MATCH(1,('GMW - $100 oil'!$MC$2:$MC$200=K$3)*('GMW - $100 oil'!$MB$2:$MB$200=K$4),0),$E199-1973)</f>
        <v>#N/A</v>
      </c>
      <c r="L199" t="e" cm="1">
        <f t="array" ref="L199">INDEX('GMW - $100 oil'!$A$2:$MC$200,MATCH(1,('GMW - $100 oil'!$MC$2:$MC$200=L$3)*('GMW - $100 oil'!$MB$2:$MB$200=L$4),0),$E199-1973)</f>
        <v>#N/A</v>
      </c>
      <c r="M199" t="e" cm="1">
        <f t="array" ref="M199">INDEX('GMW - $100 oil'!$A$2:$MC$200,MATCH(1,('GMW - $100 oil'!$MC$2:$MC$200=M$3)*('GMW - $100 oil'!$MB$2:$MB$200=M$4),0),$E199-1973)</f>
        <v>#N/A</v>
      </c>
      <c r="N199" t="e" cm="1">
        <f t="array" ref="N199">INDEX('GMW - $100 oil'!$A$2:$MC$200,MATCH(1,('GMW - $100 oil'!$MC$2:$MC$200=N$3)*('GMW - $100 oil'!$MB$2:$MB$200=N$4),0),$E199-1973)</f>
        <v>#N/A</v>
      </c>
      <c r="O199" t="e" cm="1">
        <f t="array" ref="O199">INDEX('GMW - $100 oil'!$A$2:$MC$200,MATCH(1,('GMW - $100 oil'!$MC$2:$MC$200=O$3)*('GMW - $100 oil'!$MB$2:$MB$200=O$4),0),$E199-1973)</f>
        <v>#N/A</v>
      </c>
      <c r="P199" t="e" cm="1">
        <f t="array" ref="P199">INDEX('GMW - $100 oil'!$A$2:$MC$200,MATCH(1,('GMW - $100 oil'!$MC$2:$MC$200=P$3)*('GMW - $100 oil'!$MB$2:$MB$200=P$4),0),$E199-1973)</f>
        <v>#N/A</v>
      </c>
      <c r="Q199" t="e" cm="1">
        <f t="array" ref="Q199">INDEX('GMW - $100 oil'!$A$2:$MC$200,MATCH(1,('GMW - $100 oil'!$MC$2:$MC$200=Q$3)*('GMW - $100 oil'!$MB$2:$MB$200=Q$4),0),$E199-1973)</f>
        <v>#N/A</v>
      </c>
      <c r="R199" t="e" cm="1">
        <f t="array" ref="R199">INDEX('GMW - $100 oil'!$A$2:$MC$200,MATCH(1,('GMW - $100 oil'!$MC$2:$MC$200=R$3)*('GMW - $100 oil'!$MB$2:$MB$200=R$4),0),$E199-1973)</f>
        <v>#N/A</v>
      </c>
      <c r="S199" t="e" cm="1">
        <f t="array" ref="S199">INDEX('GMW - $100 oil'!$A$2:$MC$200,MATCH(1,('GMW - $100 oil'!$MC$2:$MC$200=S$3)*('GMW - $100 oil'!$MB$2:$MB$200=S$4),0),$E199-1973)</f>
        <v>#N/A</v>
      </c>
      <c r="T199" t="e" cm="1">
        <f t="array" ref="T199">INDEX('GMW - $100 oil'!$A$2:$MC$200,MATCH(1,('GMW - $100 oil'!$MC$2:$MC$200=T$3)*('GMW - $100 oil'!$MB$2:$MB$200=T$4),0),$E199-1973)</f>
        <v>#N/A</v>
      </c>
    </row>
    <row r="200" spans="1:20" x14ac:dyDescent="0.25">
      <c r="B200">
        <f t="shared" si="15"/>
        <v>2028</v>
      </c>
      <c r="C200">
        <f t="shared" si="15"/>
        <v>2028</v>
      </c>
      <c r="E200">
        <f t="shared" si="11"/>
        <v>2173</v>
      </c>
      <c r="F200" cm="1">
        <f t="array" ref="F200">INDEX('GMW - $100 oil'!$A$2:$MC$200,MATCH(1,('GMW - $100 oil'!$MC$2:$MC$200=F$3)*('GMW - $100 oil'!$MB$2:$MB$200=F$4),0),$E200-1973)</f>
        <v>728643.9</v>
      </c>
      <c r="G200" cm="1">
        <f t="array" ref="G200">INDEX('GMW - $100 oil'!$A$2:$MC$200,MATCH(1,('GMW - $100 oil'!$MC$2:$MC$200=G$3)*('GMW - $100 oil'!$MB$2:$MB$200=G$4),0),$E200-1973)</f>
        <v>427948.5</v>
      </c>
      <c r="H200" cm="1">
        <f t="array" ref="H200">INDEX('GMW - $100 oil'!$A$2:$MC$200,MATCH(1,('GMW - $100 oil'!$MC$2:$MC$200=H$3)*('GMW - $100 oil'!$MB$2:$MB$200=H$4),0),$E200-1973)</f>
        <v>147.9537</v>
      </c>
      <c r="I200" cm="1">
        <f t="array" ref="I200">INDEX('GMW - $100 oil'!$A$2:$MC$200,MATCH(1,('GMW - $100 oil'!$MC$2:$MC$200=I$3)*('GMW - $100 oil'!$MB$2:$MB$200=I$4),0),$E200-1973)</f>
        <v>2.9293900000000002</v>
      </c>
      <c r="J200" t="e" cm="1">
        <f t="array" ref="J200">INDEX('GMW - $100 oil'!$A$2:$MC$200,MATCH(1,('GMW - $100 oil'!$MC$2:$MC$200=J$3)*('GMW - $100 oil'!$MB$2:$MB$200=J$4),0),$E200-1973)</f>
        <v>#N/A</v>
      </c>
      <c r="K200" t="e" cm="1">
        <f t="array" ref="K200">INDEX('GMW - $100 oil'!$A$2:$MC$200,MATCH(1,('GMW - $100 oil'!$MC$2:$MC$200=K$3)*('GMW - $100 oil'!$MB$2:$MB$200=K$4),0),$E200-1973)</f>
        <v>#N/A</v>
      </c>
      <c r="L200" t="e" cm="1">
        <f t="array" ref="L200">INDEX('GMW - $100 oil'!$A$2:$MC$200,MATCH(1,('GMW - $100 oil'!$MC$2:$MC$200=L$3)*('GMW - $100 oil'!$MB$2:$MB$200=L$4),0),$E200-1973)</f>
        <v>#N/A</v>
      </c>
      <c r="M200" t="e" cm="1">
        <f t="array" ref="M200">INDEX('GMW - $100 oil'!$A$2:$MC$200,MATCH(1,('GMW - $100 oil'!$MC$2:$MC$200=M$3)*('GMW - $100 oil'!$MB$2:$MB$200=M$4),0),$E200-1973)</f>
        <v>#N/A</v>
      </c>
      <c r="N200" t="e" cm="1">
        <f t="array" ref="N200">INDEX('GMW - $100 oil'!$A$2:$MC$200,MATCH(1,('GMW - $100 oil'!$MC$2:$MC$200=N$3)*('GMW - $100 oil'!$MB$2:$MB$200=N$4),0),$E200-1973)</f>
        <v>#N/A</v>
      </c>
      <c r="O200" t="e" cm="1">
        <f t="array" ref="O200">INDEX('GMW - $100 oil'!$A$2:$MC$200,MATCH(1,('GMW - $100 oil'!$MC$2:$MC$200=O$3)*('GMW - $100 oil'!$MB$2:$MB$200=O$4),0),$E200-1973)</f>
        <v>#N/A</v>
      </c>
      <c r="P200" t="e" cm="1">
        <f t="array" ref="P200">INDEX('GMW - $100 oil'!$A$2:$MC$200,MATCH(1,('GMW - $100 oil'!$MC$2:$MC$200=P$3)*('GMW - $100 oil'!$MB$2:$MB$200=P$4),0),$E200-1973)</f>
        <v>#N/A</v>
      </c>
      <c r="Q200" t="e" cm="1">
        <f t="array" ref="Q200">INDEX('GMW - $100 oil'!$A$2:$MC$200,MATCH(1,('GMW - $100 oil'!$MC$2:$MC$200=Q$3)*('GMW - $100 oil'!$MB$2:$MB$200=Q$4),0),$E200-1973)</f>
        <v>#N/A</v>
      </c>
      <c r="R200" t="e" cm="1">
        <f t="array" ref="R200">INDEX('GMW - $100 oil'!$A$2:$MC$200,MATCH(1,('GMW - $100 oil'!$MC$2:$MC$200=R$3)*('GMW - $100 oil'!$MB$2:$MB$200=R$4),0),$E200-1973)</f>
        <v>#N/A</v>
      </c>
      <c r="S200" t="e" cm="1">
        <f t="array" ref="S200">INDEX('GMW - $100 oil'!$A$2:$MC$200,MATCH(1,('GMW - $100 oil'!$MC$2:$MC$200=S$3)*('GMW - $100 oil'!$MB$2:$MB$200=S$4),0),$E200-1973)</f>
        <v>#N/A</v>
      </c>
      <c r="T200" t="e" cm="1">
        <f t="array" ref="T200">INDEX('GMW - $100 oil'!$A$2:$MC$200,MATCH(1,('GMW - $100 oil'!$MC$2:$MC$200=T$3)*('GMW - $100 oil'!$MB$2:$MB$200=T$4),0),$E200-1973)</f>
        <v>#N/A</v>
      </c>
    </row>
    <row r="201" spans="1:20" x14ac:dyDescent="0.25">
      <c r="B201">
        <f t="shared" si="15"/>
        <v>2028</v>
      </c>
      <c r="C201">
        <f t="shared" si="15"/>
        <v>2028</v>
      </c>
      <c r="E201">
        <f t="shared" ref="E201:E264" si="16">+E200+1</f>
        <v>2174</v>
      </c>
      <c r="F201" cm="1">
        <f t="array" ref="F201">INDEX('GMW - $100 oil'!$A$2:$MC$200,MATCH(1,('GMW - $100 oil'!$MC$2:$MC$200=F$3)*('GMW - $100 oil'!$MB$2:$MB$200=F$4),0),$E201-1973)</f>
        <v>731642.9</v>
      </c>
      <c r="G201" cm="1">
        <f t="array" ref="G201">INDEX('GMW - $100 oil'!$A$2:$MC$200,MATCH(1,('GMW - $100 oil'!$MC$2:$MC$200=G$3)*('GMW - $100 oil'!$MB$2:$MB$200=G$4),0),$E201-1973)</f>
        <v>429841.7</v>
      </c>
      <c r="H201" cm="1">
        <f t="array" ref="H201">INDEX('GMW - $100 oil'!$A$2:$MC$200,MATCH(1,('GMW - $100 oil'!$MC$2:$MC$200=H$3)*('GMW - $100 oil'!$MB$2:$MB$200=H$4),0),$E201-1973)</f>
        <v>148.66079999999999</v>
      </c>
      <c r="I201" cm="1">
        <f t="array" ref="I201">INDEX('GMW - $100 oil'!$A$2:$MC$200,MATCH(1,('GMW - $100 oil'!$MC$2:$MC$200=I$3)*('GMW - $100 oil'!$MB$2:$MB$200=I$4),0),$E201-1973)</f>
        <v>2.7947540000000002</v>
      </c>
      <c r="J201" t="e" cm="1">
        <f t="array" ref="J201">INDEX('GMW - $100 oil'!$A$2:$MC$200,MATCH(1,('GMW - $100 oil'!$MC$2:$MC$200=J$3)*('GMW - $100 oil'!$MB$2:$MB$200=J$4),0),$E201-1973)</f>
        <v>#N/A</v>
      </c>
      <c r="K201" t="e" cm="1">
        <f t="array" ref="K201">INDEX('GMW - $100 oil'!$A$2:$MC$200,MATCH(1,('GMW - $100 oil'!$MC$2:$MC$200=K$3)*('GMW - $100 oil'!$MB$2:$MB$200=K$4),0),$E201-1973)</f>
        <v>#N/A</v>
      </c>
      <c r="L201" t="e" cm="1">
        <f t="array" ref="L201">INDEX('GMW - $100 oil'!$A$2:$MC$200,MATCH(1,('GMW - $100 oil'!$MC$2:$MC$200=L$3)*('GMW - $100 oil'!$MB$2:$MB$200=L$4),0),$E201-1973)</f>
        <v>#N/A</v>
      </c>
      <c r="M201" t="e" cm="1">
        <f t="array" ref="M201">INDEX('GMW - $100 oil'!$A$2:$MC$200,MATCH(1,('GMW - $100 oil'!$MC$2:$MC$200=M$3)*('GMW - $100 oil'!$MB$2:$MB$200=M$4),0),$E201-1973)</f>
        <v>#N/A</v>
      </c>
      <c r="N201" t="e" cm="1">
        <f t="array" ref="N201">INDEX('GMW - $100 oil'!$A$2:$MC$200,MATCH(1,('GMW - $100 oil'!$MC$2:$MC$200=N$3)*('GMW - $100 oil'!$MB$2:$MB$200=N$4),0),$E201-1973)</f>
        <v>#N/A</v>
      </c>
      <c r="O201" t="e" cm="1">
        <f t="array" ref="O201">INDEX('GMW - $100 oil'!$A$2:$MC$200,MATCH(1,('GMW - $100 oil'!$MC$2:$MC$200=O$3)*('GMW - $100 oil'!$MB$2:$MB$200=O$4),0),$E201-1973)</f>
        <v>#N/A</v>
      </c>
      <c r="P201" t="e" cm="1">
        <f t="array" ref="P201">INDEX('GMW - $100 oil'!$A$2:$MC$200,MATCH(1,('GMW - $100 oil'!$MC$2:$MC$200=P$3)*('GMW - $100 oil'!$MB$2:$MB$200=P$4),0),$E201-1973)</f>
        <v>#N/A</v>
      </c>
      <c r="Q201" t="e" cm="1">
        <f t="array" ref="Q201">INDEX('GMW - $100 oil'!$A$2:$MC$200,MATCH(1,('GMW - $100 oil'!$MC$2:$MC$200=Q$3)*('GMW - $100 oil'!$MB$2:$MB$200=Q$4),0),$E201-1973)</f>
        <v>#N/A</v>
      </c>
      <c r="R201" t="e" cm="1">
        <f t="array" ref="R201">INDEX('GMW - $100 oil'!$A$2:$MC$200,MATCH(1,('GMW - $100 oil'!$MC$2:$MC$200=R$3)*('GMW - $100 oil'!$MB$2:$MB$200=R$4),0),$E201-1973)</f>
        <v>#N/A</v>
      </c>
      <c r="S201" t="e" cm="1">
        <f t="array" ref="S201">INDEX('GMW - $100 oil'!$A$2:$MC$200,MATCH(1,('GMW - $100 oil'!$MC$2:$MC$200=S$3)*('GMW - $100 oil'!$MB$2:$MB$200=S$4),0),$E201-1973)</f>
        <v>#N/A</v>
      </c>
      <c r="T201" t="e" cm="1">
        <f t="array" ref="T201">INDEX('GMW - $100 oil'!$A$2:$MC$200,MATCH(1,('GMW - $100 oil'!$MC$2:$MC$200=T$3)*('GMW - $100 oil'!$MB$2:$MB$200=T$4),0),$E201-1973)</f>
        <v>#N/A</v>
      </c>
    </row>
    <row r="202" spans="1:20" x14ac:dyDescent="0.25">
      <c r="B202">
        <f t="shared" si="15"/>
        <v>2028</v>
      </c>
      <c r="C202">
        <f t="shared" si="15"/>
        <v>2028</v>
      </c>
      <c r="E202">
        <f t="shared" si="16"/>
        <v>2175</v>
      </c>
      <c r="F202" cm="1">
        <f t="array" ref="F202">INDEX('GMW - $100 oil'!$A$2:$MC$200,MATCH(1,('GMW - $100 oil'!$MC$2:$MC$200=F$3)*('GMW - $100 oil'!$MB$2:$MB$200=F$4),0),$E202-1973)</f>
        <v>734627.1</v>
      </c>
      <c r="G202" cm="1">
        <f t="array" ref="G202">INDEX('GMW - $100 oil'!$A$2:$MC$200,MATCH(1,('GMW - $100 oil'!$MC$2:$MC$200=G$3)*('GMW - $100 oil'!$MB$2:$MB$200=G$4),0),$E202-1973)</f>
        <v>431727.3</v>
      </c>
      <c r="H202" cm="1">
        <f t="array" ref="H202">INDEX('GMW - $100 oil'!$A$2:$MC$200,MATCH(1,('GMW - $100 oil'!$MC$2:$MC$200=H$3)*('GMW - $100 oil'!$MB$2:$MB$200=H$4),0),$E202-1973)</f>
        <v>149.2825</v>
      </c>
      <c r="I202" cm="1">
        <f t="array" ref="I202">INDEX('GMW - $100 oil'!$A$2:$MC$200,MATCH(1,('GMW - $100 oil'!$MC$2:$MC$200=I$3)*('GMW - $100 oil'!$MB$2:$MB$200=I$4),0),$E202-1973)</f>
        <v>2.7656429999999999</v>
      </c>
      <c r="J202" t="e" cm="1">
        <f t="array" ref="J202">INDEX('GMW - $100 oil'!$A$2:$MC$200,MATCH(1,('GMW - $100 oil'!$MC$2:$MC$200=J$3)*('GMW - $100 oil'!$MB$2:$MB$200=J$4),0),$E202-1973)</f>
        <v>#N/A</v>
      </c>
      <c r="K202" t="e" cm="1">
        <f t="array" ref="K202">INDEX('GMW - $100 oil'!$A$2:$MC$200,MATCH(1,('GMW - $100 oil'!$MC$2:$MC$200=K$3)*('GMW - $100 oil'!$MB$2:$MB$200=K$4),0),$E202-1973)</f>
        <v>#N/A</v>
      </c>
      <c r="L202" t="e" cm="1">
        <f t="array" ref="L202">INDEX('GMW - $100 oil'!$A$2:$MC$200,MATCH(1,('GMW - $100 oil'!$MC$2:$MC$200=L$3)*('GMW - $100 oil'!$MB$2:$MB$200=L$4),0),$E202-1973)</f>
        <v>#N/A</v>
      </c>
      <c r="M202" t="e" cm="1">
        <f t="array" ref="M202">INDEX('GMW - $100 oil'!$A$2:$MC$200,MATCH(1,('GMW - $100 oil'!$MC$2:$MC$200=M$3)*('GMW - $100 oil'!$MB$2:$MB$200=M$4),0),$E202-1973)</f>
        <v>#N/A</v>
      </c>
      <c r="N202" t="e" cm="1">
        <f t="array" ref="N202">INDEX('GMW - $100 oil'!$A$2:$MC$200,MATCH(1,('GMW - $100 oil'!$MC$2:$MC$200=N$3)*('GMW - $100 oil'!$MB$2:$MB$200=N$4),0),$E202-1973)</f>
        <v>#N/A</v>
      </c>
      <c r="O202" t="e" cm="1">
        <f t="array" ref="O202">INDEX('GMW - $100 oil'!$A$2:$MC$200,MATCH(1,('GMW - $100 oil'!$MC$2:$MC$200=O$3)*('GMW - $100 oil'!$MB$2:$MB$200=O$4),0),$E202-1973)</f>
        <v>#N/A</v>
      </c>
      <c r="P202" t="e" cm="1">
        <f t="array" ref="P202">INDEX('GMW - $100 oil'!$A$2:$MC$200,MATCH(1,('GMW - $100 oil'!$MC$2:$MC$200=P$3)*('GMW - $100 oil'!$MB$2:$MB$200=P$4),0),$E202-1973)</f>
        <v>#N/A</v>
      </c>
      <c r="Q202" t="e" cm="1">
        <f t="array" ref="Q202">INDEX('GMW - $100 oil'!$A$2:$MC$200,MATCH(1,('GMW - $100 oil'!$MC$2:$MC$200=Q$3)*('GMW - $100 oil'!$MB$2:$MB$200=Q$4),0),$E202-1973)</f>
        <v>#N/A</v>
      </c>
      <c r="R202" t="e" cm="1">
        <f t="array" ref="R202">INDEX('GMW - $100 oil'!$A$2:$MC$200,MATCH(1,('GMW - $100 oil'!$MC$2:$MC$200=R$3)*('GMW - $100 oil'!$MB$2:$MB$200=R$4),0),$E202-1973)</f>
        <v>#N/A</v>
      </c>
      <c r="S202" t="e" cm="1">
        <f t="array" ref="S202">INDEX('GMW - $100 oil'!$A$2:$MC$200,MATCH(1,('GMW - $100 oil'!$MC$2:$MC$200=S$3)*('GMW - $100 oil'!$MB$2:$MB$200=S$4),0),$E202-1973)</f>
        <v>#N/A</v>
      </c>
      <c r="T202" t="e" cm="1">
        <f t="array" ref="T202">INDEX('GMW - $100 oil'!$A$2:$MC$200,MATCH(1,('GMW - $100 oil'!$MC$2:$MC$200=T$3)*('GMW - $100 oil'!$MB$2:$MB$200=T$4),0),$E202-1973)</f>
        <v>#N/A</v>
      </c>
    </row>
    <row r="203" spans="1:20" x14ac:dyDescent="0.25">
      <c r="A203">
        <v>2029</v>
      </c>
      <c r="B203">
        <f t="shared" si="15"/>
        <v>2029</v>
      </c>
      <c r="C203">
        <f t="shared" si="15"/>
        <v>2028</v>
      </c>
      <c r="D203">
        <f t="shared" si="15"/>
        <v>2028</v>
      </c>
      <c r="E203">
        <f t="shared" si="16"/>
        <v>2176</v>
      </c>
      <c r="F203" cm="1">
        <f t="array" ref="F203">INDEX('GMW - $100 oil'!$A$2:$MC$200,MATCH(1,('GMW - $100 oil'!$MC$2:$MC$200=F$3)*('GMW - $100 oil'!$MB$2:$MB$200=F$4),0),$E203-1973)</f>
        <v>737486.8</v>
      </c>
      <c r="G203" cm="1">
        <f t="array" ref="G203">INDEX('GMW - $100 oil'!$A$2:$MC$200,MATCH(1,('GMW - $100 oil'!$MC$2:$MC$200=G$3)*('GMW - $100 oil'!$MB$2:$MB$200=G$4),0),$E203-1973)</f>
        <v>433458.6</v>
      </c>
      <c r="H203" cm="1">
        <f t="array" ref="H203">INDEX('GMW - $100 oil'!$A$2:$MC$200,MATCH(1,('GMW - $100 oil'!$MC$2:$MC$200=H$3)*('GMW - $100 oil'!$MB$2:$MB$200=H$4),0),$E203-1973)</f>
        <v>149.47989999999999</v>
      </c>
      <c r="I203" cm="1">
        <f t="array" ref="I203">INDEX('GMW - $100 oil'!$A$2:$MC$200,MATCH(1,('GMW - $100 oil'!$MC$2:$MC$200=I$3)*('GMW - $100 oil'!$MB$2:$MB$200=I$4),0),$E203-1973)</f>
        <v>2.744135</v>
      </c>
      <c r="J203" t="e" cm="1">
        <f t="array" ref="J203">INDEX('GMW - $100 oil'!$A$2:$MC$200,MATCH(1,('GMW - $100 oil'!$MC$2:$MC$200=J$3)*('GMW - $100 oil'!$MB$2:$MB$200=J$4),0),$E203-1973)</f>
        <v>#N/A</v>
      </c>
      <c r="K203" t="e" cm="1">
        <f t="array" ref="K203">INDEX('GMW - $100 oil'!$A$2:$MC$200,MATCH(1,('GMW - $100 oil'!$MC$2:$MC$200=K$3)*('GMW - $100 oil'!$MB$2:$MB$200=K$4),0),$E203-1973)</f>
        <v>#N/A</v>
      </c>
      <c r="L203" t="e" cm="1">
        <f t="array" ref="L203">INDEX('GMW - $100 oil'!$A$2:$MC$200,MATCH(1,('GMW - $100 oil'!$MC$2:$MC$200=L$3)*('GMW - $100 oil'!$MB$2:$MB$200=L$4),0),$E203-1973)</f>
        <v>#N/A</v>
      </c>
      <c r="M203" t="e" cm="1">
        <f t="array" ref="M203">INDEX('GMW - $100 oil'!$A$2:$MC$200,MATCH(1,('GMW - $100 oil'!$MC$2:$MC$200=M$3)*('GMW - $100 oil'!$MB$2:$MB$200=M$4),0),$E203-1973)</f>
        <v>#N/A</v>
      </c>
      <c r="N203" t="e" cm="1">
        <f t="array" ref="N203">INDEX('GMW - $100 oil'!$A$2:$MC$200,MATCH(1,('GMW - $100 oil'!$MC$2:$MC$200=N$3)*('GMW - $100 oil'!$MB$2:$MB$200=N$4),0),$E203-1973)</f>
        <v>#N/A</v>
      </c>
      <c r="O203" t="e" cm="1">
        <f t="array" ref="O203">INDEX('GMW - $100 oil'!$A$2:$MC$200,MATCH(1,('GMW - $100 oil'!$MC$2:$MC$200=O$3)*('GMW - $100 oil'!$MB$2:$MB$200=O$4),0),$E203-1973)</f>
        <v>#N/A</v>
      </c>
      <c r="P203" t="e" cm="1">
        <f t="array" ref="P203">INDEX('GMW - $100 oil'!$A$2:$MC$200,MATCH(1,('GMW - $100 oil'!$MC$2:$MC$200=P$3)*('GMW - $100 oil'!$MB$2:$MB$200=P$4),0),$E203-1973)</f>
        <v>#N/A</v>
      </c>
      <c r="Q203" t="e" cm="1">
        <f t="array" ref="Q203">INDEX('GMW - $100 oil'!$A$2:$MC$200,MATCH(1,('GMW - $100 oil'!$MC$2:$MC$200=Q$3)*('GMW - $100 oil'!$MB$2:$MB$200=Q$4),0),$E203-1973)</f>
        <v>#N/A</v>
      </c>
      <c r="R203" t="e" cm="1">
        <f t="array" ref="R203">INDEX('GMW - $100 oil'!$A$2:$MC$200,MATCH(1,('GMW - $100 oil'!$MC$2:$MC$200=R$3)*('GMW - $100 oil'!$MB$2:$MB$200=R$4),0),$E203-1973)</f>
        <v>#N/A</v>
      </c>
      <c r="S203" t="e" cm="1">
        <f t="array" ref="S203">INDEX('GMW - $100 oil'!$A$2:$MC$200,MATCH(1,('GMW - $100 oil'!$MC$2:$MC$200=S$3)*('GMW - $100 oil'!$MB$2:$MB$200=S$4),0),$E203-1973)</f>
        <v>#N/A</v>
      </c>
      <c r="T203" t="e" cm="1">
        <f t="array" ref="T203">INDEX('GMW - $100 oil'!$A$2:$MC$200,MATCH(1,('GMW - $100 oil'!$MC$2:$MC$200=T$3)*('GMW - $100 oil'!$MB$2:$MB$200=T$4),0),$E203-1973)</f>
        <v>#N/A</v>
      </c>
    </row>
    <row r="204" spans="1:20" x14ac:dyDescent="0.25">
      <c r="B204">
        <f t="shared" ref="B204:D219" si="17">+B200+1</f>
        <v>2029</v>
      </c>
      <c r="C204">
        <f t="shared" si="17"/>
        <v>2029</v>
      </c>
      <c r="E204">
        <f t="shared" si="16"/>
        <v>2177</v>
      </c>
      <c r="F204" cm="1">
        <f t="array" ref="F204">INDEX('GMW - $100 oil'!$A$2:$MC$200,MATCH(1,('GMW - $100 oil'!$MC$2:$MC$200=F$3)*('GMW - $100 oil'!$MB$2:$MB$200=F$4),0),$E204-1973)</f>
        <v>740216.8</v>
      </c>
      <c r="G204" cm="1">
        <f t="array" ref="G204">INDEX('GMW - $100 oil'!$A$2:$MC$200,MATCH(1,('GMW - $100 oil'!$MC$2:$MC$200=G$3)*('GMW - $100 oil'!$MB$2:$MB$200=G$4),0),$E204-1973)</f>
        <v>435098.7</v>
      </c>
      <c r="H204" cm="1">
        <f t="array" ref="H204">INDEX('GMW - $100 oil'!$A$2:$MC$200,MATCH(1,('GMW - $100 oil'!$MC$2:$MC$200=H$3)*('GMW - $100 oil'!$MB$2:$MB$200=H$4),0),$E204-1973)</f>
        <v>150.75020000000001</v>
      </c>
      <c r="I204" cm="1">
        <f t="array" ref="I204">INDEX('GMW - $100 oil'!$A$2:$MC$200,MATCH(1,('GMW - $100 oil'!$MC$2:$MC$200=I$3)*('GMW - $100 oil'!$MB$2:$MB$200=I$4),0),$E204-1973)</f>
        <v>2.567634</v>
      </c>
      <c r="J204" t="e" cm="1">
        <f t="array" ref="J204">INDEX('GMW - $100 oil'!$A$2:$MC$200,MATCH(1,('GMW - $100 oil'!$MC$2:$MC$200=J$3)*('GMW - $100 oil'!$MB$2:$MB$200=J$4),0),$E204-1973)</f>
        <v>#N/A</v>
      </c>
      <c r="K204" t="e" cm="1">
        <f t="array" ref="K204">INDEX('GMW - $100 oil'!$A$2:$MC$200,MATCH(1,('GMW - $100 oil'!$MC$2:$MC$200=K$3)*('GMW - $100 oil'!$MB$2:$MB$200=K$4),0),$E204-1973)</f>
        <v>#N/A</v>
      </c>
      <c r="L204" t="e" cm="1">
        <f t="array" ref="L204">INDEX('GMW - $100 oil'!$A$2:$MC$200,MATCH(1,('GMW - $100 oil'!$MC$2:$MC$200=L$3)*('GMW - $100 oil'!$MB$2:$MB$200=L$4),0),$E204-1973)</f>
        <v>#N/A</v>
      </c>
      <c r="M204" t="e" cm="1">
        <f t="array" ref="M204">INDEX('GMW - $100 oil'!$A$2:$MC$200,MATCH(1,('GMW - $100 oil'!$MC$2:$MC$200=M$3)*('GMW - $100 oil'!$MB$2:$MB$200=M$4),0),$E204-1973)</f>
        <v>#N/A</v>
      </c>
      <c r="N204" t="e" cm="1">
        <f t="array" ref="N204">INDEX('GMW - $100 oil'!$A$2:$MC$200,MATCH(1,('GMW - $100 oil'!$MC$2:$MC$200=N$3)*('GMW - $100 oil'!$MB$2:$MB$200=N$4),0),$E204-1973)</f>
        <v>#N/A</v>
      </c>
      <c r="O204" t="e" cm="1">
        <f t="array" ref="O204">INDEX('GMW - $100 oil'!$A$2:$MC$200,MATCH(1,('GMW - $100 oil'!$MC$2:$MC$200=O$3)*('GMW - $100 oil'!$MB$2:$MB$200=O$4),0),$E204-1973)</f>
        <v>#N/A</v>
      </c>
      <c r="P204" t="e" cm="1">
        <f t="array" ref="P204">INDEX('GMW - $100 oil'!$A$2:$MC$200,MATCH(1,('GMW - $100 oil'!$MC$2:$MC$200=P$3)*('GMW - $100 oil'!$MB$2:$MB$200=P$4),0),$E204-1973)</f>
        <v>#N/A</v>
      </c>
      <c r="Q204" t="e" cm="1">
        <f t="array" ref="Q204">INDEX('GMW - $100 oil'!$A$2:$MC$200,MATCH(1,('GMW - $100 oil'!$MC$2:$MC$200=Q$3)*('GMW - $100 oil'!$MB$2:$MB$200=Q$4),0),$E204-1973)</f>
        <v>#N/A</v>
      </c>
      <c r="R204" t="e" cm="1">
        <f t="array" ref="R204">INDEX('GMW - $100 oil'!$A$2:$MC$200,MATCH(1,('GMW - $100 oil'!$MC$2:$MC$200=R$3)*('GMW - $100 oil'!$MB$2:$MB$200=R$4),0),$E204-1973)</f>
        <v>#N/A</v>
      </c>
      <c r="S204" t="e" cm="1">
        <f t="array" ref="S204">INDEX('GMW - $100 oil'!$A$2:$MC$200,MATCH(1,('GMW - $100 oil'!$MC$2:$MC$200=S$3)*('GMW - $100 oil'!$MB$2:$MB$200=S$4),0),$E204-1973)</f>
        <v>#N/A</v>
      </c>
      <c r="T204" t="e" cm="1">
        <f t="array" ref="T204">INDEX('GMW - $100 oil'!$A$2:$MC$200,MATCH(1,('GMW - $100 oil'!$MC$2:$MC$200=T$3)*('GMW - $100 oil'!$MB$2:$MB$200=T$4),0),$E204-1973)</f>
        <v>#N/A</v>
      </c>
    </row>
    <row r="205" spans="1:20" x14ac:dyDescent="0.25">
      <c r="B205">
        <f t="shared" si="17"/>
        <v>2029</v>
      </c>
      <c r="C205">
        <f t="shared" si="17"/>
        <v>2029</v>
      </c>
      <c r="E205">
        <f t="shared" si="16"/>
        <v>2178</v>
      </c>
      <c r="F205" cm="1">
        <f t="array" ref="F205">INDEX('GMW - $100 oil'!$A$2:$MC$200,MATCH(1,('GMW - $100 oil'!$MC$2:$MC$200=F$3)*('GMW - $100 oil'!$MB$2:$MB$200=F$4),0),$E205-1973)</f>
        <v>743063.9</v>
      </c>
      <c r="G205" cm="1">
        <f t="array" ref="G205">INDEX('GMW - $100 oil'!$A$2:$MC$200,MATCH(1,('GMW - $100 oil'!$MC$2:$MC$200=G$3)*('GMW - $100 oil'!$MB$2:$MB$200=G$4),0),$E205-1973)</f>
        <v>436796.2</v>
      </c>
      <c r="H205" cm="1">
        <f t="array" ref="H205">INDEX('GMW - $100 oil'!$A$2:$MC$200,MATCH(1,('GMW - $100 oil'!$MC$2:$MC$200=H$3)*('GMW - $100 oil'!$MB$2:$MB$200=H$4),0),$E205-1973)</f>
        <v>151.46729999999999</v>
      </c>
      <c r="I205" cm="1">
        <f t="array" ref="I205">INDEX('GMW - $100 oil'!$A$2:$MC$200,MATCH(1,('GMW - $100 oil'!$MC$2:$MC$200=I$3)*('GMW - $100 oil'!$MB$2:$MB$200=I$4),0),$E205-1973)</f>
        <v>2.4595820000000002</v>
      </c>
      <c r="J205" t="e" cm="1">
        <f t="array" ref="J205">INDEX('GMW - $100 oil'!$A$2:$MC$200,MATCH(1,('GMW - $100 oil'!$MC$2:$MC$200=J$3)*('GMW - $100 oil'!$MB$2:$MB$200=J$4),0),$E205-1973)</f>
        <v>#N/A</v>
      </c>
      <c r="K205" t="e" cm="1">
        <f t="array" ref="K205">INDEX('GMW - $100 oil'!$A$2:$MC$200,MATCH(1,('GMW - $100 oil'!$MC$2:$MC$200=K$3)*('GMW - $100 oil'!$MB$2:$MB$200=K$4),0),$E205-1973)</f>
        <v>#N/A</v>
      </c>
      <c r="L205" t="e" cm="1">
        <f t="array" ref="L205">INDEX('GMW - $100 oil'!$A$2:$MC$200,MATCH(1,('GMW - $100 oil'!$MC$2:$MC$200=L$3)*('GMW - $100 oil'!$MB$2:$MB$200=L$4),0),$E205-1973)</f>
        <v>#N/A</v>
      </c>
      <c r="M205" t="e" cm="1">
        <f t="array" ref="M205">INDEX('GMW - $100 oil'!$A$2:$MC$200,MATCH(1,('GMW - $100 oil'!$MC$2:$MC$200=M$3)*('GMW - $100 oil'!$MB$2:$MB$200=M$4),0),$E205-1973)</f>
        <v>#N/A</v>
      </c>
      <c r="N205" t="e" cm="1">
        <f t="array" ref="N205">INDEX('GMW - $100 oil'!$A$2:$MC$200,MATCH(1,('GMW - $100 oil'!$MC$2:$MC$200=N$3)*('GMW - $100 oil'!$MB$2:$MB$200=N$4),0),$E205-1973)</f>
        <v>#N/A</v>
      </c>
      <c r="O205" t="e" cm="1">
        <f t="array" ref="O205">INDEX('GMW - $100 oil'!$A$2:$MC$200,MATCH(1,('GMW - $100 oil'!$MC$2:$MC$200=O$3)*('GMW - $100 oil'!$MB$2:$MB$200=O$4),0),$E205-1973)</f>
        <v>#N/A</v>
      </c>
      <c r="P205" t="e" cm="1">
        <f t="array" ref="P205">INDEX('GMW - $100 oil'!$A$2:$MC$200,MATCH(1,('GMW - $100 oil'!$MC$2:$MC$200=P$3)*('GMW - $100 oil'!$MB$2:$MB$200=P$4),0),$E205-1973)</f>
        <v>#N/A</v>
      </c>
      <c r="Q205" t="e" cm="1">
        <f t="array" ref="Q205">INDEX('GMW - $100 oil'!$A$2:$MC$200,MATCH(1,('GMW - $100 oil'!$MC$2:$MC$200=Q$3)*('GMW - $100 oil'!$MB$2:$MB$200=Q$4),0),$E205-1973)</f>
        <v>#N/A</v>
      </c>
      <c r="R205" t="e" cm="1">
        <f t="array" ref="R205">INDEX('GMW - $100 oil'!$A$2:$MC$200,MATCH(1,('GMW - $100 oil'!$MC$2:$MC$200=R$3)*('GMW - $100 oil'!$MB$2:$MB$200=R$4),0),$E205-1973)</f>
        <v>#N/A</v>
      </c>
      <c r="S205" t="e" cm="1">
        <f t="array" ref="S205">INDEX('GMW - $100 oil'!$A$2:$MC$200,MATCH(1,('GMW - $100 oil'!$MC$2:$MC$200=S$3)*('GMW - $100 oil'!$MB$2:$MB$200=S$4),0),$E205-1973)</f>
        <v>#N/A</v>
      </c>
      <c r="T205" t="e" cm="1">
        <f t="array" ref="T205">INDEX('GMW - $100 oil'!$A$2:$MC$200,MATCH(1,('GMW - $100 oil'!$MC$2:$MC$200=T$3)*('GMW - $100 oil'!$MB$2:$MB$200=T$4),0),$E205-1973)</f>
        <v>#N/A</v>
      </c>
    </row>
    <row r="206" spans="1:20" x14ac:dyDescent="0.25">
      <c r="B206">
        <f t="shared" si="17"/>
        <v>2029</v>
      </c>
      <c r="C206">
        <f t="shared" si="17"/>
        <v>2029</v>
      </c>
      <c r="E206">
        <f t="shared" si="16"/>
        <v>2179</v>
      </c>
      <c r="F206" cm="1">
        <f t="array" ref="F206">INDEX('GMW - $100 oil'!$A$2:$MC$200,MATCH(1,('GMW - $100 oil'!$MC$2:$MC$200=F$3)*('GMW - $100 oil'!$MB$2:$MB$200=F$4),0),$E206-1973)</f>
        <v>745795.1</v>
      </c>
      <c r="G206" cm="1">
        <f t="array" ref="G206">INDEX('GMW - $100 oil'!$A$2:$MC$200,MATCH(1,('GMW - $100 oil'!$MC$2:$MC$200=G$3)*('GMW - $100 oil'!$MB$2:$MB$200=G$4),0),$E206-1973)</f>
        <v>438418.5</v>
      </c>
      <c r="H206" cm="1">
        <f t="array" ref="H206">INDEX('GMW - $100 oil'!$A$2:$MC$200,MATCH(1,('GMW - $100 oil'!$MC$2:$MC$200=H$3)*('GMW - $100 oil'!$MB$2:$MB$200=H$4),0),$E206-1973)</f>
        <v>152.08590000000001</v>
      </c>
      <c r="I206" cm="1">
        <f t="array" ref="I206">INDEX('GMW - $100 oil'!$A$2:$MC$200,MATCH(1,('GMW - $100 oil'!$MC$2:$MC$200=I$3)*('GMW - $100 oil'!$MB$2:$MB$200=I$4),0),$E206-1973)</f>
        <v>2.4498959999999999</v>
      </c>
      <c r="J206" t="e" cm="1">
        <f t="array" ref="J206">INDEX('GMW - $100 oil'!$A$2:$MC$200,MATCH(1,('GMW - $100 oil'!$MC$2:$MC$200=J$3)*('GMW - $100 oil'!$MB$2:$MB$200=J$4),0),$E206-1973)</f>
        <v>#N/A</v>
      </c>
      <c r="K206" t="e" cm="1">
        <f t="array" ref="K206">INDEX('GMW - $100 oil'!$A$2:$MC$200,MATCH(1,('GMW - $100 oil'!$MC$2:$MC$200=K$3)*('GMW - $100 oil'!$MB$2:$MB$200=K$4),0),$E206-1973)</f>
        <v>#N/A</v>
      </c>
      <c r="L206" t="e" cm="1">
        <f t="array" ref="L206">INDEX('GMW - $100 oil'!$A$2:$MC$200,MATCH(1,('GMW - $100 oil'!$MC$2:$MC$200=L$3)*('GMW - $100 oil'!$MB$2:$MB$200=L$4),0),$E206-1973)</f>
        <v>#N/A</v>
      </c>
      <c r="M206" t="e" cm="1">
        <f t="array" ref="M206">INDEX('GMW - $100 oil'!$A$2:$MC$200,MATCH(1,('GMW - $100 oil'!$MC$2:$MC$200=M$3)*('GMW - $100 oil'!$MB$2:$MB$200=M$4),0),$E206-1973)</f>
        <v>#N/A</v>
      </c>
      <c r="N206" t="e" cm="1">
        <f t="array" ref="N206">INDEX('GMW - $100 oil'!$A$2:$MC$200,MATCH(1,('GMW - $100 oil'!$MC$2:$MC$200=N$3)*('GMW - $100 oil'!$MB$2:$MB$200=N$4),0),$E206-1973)</f>
        <v>#N/A</v>
      </c>
      <c r="O206" t="e" cm="1">
        <f t="array" ref="O206">INDEX('GMW - $100 oil'!$A$2:$MC$200,MATCH(1,('GMW - $100 oil'!$MC$2:$MC$200=O$3)*('GMW - $100 oil'!$MB$2:$MB$200=O$4),0),$E206-1973)</f>
        <v>#N/A</v>
      </c>
      <c r="P206" t="e" cm="1">
        <f t="array" ref="P206">INDEX('GMW - $100 oil'!$A$2:$MC$200,MATCH(1,('GMW - $100 oil'!$MC$2:$MC$200=P$3)*('GMW - $100 oil'!$MB$2:$MB$200=P$4),0),$E206-1973)</f>
        <v>#N/A</v>
      </c>
      <c r="Q206" t="e" cm="1">
        <f t="array" ref="Q206">INDEX('GMW - $100 oil'!$A$2:$MC$200,MATCH(1,('GMW - $100 oil'!$MC$2:$MC$200=Q$3)*('GMW - $100 oil'!$MB$2:$MB$200=Q$4),0),$E206-1973)</f>
        <v>#N/A</v>
      </c>
      <c r="R206" t="e" cm="1">
        <f t="array" ref="R206">INDEX('GMW - $100 oil'!$A$2:$MC$200,MATCH(1,('GMW - $100 oil'!$MC$2:$MC$200=R$3)*('GMW - $100 oil'!$MB$2:$MB$200=R$4),0),$E206-1973)</f>
        <v>#N/A</v>
      </c>
      <c r="S206" t="e" cm="1">
        <f t="array" ref="S206">INDEX('GMW - $100 oil'!$A$2:$MC$200,MATCH(1,('GMW - $100 oil'!$MC$2:$MC$200=S$3)*('GMW - $100 oil'!$MB$2:$MB$200=S$4),0),$E206-1973)</f>
        <v>#N/A</v>
      </c>
      <c r="T206" t="e" cm="1">
        <f t="array" ref="T206">INDEX('GMW - $100 oil'!$A$2:$MC$200,MATCH(1,('GMW - $100 oil'!$MC$2:$MC$200=T$3)*('GMW - $100 oil'!$MB$2:$MB$200=T$4),0),$E206-1973)</f>
        <v>#N/A</v>
      </c>
    </row>
    <row r="207" spans="1:20" x14ac:dyDescent="0.25">
      <c r="A207">
        <v>2030</v>
      </c>
      <c r="B207">
        <f t="shared" si="17"/>
        <v>2030</v>
      </c>
      <c r="C207">
        <f t="shared" si="17"/>
        <v>2029</v>
      </c>
      <c r="D207">
        <f t="shared" si="17"/>
        <v>2029</v>
      </c>
      <c r="E207">
        <f t="shared" si="16"/>
        <v>2180</v>
      </c>
      <c r="F207" cm="1">
        <f t="array" ref="F207">INDEX('GMW - $100 oil'!$A$2:$MC$200,MATCH(1,('GMW - $100 oil'!$MC$2:$MC$200=F$3)*('GMW - $100 oil'!$MB$2:$MB$200=F$4),0),$E207-1973)</f>
        <v>748630.6</v>
      </c>
      <c r="G207" cm="1">
        <f t="array" ref="G207">INDEX('GMW - $100 oil'!$A$2:$MC$200,MATCH(1,('GMW - $100 oil'!$MC$2:$MC$200=G$3)*('GMW - $100 oil'!$MB$2:$MB$200=G$4),0),$E207-1973)</f>
        <v>440156.7</v>
      </c>
      <c r="H207" cm="1">
        <f t="array" ref="H207">INDEX('GMW - $100 oil'!$A$2:$MC$200,MATCH(1,('GMW - $100 oil'!$MC$2:$MC$200=H$3)*('GMW - $100 oil'!$MB$2:$MB$200=H$4),0),$E207-1973)</f>
        <v>152.27969999999999</v>
      </c>
      <c r="I207" cm="1">
        <f t="array" ref="I207">INDEX('GMW - $100 oil'!$A$2:$MC$200,MATCH(1,('GMW - $100 oil'!$MC$2:$MC$200=I$3)*('GMW - $100 oil'!$MB$2:$MB$200=I$4),0),$E207-1973)</f>
        <v>2.448204</v>
      </c>
      <c r="J207" t="e" cm="1">
        <f t="array" ref="J207">INDEX('GMW - $100 oil'!$A$2:$MC$200,MATCH(1,('GMW - $100 oil'!$MC$2:$MC$200=J$3)*('GMW - $100 oil'!$MB$2:$MB$200=J$4),0),$E207-1973)</f>
        <v>#N/A</v>
      </c>
      <c r="K207" t="e" cm="1">
        <f t="array" ref="K207">INDEX('GMW - $100 oil'!$A$2:$MC$200,MATCH(1,('GMW - $100 oil'!$MC$2:$MC$200=K$3)*('GMW - $100 oil'!$MB$2:$MB$200=K$4),0),$E207-1973)</f>
        <v>#N/A</v>
      </c>
      <c r="L207" t="e" cm="1">
        <f t="array" ref="L207">INDEX('GMW - $100 oil'!$A$2:$MC$200,MATCH(1,('GMW - $100 oil'!$MC$2:$MC$200=L$3)*('GMW - $100 oil'!$MB$2:$MB$200=L$4),0),$E207-1973)</f>
        <v>#N/A</v>
      </c>
      <c r="M207" t="e" cm="1">
        <f t="array" ref="M207">INDEX('GMW - $100 oil'!$A$2:$MC$200,MATCH(1,('GMW - $100 oil'!$MC$2:$MC$200=M$3)*('GMW - $100 oil'!$MB$2:$MB$200=M$4),0),$E207-1973)</f>
        <v>#N/A</v>
      </c>
      <c r="N207" t="e" cm="1">
        <f t="array" ref="N207">INDEX('GMW - $100 oil'!$A$2:$MC$200,MATCH(1,('GMW - $100 oil'!$MC$2:$MC$200=N$3)*('GMW - $100 oil'!$MB$2:$MB$200=N$4),0),$E207-1973)</f>
        <v>#N/A</v>
      </c>
      <c r="O207" t="e" cm="1">
        <f t="array" ref="O207">INDEX('GMW - $100 oil'!$A$2:$MC$200,MATCH(1,('GMW - $100 oil'!$MC$2:$MC$200=O$3)*('GMW - $100 oil'!$MB$2:$MB$200=O$4),0),$E207-1973)</f>
        <v>#N/A</v>
      </c>
      <c r="P207" t="e" cm="1">
        <f t="array" ref="P207">INDEX('GMW - $100 oil'!$A$2:$MC$200,MATCH(1,('GMW - $100 oil'!$MC$2:$MC$200=P$3)*('GMW - $100 oil'!$MB$2:$MB$200=P$4),0),$E207-1973)</f>
        <v>#N/A</v>
      </c>
      <c r="Q207" t="e" cm="1">
        <f t="array" ref="Q207">INDEX('GMW - $100 oil'!$A$2:$MC$200,MATCH(1,('GMW - $100 oil'!$MC$2:$MC$200=Q$3)*('GMW - $100 oil'!$MB$2:$MB$200=Q$4),0),$E207-1973)</f>
        <v>#N/A</v>
      </c>
      <c r="R207" t="e" cm="1">
        <f t="array" ref="R207">INDEX('GMW - $100 oil'!$A$2:$MC$200,MATCH(1,('GMW - $100 oil'!$MC$2:$MC$200=R$3)*('GMW - $100 oil'!$MB$2:$MB$200=R$4),0),$E207-1973)</f>
        <v>#N/A</v>
      </c>
      <c r="S207" t="e" cm="1">
        <f t="array" ref="S207">INDEX('GMW - $100 oil'!$A$2:$MC$200,MATCH(1,('GMW - $100 oil'!$MC$2:$MC$200=S$3)*('GMW - $100 oil'!$MB$2:$MB$200=S$4),0),$E207-1973)</f>
        <v>#N/A</v>
      </c>
      <c r="T207" t="e" cm="1">
        <f t="array" ref="T207">INDEX('GMW - $100 oil'!$A$2:$MC$200,MATCH(1,('GMW - $100 oil'!$MC$2:$MC$200=T$3)*('GMW - $100 oil'!$MB$2:$MB$200=T$4),0),$E207-1973)</f>
        <v>#N/A</v>
      </c>
    </row>
    <row r="208" spans="1:20" x14ac:dyDescent="0.25">
      <c r="B208">
        <f t="shared" si="17"/>
        <v>2030</v>
      </c>
      <c r="C208">
        <f t="shared" si="17"/>
        <v>2030</v>
      </c>
      <c r="E208">
        <f t="shared" si="16"/>
        <v>2181</v>
      </c>
      <c r="F208" cm="1">
        <f t="array" ref="F208">INDEX('GMW - $100 oil'!$A$2:$MC$200,MATCH(1,('GMW - $100 oil'!$MC$2:$MC$200=F$3)*('GMW - $100 oil'!$MB$2:$MB$200=F$4),0),$E208-1973)</f>
        <v>751445.6</v>
      </c>
      <c r="G208" cm="1">
        <f t="array" ref="G208">INDEX('GMW - $100 oil'!$A$2:$MC$200,MATCH(1,('GMW - $100 oil'!$MC$2:$MC$200=G$3)*('GMW - $100 oil'!$MB$2:$MB$200=G$4),0),$E208-1973)</f>
        <v>441813.9</v>
      </c>
      <c r="H208" cm="1">
        <f t="array" ref="H208">INDEX('GMW - $100 oil'!$A$2:$MC$200,MATCH(1,('GMW - $100 oil'!$MC$2:$MC$200=H$3)*('GMW - $100 oil'!$MB$2:$MB$200=H$4),0),$E208-1973)</f>
        <v>153.56469999999999</v>
      </c>
      <c r="I208" cm="1">
        <f t="array" ref="I208">INDEX('GMW - $100 oil'!$A$2:$MC$200,MATCH(1,('GMW - $100 oil'!$MC$2:$MC$200=I$3)*('GMW - $100 oil'!$MB$2:$MB$200=I$4),0),$E208-1973)</f>
        <v>2.4528840000000001</v>
      </c>
      <c r="J208" t="e" cm="1">
        <f t="array" ref="J208">INDEX('GMW - $100 oil'!$A$2:$MC$200,MATCH(1,('GMW - $100 oil'!$MC$2:$MC$200=J$3)*('GMW - $100 oil'!$MB$2:$MB$200=J$4),0),$E208-1973)</f>
        <v>#N/A</v>
      </c>
      <c r="K208" t="e" cm="1">
        <f t="array" ref="K208">INDEX('GMW - $100 oil'!$A$2:$MC$200,MATCH(1,('GMW - $100 oil'!$MC$2:$MC$200=K$3)*('GMW - $100 oil'!$MB$2:$MB$200=K$4),0),$E208-1973)</f>
        <v>#N/A</v>
      </c>
      <c r="L208" t="e" cm="1">
        <f t="array" ref="L208">INDEX('GMW - $100 oil'!$A$2:$MC$200,MATCH(1,('GMW - $100 oil'!$MC$2:$MC$200=L$3)*('GMW - $100 oil'!$MB$2:$MB$200=L$4),0),$E208-1973)</f>
        <v>#N/A</v>
      </c>
      <c r="M208" t="e" cm="1">
        <f t="array" ref="M208">INDEX('GMW - $100 oil'!$A$2:$MC$200,MATCH(1,('GMW - $100 oil'!$MC$2:$MC$200=M$3)*('GMW - $100 oil'!$MB$2:$MB$200=M$4),0),$E208-1973)</f>
        <v>#N/A</v>
      </c>
      <c r="N208" t="e" cm="1">
        <f t="array" ref="N208">INDEX('GMW - $100 oil'!$A$2:$MC$200,MATCH(1,('GMW - $100 oil'!$MC$2:$MC$200=N$3)*('GMW - $100 oil'!$MB$2:$MB$200=N$4),0),$E208-1973)</f>
        <v>#N/A</v>
      </c>
      <c r="O208" t="e" cm="1">
        <f t="array" ref="O208">INDEX('GMW - $100 oil'!$A$2:$MC$200,MATCH(1,('GMW - $100 oil'!$MC$2:$MC$200=O$3)*('GMW - $100 oil'!$MB$2:$MB$200=O$4),0),$E208-1973)</f>
        <v>#N/A</v>
      </c>
      <c r="P208" t="e" cm="1">
        <f t="array" ref="P208">INDEX('GMW - $100 oil'!$A$2:$MC$200,MATCH(1,('GMW - $100 oil'!$MC$2:$MC$200=P$3)*('GMW - $100 oil'!$MB$2:$MB$200=P$4),0),$E208-1973)</f>
        <v>#N/A</v>
      </c>
      <c r="Q208" t="e" cm="1">
        <f t="array" ref="Q208">INDEX('GMW - $100 oil'!$A$2:$MC$200,MATCH(1,('GMW - $100 oil'!$MC$2:$MC$200=Q$3)*('GMW - $100 oil'!$MB$2:$MB$200=Q$4),0),$E208-1973)</f>
        <v>#N/A</v>
      </c>
      <c r="R208" t="e" cm="1">
        <f t="array" ref="R208">INDEX('GMW - $100 oil'!$A$2:$MC$200,MATCH(1,('GMW - $100 oil'!$MC$2:$MC$200=R$3)*('GMW - $100 oil'!$MB$2:$MB$200=R$4),0),$E208-1973)</f>
        <v>#N/A</v>
      </c>
      <c r="S208" t="e" cm="1">
        <f t="array" ref="S208">INDEX('GMW - $100 oil'!$A$2:$MC$200,MATCH(1,('GMW - $100 oil'!$MC$2:$MC$200=S$3)*('GMW - $100 oil'!$MB$2:$MB$200=S$4),0),$E208-1973)</f>
        <v>#N/A</v>
      </c>
      <c r="T208" t="e" cm="1">
        <f t="array" ref="T208">INDEX('GMW - $100 oil'!$A$2:$MC$200,MATCH(1,('GMW - $100 oil'!$MC$2:$MC$200=T$3)*('GMW - $100 oil'!$MB$2:$MB$200=T$4),0),$E208-1973)</f>
        <v>#N/A</v>
      </c>
    </row>
    <row r="209" spans="1:20" x14ac:dyDescent="0.25">
      <c r="B209">
        <f t="shared" si="17"/>
        <v>2030</v>
      </c>
      <c r="C209">
        <f t="shared" si="17"/>
        <v>2030</v>
      </c>
      <c r="E209">
        <f t="shared" si="16"/>
        <v>2182</v>
      </c>
      <c r="F209" cm="1">
        <f t="array" ref="F209">INDEX('GMW - $100 oil'!$A$2:$MC$200,MATCH(1,('GMW - $100 oil'!$MC$2:$MC$200=F$3)*('GMW - $100 oil'!$MB$2:$MB$200=F$4),0),$E209-1973)</f>
        <v>754230.5</v>
      </c>
      <c r="G209" cm="1">
        <f t="array" ref="G209">INDEX('GMW - $100 oil'!$A$2:$MC$200,MATCH(1,('GMW - $100 oil'!$MC$2:$MC$200=G$3)*('GMW - $100 oil'!$MB$2:$MB$200=G$4),0),$E209-1973)</f>
        <v>443436.4</v>
      </c>
      <c r="H209" cm="1">
        <f t="array" ref="H209">INDEX('GMW - $100 oil'!$A$2:$MC$200,MATCH(1,('GMW - $100 oil'!$MC$2:$MC$200=H$3)*('GMW - $100 oil'!$MB$2:$MB$200=H$4),0),$E209-1973)</f>
        <v>154.30019999999999</v>
      </c>
      <c r="I209" cm="1">
        <f t="array" ref="I209">INDEX('GMW - $100 oil'!$A$2:$MC$200,MATCH(1,('GMW - $100 oil'!$MC$2:$MC$200=I$3)*('GMW - $100 oil'!$MB$2:$MB$200=I$4),0),$E209-1973)</f>
        <v>2.461093</v>
      </c>
      <c r="J209" t="e" cm="1">
        <f t="array" ref="J209">INDEX('GMW - $100 oil'!$A$2:$MC$200,MATCH(1,('GMW - $100 oil'!$MC$2:$MC$200=J$3)*('GMW - $100 oil'!$MB$2:$MB$200=J$4),0),$E209-1973)</f>
        <v>#N/A</v>
      </c>
      <c r="K209" t="e" cm="1">
        <f t="array" ref="K209">INDEX('GMW - $100 oil'!$A$2:$MC$200,MATCH(1,('GMW - $100 oil'!$MC$2:$MC$200=K$3)*('GMW - $100 oil'!$MB$2:$MB$200=K$4),0),$E209-1973)</f>
        <v>#N/A</v>
      </c>
      <c r="L209" t="e" cm="1">
        <f t="array" ref="L209">INDEX('GMW - $100 oil'!$A$2:$MC$200,MATCH(1,('GMW - $100 oil'!$MC$2:$MC$200=L$3)*('GMW - $100 oil'!$MB$2:$MB$200=L$4),0),$E209-1973)</f>
        <v>#N/A</v>
      </c>
      <c r="M209" t="e" cm="1">
        <f t="array" ref="M209">INDEX('GMW - $100 oil'!$A$2:$MC$200,MATCH(1,('GMW - $100 oil'!$MC$2:$MC$200=M$3)*('GMW - $100 oil'!$MB$2:$MB$200=M$4),0),$E209-1973)</f>
        <v>#N/A</v>
      </c>
      <c r="N209" t="e" cm="1">
        <f t="array" ref="N209">INDEX('GMW - $100 oil'!$A$2:$MC$200,MATCH(1,('GMW - $100 oil'!$MC$2:$MC$200=N$3)*('GMW - $100 oil'!$MB$2:$MB$200=N$4),0),$E209-1973)</f>
        <v>#N/A</v>
      </c>
      <c r="O209" t="e" cm="1">
        <f t="array" ref="O209">INDEX('GMW - $100 oil'!$A$2:$MC$200,MATCH(1,('GMW - $100 oil'!$MC$2:$MC$200=O$3)*('GMW - $100 oil'!$MB$2:$MB$200=O$4),0),$E209-1973)</f>
        <v>#N/A</v>
      </c>
      <c r="P209" t="e" cm="1">
        <f t="array" ref="P209">INDEX('GMW - $100 oil'!$A$2:$MC$200,MATCH(1,('GMW - $100 oil'!$MC$2:$MC$200=P$3)*('GMW - $100 oil'!$MB$2:$MB$200=P$4),0),$E209-1973)</f>
        <v>#N/A</v>
      </c>
      <c r="Q209" t="e" cm="1">
        <f t="array" ref="Q209">INDEX('GMW - $100 oil'!$A$2:$MC$200,MATCH(1,('GMW - $100 oil'!$MC$2:$MC$200=Q$3)*('GMW - $100 oil'!$MB$2:$MB$200=Q$4),0),$E209-1973)</f>
        <v>#N/A</v>
      </c>
      <c r="R209" t="e" cm="1">
        <f t="array" ref="R209">INDEX('GMW - $100 oil'!$A$2:$MC$200,MATCH(1,('GMW - $100 oil'!$MC$2:$MC$200=R$3)*('GMW - $100 oil'!$MB$2:$MB$200=R$4),0),$E209-1973)</f>
        <v>#N/A</v>
      </c>
      <c r="S209" t="e" cm="1">
        <f t="array" ref="S209">INDEX('GMW - $100 oil'!$A$2:$MC$200,MATCH(1,('GMW - $100 oil'!$MC$2:$MC$200=S$3)*('GMW - $100 oil'!$MB$2:$MB$200=S$4),0),$E209-1973)</f>
        <v>#N/A</v>
      </c>
      <c r="T209" t="e" cm="1">
        <f t="array" ref="T209">INDEX('GMW - $100 oil'!$A$2:$MC$200,MATCH(1,('GMW - $100 oil'!$MC$2:$MC$200=T$3)*('GMW - $100 oil'!$MB$2:$MB$200=T$4),0),$E209-1973)</f>
        <v>#N/A</v>
      </c>
    </row>
    <row r="210" spans="1:20" x14ac:dyDescent="0.25">
      <c r="B210">
        <f t="shared" si="17"/>
        <v>2030</v>
      </c>
      <c r="C210">
        <f t="shared" si="17"/>
        <v>2030</v>
      </c>
      <c r="E210">
        <f t="shared" si="16"/>
        <v>2183</v>
      </c>
      <c r="F210" cm="1">
        <f t="array" ref="F210">INDEX('GMW - $100 oil'!$A$2:$MC$200,MATCH(1,('GMW - $100 oil'!$MC$2:$MC$200=F$3)*('GMW - $100 oil'!$MB$2:$MB$200=F$4),0),$E210-1973)</f>
        <v>757105.9</v>
      </c>
      <c r="G210" cm="1">
        <f t="array" ref="G210">INDEX('GMW - $100 oil'!$A$2:$MC$200,MATCH(1,('GMW - $100 oil'!$MC$2:$MC$200=G$3)*('GMW - $100 oil'!$MB$2:$MB$200=G$4),0),$E210-1973)</f>
        <v>445109.8</v>
      </c>
      <c r="H210" cm="1">
        <f t="array" ref="H210">INDEX('GMW - $100 oil'!$A$2:$MC$200,MATCH(1,('GMW - $100 oil'!$MC$2:$MC$200=H$3)*('GMW - $100 oil'!$MB$2:$MB$200=H$4),0),$E210-1973)</f>
        <v>154.95259999999999</v>
      </c>
      <c r="I210" cm="1">
        <f t="array" ref="I210">INDEX('GMW - $100 oil'!$A$2:$MC$200,MATCH(1,('GMW - $100 oil'!$MC$2:$MC$200=I$3)*('GMW - $100 oil'!$MB$2:$MB$200=I$4),0),$E210-1973)</f>
        <v>2.4701219999999999</v>
      </c>
      <c r="J210" t="e" cm="1">
        <f t="array" ref="J210">INDEX('GMW - $100 oil'!$A$2:$MC$200,MATCH(1,('GMW - $100 oil'!$MC$2:$MC$200=J$3)*('GMW - $100 oil'!$MB$2:$MB$200=J$4),0),$E210-1973)</f>
        <v>#N/A</v>
      </c>
      <c r="K210" t="e" cm="1">
        <f t="array" ref="K210">INDEX('GMW - $100 oil'!$A$2:$MC$200,MATCH(1,('GMW - $100 oil'!$MC$2:$MC$200=K$3)*('GMW - $100 oil'!$MB$2:$MB$200=K$4),0),$E210-1973)</f>
        <v>#N/A</v>
      </c>
      <c r="L210" t="e" cm="1">
        <f t="array" ref="L210">INDEX('GMW - $100 oil'!$A$2:$MC$200,MATCH(1,('GMW - $100 oil'!$MC$2:$MC$200=L$3)*('GMW - $100 oil'!$MB$2:$MB$200=L$4),0),$E210-1973)</f>
        <v>#N/A</v>
      </c>
      <c r="M210" t="e" cm="1">
        <f t="array" ref="M210">INDEX('GMW - $100 oil'!$A$2:$MC$200,MATCH(1,('GMW - $100 oil'!$MC$2:$MC$200=M$3)*('GMW - $100 oil'!$MB$2:$MB$200=M$4),0),$E210-1973)</f>
        <v>#N/A</v>
      </c>
      <c r="N210" t="e" cm="1">
        <f t="array" ref="N210">INDEX('GMW - $100 oil'!$A$2:$MC$200,MATCH(1,('GMW - $100 oil'!$MC$2:$MC$200=N$3)*('GMW - $100 oil'!$MB$2:$MB$200=N$4),0),$E210-1973)</f>
        <v>#N/A</v>
      </c>
      <c r="O210" t="e" cm="1">
        <f t="array" ref="O210">INDEX('GMW - $100 oil'!$A$2:$MC$200,MATCH(1,('GMW - $100 oil'!$MC$2:$MC$200=O$3)*('GMW - $100 oil'!$MB$2:$MB$200=O$4),0),$E210-1973)</f>
        <v>#N/A</v>
      </c>
      <c r="P210" t="e" cm="1">
        <f t="array" ref="P210">INDEX('GMW - $100 oil'!$A$2:$MC$200,MATCH(1,('GMW - $100 oil'!$MC$2:$MC$200=P$3)*('GMW - $100 oil'!$MB$2:$MB$200=P$4),0),$E210-1973)</f>
        <v>#N/A</v>
      </c>
      <c r="Q210" t="e" cm="1">
        <f t="array" ref="Q210">INDEX('GMW - $100 oil'!$A$2:$MC$200,MATCH(1,('GMW - $100 oil'!$MC$2:$MC$200=Q$3)*('GMW - $100 oil'!$MB$2:$MB$200=Q$4),0),$E210-1973)</f>
        <v>#N/A</v>
      </c>
      <c r="R210" t="e" cm="1">
        <f t="array" ref="R210">INDEX('GMW - $100 oil'!$A$2:$MC$200,MATCH(1,('GMW - $100 oil'!$MC$2:$MC$200=R$3)*('GMW - $100 oil'!$MB$2:$MB$200=R$4),0),$E210-1973)</f>
        <v>#N/A</v>
      </c>
      <c r="S210" t="e" cm="1">
        <f t="array" ref="S210">INDEX('GMW - $100 oil'!$A$2:$MC$200,MATCH(1,('GMW - $100 oil'!$MC$2:$MC$200=S$3)*('GMW - $100 oil'!$MB$2:$MB$200=S$4),0),$E210-1973)</f>
        <v>#N/A</v>
      </c>
      <c r="T210" t="e" cm="1">
        <f t="array" ref="T210">INDEX('GMW - $100 oil'!$A$2:$MC$200,MATCH(1,('GMW - $100 oil'!$MC$2:$MC$200=T$3)*('GMW - $100 oil'!$MB$2:$MB$200=T$4),0),$E210-1973)</f>
        <v>#N/A</v>
      </c>
    </row>
    <row r="211" spans="1:20" x14ac:dyDescent="0.25">
      <c r="A211">
        <v>2031</v>
      </c>
      <c r="B211">
        <f t="shared" si="17"/>
        <v>2031</v>
      </c>
      <c r="C211">
        <f t="shared" si="17"/>
        <v>2030</v>
      </c>
      <c r="D211">
        <f t="shared" si="17"/>
        <v>2030</v>
      </c>
      <c r="E211">
        <f t="shared" si="16"/>
        <v>2184</v>
      </c>
      <c r="F211" cm="1">
        <f t="array" ref="F211">INDEX('GMW - $100 oil'!$A$2:$MC$200,MATCH(1,('GMW - $100 oil'!$MC$2:$MC$200=F$3)*('GMW - $100 oil'!$MB$2:$MB$200=F$4),0),$E211-1973)</f>
        <v>760232.6</v>
      </c>
      <c r="G211" cm="1">
        <f t="array" ref="G211">INDEX('GMW - $100 oil'!$A$2:$MC$200,MATCH(1,('GMW - $100 oil'!$MC$2:$MC$200=G$3)*('GMW - $100 oil'!$MB$2:$MB$200=G$4),0),$E211-1973)</f>
        <v>446978.1</v>
      </c>
      <c r="H211" cm="1">
        <f t="array" ref="H211">INDEX('GMW - $100 oil'!$A$2:$MC$200,MATCH(1,('GMW - $100 oil'!$MC$2:$MC$200=H$3)*('GMW - $100 oil'!$MB$2:$MB$200=H$4),0),$E211-1973)</f>
        <v>154.9641</v>
      </c>
      <c r="I211" cm="1">
        <f t="array" ref="I211">INDEX('GMW - $100 oil'!$A$2:$MC$200,MATCH(1,('GMW - $100 oil'!$MC$2:$MC$200=I$3)*('GMW - $100 oil'!$MB$2:$MB$200=I$4),0),$E211-1973)</f>
        <v>2.4750960000000002</v>
      </c>
      <c r="J211" t="e" cm="1">
        <f t="array" ref="J211">INDEX('GMW - $100 oil'!$A$2:$MC$200,MATCH(1,('GMW - $100 oil'!$MC$2:$MC$200=J$3)*('GMW - $100 oil'!$MB$2:$MB$200=J$4),0),$E211-1973)</f>
        <v>#N/A</v>
      </c>
      <c r="K211" t="e" cm="1">
        <f t="array" ref="K211">INDEX('GMW - $100 oil'!$A$2:$MC$200,MATCH(1,('GMW - $100 oil'!$MC$2:$MC$200=K$3)*('GMW - $100 oil'!$MB$2:$MB$200=K$4),0),$E211-1973)</f>
        <v>#N/A</v>
      </c>
      <c r="L211" t="e" cm="1">
        <f t="array" ref="L211">INDEX('GMW - $100 oil'!$A$2:$MC$200,MATCH(1,('GMW - $100 oil'!$MC$2:$MC$200=L$3)*('GMW - $100 oil'!$MB$2:$MB$200=L$4),0),$E211-1973)</f>
        <v>#N/A</v>
      </c>
      <c r="M211" t="e" cm="1">
        <f t="array" ref="M211">INDEX('GMW - $100 oil'!$A$2:$MC$200,MATCH(1,('GMW - $100 oil'!$MC$2:$MC$200=M$3)*('GMW - $100 oil'!$MB$2:$MB$200=M$4),0),$E211-1973)</f>
        <v>#N/A</v>
      </c>
      <c r="N211" t="e" cm="1">
        <f t="array" ref="N211">INDEX('GMW - $100 oil'!$A$2:$MC$200,MATCH(1,('GMW - $100 oil'!$MC$2:$MC$200=N$3)*('GMW - $100 oil'!$MB$2:$MB$200=N$4),0),$E211-1973)</f>
        <v>#N/A</v>
      </c>
      <c r="O211" t="e" cm="1">
        <f t="array" ref="O211">INDEX('GMW - $100 oil'!$A$2:$MC$200,MATCH(1,('GMW - $100 oil'!$MC$2:$MC$200=O$3)*('GMW - $100 oil'!$MB$2:$MB$200=O$4),0),$E211-1973)</f>
        <v>#N/A</v>
      </c>
      <c r="P211" t="e" cm="1">
        <f t="array" ref="P211">INDEX('GMW - $100 oil'!$A$2:$MC$200,MATCH(1,('GMW - $100 oil'!$MC$2:$MC$200=P$3)*('GMW - $100 oil'!$MB$2:$MB$200=P$4),0),$E211-1973)</f>
        <v>#N/A</v>
      </c>
      <c r="Q211" t="e" cm="1">
        <f t="array" ref="Q211">INDEX('GMW - $100 oil'!$A$2:$MC$200,MATCH(1,('GMW - $100 oil'!$MC$2:$MC$200=Q$3)*('GMW - $100 oil'!$MB$2:$MB$200=Q$4),0),$E211-1973)</f>
        <v>#N/A</v>
      </c>
      <c r="R211" t="e" cm="1">
        <f t="array" ref="R211">INDEX('GMW - $100 oil'!$A$2:$MC$200,MATCH(1,('GMW - $100 oil'!$MC$2:$MC$200=R$3)*('GMW - $100 oil'!$MB$2:$MB$200=R$4),0),$E211-1973)</f>
        <v>#N/A</v>
      </c>
      <c r="S211" t="e" cm="1">
        <f t="array" ref="S211">INDEX('GMW - $100 oil'!$A$2:$MC$200,MATCH(1,('GMW - $100 oil'!$MC$2:$MC$200=S$3)*('GMW - $100 oil'!$MB$2:$MB$200=S$4),0),$E211-1973)</f>
        <v>#N/A</v>
      </c>
      <c r="T211" t="e" cm="1">
        <f t="array" ref="T211">INDEX('GMW - $100 oil'!$A$2:$MC$200,MATCH(1,('GMW - $100 oil'!$MC$2:$MC$200=T$3)*('GMW - $100 oil'!$MB$2:$MB$200=T$4),0),$E211-1973)</f>
        <v>#N/A</v>
      </c>
    </row>
    <row r="212" spans="1:20" x14ac:dyDescent="0.25">
      <c r="B212">
        <f t="shared" si="17"/>
        <v>2031</v>
      </c>
      <c r="C212">
        <f t="shared" si="17"/>
        <v>2031</v>
      </c>
      <c r="E212">
        <f t="shared" si="16"/>
        <v>2185</v>
      </c>
      <c r="F212" cm="1">
        <f t="array" ref="F212">INDEX('GMW - $100 oil'!$A$2:$MC$200,MATCH(1,('GMW - $100 oil'!$MC$2:$MC$200=F$3)*('GMW - $100 oil'!$MB$2:$MB$200=F$4),0),$E212-1973)</f>
        <v>763346.6</v>
      </c>
      <c r="G212" cm="1">
        <f t="array" ref="G212">INDEX('GMW - $100 oil'!$A$2:$MC$200,MATCH(1,('GMW - $100 oil'!$MC$2:$MC$200=G$3)*('GMW - $100 oil'!$MB$2:$MB$200=G$4),0),$E212-1973)</f>
        <v>448880</v>
      </c>
      <c r="H212" cm="1">
        <f t="array" ref="H212">INDEX('GMW - $100 oil'!$A$2:$MC$200,MATCH(1,('GMW - $100 oil'!$MC$2:$MC$200=H$3)*('GMW - $100 oil'!$MB$2:$MB$200=H$4),0),$E212-1973)</f>
        <v>156.1662</v>
      </c>
      <c r="I212" cm="1">
        <f t="array" ref="I212">INDEX('GMW - $100 oil'!$A$2:$MC$200,MATCH(1,('GMW - $100 oil'!$MC$2:$MC$200=I$3)*('GMW - $100 oil'!$MB$2:$MB$200=I$4),0),$E212-1973)</f>
        <v>2.4726970000000001</v>
      </c>
      <c r="J212" t="e" cm="1">
        <f t="array" ref="J212">INDEX('GMW - $100 oil'!$A$2:$MC$200,MATCH(1,('GMW - $100 oil'!$MC$2:$MC$200=J$3)*('GMW - $100 oil'!$MB$2:$MB$200=J$4),0),$E212-1973)</f>
        <v>#N/A</v>
      </c>
      <c r="K212" t="e" cm="1">
        <f t="array" ref="K212">INDEX('GMW - $100 oil'!$A$2:$MC$200,MATCH(1,('GMW - $100 oil'!$MC$2:$MC$200=K$3)*('GMW - $100 oil'!$MB$2:$MB$200=K$4),0),$E212-1973)</f>
        <v>#N/A</v>
      </c>
      <c r="L212" t="e" cm="1">
        <f t="array" ref="L212">INDEX('GMW - $100 oil'!$A$2:$MC$200,MATCH(1,('GMW - $100 oil'!$MC$2:$MC$200=L$3)*('GMW - $100 oil'!$MB$2:$MB$200=L$4),0),$E212-1973)</f>
        <v>#N/A</v>
      </c>
      <c r="M212" t="e" cm="1">
        <f t="array" ref="M212">INDEX('GMW - $100 oil'!$A$2:$MC$200,MATCH(1,('GMW - $100 oil'!$MC$2:$MC$200=M$3)*('GMW - $100 oil'!$MB$2:$MB$200=M$4),0),$E212-1973)</f>
        <v>#N/A</v>
      </c>
      <c r="N212" t="e" cm="1">
        <f t="array" ref="N212">INDEX('GMW - $100 oil'!$A$2:$MC$200,MATCH(1,('GMW - $100 oil'!$MC$2:$MC$200=N$3)*('GMW - $100 oil'!$MB$2:$MB$200=N$4),0),$E212-1973)</f>
        <v>#N/A</v>
      </c>
      <c r="O212" t="e" cm="1">
        <f t="array" ref="O212">INDEX('GMW - $100 oil'!$A$2:$MC$200,MATCH(1,('GMW - $100 oil'!$MC$2:$MC$200=O$3)*('GMW - $100 oil'!$MB$2:$MB$200=O$4),0),$E212-1973)</f>
        <v>#N/A</v>
      </c>
      <c r="P212" t="e" cm="1">
        <f t="array" ref="P212">INDEX('GMW - $100 oil'!$A$2:$MC$200,MATCH(1,('GMW - $100 oil'!$MC$2:$MC$200=P$3)*('GMW - $100 oil'!$MB$2:$MB$200=P$4),0),$E212-1973)</f>
        <v>#N/A</v>
      </c>
      <c r="Q212" t="e" cm="1">
        <f t="array" ref="Q212">INDEX('GMW - $100 oil'!$A$2:$MC$200,MATCH(1,('GMW - $100 oil'!$MC$2:$MC$200=Q$3)*('GMW - $100 oil'!$MB$2:$MB$200=Q$4),0),$E212-1973)</f>
        <v>#N/A</v>
      </c>
      <c r="R212" t="e" cm="1">
        <f t="array" ref="R212">INDEX('GMW - $100 oil'!$A$2:$MC$200,MATCH(1,('GMW - $100 oil'!$MC$2:$MC$200=R$3)*('GMW - $100 oil'!$MB$2:$MB$200=R$4),0),$E212-1973)</f>
        <v>#N/A</v>
      </c>
      <c r="S212" t="e" cm="1">
        <f t="array" ref="S212">INDEX('GMW - $100 oil'!$A$2:$MC$200,MATCH(1,('GMW - $100 oil'!$MC$2:$MC$200=S$3)*('GMW - $100 oil'!$MB$2:$MB$200=S$4),0),$E212-1973)</f>
        <v>#N/A</v>
      </c>
      <c r="T212" t="e" cm="1">
        <f t="array" ref="T212">INDEX('GMW - $100 oil'!$A$2:$MC$200,MATCH(1,('GMW - $100 oil'!$MC$2:$MC$200=T$3)*('GMW - $100 oil'!$MB$2:$MB$200=T$4),0),$E212-1973)</f>
        <v>#N/A</v>
      </c>
    </row>
    <row r="213" spans="1:20" x14ac:dyDescent="0.25">
      <c r="B213">
        <f t="shared" si="17"/>
        <v>2031</v>
      </c>
      <c r="C213">
        <f t="shared" si="17"/>
        <v>2031</v>
      </c>
      <c r="E213">
        <f t="shared" si="16"/>
        <v>2186</v>
      </c>
      <c r="F213" cm="1">
        <f t="array" ref="F213">INDEX('GMW - $100 oil'!$A$2:$MC$200,MATCH(1,('GMW - $100 oil'!$MC$2:$MC$200=F$3)*('GMW - $100 oil'!$MB$2:$MB$200=F$4),0),$E213-1973)</f>
        <v>766327.6</v>
      </c>
      <c r="G213" cm="1">
        <f t="array" ref="G213">INDEX('GMW - $100 oil'!$A$2:$MC$200,MATCH(1,('GMW - $100 oil'!$MC$2:$MC$200=G$3)*('GMW - $100 oil'!$MB$2:$MB$200=G$4),0),$E213-1973)</f>
        <v>450675.20000000001</v>
      </c>
      <c r="H213" cm="1">
        <f t="array" ref="H213">INDEX('GMW - $100 oil'!$A$2:$MC$200,MATCH(1,('GMW - $100 oil'!$MC$2:$MC$200=H$3)*('GMW - $100 oil'!$MB$2:$MB$200=H$4),0),$E213-1973)</f>
        <v>156.91309999999999</v>
      </c>
      <c r="I213" cm="1">
        <f t="array" ref="I213">INDEX('GMW - $100 oil'!$A$2:$MC$200,MATCH(1,('GMW - $100 oil'!$MC$2:$MC$200=I$3)*('GMW - $100 oil'!$MB$2:$MB$200=I$4),0),$E213-1973)</f>
        <v>2.4620009999999999</v>
      </c>
      <c r="J213" t="e" cm="1">
        <f t="array" ref="J213">INDEX('GMW - $100 oil'!$A$2:$MC$200,MATCH(1,('GMW - $100 oil'!$MC$2:$MC$200=J$3)*('GMW - $100 oil'!$MB$2:$MB$200=J$4),0),$E213-1973)</f>
        <v>#N/A</v>
      </c>
      <c r="K213" t="e" cm="1">
        <f t="array" ref="K213">INDEX('GMW - $100 oil'!$A$2:$MC$200,MATCH(1,('GMW - $100 oil'!$MC$2:$MC$200=K$3)*('GMW - $100 oil'!$MB$2:$MB$200=K$4),0),$E213-1973)</f>
        <v>#N/A</v>
      </c>
      <c r="L213" t="e" cm="1">
        <f t="array" ref="L213">INDEX('GMW - $100 oil'!$A$2:$MC$200,MATCH(1,('GMW - $100 oil'!$MC$2:$MC$200=L$3)*('GMW - $100 oil'!$MB$2:$MB$200=L$4),0),$E213-1973)</f>
        <v>#N/A</v>
      </c>
      <c r="M213" t="e" cm="1">
        <f t="array" ref="M213">INDEX('GMW - $100 oil'!$A$2:$MC$200,MATCH(1,('GMW - $100 oil'!$MC$2:$MC$200=M$3)*('GMW - $100 oil'!$MB$2:$MB$200=M$4),0),$E213-1973)</f>
        <v>#N/A</v>
      </c>
      <c r="N213" t="e" cm="1">
        <f t="array" ref="N213">INDEX('GMW - $100 oil'!$A$2:$MC$200,MATCH(1,('GMW - $100 oil'!$MC$2:$MC$200=N$3)*('GMW - $100 oil'!$MB$2:$MB$200=N$4),0),$E213-1973)</f>
        <v>#N/A</v>
      </c>
      <c r="O213" t="e" cm="1">
        <f t="array" ref="O213">INDEX('GMW - $100 oil'!$A$2:$MC$200,MATCH(1,('GMW - $100 oil'!$MC$2:$MC$200=O$3)*('GMW - $100 oil'!$MB$2:$MB$200=O$4),0),$E213-1973)</f>
        <v>#N/A</v>
      </c>
      <c r="P213" t="e" cm="1">
        <f t="array" ref="P213">INDEX('GMW - $100 oil'!$A$2:$MC$200,MATCH(1,('GMW - $100 oil'!$MC$2:$MC$200=P$3)*('GMW - $100 oil'!$MB$2:$MB$200=P$4),0),$E213-1973)</f>
        <v>#N/A</v>
      </c>
      <c r="Q213" t="e" cm="1">
        <f t="array" ref="Q213">INDEX('GMW - $100 oil'!$A$2:$MC$200,MATCH(1,('GMW - $100 oil'!$MC$2:$MC$200=Q$3)*('GMW - $100 oil'!$MB$2:$MB$200=Q$4),0),$E213-1973)</f>
        <v>#N/A</v>
      </c>
      <c r="R213" t="e" cm="1">
        <f t="array" ref="R213">INDEX('GMW - $100 oil'!$A$2:$MC$200,MATCH(1,('GMW - $100 oil'!$MC$2:$MC$200=R$3)*('GMW - $100 oil'!$MB$2:$MB$200=R$4),0),$E213-1973)</f>
        <v>#N/A</v>
      </c>
      <c r="S213" t="e" cm="1">
        <f t="array" ref="S213">INDEX('GMW - $100 oil'!$A$2:$MC$200,MATCH(1,('GMW - $100 oil'!$MC$2:$MC$200=S$3)*('GMW - $100 oil'!$MB$2:$MB$200=S$4),0),$E213-1973)</f>
        <v>#N/A</v>
      </c>
      <c r="T213" t="e" cm="1">
        <f t="array" ref="T213">INDEX('GMW - $100 oil'!$A$2:$MC$200,MATCH(1,('GMW - $100 oil'!$MC$2:$MC$200=T$3)*('GMW - $100 oil'!$MB$2:$MB$200=T$4),0),$E213-1973)</f>
        <v>#N/A</v>
      </c>
    </row>
    <row r="214" spans="1:20" x14ac:dyDescent="0.25">
      <c r="B214">
        <f t="shared" si="17"/>
        <v>2031</v>
      </c>
      <c r="C214">
        <f t="shared" si="17"/>
        <v>2031</v>
      </c>
      <c r="E214">
        <f t="shared" si="16"/>
        <v>2187</v>
      </c>
      <c r="F214" cm="1">
        <f t="array" ref="F214">INDEX('GMW - $100 oil'!$A$2:$MC$200,MATCH(1,('GMW - $100 oil'!$MC$2:$MC$200=F$3)*('GMW - $100 oil'!$MB$2:$MB$200=F$4),0),$E214-1973)</f>
        <v>769181</v>
      </c>
      <c r="G214" cm="1">
        <f t="array" ref="G214">INDEX('GMW - $100 oil'!$A$2:$MC$200,MATCH(1,('GMW - $100 oil'!$MC$2:$MC$200=G$3)*('GMW - $100 oil'!$MB$2:$MB$200=G$4),0),$E214-1973)</f>
        <v>452369.2</v>
      </c>
      <c r="H214" cm="1">
        <f t="array" ref="H214">INDEX('GMW - $100 oil'!$A$2:$MC$200,MATCH(1,('GMW - $100 oil'!$MC$2:$MC$200=H$3)*('GMW - $100 oil'!$MB$2:$MB$200=H$4),0),$E214-1973)</f>
        <v>157.63040000000001</v>
      </c>
      <c r="I214" cm="1">
        <f t="array" ref="I214">INDEX('GMW - $100 oil'!$A$2:$MC$200,MATCH(1,('GMW - $100 oil'!$MC$2:$MC$200=I$3)*('GMW - $100 oil'!$MB$2:$MB$200=I$4),0),$E214-1973)</f>
        <v>2.4440919999999999</v>
      </c>
      <c r="J214" t="e" cm="1">
        <f t="array" ref="J214">INDEX('GMW - $100 oil'!$A$2:$MC$200,MATCH(1,('GMW - $100 oil'!$MC$2:$MC$200=J$3)*('GMW - $100 oil'!$MB$2:$MB$200=J$4),0),$E214-1973)</f>
        <v>#N/A</v>
      </c>
      <c r="K214" t="e" cm="1">
        <f t="array" ref="K214">INDEX('GMW - $100 oil'!$A$2:$MC$200,MATCH(1,('GMW - $100 oil'!$MC$2:$MC$200=K$3)*('GMW - $100 oil'!$MB$2:$MB$200=K$4),0),$E214-1973)</f>
        <v>#N/A</v>
      </c>
      <c r="L214" t="e" cm="1">
        <f t="array" ref="L214">INDEX('GMW - $100 oil'!$A$2:$MC$200,MATCH(1,('GMW - $100 oil'!$MC$2:$MC$200=L$3)*('GMW - $100 oil'!$MB$2:$MB$200=L$4),0),$E214-1973)</f>
        <v>#N/A</v>
      </c>
      <c r="M214" t="e" cm="1">
        <f t="array" ref="M214">INDEX('GMW - $100 oil'!$A$2:$MC$200,MATCH(1,('GMW - $100 oil'!$MC$2:$MC$200=M$3)*('GMW - $100 oil'!$MB$2:$MB$200=M$4),0),$E214-1973)</f>
        <v>#N/A</v>
      </c>
      <c r="N214" t="e" cm="1">
        <f t="array" ref="N214">INDEX('GMW - $100 oil'!$A$2:$MC$200,MATCH(1,('GMW - $100 oil'!$MC$2:$MC$200=N$3)*('GMW - $100 oil'!$MB$2:$MB$200=N$4),0),$E214-1973)</f>
        <v>#N/A</v>
      </c>
      <c r="O214" t="e" cm="1">
        <f t="array" ref="O214">INDEX('GMW - $100 oil'!$A$2:$MC$200,MATCH(1,('GMW - $100 oil'!$MC$2:$MC$200=O$3)*('GMW - $100 oil'!$MB$2:$MB$200=O$4),0),$E214-1973)</f>
        <v>#N/A</v>
      </c>
      <c r="P214" t="e" cm="1">
        <f t="array" ref="P214">INDEX('GMW - $100 oil'!$A$2:$MC$200,MATCH(1,('GMW - $100 oil'!$MC$2:$MC$200=P$3)*('GMW - $100 oil'!$MB$2:$MB$200=P$4),0),$E214-1973)</f>
        <v>#N/A</v>
      </c>
      <c r="Q214" t="e" cm="1">
        <f t="array" ref="Q214">INDEX('GMW - $100 oil'!$A$2:$MC$200,MATCH(1,('GMW - $100 oil'!$MC$2:$MC$200=Q$3)*('GMW - $100 oil'!$MB$2:$MB$200=Q$4),0),$E214-1973)</f>
        <v>#N/A</v>
      </c>
      <c r="R214" t="e" cm="1">
        <f t="array" ref="R214">INDEX('GMW - $100 oil'!$A$2:$MC$200,MATCH(1,('GMW - $100 oil'!$MC$2:$MC$200=R$3)*('GMW - $100 oil'!$MB$2:$MB$200=R$4),0),$E214-1973)</f>
        <v>#N/A</v>
      </c>
      <c r="S214" t="e" cm="1">
        <f t="array" ref="S214">INDEX('GMW - $100 oil'!$A$2:$MC$200,MATCH(1,('GMW - $100 oil'!$MC$2:$MC$200=S$3)*('GMW - $100 oil'!$MB$2:$MB$200=S$4),0),$E214-1973)</f>
        <v>#N/A</v>
      </c>
      <c r="T214" t="e" cm="1">
        <f t="array" ref="T214">INDEX('GMW - $100 oil'!$A$2:$MC$200,MATCH(1,('GMW - $100 oil'!$MC$2:$MC$200=T$3)*('GMW - $100 oil'!$MB$2:$MB$200=T$4),0),$E214-1973)</f>
        <v>#N/A</v>
      </c>
    </row>
    <row r="215" spans="1:20" x14ac:dyDescent="0.25">
      <c r="A215">
        <v>2032</v>
      </c>
      <c r="B215">
        <f t="shared" si="17"/>
        <v>2032</v>
      </c>
      <c r="C215">
        <f t="shared" si="17"/>
        <v>2031</v>
      </c>
      <c r="D215">
        <f t="shared" si="17"/>
        <v>2031</v>
      </c>
      <c r="E215">
        <f t="shared" si="16"/>
        <v>2188</v>
      </c>
      <c r="F215" cm="1">
        <f t="array" ref="F215">INDEX('GMW - $100 oil'!$A$2:$MC$200,MATCH(1,('GMW - $100 oil'!$MC$2:$MC$200=F$3)*('GMW - $100 oil'!$MB$2:$MB$200=F$4),0),$E215-1973)</f>
        <v>771833.7</v>
      </c>
      <c r="G215" cm="1">
        <f t="array" ref="G215">INDEX('GMW - $100 oil'!$A$2:$MC$200,MATCH(1,('GMW - $100 oil'!$MC$2:$MC$200=G$3)*('GMW - $100 oil'!$MB$2:$MB$200=G$4),0),$E215-1973)</f>
        <v>453909</v>
      </c>
      <c r="H215" cm="1">
        <f t="array" ref="H215">INDEX('GMW - $100 oil'!$A$2:$MC$200,MATCH(1,('GMW - $100 oil'!$MC$2:$MC$200=H$3)*('GMW - $100 oil'!$MB$2:$MB$200=H$4),0),$E215-1973)</f>
        <v>157.9855</v>
      </c>
      <c r="I215" cm="1">
        <f t="array" ref="I215">INDEX('GMW - $100 oil'!$A$2:$MC$200,MATCH(1,('GMW - $100 oil'!$MC$2:$MC$200=I$3)*('GMW - $100 oil'!$MB$2:$MB$200=I$4),0),$E215-1973)</f>
        <v>2.428709</v>
      </c>
      <c r="J215" t="e" cm="1">
        <f t="array" ref="J215">INDEX('GMW - $100 oil'!$A$2:$MC$200,MATCH(1,('GMW - $100 oil'!$MC$2:$MC$200=J$3)*('GMW - $100 oil'!$MB$2:$MB$200=J$4),0),$E215-1973)</f>
        <v>#N/A</v>
      </c>
      <c r="K215" t="e" cm="1">
        <f t="array" ref="K215">INDEX('GMW - $100 oil'!$A$2:$MC$200,MATCH(1,('GMW - $100 oil'!$MC$2:$MC$200=K$3)*('GMW - $100 oil'!$MB$2:$MB$200=K$4),0),$E215-1973)</f>
        <v>#N/A</v>
      </c>
      <c r="L215" t="e" cm="1">
        <f t="array" ref="L215">INDEX('GMW - $100 oil'!$A$2:$MC$200,MATCH(1,('GMW - $100 oil'!$MC$2:$MC$200=L$3)*('GMW - $100 oil'!$MB$2:$MB$200=L$4),0),$E215-1973)</f>
        <v>#N/A</v>
      </c>
      <c r="M215" t="e" cm="1">
        <f t="array" ref="M215">INDEX('GMW - $100 oil'!$A$2:$MC$200,MATCH(1,('GMW - $100 oil'!$MC$2:$MC$200=M$3)*('GMW - $100 oil'!$MB$2:$MB$200=M$4),0),$E215-1973)</f>
        <v>#N/A</v>
      </c>
      <c r="N215" t="e" cm="1">
        <f t="array" ref="N215">INDEX('GMW - $100 oil'!$A$2:$MC$200,MATCH(1,('GMW - $100 oil'!$MC$2:$MC$200=N$3)*('GMW - $100 oil'!$MB$2:$MB$200=N$4),0),$E215-1973)</f>
        <v>#N/A</v>
      </c>
      <c r="O215" t="e" cm="1">
        <f t="array" ref="O215">INDEX('GMW - $100 oil'!$A$2:$MC$200,MATCH(1,('GMW - $100 oil'!$MC$2:$MC$200=O$3)*('GMW - $100 oil'!$MB$2:$MB$200=O$4),0),$E215-1973)</f>
        <v>#N/A</v>
      </c>
      <c r="P215" t="e" cm="1">
        <f t="array" ref="P215">INDEX('GMW - $100 oil'!$A$2:$MC$200,MATCH(1,('GMW - $100 oil'!$MC$2:$MC$200=P$3)*('GMW - $100 oil'!$MB$2:$MB$200=P$4),0),$E215-1973)</f>
        <v>#N/A</v>
      </c>
      <c r="Q215" t="e" cm="1">
        <f t="array" ref="Q215">INDEX('GMW - $100 oil'!$A$2:$MC$200,MATCH(1,('GMW - $100 oil'!$MC$2:$MC$200=Q$3)*('GMW - $100 oil'!$MB$2:$MB$200=Q$4),0),$E215-1973)</f>
        <v>#N/A</v>
      </c>
      <c r="R215" t="e" cm="1">
        <f t="array" ref="R215">INDEX('GMW - $100 oil'!$A$2:$MC$200,MATCH(1,('GMW - $100 oil'!$MC$2:$MC$200=R$3)*('GMW - $100 oil'!$MB$2:$MB$200=R$4),0),$E215-1973)</f>
        <v>#N/A</v>
      </c>
      <c r="S215" t="e" cm="1">
        <f t="array" ref="S215">INDEX('GMW - $100 oil'!$A$2:$MC$200,MATCH(1,('GMW - $100 oil'!$MC$2:$MC$200=S$3)*('GMW - $100 oil'!$MB$2:$MB$200=S$4),0),$E215-1973)</f>
        <v>#N/A</v>
      </c>
      <c r="T215" t="e" cm="1">
        <f t="array" ref="T215">INDEX('GMW - $100 oil'!$A$2:$MC$200,MATCH(1,('GMW - $100 oil'!$MC$2:$MC$200=T$3)*('GMW - $100 oil'!$MB$2:$MB$200=T$4),0),$E215-1973)</f>
        <v>#N/A</v>
      </c>
    </row>
    <row r="216" spans="1:20" x14ac:dyDescent="0.25">
      <c r="B216">
        <f t="shared" si="17"/>
        <v>2032</v>
      </c>
      <c r="C216">
        <f t="shared" si="17"/>
        <v>2032</v>
      </c>
      <c r="E216">
        <f t="shared" si="16"/>
        <v>2189</v>
      </c>
      <c r="F216" cm="1">
        <f t="array" ref="F216">INDEX('GMW - $100 oil'!$A$2:$MC$200,MATCH(1,('GMW - $100 oil'!$MC$2:$MC$200=F$3)*('GMW - $100 oil'!$MB$2:$MB$200=F$4),0),$E216-1973)</f>
        <v>774410</v>
      </c>
      <c r="G216" cm="1">
        <f t="array" ref="G216">INDEX('GMW - $100 oil'!$A$2:$MC$200,MATCH(1,('GMW - $100 oil'!$MC$2:$MC$200=G$3)*('GMW - $100 oil'!$MB$2:$MB$200=G$4),0),$E216-1973)</f>
        <v>455419.3</v>
      </c>
      <c r="H216" cm="1">
        <f t="array" ref="H216">INDEX('GMW - $100 oil'!$A$2:$MC$200,MATCH(1,('GMW - $100 oil'!$MC$2:$MC$200=H$3)*('GMW - $100 oil'!$MB$2:$MB$200=H$4),0),$E216-1973)</f>
        <v>159.5205</v>
      </c>
      <c r="I216" cm="1">
        <f t="array" ref="I216">INDEX('GMW - $100 oil'!$A$2:$MC$200,MATCH(1,('GMW - $100 oil'!$MC$2:$MC$200=I$3)*('GMW - $100 oil'!$MB$2:$MB$200=I$4),0),$E216-1973)</f>
        <v>2.4238249999999999</v>
      </c>
      <c r="J216" t="e" cm="1">
        <f t="array" ref="J216">INDEX('GMW - $100 oil'!$A$2:$MC$200,MATCH(1,('GMW - $100 oil'!$MC$2:$MC$200=J$3)*('GMW - $100 oil'!$MB$2:$MB$200=J$4),0),$E216-1973)</f>
        <v>#N/A</v>
      </c>
      <c r="K216" t="e" cm="1">
        <f t="array" ref="K216">INDEX('GMW - $100 oil'!$A$2:$MC$200,MATCH(1,('GMW - $100 oil'!$MC$2:$MC$200=K$3)*('GMW - $100 oil'!$MB$2:$MB$200=K$4),0),$E216-1973)</f>
        <v>#N/A</v>
      </c>
      <c r="L216" t="e" cm="1">
        <f t="array" ref="L216">INDEX('GMW - $100 oil'!$A$2:$MC$200,MATCH(1,('GMW - $100 oil'!$MC$2:$MC$200=L$3)*('GMW - $100 oil'!$MB$2:$MB$200=L$4),0),$E216-1973)</f>
        <v>#N/A</v>
      </c>
      <c r="M216" t="e" cm="1">
        <f t="array" ref="M216">INDEX('GMW - $100 oil'!$A$2:$MC$200,MATCH(1,('GMW - $100 oil'!$MC$2:$MC$200=M$3)*('GMW - $100 oil'!$MB$2:$MB$200=M$4),0),$E216-1973)</f>
        <v>#N/A</v>
      </c>
      <c r="N216" t="e" cm="1">
        <f t="array" ref="N216">INDEX('GMW - $100 oil'!$A$2:$MC$200,MATCH(1,('GMW - $100 oil'!$MC$2:$MC$200=N$3)*('GMW - $100 oil'!$MB$2:$MB$200=N$4),0),$E216-1973)</f>
        <v>#N/A</v>
      </c>
      <c r="O216" t="e" cm="1">
        <f t="array" ref="O216">INDEX('GMW - $100 oil'!$A$2:$MC$200,MATCH(1,('GMW - $100 oil'!$MC$2:$MC$200=O$3)*('GMW - $100 oil'!$MB$2:$MB$200=O$4),0),$E216-1973)</f>
        <v>#N/A</v>
      </c>
      <c r="P216" t="e" cm="1">
        <f t="array" ref="P216">INDEX('GMW - $100 oil'!$A$2:$MC$200,MATCH(1,('GMW - $100 oil'!$MC$2:$MC$200=P$3)*('GMW - $100 oil'!$MB$2:$MB$200=P$4),0),$E216-1973)</f>
        <v>#N/A</v>
      </c>
      <c r="Q216" t="e" cm="1">
        <f t="array" ref="Q216">INDEX('GMW - $100 oil'!$A$2:$MC$200,MATCH(1,('GMW - $100 oil'!$MC$2:$MC$200=Q$3)*('GMW - $100 oil'!$MB$2:$MB$200=Q$4),0),$E216-1973)</f>
        <v>#N/A</v>
      </c>
      <c r="R216" t="e" cm="1">
        <f t="array" ref="R216">INDEX('GMW - $100 oil'!$A$2:$MC$200,MATCH(1,('GMW - $100 oil'!$MC$2:$MC$200=R$3)*('GMW - $100 oil'!$MB$2:$MB$200=R$4),0),$E216-1973)</f>
        <v>#N/A</v>
      </c>
      <c r="S216" t="e" cm="1">
        <f t="array" ref="S216">INDEX('GMW - $100 oil'!$A$2:$MC$200,MATCH(1,('GMW - $100 oil'!$MC$2:$MC$200=S$3)*('GMW - $100 oil'!$MB$2:$MB$200=S$4),0),$E216-1973)</f>
        <v>#N/A</v>
      </c>
      <c r="T216" t="e" cm="1">
        <f t="array" ref="T216">INDEX('GMW - $100 oil'!$A$2:$MC$200,MATCH(1,('GMW - $100 oil'!$MC$2:$MC$200=T$3)*('GMW - $100 oil'!$MB$2:$MB$200=T$4),0),$E216-1973)</f>
        <v>#N/A</v>
      </c>
    </row>
    <row r="217" spans="1:20" x14ac:dyDescent="0.25">
      <c r="B217">
        <f t="shared" si="17"/>
        <v>2032</v>
      </c>
      <c r="C217">
        <f t="shared" si="17"/>
        <v>2032</v>
      </c>
      <c r="E217">
        <f t="shared" si="16"/>
        <v>2190</v>
      </c>
      <c r="F217" cm="1">
        <f t="array" ref="F217">INDEX('GMW - $100 oil'!$A$2:$MC$200,MATCH(1,('GMW - $100 oil'!$MC$2:$MC$200=F$3)*('GMW - $100 oil'!$MB$2:$MB$200=F$4),0),$E217-1973)</f>
        <v>776970.9</v>
      </c>
      <c r="G217" cm="1">
        <f t="array" ref="G217">INDEX('GMW - $100 oil'!$A$2:$MC$200,MATCH(1,('GMW - $100 oil'!$MC$2:$MC$200=G$3)*('GMW - $100 oil'!$MB$2:$MB$200=G$4),0),$E217-1973)</f>
        <v>456843.3</v>
      </c>
      <c r="H217" cm="1">
        <f t="array" ref="H217">INDEX('GMW - $100 oil'!$A$2:$MC$200,MATCH(1,('GMW - $100 oil'!$MC$2:$MC$200=H$3)*('GMW - $100 oil'!$MB$2:$MB$200=H$4),0),$E217-1973)</f>
        <v>160.4828</v>
      </c>
      <c r="I217" cm="1">
        <f t="array" ref="I217">INDEX('GMW - $100 oil'!$A$2:$MC$200,MATCH(1,('GMW - $100 oil'!$MC$2:$MC$200=I$3)*('GMW - $100 oil'!$MB$2:$MB$200=I$4),0),$E217-1973)</f>
        <v>2.4325100000000002</v>
      </c>
      <c r="J217" t="e" cm="1">
        <f t="array" ref="J217">INDEX('GMW - $100 oil'!$A$2:$MC$200,MATCH(1,('GMW - $100 oil'!$MC$2:$MC$200=J$3)*('GMW - $100 oil'!$MB$2:$MB$200=J$4),0),$E217-1973)</f>
        <v>#N/A</v>
      </c>
      <c r="K217" t="e" cm="1">
        <f t="array" ref="K217">INDEX('GMW - $100 oil'!$A$2:$MC$200,MATCH(1,('GMW - $100 oil'!$MC$2:$MC$200=K$3)*('GMW - $100 oil'!$MB$2:$MB$200=K$4),0),$E217-1973)</f>
        <v>#N/A</v>
      </c>
      <c r="L217" t="e" cm="1">
        <f t="array" ref="L217">INDEX('GMW - $100 oil'!$A$2:$MC$200,MATCH(1,('GMW - $100 oil'!$MC$2:$MC$200=L$3)*('GMW - $100 oil'!$MB$2:$MB$200=L$4),0),$E217-1973)</f>
        <v>#N/A</v>
      </c>
      <c r="M217" t="e" cm="1">
        <f t="array" ref="M217">INDEX('GMW - $100 oil'!$A$2:$MC$200,MATCH(1,('GMW - $100 oil'!$MC$2:$MC$200=M$3)*('GMW - $100 oil'!$MB$2:$MB$200=M$4),0),$E217-1973)</f>
        <v>#N/A</v>
      </c>
      <c r="N217" t="e" cm="1">
        <f t="array" ref="N217">INDEX('GMW - $100 oil'!$A$2:$MC$200,MATCH(1,('GMW - $100 oil'!$MC$2:$MC$200=N$3)*('GMW - $100 oil'!$MB$2:$MB$200=N$4),0),$E217-1973)</f>
        <v>#N/A</v>
      </c>
      <c r="O217" t="e" cm="1">
        <f t="array" ref="O217">INDEX('GMW - $100 oil'!$A$2:$MC$200,MATCH(1,('GMW - $100 oil'!$MC$2:$MC$200=O$3)*('GMW - $100 oil'!$MB$2:$MB$200=O$4),0),$E217-1973)</f>
        <v>#N/A</v>
      </c>
      <c r="P217" t="e" cm="1">
        <f t="array" ref="P217">INDEX('GMW - $100 oil'!$A$2:$MC$200,MATCH(1,('GMW - $100 oil'!$MC$2:$MC$200=P$3)*('GMW - $100 oil'!$MB$2:$MB$200=P$4),0),$E217-1973)</f>
        <v>#N/A</v>
      </c>
      <c r="Q217" t="e" cm="1">
        <f t="array" ref="Q217">INDEX('GMW - $100 oil'!$A$2:$MC$200,MATCH(1,('GMW - $100 oil'!$MC$2:$MC$200=Q$3)*('GMW - $100 oil'!$MB$2:$MB$200=Q$4),0),$E217-1973)</f>
        <v>#N/A</v>
      </c>
      <c r="R217" t="e" cm="1">
        <f t="array" ref="R217">INDEX('GMW - $100 oil'!$A$2:$MC$200,MATCH(1,('GMW - $100 oil'!$MC$2:$MC$200=R$3)*('GMW - $100 oil'!$MB$2:$MB$200=R$4),0),$E217-1973)</f>
        <v>#N/A</v>
      </c>
      <c r="S217" t="e" cm="1">
        <f t="array" ref="S217">INDEX('GMW - $100 oil'!$A$2:$MC$200,MATCH(1,('GMW - $100 oil'!$MC$2:$MC$200=S$3)*('GMW - $100 oil'!$MB$2:$MB$200=S$4),0),$E217-1973)</f>
        <v>#N/A</v>
      </c>
      <c r="T217" t="e" cm="1">
        <f t="array" ref="T217">INDEX('GMW - $100 oil'!$A$2:$MC$200,MATCH(1,('GMW - $100 oil'!$MC$2:$MC$200=T$3)*('GMW - $100 oil'!$MB$2:$MB$200=T$4),0),$E217-1973)</f>
        <v>#N/A</v>
      </c>
    </row>
    <row r="218" spans="1:20" x14ac:dyDescent="0.25">
      <c r="B218">
        <f t="shared" si="17"/>
        <v>2032</v>
      </c>
      <c r="C218">
        <f t="shared" si="17"/>
        <v>2032</v>
      </c>
      <c r="E218">
        <f t="shared" si="16"/>
        <v>2191</v>
      </c>
      <c r="F218" cm="1">
        <f t="array" ref="F218">INDEX('GMW - $100 oil'!$A$2:$MC$200,MATCH(1,('GMW - $100 oil'!$MC$2:$MC$200=F$3)*('GMW - $100 oil'!$MB$2:$MB$200=F$4),0),$E218-1973)</f>
        <v>779552.5</v>
      </c>
      <c r="G218" cm="1">
        <f t="array" ref="G218">INDEX('GMW - $100 oil'!$A$2:$MC$200,MATCH(1,('GMW - $100 oil'!$MC$2:$MC$200=G$3)*('GMW - $100 oil'!$MB$2:$MB$200=G$4),0),$E218-1973)</f>
        <v>458217</v>
      </c>
      <c r="H218" cm="1">
        <f t="array" ref="H218">INDEX('GMW - $100 oil'!$A$2:$MC$200,MATCH(1,('GMW - $100 oil'!$MC$2:$MC$200=H$3)*('GMW - $100 oil'!$MB$2:$MB$200=H$4),0),$E218-1973)</f>
        <v>161.27699999999999</v>
      </c>
      <c r="I218" cm="1">
        <f t="array" ref="I218">INDEX('GMW - $100 oil'!$A$2:$MC$200,MATCH(1,('GMW - $100 oil'!$MC$2:$MC$200=I$3)*('GMW - $100 oil'!$MB$2:$MB$200=I$4),0),$E218-1973)</f>
        <v>2.4534919999999998</v>
      </c>
      <c r="J218" t="e" cm="1">
        <f t="array" ref="J218">INDEX('GMW - $100 oil'!$A$2:$MC$200,MATCH(1,('GMW - $100 oil'!$MC$2:$MC$200=J$3)*('GMW - $100 oil'!$MB$2:$MB$200=J$4),0),$E218-1973)</f>
        <v>#N/A</v>
      </c>
      <c r="K218" t="e" cm="1">
        <f t="array" ref="K218">INDEX('GMW - $100 oil'!$A$2:$MC$200,MATCH(1,('GMW - $100 oil'!$MC$2:$MC$200=K$3)*('GMW - $100 oil'!$MB$2:$MB$200=K$4),0),$E218-1973)</f>
        <v>#N/A</v>
      </c>
      <c r="L218" t="e" cm="1">
        <f t="array" ref="L218">INDEX('GMW - $100 oil'!$A$2:$MC$200,MATCH(1,('GMW - $100 oil'!$MC$2:$MC$200=L$3)*('GMW - $100 oil'!$MB$2:$MB$200=L$4),0),$E218-1973)</f>
        <v>#N/A</v>
      </c>
      <c r="M218" t="e" cm="1">
        <f t="array" ref="M218">INDEX('GMW - $100 oil'!$A$2:$MC$200,MATCH(1,('GMW - $100 oil'!$MC$2:$MC$200=M$3)*('GMW - $100 oil'!$MB$2:$MB$200=M$4),0),$E218-1973)</f>
        <v>#N/A</v>
      </c>
      <c r="N218" t="e" cm="1">
        <f t="array" ref="N218">INDEX('GMW - $100 oil'!$A$2:$MC$200,MATCH(1,('GMW - $100 oil'!$MC$2:$MC$200=N$3)*('GMW - $100 oil'!$MB$2:$MB$200=N$4),0),$E218-1973)</f>
        <v>#N/A</v>
      </c>
      <c r="O218" t="e" cm="1">
        <f t="array" ref="O218">INDEX('GMW - $100 oil'!$A$2:$MC$200,MATCH(1,('GMW - $100 oil'!$MC$2:$MC$200=O$3)*('GMW - $100 oil'!$MB$2:$MB$200=O$4),0),$E218-1973)</f>
        <v>#N/A</v>
      </c>
      <c r="P218" t="e" cm="1">
        <f t="array" ref="P218">INDEX('GMW - $100 oil'!$A$2:$MC$200,MATCH(1,('GMW - $100 oil'!$MC$2:$MC$200=P$3)*('GMW - $100 oil'!$MB$2:$MB$200=P$4),0),$E218-1973)</f>
        <v>#N/A</v>
      </c>
      <c r="Q218" t="e" cm="1">
        <f t="array" ref="Q218">INDEX('GMW - $100 oil'!$A$2:$MC$200,MATCH(1,('GMW - $100 oil'!$MC$2:$MC$200=Q$3)*('GMW - $100 oil'!$MB$2:$MB$200=Q$4),0),$E218-1973)</f>
        <v>#N/A</v>
      </c>
      <c r="R218" t="e" cm="1">
        <f t="array" ref="R218">INDEX('GMW - $100 oil'!$A$2:$MC$200,MATCH(1,('GMW - $100 oil'!$MC$2:$MC$200=R$3)*('GMW - $100 oil'!$MB$2:$MB$200=R$4),0),$E218-1973)</f>
        <v>#N/A</v>
      </c>
      <c r="S218" t="e" cm="1">
        <f t="array" ref="S218">INDEX('GMW - $100 oil'!$A$2:$MC$200,MATCH(1,('GMW - $100 oil'!$MC$2:$MC$200=S$3)*('GMW - $100 oil'!$MB$2:$MB$200=S$4),0),$E218-1973)</f>
        <v>#N/A</v>
      </c>
      <c r="T218" t="e" cm="1">
        <f t="array" ref="T218">INDEX('GMW - $100 oil'!$A$2:$MC$200,MATCH(1,('GMW - $100 oil'!$MC$2:$MC$200=T$3)*('GMW - $100 oil'!$MB$2:$MB$200=T$4),0),$E218-1973)</f>
        <v>#N/A</v>
      </c>
    </row>
    <row r="219" spans="1:20" x14ac:dyDescent="0.25">
      <c r="A219">
        <v>2033</v>
      </c>
      <c r="B219">
        <f t="shared" si="17"/>
        <v>2033</v>
      </c>
      <c r="C219">
        <f t="shared" si="17"/>
        <v>2032</v>
      </c>
      <c r="D219">
        <f t="shared" si="17"/>
        <v>2032</v>
      </c>
      <c r="E219">
        <f t="shared" si="16"/>
        <v>2192</v>
      </c>
      <c r="F219" cm="1">
        <f t="array" ref="F219">INDEX('GMW - $100 oil'!$A$2:$MC$200,MATCH(1,('GMW - $100 oil'!$MC$2:$MC$200=F$3)*('GMW - $100 oil'!$MB$2:$MB$200=F$4),0),$E219-1973)</f>
        <v>782148.2</v>
      </c>
      <c r="G219" cm="1">
        <f t="array" ref="G219">INDEX('GMW - $100 oil'!$A$2:$MC$200,MATCH(1,('GMW - $100 oil'!$MC$2:$MC$200=G$3)*('GMW - $100 oil'!$MB$2:$MB$200=G$4),0),$E219-1973)</f>
        <v>459684.3</v>
      </c>
      <c r="H219" cm="1">
        <f t="array" ref="H219">INDEX('GMW - $100 oil'!$A$2:$MC$200,MATCH(1,('GMW - $100 oil'!$MC$2:$MC$200=H$3)*('GMW - $100 oil'!$MB$2:$MB$200=H$4),0),$E219-1973)</f>
        <v>161.60310000000001</v>
      </c>
      <c r="I219" cm="1">
        <f t="array" ref="I219">INDEX('GMW - $100 oil'!$A$2:$MC$200,MATCH(1,('GMW - $100 oil'!$MC$2:$MC$200=I$3)*('GMW - $100 oil'!$MB$2:$MB$200=I$4),0),$E219-1973)</f>
        <v>2.4791919999999998</v>
      </c>
      <c r="J219" t="e" cm="1">
        <f t="array" ref="J219">INDEX('GMW - $100 oil'!$A$2:$MC$200,MATCH(1,('GMW - $100 oil'!$MC$2:$MC$200=J$3)*('GMW - $100 oil'!$MB$2:$MB$200=J$4),0),$E219-1973)</f>
        <v>#N/A</v>
      </c>
      <c r="K219" t="e" cm="1">
        <f t="array" ref="K219">INDEX('GMW - $100 oil'!$A$2:$MC$200,MATCH(1,('GMW - $100 oil'!$MC$2:$MC$200=K$3)*('GMW - $100 oil'!$MB$2:$MB$200=K$4),0),$E219-1973)</f>
        <v>#N/A</v>
      </c>
      <c r="L219" t="e" cm="1">
        <f t="array" ref="L219">INDEX('GMW - $100 oil'!$A$2:$MC$200,MATCH(1,('GMW - $100 oil'!$MC$2:$MC$200=L$3)*('GMW - $100 oil'!$MB$2:$MB$200=L$4),0),$E219-1973)</f>
        <v>#N/A</v>
      </c>
      <c r="M219" t="e" cm="1">
        <f t="array" ref="M219">INDEX('GMW - $100 oil'!$A$2:$MC$200,MATCH(1,('GMW - $100 oil'!$MC$2:$MC$200=M$3)*('GMW - $100 oil'!$MB$2:$MB$200=M$4),0),$E219-1973)</f>
        <v>#N/A</v>
      </c>
      <c r="N219" t="e" cm="1">
        <f t="array" ref="N219">INDEX('GMW - $100 oil'!$A$2:$MC$200,MATCH(1,('GMW - $100 oil'!$MC$2:$MC$200=N$3)*('GMW - $100 oil'!$MB$2:$MB$200=N$4),0),$E219-1973)</f>
        <v>#N/A</v>
      </c>
      <c r="O219" t="e" cm="1">
        <f t="array" ref="O219">INDEX('GMW - $100 oil'!$A$2:$MC$200,MATCH(1,('GMW - $100 oil'!$MC$2:$MC$200=O$3)*('GMW - $100 oil'!$MB$2:$MB$200=O$4),0),$E219-1973)</f>
        <v>#N/A</v>
      </c>
      <c r="P219" t="e" cm="1">
        <f t="array" ref="P219">INDEX('GMW - $100 oil'!$A$2:$MC$200,MATCH(1,('GMW - $100 oil'!$MC$2:$MC$200=P$3)*('GMW - $100 oil'!$MB$2:$MB$200=P$4),0),$E219-1973)</f>
        <v>#N/A</v>
      </c>
      <c r="Q219" t="e" cm="1">
        <f t="array" ref="Q219">INDEX('GMW - $100 oil'!$A$2:$MC$200,MATCH(1,('GMW - $100 oil'!$MC$2:$MC$200=Q$3)*('GMW - $100 oil'!$MB$2:$MB$200=Q$4),0),$E219-1973)</f>
        <v>#N/A</v>
      </c>
      <c r="R219" t="e" cm="1">
        <f t="array" ref="R219">INDEX('GMW - $100 oil'!$A$2:$MC$200,MATCH(1,('GMW - $100 oil'!$MC$2:$MC$200=R$3)*('GMW - $100 oil'!$MB$2:$MB$200=R$4),0),$E219-1973)</f>
        <v>#N/A</v>
      </c>
      <c r="S219" t="e" cm="1">
        <f t="array" ref="S219">INDEX('GMW - $100 oil'!$A$2:$MC$200,MATCH(1,('GMW - $100 oil'!$MC$2:$MC$200=S$3)*('GMW - $100 oil'!$MB$2:$MB$200=S$4),0),$E219-1973)</f>
        <v>#N/A</v>
      </c>
      <c r="T219" t="e" cm="1">
        <f t="array" ref="T219">INDEX('GMW - $100 oil'!$A$2:$MC$200,MATCH(1,('GMW - $100 oil'!$MC$2:$MC$200=T$3)*('GMW - $100 oil'!$MB$2:$MB$200=T$4),0),$E219-1973)</f>
        <v>#N/A</v>
      </c>
    </row>
    <row r="220" spans="1:20" x14ac:dyDescent="0.25">
      <c r="B220">
        <f t="shared" ref="B220:D235" si="18">+B216+1</f>
        <v>2033</v>
      </c>
      <c r="C220">
        <f t="shared" si="18"/>
        <v>2033</v>
      </c>
      <c r="E220">
        <f t="shared" si="16"/>
        <v>2193</v>
      </c>
      <c r="F220" cm="1">
        <f t="array" ref="F220">INDEX('GMW - $100 oil'!$A$2:$MC$200,MATCH(1,('GMW - $100 oil'!$MC$2:$MC$200=F$3)*('GMW - $100 oil'!$MB$2:$MB$200=F$4),0),$E220-1973)</f>
        <v>784814.3</v>
      </c>
      <c r="G220" cm="1">
        <f t="array" ref="G220">INDEX('GMW - $100 oil'!$A$2:$MC$200,MATCH(1,('GMW - $100 oil'!$MC$2:$MC$200=G$3)*('GMW - $100 oil'!$MB$2:$MB$200=G$4),0),$E220-1973)</f>
        <v>461162.5</v>
      </c>
      <c r="H220" cm="1">
        <f t="array" ref="H220">INDEX('GMW - $100 oil'!$A$2:$MC$200,MATCH(1,('GMW - $100 oil'!$MC$2:$MC$200=H$3)*('GMW - $100 oil'!$MB$2:$MB$200=H$4),0),$E220-1973)</f>
        <v>163.06700000000001</v>
      </c>
      <c r="I220" cm="1">
        <f t="array" ref="I220">INDEX('GMW - $100 oil'!$A$2:$MC$200,MATCH(1,('GMW - $100 oil'!$MC$2:$MC$200=I$3)*('GMW - $100 oil'!$MB$2:$MB$200=I$4),0),$E220-1973)</f>
        <v>2.502148</v>
      </c>
      <c r="J220" t="e" cm="1">
        <f t="array" ref="J220">INDEX('GMW - $100 oil'!$A$2:$MC$200,MATCH(1,('GMW - $100 oil'!$MC$2:$MC$200=J$3)*('GMW - $100 oil'!$MB$2:$MB$200=J$4),0),$E220-1973)</f>
        <v>#N/A</v>
      </c>
      <c r="K220" t="e" cm="1">
        <f t="array" ref="K220">INDEX('GMW - $100 oil'!$A$2:$MC$200,MATCH(1,('GMW - $100 oil'!$MC$2:$MC$200=K$3)*('GMW - $100 oil'!$MB$2:$MB$200=K$4),0),$E220-1973)</f>
        <v>#N/A</v>
      </c>
      <c r="L220" t="e" cm="1">
        <f t="array" ref="L220">INDEX('GMW - $100 oil'!$A$2:$MC$200,MATCH(1,('GMW - $100 oil'!$MC$2:$MC$200=L$3)*('GMW - $100 oil'!$MB$2:$MB$200=L$4),0),$E220-1973)</f>
        <v>#N/A</v>
      </c>
      <c r="M220" t="e" cm="1">
        <f t="array" ref="M220">INDEX('GMW - $100 oil'!$A$2:$MC$200,MATCH(1,('GMW - $100 oil'!$MC$2:$MC$200=M$3)*('GMW - $100 oil'!$MB$2:$MB$200=M$4),0),$E220-1973)</f>
        <v>#N/A</v>
      </c>
      <c r="N220" t="e" cm="1">
        <f t="array" ref="N220">INDEX('GMW - $100 oil'!$A$2:$MC$200,MATCH(1,('GMW - $100 oil'!$MC$2:$MC$200=N$3)*('GMW - $100 oil'!$MB$2:$MB$200=N$4),0),$E220-1973)</f>
        <v>#N/A</v>
      </c>
      <c r="O220" t="e" cm="1">
        <f t="array" ref="O220">INDEX('GMW - $100 oil'!$A$2:$MC$200,MATCH(1,('GMW - $100 oil'!$MC$2:$MC$200=O$3)*('GMW - $100 oil'!$MB$2:$MB$200=O$4),0),$E220-1973)</f>
        <v>#N/A</v>
      </c>
      <c r="P220" t="e" cm="1">
        <f t="array" ref="P220">INDEX('GMW - $100 oil'!$A$2:$MC$200,MATCH(1,('GMW - $100 oil'!$MC$2:$MC$200=P$3)*('GMW - $100 oil'!$MB$2:$MB$200=P$4),0),$E220-1973)</f>
        <v>#N/A</v>
      </c>
      <c r="Q220" t="e" cm="1">
        <f t="array" ref="Q220">INDEX('GMW - $100 oil'!$A$2:$MC$200,MATCH(1,('GMW - $100 oil'!$MC$2:$MC$200=Q$3)*('GMW - $100 oil'!$MB$2:$MB$200=Q$4),0),$E220-1973)</f>
        <v>#N/A</v>
      </c>
      <c r="R220" t="e" cm="1">
        <f t="array" ref="R220">INDEX('GMW - $100 oil'!$A$2:$MC$200,MATCH(1,('GMW - $100 oil'!$MC$2:$MC$200=R$3)*('GMW - $100 oil'!$MB$2:$MB$200=R$4),0),$E220-1973)</f>
        <v>#N/A</v>
      </c>
      <c r="S220" t="e" cm="1">
        <f t="array" ref="S220">INDEX('GMW - $100 oil'!$A$2:$MC$200,MATCH(1,('GMW - $100 oil'!$MC$2:$MC$200=S$3)*('GMW - $100 oil'!$MB$2:$MB$200=S$4),0),$E220-1973)</f>
        <v>#N/A</v>
      </c>
      <c r="T220" t="e" cm="1">
        <f t="array" ref="T220">INDEX('GMW - $100 oil'!$A$2:$MC$200,MATCH(1,('GMW - $100 oil'!$MC$2:$MC$200=T$3)*('GMW - $100 oil'!$MB$2:$MB$200=T$4),0),$E220-1973)</f>
        <v>#N/A</v>
      </c>
    </row>
    <row r="221" spans="1:20" x14ac:dyDescent="0.25">
      <c r="B221">
        <f t="shared" si="18"/>
        <v>2033</v>
      </c>
      <c r="C221">
        <f t="shared" si="18"/>
        <v>2033</v>
      </c>
      <c r="E221">
        <f t="shared" si="16"/>
        <v>2194</v>
      </c>
      <c r="F221" cm="1">
        <f t="array" ref="F221">INDEX('GMW - $100 oil'!$A$2:$MC$200,MATCH(1,('GMW - $100 oil'!$MC$2:$MC$200=F$3)*('GMW - $100 oil'!$MB$2:$MB$200=F$4),0),$E221-1973)</f>
        <v>787617.8</v>
      </c>
      <c r="G221" cm="1">
        <f t="array" ref="G221">INDEX('GMW - $100 oil'!$A$2:$MC$200,MATCH(1,('GMW - $100 oil'!$MC$2:$MC$200=G$3)*('GMW - $100 oil'!$MB$2:$MB$200=G$4),0),$E221-1973)</f>
        <v>462692.2</v>
      </c>
      <c r="H221" cm="1">
        <f t="array" ref="H221">INDEX('GMW - $100 oil'!$A$2:$MC$200,MATCH(1,('GMW - $100 oil'!$MC$2:$MC$200=H$3)*('GMW - $100 oil'!$MB$2:$MB$200=H$4),0),$E221-1973)</f>
        <v>163.9126</v>
      </c>
      <c r="I221" cm="1">
        <f t="array" ref="I221">INDEX('GMW - $100 oil'!$A$2:$MC$200,MATCH(1,('GMW - $100 oil'!$MC$2:$MC$200=I$3)*('GMW - $100 oil'!$MB$2:$MB$200=I$4),0),$E221-1973)</f>
        <v>2.518008</v>
      </c>
      <c r="J221" t="e" cm="1">
        <f t="array" ref="J221">INDEX('GMW - $100 oil'!$A$2:$MC$200,MATCH(1,('GMW - $100 oil'!$MC$2:$MC$200=J$3)*('GMW - $100 oil'!$MB$2:$MB$200=J$4),0),$E221-1973)</f>
        <v>#N/A</v>
      </c>
      <c r="K221" t="e" cm="1">
        <f t="array" ref="K221">INDEX('GMW - $100 oil'!$A$2:$MC$200,MATCH(1,('GMW - $100 oil'!$MC$2:$MC$200=K$3)*('GMW - $100 oil'!$MB$2:$MB$200=K$4),0),$E221-1973)</f>
        <v>#N/A</v>
      </c>
      <c r="L221" t="e" cm="1">
        <f t="array" ref="L221">INDEX('GMW - $100 oil'!$A$2:$MC$200,MATCH(1,('GMW - $100 oil'!$MC$2:$MC$200=L$3)*('GMW - $100 oil'!$MB$2:$MB$200=L$4),0),$E221-1973)</f>
        <v>#N/A</v>
      </c>
      <c r="M221" t="e" cm="1">
        <f t="array" ref="M221">INDEX('GMW - $100 oil'!$A$2:$MC$200,MATCH(1,('GMW - $100 oil'!$MC$2:$MC$200=M$3)*('GMW - $100 oil'!$MB$2:$MB$200=M$4),0),$E221-1973)</f>
        <v>#N/A</v>
      </c>
      <c r="N221" t="e" cm="1">
        <f t="array" ref="N221">INDEX('GMW - $100 oil'!$A$2:$MC$200,MATCH(1,('GMW - $100 oil'!$MC$2:$MC$200=N$3)*('GMW - $100 oil'!$MB$2:$MB$200=N$4),0),$E221-1973)</f>
        <v>#N/A</v>
      </c>
      <c r="O221" t="e" cm="1">
        <f t="array" ref="O221">INDEX('GMW - $100 oil'!$A$2:$MC$200,MATCH(1,('GMW - $100 oil'!$MC$2:$MC$200=O$3)*('GMW - $100 oil'!$MB$2:$MB$200=O$4),0),$E221-1973)</f>
        <v>#N/A</v>
      </c>
      <c r="P221" t="e" cm="1">
        <f t="array" ref="P221">INDEX('GMW - $100 oil'!$A$2:$MC$200,MATCH(1,('GMW - $100 oil'!$MC$2:$MC$200=P$3)*('GMW - $100 oil'!$MB$2:$MB$200=P$4),0),$E221-1973)</f>
        <v>#N/A</v>
      </c>
      <c r="Q221" t="e" cm="1">
        <f t="array" ref="Q221">INDEX('GMW - $100 oil'!$A$2:$MC$200,MATCH(1,('GMW - $100 oil'!$MC$2:$MC$200=Q$3)*('GMW - $100 oil'!$MB$2:$MB$200=Q$4),0),$E221-1973)</f>
        <v>#N/A</v>
      </c>
      <c r="R221" t="e" cm="1">
        <f t="array" ref="R221">INDEX('GMW - $100 oil'!$A$2:$MC$200,MATCH(1,('GMW - $100 oil'!$MC$2:$MC$200=R$3)*('GMW - $100 oil'!$MB$2:$MB$200=R$4),0),$E221-1973)</f>
        <v>#N/A</v>
      </c>
      <c r="S221" t="e" cm="1">
        <f t="array" ref="S221">INDEX('GMW - $100 oil'!$A$2:$MC$200,MATCH(1,('GMW - $100 oil'!$MC$2:$MC$200=S$3)*('GMW - $100 oil'!$MB$2:$MB$200=S$4),0),$E221-1973)</f>
        <v>#N/A</v>
      </c>
      <c r="T221" t="e" cm="1">
        <f t="array" ref="T221">INDEX('GMW - $100 oil'!$A$2:$MC$200,MATCH(1,('GMW - $100 oil'!$MC$2:$MC$200=T$3)*('GMW - $100 oil'!$MB$2:$MB$200=T$4),0),$E221-1973)</f>
        <v>#N/A</v>
      </c>
    </row>
    <row r="222" spans="1:20" x14ac:dyDescent="0.25">
      <c r="B222">
        <f t="shared" si="18"/>
        <v>2033</v>
      </c>
      <c r="C222">
        <f t="shared" si="18"/>
        <v>2033</v>
      </c>
      <c r="E222">
        <f t="shared" si="16"/>
        <v>2195</v>
      </c>
      <c r="F222" cm="1">
        <f t="array" ref="F222">INDEX('GMW - $100 oil'!$A$2:$MC$200,MATCH(1,('GMW - $100 oil'!$MC$2:$MC$200=F$3)*('GMW - $100 oil'!$MB$2:$MB$200=F$4),0),$E222-1973)</f>
        <v>790491.5</v>
      </c>
      <c r="G222" cm="1">
        <f t="array" ref="G222">INDEX('GMW - $100 oil'!$A$2:$MC$200,MATCH(1,('GMW - $100 oil'!$MC$2:$MC$200=G$3)*('GMW - $100 oil'!$MB$2:$MB$200=G$4),0),$E222-1973)</f>
        <v>464246.2</v>
      </c>
      <c r="H222" cm="1">
        <f t="array" ref="H222">INDEX('GMW - $100 oil'!$A$2:$MC$200,MATCH(1,('GMW - $100 oil'!$MC$2:$MC$200=H$3)*('GMW - $100 oil'!$MB$2:$MB$200=H$4),0),$E222-1973)</f>
        <v>164.5762</v>
      </c>
      <c r="I222" cm="1">
        <f t="array" ref="I222">INDEX('GMW - $100 oil'!$A$2:$MC$200,MATCH(1,('GMW - $100 oil'!$MC$2:$MC$200=I$3)*('GMW - $100 oil'!$MB$2:$MB$200=I$4),0),$E222-1973)</f>
        <v>2.5254530000000002</v>
      </c>
      <c r="J222" t="e" cm="1">
        <f t="array" ref="J222">INDEX('GMW - $100 oil'!$A$2:$MC$200,MATCH(1,('GMW - $100 oil'!$MC$2:$MC$200=J$3)*('GMW - $100 oil'!$MB$2:$MB$200=J$4),0),$E222-1973)</f>
        <v>#N/A</v>
      </c>
      <c r="K222" t="e" cm="1">
        <f t="array" ref="K222">INDEX('GMW - $100 oil'!$A$2:$MC$200,MATCH(1,('GMW - $100 oil'!$MC$2:$MC$200=K$3)*('GMW - $100 oil'!$MB$2:$MB$200=K$4),0),$E222-1973)</f>
        <v>#N/A</v>
      </c>
      <c r="L222" t="e" cm="1">
        <f t="array" ref="L222">INDEX('GMW - $100 oil'!$A$2:$MC$200,MATCH(1,('GMW - $100 oil'!$MC$2:$MC$200=L$3)*('GMW - $100 oil'!$MB$2:$MB$200=L$4),0),$E222-1973)</f>
        <v>#N/A</v>
      </c>
      <c r="M222" t="e" cm="1">
        <f t="array" ref="M222">INDEX('GMW - $100 oil'!$A$2:$MC$200,MATCH(1,('GMW - $100 oil'!$MC$2:$MC$200=M$3)*('GMW - $100 oil'!$MB$2:$MB$200=M$4),0),$E222-1973)</f>
        <v>#N/A</v>
      </c>
      <c r="N222" t="e" cm="1">
        <f t="array" ref="N222">INDEX('GMW - $100 oil'!$A$2:$MC$200,MATCH(1,('GMW - $100 oil'!$MC$2:$MC$200=N$3)*('GMW - $100 oil'!$MB$2:$MB$200=N$4),0),$E222-1973)</f>
        <v>#N/A</v>
      </c>
      <c r="O222" t="e" cm="1">
        <f t="array" ref="O222">INDEX('GMW - $100 oil'!$A$2:$MC$200,MATCH(1,('GMW - $100 oil'!$MC$2:$MC$200=O$3)*('GMW - $100 oil'!$MB$2:$MB$200=O$4),0),$E222-1973)</f>
        <v>#N/A</v>
      </c>
      <c r="P222" t="e" cm="1">
        <f t="array" ref="P222">INDEX('GMW - $100 oil'!$A$2:$MC$200,MATCH(1,('GMW - $100 oil'!$MC$2:$MC$200=P$3)*('GMW - $100 oil'!$MB$2:$MB$200=P$4),0),$E222-1973)</f>
        <v>#N/A</v>
      </c>
      <c r="Q222" t="e" cm="1">
        <f t="array" ref="Q222">INDEX('GMW - $100 oil'!$A$2:$MC$200,MATCH(1,('GMW - $100 oil'!$MC$2:$MC$200=Q$3)*('GMW - $100 oil'!$MB$2:$MB$200=Q$4),0),$E222-1973)</f>
        <v>#N/A</v>
      </c>
      <c r="R222" t="e" cm="1">
        <f t="array" ref="R222">INDEX('GMW - $100 oil'!$A$2:$MC$200,MATCH(1,('GMW - $100 oil'!$MC$2:$MC$200=R$3)*('GMW - $100 oil'!$MB$2:$MB$200=R$4),0),$E222-1973)</f>
        <v>#N/A</v>
      </c>
      <c r="S222" t="e" cm="1">
        <f t="array" ref="S222">INDEX('GMW - $100 oil'!$A$2:$MC$200,MATCH(1,('GMW - $100 oil'!$MC$2:$MC$200=S$3)*('GMW - $100 oil'!$MB$2:$MB$200=S$4),0),$E222-1973)</f>
        <v>#N/A</v>
      </c>
      <c r="T222" t="e" cm="1">
        <f t="array" ref="T222">INDEX('GMW - $100 oil'!$A$2:$MC$200,MATCH(1,('GMW - $100 oil'!$MC$2:$MC$200=T$3)*('GMW - $100 oil'!$MB$2:$MB$200=T$4),0),$E222-1973)</f>
        <v>#N/A</v>
      </c>
    </row>
    <row r="223" spans="1:20" x14ac:dyDescent="0.25">
      <c r="A223">
        <v>2034</v>
      </c>
      <c r="B223">
        <f t="shared" si="18"/>
        <v>2034</v>
      </c>
      <c r="C223">
        <f t="shared" si="18"/>
        <v>2033</v>
      </c>
      <c r="D223">
        <f t="shared" si="18"/>
        <v>2033</v>
      </c>
      <c r="E223">
        <f t="shared" si="16"/>
        <v>2196</v>
      </c>
      <c r="F223" cm="1">
        <f t="array" ref="F223">INDEX('GMW - $100 oil'!$A$2:$MC$200,MATCH(1,('GMW - $100 oil'!$MC$2:$MC$200=F$3)*('GMW - $100 oil'!$MB$2:$MB$200=F$4),0),$E223-1973)</f>
        <v>793492.2</v>
      </c>
      <c r="G223" cm="1">
        <f t="array" ref="G223">INDEX('GMW - $100 oil'!$A$2:$MC$200,MATCH(1,('GMW - $100 oil'!$MC$2:$MC$200=G$3)*('GMW - $100 oil'!$MB$2:$MB$200=G$4),0),$E223-1973)</f>
        <v>465874</v>
      </c>
      <c r="H223" cm="1">
        <f t="array" ref="H223">INDEX('GMW - $100 oil'!$A$2:$MC$200,MATCH(1,('GMW - $100 oil'!$MC$2:$MC$200=H$3)*('GMW - $100 oil'!$MB$2:$MB$200=H$4),0),$E223-1973)</f>
        <v>164.79750000000001</v>
      </c>
      <c r="I223" cm="1">
        <f t="array" ref="I223">INDEX('GMW - $100 oil'!$A$2:$MC$200,MATCH(1,('GMW - $100 oil'!$MC$2:$MC$200=I$3)*('GMW - $100 oil'!$MB$2:$MB$200=I$4),0),$E223-1973)</f>
        <v>2.525137</v>
      </c>
      <c r="J223" t="e" cm="1">
        <f t="array" ref="J223">INDEX('GMW - $100 oil'!$A$2:$MC$200,MATCH(1,('GMW - $100 oil'!$MC$2:$MC$200=J$3)*('GMW - $100 oil'!$MB$2:$MB$200=J$4),0),$E223-1973)</f>
        <v>#N/A</v>
      </c>
      <c r="K223" t="e" cm="1">
        <f t="array" ref="K223">INDEX('GMW - $100 oil'!$A$2:$MC$200,MATCH(1,('GMW - $100 oil'!$MC$2:$MC$200=K$3)*('GMW - $100 oil'!$MB$2:$MB$200=K$4),0),$E223-1973)</f>
        <v>#N/A</v>
      </c>
      <c r="L223" t="e" cm="1">
        <f t="array" ref="L223">INDEX('GMW - $100 oil'!$A$2:$MC$200,MATCH(1,('GMW - $100 oil'!$MC$2:$MC$200=L$3)*('GMW - $100 oil'!$MB$2:$MB$200=L$4),0),$E223-1973)</f>
        <v>#N/A</v>
      </c>
      <c r="M223" t="e" cm="1">
        <f t="array" ref="M223">INDEX('GMW - $100 oil'!$A$2:$MC$200,MATCH(1,('GMW - $100 oil'!$MC$2:$MC$200=M$3)*('GMW - $100 oil'!$MB$2:$MB$200=M$4),0),$E223-1973)</f>
        <v>#N/A</v>
      </c>
      <c r="N223" t="e" cm="1">
        <f t="array" ref="N223">INDEX('GMW - $100 oil'!$A$2:$MC$200,MATCH(1,('GMW - $100 oil'!$MC$2:$MC$200=N$3)*('GMW - $100 oil'!$MB$2:$MB$200=N$4),0),$E223-1973)</f>
        <v>#N/A</v>
      </c>
      <c r="O223" t="e" cm="1">
        <f t="array" ref="O223">INDEX('GMW - $100 oil'!$A$2:$MC$200,MATCH(1,('GMW - $100 oil'!$MC$2:$MC$200=O$3)*('GMW - $100 oil'!$MB$2:$MB$200=O$4),0),$E223-1973)</f>
        <v>#N/A</v>
      </c>
      <c r="P223" t="e" cm="1">
        <f t="array" ref="P223">INDEX('GMW - $100 oil'!$A$2:$MC$200,MATCH(1,('GMW - $100 oil'!$MC$2:$MC$200=P$3)*('GMW - $100 oil'!$MB$2:$MB$200=P$4),0),$E223-1973)</f>
        <v>#N/A</v>
      </c>
      <c r="Q223" t="e" cm="1">
        <f t="array" ref="Q223">INDEX('GMW - $100 oil'!$A$2:$MC$200,MATCH(1,('GMW - $100 oil'!$MC$2:$MC$200=Q$3)*('GMW - $100 oil'!$MB$2:$MB$200=Q$4),0),$E223-1973)</f>
        <v>#N/A</v>
      </c>
      <c r="R223" t="e" cm="1">
        <f t="array" ref="R223">INDEX('GMW - $100 oil'!$A$2:$MC$200,MATCH(1,('GMW - $100 oil'!$MC$2:$MC$200=R$3)*('GMW - $100 oil'!$MB$2:$MB$200=R$4),0),$E223-1973)</f>
        <v>#N/A</v>
      </c>
      <c r="S223" t="e" cm="1">
        <f t="array" ref="S223">INDEX('GMW - $100 oil'!$A$2:$MC$200,MATCH(1,('GMW - $100 oil'!$MC$2:$MC$200=S$3)*('GMW - $100 oil'!$MB$2:$MB$200=S$4),0),$E223-1973)</f>
        <v>#N/A</v>
      </c>
      <c r="T223" t="e" cm="1">
        <f t="array" ref="T223">INDEX('GMW - $100 oil'!$A$2:$MC$200,MATCH(1,('GMW - $100 oil'!$MC$2:$MC$200=T$3)*('GMW - $100 oil'!$MB$2:$MB$200=T$4),0),$E223-1973)</f>
        <v>#N/A</v>
      </c>
    </row>
    <row r="224" spans="1:20" x14ac:dyDescent="0.25">
      <c r="B224">
        <f t="shared" si="18"/>
        <v>2034</v>
      </c>
      <c r="C224">
        <f t="shared" si="18"/>
        <v>2034</v>
      </c>
      <c r="E224">
        <f t="shared" si="16"/>
        <v>2197</v>
      </c>
      <c r="F224" cm="1">
        <f t="array" ref="F224">INDEX('GMW - $100 oil'!$A$2:$MC$200,MATCH(1,('GMW - $100 oil'!$MC$2:$MC$200=F$3)*('GMW - $100 oil'!$MB$2:$MB$200=F$4),0),$E224-1973)</f>
        <v>796525.9</v>
      </c>
      <c r="G224" cm="1">
        <f t="array" ref="G224">INDEX('GMW - $100 oil'!$A$2:$MC$200,MATCH(1,('GMW - $100 oil'!$MC$2:$MC$200=G$3)*('GMW - $100 oil'!$MB$2:$MB$200=G$4),0),$E224-1973)</f>
        <v>467531.7</v>
      </c>
      <c r="H224" cm="1">
        <f t="array" ref="H224">INDEX('GMW - $100 oil'!$A$2:$MC$200,MATCH(1,('GMW - $100 oil'!$MC$2:$MC$200=H$3)*('GMW - $100 oil'!$MB$2:$MB$200=H$4),0),$E224-1973)</f>
        <v>166.2319</v>
      </c>
      <c r="I224" cm="1">
        <f t="array" ref="I224">INDEX('GMW - $100 oil'!$A$2:$MC$200,MATCH(1,('GMW - $100 oil'!$MC$2:$MC$200=I$3)*('GMW - $100 oil'!$MB$2:$MB$200=I$4),0),$E224-1973)</f>
        <v>2.5191569999999999</v>
      </c>
      <c r="J224" t="e" cm="1">
        <f t="array" ref="J224">INDEX('GMW - $100 oil'!$A$2:$MC$200,MATCH(1,('GMW - $100 oil'!$MC$2:$MC$200=J$3)*('GMW - $100 oil'!$MB$2:$MB$200=J$4),0),$E224-1973)</f>
        <v>#N/A</v>
      </c>
      <c r="K224" t="e" cm="1">
        <f t="array" ref="K224">INDEX('GMW - $100 oil'!$A$2:$MC$200,MATCH(1,('GMW - $100 oil'!$MC$2:$MC$200=K$3)*('GMW - $100 oil'!$MB$2:$MB$200=K$4),0),$E224-1973)</f>
        <v>#N/A</v>
      </c>
      <c r="L224" t="e" cm="1">
        <f t="array" ref="L224">INDEX('GMW - $100 oil'!$A$2:$MC$200,MATCH(1,('GMW - $100 oil'!$MC$2:$MC$200=L$3)*('GMW - $100 oil'!$MB$2:$MB$200=L$4),0),$E224-1973)</f>
        <v>#N/A</v>
      </c>
      <c r="M224" t="e" cm="1">
        <f t="array" ref="M224">INDEX('GMW - $100 oil'!$A$2:$MC$200,MATCH(1,('GMW - $100 oil'!$MC$2:$MC$200=M$3)*('GMW - $100 oil'!$MB$2:$MB$200=M$4),0),$E224-1973)</f>
        <v>#N/A</v>
      </c>
      <c r="N224" t="e" cm="1">
        <f t="array" ref="N224">INDEX('GMW - $100 oil'!$A$2:$MC$200,MATCH(1,('GMW - $100 oil'!$MC$2:$MC$200=N$3)*('GMW - $100 oil'!$MB$2:$MB$200=N$4),0),$E224-1973)</f>
        <v>#N/A</v>
      </c>
      <c r="O224" t="e" cm="1">
        <f t="array" ref="O224">INDEX('GMW - $100 oil'!$A$2:$MC$200,MATCH(1,('GMW - $100 oil'!$MC$2:$MC$200=O$3)*('GMW - $100 oil'!$MB$2:$MB$200=O$4),0),$E224-1973)</f>
        <v>#N/A</v>
      </c>
      <c r="P224" t="e" cm="1">
        <f t="array" ref="P224">INDEX('GMW - $100 oil'!$A$2:$MC$200,MATCH(1,('GMW - $100 oil'!$MC$2:$MC$200=P$3)*('GMW - $100 oil'!$MB$2:$MB$200=P$4),0),$E224-1973)</f>
        <v>#N/A</v>
      </c>
      <c r="Q224" t="e" cm="1">
        <f t="array" ref="Q224">INDEX('GMW - $100 oil'!$A$2:$MC$200,MATCH(1,('GMW - $100 oil'!$MC$2:$MC$200=Q$3)*('GMW - $100 oil'!$MB$2:$MB$200=Q$4),0),$E224-1973)</f>
        <v>#N/A</v>
      </c>
      <c r="R224" t="e" cm="1">
        <f t="array" ref="R224">INDEX('GMW - $100 oil'!$A$2:$MC$200,MATCH(1,('GMW - $100 oil'!$MC$2:$MC$200=R$3)*('GMW - $100 oil'!$MB$2:$MB$200=R$4),0),$E224-1973)</f>
        <v>#N/A</v>
      </c>
      <c r="S224" t="e" cm="1">
        <f t="array" ref="S224">INDEX('GMW - $100 oil'!$A$2:$MC$200,MATCH(1,('GMW - $100 oil'!$MC$2:$MC$200=S$3)*('GMW - $100 oil'!$MB$2:$MB$200=S$4),0),$E224-1973)</f>
        <v>#N/A</v>
      </c>
      <c r="T224" t="e" cm="1">
        <f t="array" ref="T224">INDEX('GMW - $100 oil'!$A$2:$MC$200,MATCH(1,('GMW - $100 oil'!$MC$2:$MC$200=T$3)*('GMW - $100 oil'!$MB$2:$MB$200=T$4),0),$E224-1973)</f>
        <v>#N/A</v>
      </c>
    </row>
    <row r="225" spans="1:20" x14ac:dyDescent="0.25">
      <c r="B225">
        <f t="shared" si="18"/>
        <v>2034</v>
      </c>
      <c r="C225">
        <f t="shared" si="18"/>
        <v>2034</v>
      </c>
      <c r="E225">
        <f t="shared" si="16"/>
        <v>2198</v>
      </c>
      <c r="F225" cm="1">
        <f t="array" ref="F225">INDEX('GMW - $100 oil'!$A$2:$MC$200,MATCH(1,('GMW - $100 oil'!$MC$2:$MC$200=F$3)*('GMW - $100 oil'!$MB$2:$MB$200=F$4),0),$E225-1973)</f>
        <v>799543.4</v>
      </c>
      <c r="G225" cm="1">
        <f t="array" ref="G225">INDEX('GMW - $100 oil'!$A$2:$MC$200,MATCH(1,('GMW - $100 oil'!$MC$2:$MC$200=G$3)*('GMW - $100 oil'!$MB$2:$MB$200=G$4),0),$E225-1973)</f>
        <v>469193.7</v>
      </c>
      <c r="H225" cm="1">
        <f t="array" ref="H225">INDEX('GMW - $100 oil'!$A$2:$MC$200,MATCH(1,('GMW - $100 oil'!$MC$2:$MC$200=H$3)*('GMW - $100 oil'!$MB$2:$MB$200=H$4),0),$E225-1973)</f>
        <v>167.08529999999999</v>
      </c>
      <c r="I225" cm="1">
        <f t="array" ref="I225">INDEX('GMW - $100 oil'!$A$2:$MC$200,MATCH(1,('GMW - $100 oil'!$MC$2:$MC$200=I$3)*('GMW - $100 oil'!$MB$2:$MB$200=I$4),0),$E225-1973)</f>
        <v>2.509954</v>
      </c>
      <c r="J225" t="e" cm="1">
        <f t="array" ref="J225">INDEX('GMW - $100 oil'!$A$2:$MC$200,MATCH(1,('GMW - $100 oil'!$MC$2:$MC$200=J$3)*('GMW - $100 oil'!$MB$2:$MB$200=J$4),0),$E225-1973)</f>
        <v>#N/A</v>
      </c>
      <c r="K225" t="e" cm="1">
        <f t="array" ref="K225">INDEX('GMW - $100 oil'!$A$2:$MC$200,MATCH(1,('GMW - $100 oil'!$MC$2:$MC$200=K$3)*('GMW - $100 oil'!$MB$2:$MB$200=K$4),0),$E225-1973)</f>
        <v>#N/A</v>
      </c>
      <c r="L225" t="e" cm="1">
        <f t="array" ref="L225">INDEX('GMW - $100 oil'!$A$2:$MC$200,MATCH(1,('GMW - $100 oil'!$MC$2:$MC$200=L$3)*('GMW - $100 oil'!$MB$2:$MB$200=L$4),0),$E225-1973)</f>
        <v>#N/A</v>
      </c>
      <c r="M225" t="e" cm="1">
        <f t="array" ref="M225">INDEX('GMW - $100 oil'!$A$2:$MC$200,MATCH(1,('GMW - $100 oil'!$MC$2:$MC$200=M$3)*('GMW - $100 oil'!$MB$2:$MB$200=M$4),0),$E225-1973)</f>
        <v>#N/A</v>
      </c>
      <c r="N225" t="e" cm="1">
        <f t="array" ref="N225">INDEX('GMW - $100 oil'!$A$2:$MC$200,MATCH(1,('GMW - $100 oil'!$MC$2:$MC$200=N$3)*('GMW - $100 oil'!$MB$2:$MB$200=N$4),0),$E225-1973)</f>
        <v>#N/A</v>
      </c>
      <c r="O225" t="e" cm="1">
        <f t="array" ref="O225">INDEX('GMW - $100 oil'!$A$2:$MC$200,MATCH(1,('GMW - $100 oil'!$MC$2:$MC$200=O$3)*('GMW - $100 oil'!$MB$2:$MB$200=O$4),0),$E225-1973)</f>
        <v>#N/A</v>
      </c>
      <c r="P225" t="e" cm="1">
        <f t="array" ref="P225">INDEX('GMW - $100 oil'!$A$2:$MC$200,MATCH(1,('GMW - $100 oil'!$MC$2:$MC$200=P$3)*('GMW - $100 oil'!$MB$2:$MB$200=P$4),0),$E225-1973)</f>
        <v>#N/A</v>
      </c>
      <c r="Q225" t="e" cm="1">
        <f t="array" ref="Q225">INDEX('GMW - $100 oil'!$A$2:$MC$200,MATCH(1,('GMW - $100 oil'!$MC$2:$MC$200=Q$3)*('GMW - $100 oil'!$MB$2:$MB$200=Q$4),0),$E225-1973)</f>
        <v>#N/A</v>
      </c>
      <c r="R225" t="e" cm="1">
        <f t="array" ref="R225">INDEX('GMW - $100 oil'!$A$2:$MC$200,MATCH(1,('GMW - $100 oil'!$MC$2:$MC$200=R$3)*('GMW - $100 oil'!$MB$2:$MB$200=R$4),0),$E225-1973)</f>
        <v>#N/A</v>
      </c>
      <c r="S225" t="e" cm="1">
        <f t="array" ref="S225">INDEX('GMW - $100 oil'!$A$2:$MC$200,MATCH(1,('GMW - $100 oil'!$MC$2:$MC$200=S$3)*('GMW - $100 oil'!$MB$2:$MB$200=S$4),0),$E225-1973)</f>
        <v>#N/A</v>
      </c>
      <c r="T225" t="e" cm="1">
        <f t="array" ref="T225">INDEX('GMW - $100 oil'!$A$2:$MC$200,MATCH(1,('GMW - $100 oil'!$MC$2:$MC$200=T$3)*('GMW - $100 oil'!$MB$2:$MB$200=T$4),0),$E225-1973)</f>
        <v>#N/A</v>
      </c>
    </row>
    <row r="226" spans="1:20" x14ac:dyDescent="0.25">
      <c r="B226">
        <f t="shared" si="18"/>
        <v>2034</v>
      </c>
      <c r="C226">
        <f t="shared" si="18"/>
        <v>2034</v>
      </c>
      <c r="E226">
        <f t="shared" si="16"/>
        <v>2199</v>
      </c>
      <c r="F226" cm="1">
        <f t="array" ref="F226">INDEX('GMW - $100 oil'!$A$2:$MC$200,MATCH(1,('GMW - $100 oil'!$MC$2:$MC$200=F$3)*('GMW - $100 oil'!$MB$2:$MB$200=F$4),0),$E226-1973)</f>
        <v>802494.1</v>
      </c>
      <c r="G226" cm="1">
        <f t="array" ref="G226">INDEX('GMW - $100 oil'!$A$2:$MC$200,MATCH(1,('GMW - $100 oil'!$MC$2:$MC$200=G$3)*('GMW - $100 oil'!$MB$2:$MB$200=G$4),0),$E226-1973)</f>
        <v>470831.4</v>
      </c>
      <c r="H226" cm="1">
        <f t="array" ref="H226">INDEX('GMW - $100 oil'!$A$2:$MC$200,MATCH(1,('GMW - $100 oil'!$MC$2:$MC$200=H$3)*('GMW - $100 oil'!$MB$2:$MB$200=H$4),0),$E226-1973)</f>
        <v>167.77529999999999</v>
      </c>
      <c r="I226" cm="1">
        <f t="array" ref="I226">INDEX('GMW - $100 oil'!$A$2:$MC$200,MATCH(1,('GMW - $100 oil'!$MC$2:$MC$200=I$3)*('GMW - $100 oil'!$MB$2:$MB$200=I$4),0),$E226-1973)</f>
        <v>2.4997389999999999</v>
      </c>
      <c r="J226" t="e" cm="1">
        <f t="array" ref="J226">INDEX('GMW - $100 oil'!$A$2:$MC$200,MATCH(1,('GMW - $100 oil'!$MC$2:$MC$200=J$3)*('GMW - $100 oil'!$MB$2:$MB$200=J$4),0),$E226-1973)</f>
        <v>#N/A</v>
      </c>
      <c r="K226" t="e" cm="1">
        <f t="array" ref="K226">INDEX('GMW - $100 oil'!$A$2:$MC$200,MATCH(1,('GMW - $100 oil'!$MC$2:$MC$200=K$3)*('GMW - $100 oil'!$MB$2:$MB$200=K$4),0),$E226-1973)</f>
        <v>#N/A</v>
      </c>
      <c r="L226" t="e" cm="1">
        <f t="array" ref="L226">INDEX('GMW - $100 oil'!$A$2:$MC$200,MATCH(1,('GMW - $100 oil'!$MC$2:$MC$200=L$3)*('GMW - $100 oil'!$MB$2:$MB$200=L$4),0),$E226-1973)</f>
        <v>#N/A</v>
      </c>
      <c r="M226" t="e" cm="1">
        <f t="array" ref="M226">INDEX('GMW - $100 oil'!$A$2:$MC$200,MATCH(1,('GMW - $100 oil'!$MC$2:$MC$200=M$3)*('GMW - $100 oil'!$MB$2:$MB$200=M$4),0),$E226-1973)</f>
        <v>#N/A</v>
      </c>
      <c r="N226" t="e" cm="1">
        <f t="array" ref="N226">INDEX('GMW - $100 oil'!$A$2:$MC$200,MATCH(1,('GMW - $100 oil'!$MC$2:$MC$200=N$3)*('GMW - $100 oil'!$MB$2:$MB$200=N$4),0),$E226-1973)</f>
        <v>#N/A</v>
      </c>
      <c r="O226" t="e" cm="1">
        <f t="array" ref="O226">INDEX('GMW - $100 oil'!$A$2:$MC$200,MATCH(1,('GMW - $100 oil'!$MC$2:$MC$200=O$3)*('GMW - $100 oil'!$MB$2:$MB$200=O$4),0),$E226-1973)</f>
        <v>#N/A</v>
      </c>
      <c r="P226" t="e" cm="1">
        <f t="array" ref="P226">INDEX('GMW - $100 oil'!$A$2:$MC$200,MATCH(1,('GMW - $100 oil'!$MC$2:$MC$200=P$3)*('GMW - $100 oil'!$MB$2:$MB$200=P$4),0),$E226-1973)</f>
        <v>#N/A</v>
      </c>
      <c r="Q226" t="e" cm="1">
        <f t="array" ref="Q226">INDEX('GMW - $100 oil'!$A$2:$MC$200,MATCH(1,('GMW - $100 oil'!$MC$2:$MC$200=Q$3)*('GMW - $100 oil'!$MB$2:$MB$200=Q$4),0),$E226-1973)</f>
        <v>#N/A</v>
      </c>
      <c r="R226" t="e" cm="1">
        <f t="array" ref="R226">INDEX('GMW - $100 oil'!$A$2:$MC$200,MATCH(1,('GMW - $100 oil'!$MC$2:$MC$200=R$3)*('GMW - $100 oil'!$MB$2:$MB$200=R$4),0),$E226-1973)</f>
        <v>#N/A</v>
      </c>
      <c r="S226" t="e" cm="1">
        <f t="array" ref="S226">INDEX('GMW - $100 oil'!$A$2:$MC$200,MATCH(1,('GMW - $100 oil'!$MC$2:$MC$200=S$3)*('GMW - $100 oil'!$MB$2:$MB$200=S$4),0),$E226-1973)</f>
        <v>#N/A</v>
      </c>
      <c r="T226" t="e" cm="1">
        <f t="array" ref="T226">INDEX('GMW - $100 oil'!$A$2:$MC$200,MATCH(1,('GMW - $100 oil'!$MC$2:$MC$200=T$3)*('GMW - $100 oil'!$MB$2:$MB$200=T$4),0),$E226-1973)</f>
        <v>#N/A</v>
      </c>
    </row>
    <row r="227" spans="1:20" x14ac:dyDescent="0.25">
      <c r="A227">
        <v>2035</v>
      </c>
      <c r="B227">
        <f t="shared" si="18"/>
        <v>2035</v>
      </c>
      <c r="C227">
        <f t="shared" si="18"/>
        <v>2034</v>
      </c>
      <c r="D227">
        <f t="shared" si="18"/>
        <v>2034</v>
      </c>
      <c r="E227">
        <f t="shared" si="16"/>
        <v>2200</v>
      </c>
      <c r="F227" cm="1">
        <f t="array" ref="F227">INDEX('GMW - $100 oil'!$A$2:$MC$200,MATCH(1,('GMW - $100 oil'!$MC$2:$MC$200=F$3)*('GMW - $100 oil'!$MB$2:$MB$200=F$4),0),$E227-1973)</f>
        <v>805517.3</v>
      </c>
      <c r="G227" cm="1">
        <f t="array" ref="G227">INDEX('GMW - $100 oil'!$A$2:$MC$200,MATCH(1,('GMW - $100 oil'!$MC$2:$MC$200=G$3)*('GMW - $100 oil'!$MB$2:$MB$200=G$4),0),$E227-1973)</f>
        <v>472522.6</v>
      </c>
      <c r="H227" cm="1">
        <f t="array" ref="H227">INDEX('GMW - $100 oil'!$A$2:$MC$200,MATCH(1,('GMW - $100 oil'!$MC$2:$MC$200=H$3)*('GMW - $100 oil'!$MB$2:$MB$200=H$4),0),$E227-1973)</f>
        <v>168.04409999999999</v>
      </c>
      <c r="I227" cm="1">
        <f t="array" ref="I227">INDEX('GMW - $100 oil'!$A$2:$MC$200,MATCH(1,('GMW - $100 oil'!$MC$2:$MC$200=I$3)*('GMW - $100 oil'!$MB$2:$MB$200=I$4),0),$E227-1973)</f>
        <v>2.4904169999999999</v>
      </c>
      <c r="J227" t="e" cm="1">
        <f t="array" ref="J227">INDEX('GMW - $100 oil'!$A$2:$MC$200,MATCH(1,('GMW - $100 oil'!$MC$2:$MC$200=J$3)*('GMW - $100 oil'!$MB$2:$MB$200=J$4),0),$E227-1973)</f>
        <v>#N/A</v>
      </c>
      <c r="K227" t="e" cm="1">
        <f t="array" ref="K227">INDEX('GMW - $100 oil'!$A$2:$MC$200,MATCH(1,('GMW - $100 oil'!$MC$2:$MC$200=K$3)*('GMW - $100 oil'!$MB$2:$MB$200=K$4),0),$E227-1973)</f>
        <v>#N/A</v>
      </c>
      <c r="L227" t="e" cm="1">
        <f t="array" ref="L227">INDEX('GMW - $100 oil'!$A$2:$MC$200,MATCH(1,('GMW - $100 oil'!$MC$2:$MC$200=L$3)*('GMW - $100 oil'!$MB$2:$MB$200=L$4),0),$E227-1973)</f>
        <v>#N/A</v>
      </c>
      <c r="M227" t="e" cm="1">
        <f t="array" ref="M227">INDEX('GMW - $100 oil'!$A$2:$MC$200,MATCH(1,('GMW - $100 oil'!$MC$2:$MC$200=M$3)*('GMW - $100 oil'!$MB$2:$MB$200=M$4),0),$E227-1973)</f>
        <v>#N/A</v>
      </c>
      <c r="N227" t="e" cm="1">
        <f t="array" ref="N227">INDEX('GMW - $100 oil'!$A$2:$MC$200,MATCH(1,('GMW - $100 oil'!$MC$2:$MC$200=N$3)*('GMW - $100 oil'!$MB$2:$MB$200=N$4),0),$E227-1973)</f>
        <v>#N/A</v>
      </c>
      <c r="O227" t="e" cm="1">
        <f t="array" ref="O227">INDEX('GMW - $100 oil'!$A$2:$MC$200,MATCH(1,('GMW - $100 oil'!$MC$2:$MC$200=O$3)*('GMW - $100 oil'!$MB$2:$MB$200=O$4),0),$E227-1973)</f>
        <v>#N/A</v>
      </c>
      <c r="P227" t="e" cm="1">
        <f t="array" ref="P227">INDEX('GMW - $100 oil'!$A$2:$MC$200,MATCH(1,('GMW - $100 oil'!$MC$2:$MC$200=P$3)*('GMW - $100 oil'!$MB$2:$MB$200=P$4),0),$E227-1973)</f>
        <v>#N/A</v>
      </c>
      <c r="Q227" t="e" cm="1">
        <f t="array" ref="Q227">INDEX('GMW - $100 oil'!$A$2:$MC$200,MATCH(1,('GMW - $100 oil'!$MC$2:$MC$200=Q$3)*('GMW - $100 oil'!$MB$2:$MB$200=Q$4),0),$E227-1973)</f>
        <v>#N/A</v>
      </c>
      <c r="R227" t="e" cm="1">
        <f t="array" ref="R227">INDEX('GMW - $100 oil'!$A$2:$MC$200,MATCH(1,('GMW - $100 oil'!$MC$2:$MC$200=R$3)*('GMW - $100 oil'!$MB$2:$MB$200=R$4),0),$E227-1973)</f>
        <v>#N/A</v>
      </c>
      <c r="S227" t="e" cm="1">
        <f t="array" ref="S227">INDEX('GMW - $100 oil'!$A$2:$MC$200,MATCH(1,('GMW - $100 oil'!$MC$2:$MC$200=S$3)*('GMW - $100 oil'!$MB$2:$MB$200=S$4),0),$E227-1973)</f>
        <v>#N/A</v>
      </c>
      <c r="T227" t="e" cm="1">
        <f t="array" ref="T227">INDEX('GMW - $100 oil'!$A$2:$MC$200,MATCH(1,('GMW - $100 oil'!$MC$2:$MC$200=T$3)*('GMW - $100 oil'!$MB$2:$MB$200=T$4),0),$E227-1973)</f>
        <v>#N/A</v>
      </c>
    </row>
    <row r="228" spans="1:20" x14ac:dyDescent="0.25">
      <c r="B228">
        <f t="shared" si="18"/>
        <v>2035</v>
      </c>
      <c r="C228">
        <f t="shared" si="18"/>
        <v>2035</v>
      </c>
      <c r="E228">
        <f t="shared" si="16"/>
        <v>2201</v>
      </c>
      <c r="F228" cm="1">
        <f t="array" ref="F228">INDEX('GMW - $100 oil'!$A$2:$MC$200,MATCH(1,('GMW - $100 oil'!$MC$2:$MC$200=F$3)*('GMW - $100 oil'!$MB$2:$MB$200=F$4),0),$E228-1973)</f>
        <v>808532.4</v>
      </c>
      <c r="G228" cm="1">
        <f t="array" ref="G228">INDEX('GMW - $100 oil'!$A$2:$MC$200,MATCH(1,('GMW - $100 oil'!$MC$2:$MC$200=G$3)*('GMW - $100 oil'!$MB$2:$MB$200=G$4),0),$E228-1973)</f>
        <v>474214.8</v>
      </c>
      <c r="H228" cm="1">
        <f t="array" ref="H228">INDEX('GMW - $100 oil'!$A$2:$MC$200,MATCH(1,('GMW - $100 oil'!$MC$2:$MC$200=H$3)*('GMW - $100 oil'!$MB$2:$MB$200=H$4),0),$E228-1973)</f>
        <v>169.5624</v>
      </c>
      <c r="I228" cm="1">
        <f t="array" ref="I228">INDEX('GMW - $100 oil'!$A$2:$MC$200,MATCH(1,('GMW - $100 oil'!$MC$2:$MC$200=I$3)*('GMW - $100 oil'!$MB$2:$MB$200=I$4),0),$E228-1973)</f>
        <v>2.4831270000000001</v>
      </c>
      <c r="J228" t="e" cm="1">
        <f t="array" ref="J228">INDEX('GMW - $100 oil'!$A$2:$MC$200,MATCH(1,('GMW - $100 oil'!$MC$2:$MC$200=J$3)*('GMW - $100 oil'!$MB$2:$MB$200=J$4),0),$E228-1973)</f>
        <v>#N/A</v>
      </c>
      <c r="K228" t="e" cm="1">
        <f t="array" ref="K228">INDEX('GMW - $100 oil'!$A$2:$MC$200,MATCH(1,('GMW - $100 oil'!$MC$2:$MC$200=K$3)*('GMW - $100 oil'!$MB$2:$MB$200=K$4),0),$E228-1973)</f>
        <v>#N/A</v>
      </c>
      <c r="L228" t="e" cm="1">
        <f t="array" ref="L228">INDEX('GMW - $100 oil'!$A$2:$MC$200,MATCH(1,('GMW - $100 oil'!$MC$2:$MC$200=L$3)*('GMW - $100 oil'!$MB$2:$MB$200=L$4),0),$E228-1973)</f>
        <v>#N/A</v>
      </c>
      <c r="M228" t="e" cm="1">
        <f t="array" ref="M228">INDEX('GMW - $100 oil'!$A$2:$MC$200,MATCH(1,('GMW - $100 oil'!$MC$2:$MC$200=M$3)*('GMW - $100 oil'!$MB$2:$MB$200=M$4),0),$E228-1973)</f>
        <v>#N/A</v>
      </c>
      <c r="N228" t="e" cm="1">
        <f t="array" ref="N228">INDEX('GMW - $100 oil'!$A$2:$MC$200,MATCH(1,('GMW - $100 oil'!$MC$2:$MC$200=N$3)*('GMW - $100 oil'!$MB$2:$MB$200=N$4),0),$E228-1973)</f>
        <v>#N/A</v>
      </c>
      <c r="O228" t="e" cm="1">
        <f t="array" ref="O228">INDEX('GMW - $100 oil'!$A$2:$MC$200,MATCH(1,('GMW - $100 oil'!$MC$2:$MC$200=O$3)*('GMW - $100 oil'!$MB$2:$MB$200=O$4),0),$E228-1973)</f>
        <v>#N/A</v>
      </c>
      <c r="P228" t="e" cm="1">
        <f t="array" ref="P228">INDEX('GMW - $100 oil'!$A$2:$MC$200,MATCH(1,('GMW - $100 oil'!$MC$2:$MC$200=P$3)*('GMW - $100 oil'!$MB$2:$MB$200=P$4),0),$E228-1973)</f>
        <v>#N/A</v>
      </c>
      <c r="Q228" t="e" cm="1">
        <f t="array" ref="Q228">INDEX('GMW - $100 oil'!$A$2:$MC$200,MATCH(1,('GMW - $100 oil'!$MC$2:$MC$200=Q$3)*('GMW - $100 oil'!$MB$2:$MB$200=Q$4),0),$E228-1973)</f>
        <v>#N/A</v>
      </c>
      <c r="R228" t="e" cm="1">
        <f t="array" ref="R228">INDEX('GMW - $100 oil'!$A$2:$MC$200,MATCH(1,('GMW - $100 oil'!$MC$2:$MC$200=R$3)*('GMW - $100 oil'!$MB$2:$MB$200=R$4),0),$E228-1973)</f>
        <v>#N/A</v>
      </c>
      <c r="S228" t="e" cm="1">
        <f t="array" ref="S228">INDEX('GMW - $100 oil'!$A$2:$MC$200,MATCH(1,('GMW - $100 oil'!$MC$2:$MC$200=S$3)*('GMW - $100 oil'!$MB$2:$MB$200=S$4),0),$E228-1973)</f>
        <v>#N/A</v>
      </c>
      <c r="T228" t="e" cm="1">
        <f t="array" ref="T228">INDEX('GMW - $100 oil'!$A$2:$MC$200,MATCH(1,('GMW - $100 oil'!$MC$2:$MC$200=T$3)*('GMW - $100 oil'!$MB$2:$MB$200=T$4),0),$E228-1973)</f>
        <v>#N/A</v>
      </c>
    </row>
    <row r="229" spans="1:20" x14ac:dyDescent="0.25">
      <c r="B229">
        <f t="shared" si="18"/>
        <v>2035</v>
      </c>
      <c r="C229">
        <f t="shared" si="18"/>
        <v>2035</v>
      </c>
      <c r="E229">
        <f t="shared" si="16"/>
        <v>2202</v>
      </c>
      <c r="F229" cm="1">
        <f t="array" ref="F229">INDEX('GMW - $100 oil'!$A$2:$MC$200,MATCH(1,('GMW - $100 oil'!$MC$2:$MC$200=F$3)*('GMW - $100 oil'!$MB$2:$MB$200=F$4),0),$E229-1973)</f>
        <v>811552.8</v>
      </c>
      <c r="G229" cm="1">
        <f t="array" ref="G229">INDEX('GMW - $100 oil'!$A$2:$MC$200,MATCH(1,('GMW - $100 oil'!$MC$2:$MC$200=G$3)*('GMW - $100 oil'!$MB$2:$MB$200=G$4),0),$E229-1973)</f>
        <v>475909.9</v>
      </c>
      <c r="H229" cm="1">
        <f t="array" ref="H229">INDEX('GMW - $100 oil'!$A$2:$MC$200,MATCH(1,('GMW - $100 oil'!$MC$2:$MC$200=H$3)*('GMW - $100 oil'!$MB$2:$MB$200=H$4),0),$E229-1973)</f>
        <v>170.482</v>
      </c>
      <c r="I229" cm="1">
        <f t="array" ref="I229">INDEX('GMW - $100 oil'!$A$2:$MC$200,MATCH(1,('GMW - $100 oil'!$MC$2:$MC$200=I$3)*('GMW - $100 oil'!$MB$2:$MB$200=I$4),0),$E229-1973)</f>
        <v>2.478402</v>
      </c>
      <c r="J229" t="e" cm="1">
        <f t="array" ref="J229">INDEX('GMW - $100 oil'!$A$2:$MC$200,MATCH(1,('GMW - $100 oil'!$MC$2:$MC$200=J$3)*('GMW - $100 oil'!$MB$2:$MB$200=J$4),0),$E229-1973)</f>
        <v>#N/A</v>
      </c>
      <c r="K229" t="e" cm="1">
        <f t="array" ref="K229">INDEX('GMW - $100 oil'!$A$2:$MC$200,MATCH(1,('GMW - $100 oil'!$MC$2:$MC$200=K$3)*('GMW - $100 oil'!$MB$2:$MB$200=K$4),0),$E229-1973)</f>
        <v>#N/A</v>
      </c>
      <c r="L229" t="e" cm="1">
        <f t="array" ref="L229">INDEX('GMW - $100 oil'!$A$2:$MC$200,MATCH(1,('GMW - $100 oil'!$MC$2:$MC$200=L$3)*('GMW - $100 oil'!$MB$2:$MB$200=L$4),0),$E229-1973)</f>
        <v>#N/A</v>
      </c>
      <c r="M229" t="e" cm="1">
        <f t="array" ref="M229">INDEX('GMW - $100 oil'!$A$2:$MC$200,MATCH(1,('GMW - $100 oil'!$MC$2:$MC$200=M$3)*('GMW - $100 oil'!$MB$2:$MB$200=M$4),0),$E229-1973)</f>
        <v>#N/A</v>
      </c>
      <c r="N229" t="e" cm="1">
        <f t="array" ref="N229">INDEX('GMW - $100 oil'!$A$2:$MC$200,MATCH(1,('GMW - $100 oil'!$MC$2:$MC$200=N$3)*('GMW - $100 oil'!$MB$2:$MB$200=N$4),0),$E229-1973)</f>
        <v>#N/A</v>
      </c>
      <c r="O229" t="e" cm="1">
        <f t="array" ref="O229">INDEX('GMW - $100 oil'!$A$2:$MC$200,MATCH(1,('GMW - $100 oil'!$MC$2:$MC$200=O$3)*('GMW - $100 oil'!$MB$2:$MB$200=O$4),0),$E229-1973)</f>
        <v>#N/A</v>
      </c>
      <c r="P229" t="e" cm="1">
        <f t="array" ref="P229">INDEX('GMW - $100 oil'!$A$2:$MC$200,MATCH(1,('GMW - $100 oil'!$MC$2:$MC$200=P$3)*('GMW - $100 oil'!$MB$2:$MB$200=P$4),0),$E229-1973)</f>
        <v>#N/A</v>
      </c>
      <c r="Q229" t="e" cm="1">
        <f t="array" ref="Q229">INDEX('GMW - $100 oil'!$A$2:$MC$200,MATCH(1,('GMW - $100 oil'!$MC$2:$MC$200=Q$3)*('GMW - $100 oil'!$MB$2:$MB$200=Q$4),0),$E229-1973)</f>
        <v>#N/A</v>
      </c>
      <c r="R229" t="e" cm="1">
        <f t="array" ref="R229">INDEX('GMW - $100 oil'!$A$2:$MC$200,MATCH(1,('GMW - $100 oil'!$MC$2:$MC$200=R$3)*('GMW - $100 oil'!$MB$2:$MB$200=R$4),0),$E229-1973)</f>
        <v>#N/A</v>
      </c>
      <c r="S229" t="e" cm="1">
        <f t="array" ref="S229">INDEX('GMW - $100 oil'!$A$2:$MC$200,MATCH(1,('GMW - $100 oil'!$MC$2:$MC$200=S$3)*('GMW - $100 oil'!$MB$2:$MB$200=S$4),0),$E229-1973)</f>
        <v>#N/A</v>
      </c>
      <c r="T229" t="e" cm="1">
        <f t="array" ref="T229">INDEX('GMW - $100 oil'!$A$2:$MC$200,MATCH(1,('GMW - $100 oil'!$MC$2:$MC$200=T$3)*('GMW - $100 oil'!$MB$2:$MB$200=T$4),0),$E229-1973)</f>
        <v>#N/A</v>
      </c>
    </row>
    <row r="230" spans="1:20" x14ac:dyDescent="0.25">
      <c r="B230">
        <f t="shared" si="18"/>
        <v>2035</v>
      </c>
      <c r="C230">
        <f t="shared" si="18"/>
        <v>2035</v>
      </c>
      <c r="E230">
        <f t="shared" si="16"/>
        <v>2203</v>
      </c>
      <c r="F230" cm="1">
        <f t="array" ref="F230">INDEX('GMW - $100 oil'!$A$2:$MC$200,MATCH(1,('GMW - $100 oil'!$MC$2:$MC$200=F$3)*('GMW - $100 oil'!$MB$2:$MB$200=F$4),0),$E230-1973)</f>
        <v>814595.1</v>
      </c>
      <c r="G230" cm="1">
        <f t="array" ref="G230">INDEX('GMW - $100 oil'!$A$2:$MC$200,MATCH(1,('GMW - $100 oil'!$MC$2:$MC$200=G$3)*('GMW - $100 oil'!$MB$2:$MB$200=G$4),0),$E230-1973)</f>
        <v>477616.1</v>
      </c>
      <c r="H230" cm="1">
        <f t="array" ref="H230">INDEX('GMW - $100 oil'!$A$2:$MC$200,MATCH(1,('GMW - $100 oil'!$MC$2:$MC$200=H$3)*('GMW - $100 oil'!$MB$2:$MB$200=H$4),0),$E230-1973)</f>
        <v>171.19909999999999</v>
      </c>
      <c r="I230" cm="1">
        <f t="array" ref="I230">INDEX('GMW - $100 oil'!$A$2:$MC$200,MATCH(1,('GMW - $100 oil'!$MC$2:$MC$200=I$3)*('GMW - $100 oil'!$MB$2:$MB$200=I$4),0),$E230-1973)</f>
        <v>2.47621</v>
      </c>
      <c r="J230" t="e" cm="1">
        <f t="array" ref="J230">INDEX('GMW - $100 oil'!$A$2:$MC$200,MATCH(1,('GMW - $100 oil'!$MC$2:$MC$200=J$3)*('GMW - $100 oil'!$MB$2:$MB$200=J$4),0),$E230-1973)</f>
        <v>#N/A</v>
      </c>
      <c r="K230" t="e" cm="1">
        <f t="array" ref="K230">INDEX('GMW - $100 oil'!$A$2:$MC$200,MATCH(1,('GMW - $100 oil'!$MC$2:$MC$200=K$3)*('GMW - $100 oil'!$MB$2:$MB$200=K$4),0),$E230-1973)</f>
        <v>#N/A</v>
      </c>
      <c r="L230" t="e" cm="1">
        <f t="array" ref="L230">INDEX('GMW - $100 oil'!$A$2:$MC$200,MATCH(1,('GMW - $100 oil'!$MC$2:$MC$200=L$3)*('GMW - $100 oil'!$MB$2:$MB$200=L$4),0),$E230-1973)</f>
        <v>#N/A</v>
      </c>
      <c r="M230" t="e" cm="1">
        <f t="array" ref="M230">INDEX('GMW - $100 oil'!$A$2:$MC$200,MATCH(1,('GMW - $100 oil'!$MC$2:$MC$200=M$3)*('GMW - $100 oil'!$MB$2:$MB$200=M$4),0),$E230-1973)</f>
        <v>#N/A</v>
      </c>
      <c r="N230" t="e" cm="1">
        <f t="array" ref="N230">INDEX('GMW - $100 oil'!$A$2:$MC$200,MATCH(1,('GMW - $100 oil'!$MC$2:$MC$200=N$3)*('GMW - $100 oil'!$MB$2:$MB$200=N$4),0),$E230-1973)</f>
        <v>#N/A</v>
      </c>
      <c r="O230" t="e" cm="1">
        <f t="array" ref="O230">INDEX('GMW - $100 oil'!$A$2:$MC$200,MATCH(1,('GMW - $100 oil'!$MC$2:$MC$200=O$3)*('GMW - $100 oil'!$MB$2:$MB$200=O$4),0),$E230-1973)</f>
        <v>#N/A</v>
      </c>
      <c r="P230" t="e" cm="1">
        <f t="array" ref="P230">INDEX('GMW - $100 oil'!$A$2:$MC$200,MATCH(1,('GMW - $100 oil'!$MC$2:$MC$200=P$3)*('GMW - $100 oil'!$MB$2:$MB$200=P$4),0),$E230-1973)</f>
        <v>#N/A</v>
      </c>
      <c r="Q230" t="e" cm="1">
        <f t="array" ref="Q230">INDEX('GMW - $100 oil'!$A$2:$MC$200,MATCH(1,('GMW - $100 oil'!$MC$2:$MC$200=Q$3)*('GMW - $100 oil'!$MB$2:$MB$200=Q$4),0),$E230-1973)</f>
        <v>#N/A</v>
      </c>
      <c r="R230" t="e" cm="1">
        <f t="array" ref="R230">INDEX('GMW - $100 oil'!$A$2:$MC$200,MATCH(1,('GMW - $100 oil'!$MC$2:$MC$200=R$3)*('GMW - $100 oil'!$MB$2:$MB$200=R$4),0),$E230-1973)</f>
        <v>#N/A</v>
      </c>
      <c r="S230" t="e" cm="1">
        <f t="array" ref="S230">INDEX('GMW - $100 oil'!$A$2:$MC$200,MATCH(1,('GMW - $100 oil'!$MC$2:$MC$200=S$3)*('GMW - $100 oil'!$MB$2:$MB$200=S$4),0),$E230-1973)</f>
        <v>#N/A</v>
      </c>
      <c r="T230" t="e" cm="1">
        <f t="array" ref="T230">INDEX('GMW - $100 oil'!$A$2:$MC$200,MATCH(1,('GMW - $100 oil'!$MC$2:$MC$200=T$3)*('GMW - $100 oil'!$MB$2:$MB$200=T$4),0),$E230-1973)</f>
        <v>#N/A</v>
      </c>
    </row>
    <row r="231" spans="1:20" x14ac:dyDescent="0.25">
      <c r="A231">
        <v>2036</v>
      </c>
      <c r="B231">
        <f t="shared" si="18"/>
        <v>2036</v>
      </c>
      <c r="C231">
        <f t="shared" si="18"/>
        <v>2035</v>
      </c>
      <c r="D231">
        <f t="shared" si="18"/>
        <v>2035</v>
      </c>
      <c r="E231">
        <f t="shared" si="16"/>
        <v>2204</v>
      </c>
      <c r="F231" t="str" cm="1">
        <f t="array" ref="F231">INDEX('GMW - $100 oil'!$A$2:$MC$200,MATCH(1,('GMW - $100 oil'!$MC$2:$MC$200=F$3)*('GMW - $100 oil'!$MB$2:$MB$200=F$4),0),$E231-1973)</f>
        <v>NA</v>
      </c>
      <c r="G231" t="str" cm="1">
        <f t="array" ref="G231">INDEX('GMW - $100 oil'!$A$2:$MC$200,MATCH(1,('GMW - $100 oil'!$MC$2:$MC$200=G$3)*('GMW - $100 oil'!$MB$2:$MB$200=G$4),0),$E231-1973)</f>
        <v>NA</v>
      </c>
      <c r="H231" t="str" cm="1">
        <f t="array" ref="H231">INDEX('GMW - $100 oil'!$A$2:$MC$200,MATCH(1,('GMW - $100 oil'!$MC$2:$MC$200=H$3)*('GMW - $100 oil'!$MB$2:$MB$200=H$4),0),$E231-1973)</f>
        <v>NA</v>
      </c>
      <c r="I231" t="str" cm="1">
        <f t="array" ref="I231">INDEX('GMW - $100 oil'!$A$2:$MC$200,MATCH(1,('GMW - $100 oil'!$MC$2:$MC$200=I$3)*('GMW - $100 oil'!$MB$2:$MB$200=I$4),0),$E231-1973)</f>
        <v>NA</v>
      </c>
      <c r="J231" t="e" cm="1">
        <f t="array" ref="J231">INDEX('GMW - $100 oil'!$A$2:$MC$200,MATCH(1,('GMW - $100 oil'!$MC$2:$MC$200=J$3)*('GMW - $100 oil'!$MB$2:$MB$200=J$4),0),$E231-1973)</f>
        <v>#N/A</v>
      </c>
      <c r="K231" t="e" cm="1">
        <f t="array" ref="K231">INDEX('GMW - $100 oil'!$A$2:$MC$200,MATCH(1,('GMW - $100 oil'!$MC$2:$MC$200=K$3)*('GMW - $100 oil'!$MB$2:$MB$200=K$4),0),$E231-1973)</f>
        <v>#N/A</v>
      </c>
      <c r="L231" t="e" cm="1">
        <f t="array" ref="L231">INDEX('GMW - $100 oil'!$A$2:$MC$200,MATCH(1,('GMW - $100 oil'!$MC$2:$MC$200=L$3)*('GMW - $100 oil'!$MB$2:$MB$200=L$4),0),$E231-1973)</f>
        <v>#N/A</v>
      </c>
      <c r="M231" t="e" cm="1">
        <f t="array" ref="M231">INDEX('GMW - $100 oil'!$A$2:$MC$200,MATCH(1,('GMW - $100 oil'!$MC$2:$MC$200=M$3)*('GMW - $100 oil'!$MB$2:$MB$200=M$4),0),$E231-1973)</f>
        <v>#N/A</v>
      </c>
      <c r="N231" t="e" cm="1">
        <f t="array" ref="N231">INDEX('GMW - $100 oil'!$A$2:$MC$200,MATCH(1,('GMW - $100 oil'!$MC$2:$MC$200=N$3)*('GMW - $100 oil'!$MB$2:$MB$200=N$4),0),$E231-1973)</f>
        <v>#N/A</v>
      </c>
      <c r="O231" t="e" cm="1">
        <f t="array" ref="O231">INDEX('GMW - $100 oil'!$A$2:$MC$200,MATCH(1,('GMW - $100 oil'!$MC$2:$MC$200=O$3)*('GMW - $100 oil'!$MB$2:$MB$200=O$4),0),$E231-1973)</f>
        <v>#N/A</v>
      </c>
      <c r="P231" t="e" cm="1">
        <f t="array" ref="P231">INDEX('GMW - $100 oil'!$A$2:$MC$200,MATCH(1,('GMW - $100 oil'!$MC$2:$MC$200=P$3)*('GMW - $100 oil'!$MB$2:$MB$200=P$4),0),$E231-1973)</f>
        <v>#N/A</v>
      </c>
      <c r="Q231" t="e" cm="1">
        <f t="array" ref="Q231">INDEX('GMW - $100 oil'!$A$2:$MC$200,MATCH(1,('GMW - $100 oil'!$MC$2:$MC$200=Q$3)*('GMW - $100 oil'!$MB$2:$MB$200=Q$4),0),$E231-1973)</f>
        <v>#N/A</v>
      </c>
      <c r="R231" t="e" cm="1">
        <f t="array" ref="R231">INDEX('GMW - $100 oil'!$A$2:$MC$200,MATCH(1,('GMW - $100 oil'!$MC$2:$MC$200=R$3)*('GMW - $100 oil'!$MB$2:$MB$200=R$4),0),$E231-1973)</f>
        <v>#N/A</v>
      </c>
      <c r="S231" t="e" cm="1">
        <f t="array" ref="S231">INDEX('GMW - $100 oil'!$A$2:$MC$200,MATCH(1,('GMW - $100 oil'!$MC$2:$MC$200=S$3)*('GMW - $100 oil'!$MB$2:$MB$200=S$4),0),$E231-1973)</f>
        <v>#N/A</v>
      </c>
      <c r="T231" t="e" cm="1">
        <f t="array" ref="T231">INDEX('GMW - $100 oil'!$A$2:$MC$200,MATCH(1,('GMW - $100 oil'!$MC$2:$MC$200=T$3)*('GMW - $100 oil'!$MB$2:$MB$200=T$4),0),$E231-1973)</f>
        <v>#N/A</v>
      </c>
    </row>
    <row r="232" spans="1:20" x14ac:dyDescent="0.25">
      <c r="B232">
        <f t="shared" si="18"/>
        <v>2036</v>
      </c>
      <c r="C232">
        <f t="shared" si="18"/>
        <v>2036</v>
      </c>
      <c r="E232">
        <f t="shared" si="16"/>
        <v>2205</v>
      </c>
      <c r="F232" t="str" cm="1">
        <f t="array" ref="F232">INDEX('GMW - $100 oil'!$A$2:$MC$200,MATCH(1,('GMW - $100 oil'!$MC$2:$MC$200=F$3)*('GMW - $100 oil'!$MB$2:$MB$200=F$4),0),$E232-1973)</f>
        <v>NA</v>
      </c>
      <c r="G232" t="str" cm="1">
        <f t="array" ref="G232">INDEX('GMW - $100 oil'!$A$2:$MC$200,MATCH(1,('GMW - $100 oil'!$MC$2:$MC$200=G$3)*('GMW - $100 oil'!$MB$2:$MB$200=G$4),0),$E232-1973)</f>
        <v>NA</v>
      </c>
      <c r="H232" t="str" cm="1">
        <f t="array" ref="H232">INDEX('GMW - $100 oil'!$A$2:$MC$200,MATCH(1,('GMW - $100 oil'!$MC$2:$MC$200=H$3)*('GMW - $100 oil'!$MB$2:$MB$200=H$4),0),$E232-1973)</f>
        <v>NA</v>
      </c>
      <c r="I232" t="str" cm="1">
        <f t="array" ref="I232">INDEX('GMW - $100 oil'!$A$2:$MC$200,MATCH(1,('GMW - $100 oil'!$MC$2:$MC$200=I$3)*('GMW - $100 oil'!$MB$2:$MB$200=I$4),0),$E232-1973)</f>
        <v>NA</v>
      </c>
      <c r="J232" t="e" cm="1">
        <f t="array" ref="J232">INDEX('GMW - $100 oil'!$A$2:$MC$200,MATCH(1,('GMW - $100 oil'!$MC$2:$MC$200=J$3)*('GMW - $100 oil'!$MB$2:$MB$200=J$4),0),$E232-1973)</f>
        <v>#N/A</v>
      </c>
      <c r="K232" t="e" cm="1">
        <f t="array" ref="K232">INDEX('GMW - $100 oil'!$A$2:$MC$200,MATCH(1,('GMW - $100 oil'!$MC$2:$MC$200=K$3)*('GMW - $100 oil'!$MB$2:$MB$200=K$4),0),$E232-1973)</f>
        <v>#N/A</v>
      </c>
      <c r="L232" t="e" cm="1">
        <f t="array" ref="L232">INDEX('GMW - $100 oil'!$A$2:$MC$200,MATCH(1,('GMW - $100 oil'!$MC$2:$MC$200=L$3)*('GMW - $100 oil'!$MB$2:$MB$200=L$4),0),$E232-1973)</f>
        <v>#N/A</v>
      </c>
      <c r="M232" t="e" cm="1">
        <f t="array" ref="M232">INDEX('GMW - $100 oil'!$A$2:$MC$200,MATCH(1,('GMW - $100 oil'!$MC$2:$MC$200=M$3)*('GMW - $100 oil'!$MB$2:$MB$200=M$4),0),$E232-1973)</f>
        <v>#N/A</v>
      </c>
      <c r="N232" t="e" cm="1">
        <f t="array" ref="N232">INDEX('GMW - $100 oil'!$A$2:$MC$200,MATCH(1,('GMW - $100 oil'!$MC$2:$MC$200=N$3)*('GMW - $100 oil'!$MB$2:$MB$200=N$4),0),$E232-1973)</f>
        <v>#N/A</v>
      </c>
      <c r="O232" t="e" cm="1">
        <f t="array" ref="O232">INDEX('GMW - $100 oil'!$A$2:$MC$200,MATCH(1,('GMW - $100 oil'!$MC$2:$MC$200=O$3)*('GMW - $100 oil'!$MB$2:$MB$200=O$4),0),$E232-1973)</f>
        <v>#N/A</v>
      </c>
      <c r="P232" t="e" cm="1">
        <f t="array" ref="P232">INDEX('GMW - $100 oil'!$A$2:$MC$200,MATCH(1,('GMW - $100 oil'!$MC$2:$MC$200=P$3)*('GMW - $100 oil'!$MB$2:$MB$200=P$4),0),$E232-1973)</f>
        <v>#N/A</v>
      </c>
      <c r="Q232" t="e" cm="1">
        <f t="array" ref="Q232">INDEX('GMW - $100 oil'!$A$2:$MC$200,MATCH(1,('GMW - $100 oil'!$MC$2:$MC$200=Q$3)*('GMW - $100 oil'!$MB$2:$MB$200=Q$4),0),$E232-1973)</f>
        <v>#N/A</v>
      </c>
      <c r="R232" t="e" cm="1">
        <f t="array" ref="R232">INDEX('GMW - $100 oil'!$A$2:$MC$200,MATCH(1,('GMW - $100 oil'!$MC$2:$MC$200=R$3)*('GMW - $100 oil'!$MB$2:$MB$200=R$4),0),$E232-1973)</f>
        <v>#N/A</v>
      </c>
      <c r="S232" t="e" cm="1">
        <f t="array" ref="S232">INDEX('GMW - $100 oil'!$A$2:$MC$200,MATCH(1,('GMW - $100 oil'!$MC$2:$MC$200=S$3)*('GMW - $100 oil'!$MB$2:$MB$200=S$4),0),$E232-1973)</f>
        <v>#N/A</v>
      </c>
      <c r="T232" t="e" cm="1">
        <f t="array" ref="T232">INDEX('GMW - $100 oil'!$A$2:$MC$200,MATCH(1,('GMW - $100 oil'!$MC$2:$MC$200=T$3)*('GMW - $100 oil'!$MB$2:$MB$200=T$4),0),$E232-1973)</f>
        <v>#N/A</v>
      </c>
    </row>
    <row r="233" spans="1:20" x14ac:dyDescent="0.25">
      <c r="B233">
        <f t="shared" si="18"/>
        <v>2036</v>
      </c>
      <c r="C233">
        <f t="shared" si="18"/>
        <v>2036</v>
      </c>
      <c r="E233">
        <f t="shared" si="16"/>
        <v>2206</v>
      </c>
      <c r="F233" t="str" cm="1">
        <f t="array" ref="F233">INDEX('GMW - $100 oil'!$A$2:$MC$200,MATCH(1,('GMW - $100 oil'!$MC$2:$MC$200=F$3)*('GMW - $100 oil'!$MB$2:$MB$200=F$4),0),$E233-1973)</f>
        <v>NA</v>
      </c>
      <c r="G233" t="str" cm="1">
        <f t="array" ref="G233">INDEX('GMW - $100 oil'!$A$2:$MC$200,MATCH(1,('GMW - $100 oil'!$MC$2:$MC$200=G$3)*('GMW - $100 oil'!$MB$2:$MB$200=G$4),0),$E233-1973)</f>
        <v>NA</v>
      </c>
      <c r="H233" t="str" cm="1">
        <f t="array" ref="H233">INDEX('GMW - $100 oil'!$A$2:$MC$200,MATCH(1,('GMW - $100 oil'!$MC$2:$MC$200=H$3)*('GMW - $100 oil'!$MB$2:$MB$200=H$4),0),$E233-1973)</f>
        <v>NA</v>
      </c>
      <c r="I233" t="str" cm="1">
        <f t="array" ref="I233">INDEX('GMW - $100 oil'!$A$2:$MC$200,MATCH(1,('GMW - $100 oil'!$MC$2:$MC$200=I$3)*('GMW - $100 oil'!$MB$2:$MB$200=I$4),0),$E233-1973)</f>
        <v>NA</v>
      </c>
      <c r="J233" t="e" cm="1">
        <f t="array" ref="J233">INDEX('GMW - $100 oil'!$A$2:$MC$200,MATCH(1,('GMW - $100 oil'!$MC$2:$MC$200=J$3)*('GMW - $100 oil'!$MB$2:$MB$200=J$4),0),$E233-1973)</f>
        <v>#N/A</v>
      </c>
      <c r="K233" t="e" cm="1">
        <f t="array" ref="K233">INDEX('GMW - $100 oil'!$A$2:$MC$200,MATCH(1,('GMW - $100 oil'!$MC$2:$MC$200=K$3)*('GMW - $100 oil'!$MB$2:$MB$200=K$4),0),$E233-1973)</f>
        <v>#N/A</v>
      </c>
      <c r="L233" t="e" cm="1">
        <f t="array" ref="L233">INDEX('GMW - $100 oil'!$A$2:$MC$200,MATCH(1,('GMW - $100 oil'!$MC$2:$MC$200=L$3)*('GMW - $100 oil'!$MB$2:$MB$200=L$4),0),$E233-1973)</f>
        <v>#N/A</v>
      </c>
      <c r="M233" t="e" cm="1">
        <f t="array" ref="M233">INDEX('GMW - $100 oil'!$A$2:$MC$200,MATCH(1,('GMW - $100 oil'!$MC$2:$MC$200=M$3)*('GMW - $100 oil'!$MB$2:$MB$200=M$4),0),$E233-1973)</f>
        <v>#N/A</v>
      </c>
      <c r="N233" t="e" cm="1">
        <f t="array" ref="N233">INDEX('GMW - $100 oil'!$A$2:$MC$200,MATCH(1,('GMW - $100 oil'!$MC$2:$MC$200=N$3)*('GMW - $100 oil'!$MB$2:$MB$200=N$4),0),$E233-1973)</f>
        <v>#N/A</v>
      </c>
      <c r="O233" t="e" cm="1">
        <f t="array" ref="O233">INDEX('GMW - $100 oil'!$A$2:$MC$200,MATCH(1,('GMW - $100 oil'!$MC$2:$MC$200=O$3)*('GMW - $100 oil'!$MB$2:$MB$200=O$4),0),$E233-1973)</f>
        <v>#N/A</v>
      </c>
      <c r="P233" t="e" cm="1">
        <f t="array" ref="P233">INDEX('GMW - $100 oil'!$A$2:$MC$200,MATCH(1,('GMW - $100 oil'!$MC$2:$MC$200=P$3)*('GMW - $100 oil'!$MB$2:$MB$200=P$4),0),$E233-1973)</f>
        <v>#N/A</v>
      </c>
      <c r="Q233" t="e" cm="1">
        <f t="array" ref="Q233">INDEX('GMW - $100 oil'!$A$2:$MC$200,MATCH(1,('GMW - $100 oil'!$MC$2:$MC$200=Q$3)*('GMW - $100 oil'!$MB$2:$MB$200=Q$4),0),$E233-1973)</f>
        <v>#N/A</v>
      </c>
      <c r="R233" t="e" cm="1">
        <f t="array" ref="R233">INDEX('GMW - $100 oil'!$A$2:$MC$200,MATCH(1,('GMW - $100 oil'!$MC$2:$MC$200=R$3)*('GMW - $100 oil'!$MB$2:$MB$200=R$4),0),$E233-1973)</f>
        <v>#N/A</v>
      </c>
      <c r="S233" t="e" cm="1">
        <f t="array" ref="S233">INDEX('GMW - $100 oil'!$A$2:$MC$200,MATCH(1,('GMW - $100 oil'!$MC$2:$MC$200=S$3)*('GMW - $100 oil'!$MB$2:$MB$200=S$4),0),$E233-1973)</f>
        <v>#N/A</v>
      </c>
      <c r="T233" t="e" cm="1">
        <f t="array" ref="T233">INDEX('GMW - $100 oil'!$A$2:$MC$200,MATCH(1,('GMW - $100 oil'!$MC$2:$MC$200=T$3)*('GMW - $100 oil'!$MB$2:$MB$200=T$4),0),$E233-1973)</f>
        <v>#N/A</v>
      </c>
    </row>
    <row r="234" spans="1:20" x14ac:dyDescent="0.25">
      <c r="B234">
        <f t="shared" si="18"/>
        <v>2036</v>
      </c>
      <c r="C234">
        <f t="shared" si="18"/>
        <v>2036</v>
      </c>
      <c r="E234">
        <f t="shared" si="16"/>
        <v>2207</v>
      </c>
      <c r="F234" t="str" cm="1">
        <f t="array" ref="F234">INDEX('GMW - $100 oil'!$A$2:$MC$200,MATCH(1,('GMW - $100 oil'!$MC$2:$MC$200=F$3)*('GMW - $100 oil'!$MB$2:$MB$200=F$4),0),$E234-1973)</f>
        <v>NA</v>
      </c>
      <c r="G234" t="str" cm="1">
        <f t="array" ref="G234">INDEX('GMW - $100 oil'!$A$2:$MC$200,MATCH(1,('GMW - $100 oil'!$MC$2:$MC$200=G$3)*('GMW - $100 oil'!$MB$2:$MB$200=G$4),0),$E234-1973)</f>
        <v>NA</v>
      </c>
      <c r="H234" t="str" cm="1">
        <f t="array" ref="H234">INDEX('GMW - $100 oil'!$A$2:$MC$200,MATCH(1,('GMW - $100 oil'!$MC$2:$MC$200=H$3)*('GMW - $100 oil'!$MB$2:$MB$200=H$4),0),$E234-1973)</f>
        <v>NA</v>
      </c>
      <c r="I234" t="str" cm="1">
        <f t="array" ref="I234">INDEX('GMW - $100 oil'!$A$2:$MC$200,MATCH(1,('GMW - $100 oil'!$MC$2:$MC$200=I$3)*('GMW - $100 oil'!$MB$2:$MB$200=I$4),0),$E234-1973)</f>
        <v>NA</v>
      </c>
      <c r="J234" t="e" cm="1">
        <f t="array" ref="J234">INDEX('GMW - $100 oil'!$A$2:$MC$200,MATCH(1,('GMW - $100 oil'!$MC$2:$MC$200=J$3)*('GMW - $100 oil'!$MB$2:$MB$200=J$4),0),$E234-1973)</f>
        <v>#N/A</v>
      </c>
      <c r="K234" t="e" cm="1">
        <f t="array" ref="K234">INDEX('GMW - $100 oil'!$A$2:$MC$200,MATCH(1,('GMW - $100 oil'!$MC$2:$MC$200=K$3)*('GMW - $100 oil'!$MB$2:$MB$200=K$4),0),$E234-1973)</f>
        <v>#N/A</v>
      </c>
      <c r="L234" t="e" cm="1">
        <f t="array" ref="L234">INDEX('GMW - $100 oil'!$A$2:$MC$200,MATCH(1,('GMW - $100 oil'!$MC$2:$MC$200=L$3)*('GMW - $100 oil'!$MB$2:$MB$200=L$4),0),$E234-1973)</f>
        <v>#N/A</v>
      </c>
      <c r="M234" t="e" cm="1">
        <f t="array" ref="M234">INDEX('GMW - $100 oil'!$A$2:$MC$200,MATCH(1,('GMW - $100 oil'!$MC$2:$MC$200=M$3)*('GMW - $100 oil'!$MB$2:$MB$200=M$4),0),$E234-1973)</f>
        <v>#N/A</v>
      </c>
      <c r="N234" t="e" cm="1">
        <f t="array" ref="N234">INDEX('GMW - $100 oil'!$A$2:$MC$200,MATCH(1,('GMW - $100 oil'!$MC$2:$MC$200=N$3)*('GMW - $100 oil'!$MB$2:$MB$200=N$4),0),$E234-1973)</f>
        <v>#N/A</v>
      </c>
      <c r="O234" t="e" cm="1">
        <f t="array" ref="O234">INDEX('GMW - $100 oil'!$A$2:$MC$200,MATCH(1,('GMW - $100 oil'!$MC$2:$MC$200=O$3)*('GMW - $100 oil'!$MB$2:$MB$200=O$4),0),$E234-1973)</f>
        <v>#N/A</v>
      </c>
      <c r="P234" t="e" cm="1">
        <f t="array" ref="P234">INDEX('GMW - $100 oil'!$A$2:$MC$200,MATCH(1,('GMW - $100 oil'!$MC$2:$MC$200=P$3)*('GMW - $100 oil'!$MB$2:$MB$200=P$4),0),$E234-1973)</f>
        <v>#N/A</v>
      </c>
      <c r="Q234" t="e" cm="1">
        <f t="array" ref="Q234">INDEX('GMW - $100 oil'!$A$2:$MC$200,MATCH(1,('GMW - $100 oil'!$MC$2:$MC$200=Q$3)*('GMW - $100 oil'!$MB$2:$MB$200=Q$4),0),$E234-1973)</f>
        <v>#N/A</v>
      </c>
      <c r="R234" t="e" cm="1">
        <f t="array" ref="R234">INDEX('GMW - $100 oil'!$A$2:$MC$200,MATCH(1,('GMW - $100 oil'!$MC$2:$MC$200=R$3)*('GMW - $100 oil'!$MB$2:$MB$200=R$4),0),$E234-1973)</f>
        <v>#N/A</v>
      </c>
      <c r="S234" t="e" cm="1">
        <f t="array" ref="S234">INDEX('GMW - $100 oil'!$A$2:$MC$200,MATCH(1,('GMW - $100 oil'!$MC$2:$MC$200=S$3)*('GMW - $100 oil'!$MB$2:$MB$200=S$4),0),$E234-1973)</f>
        <v>#N/A</v>
      </c>
      <c r="T234" t="e" cm="1">
        <f t="array" ref="T234">INDEX('GMW - $100 oil'!$A$2:$MC$200,MATCH(1,('GMW - $100 oil'!$MC$2:$MC$200=T$3)*('GMW - $100 oil'!$MB$2:$MB$200=T$4),0),$E234-1973)</f>
        <v>#N/A</v>
      </c>
    </row>
    <row r="235" spans="1:20" x14ac:dyDescent="0.25">
      <c r="A235">
        <v>2037</v>
      </c>
      <c r="B235">
        <f t="shared" si="18"/>
        <v>2037</v>
      </c>
      <c r="C235">
        <f t="shared" si="18"/>
        <v>2036</v>
      </c>
      <c r="D235">
        <f t="shared" si="18"/>
        <v>2036</v>
      </c>
      <c r="E235">
        <f t="shared" si="16"/>
        <v>2208</v>
      </c>
      <c r="F235" t="str" cm="1">
        <f t="array" ref="F235">INDEX('GMW - $100 oil'!$A$2:$MC$200,MATCH(1,('GMW - $100 oil'!$MC$2:$MC$200=F$3)*('GMW - $100 oil'!$MB$2:$MB$200=F$4),0),$E235-1973)</f>
        <v>NA</v>
      </c>
      <c r="G235" t="str" cm="1">
        <f t="array" ref="G235">INDEX('GMW - $100 oil'!$A$2:$MC$200,MATCH(1,('GMW - $100 oil'!$MC$2:$MC$200=G$3)*('GMW - $100 oil'!$MB$2:$MB$200=G$4),0),$E235-1973)</f>
        <v>NA</v>
      </c>
      <c r="H235" t="str" cm="1">
        <f t="array" ref="H235">INDEX('GMW - $100 oil'!$A$2:$MC$200,MATCH(1,('GMW - $100 oil'!$MC$2:$MC$200=H$3)*('GMW - $100 oil'!$MB$2:$MB$200=H$4),0),$E235-1973)</f>
        <v>NA</v>
      </c>
      <c r="I235" t="str" cm="1">
        <f t="array" ref="I235">INDEX('GMW - $100 oil'!$A$2:$MC$200,MATCH(1,('GMW - $100 oil'!$MC$2:$MC$200=I$3)*('GMW - $100 oil'!$MB$2:$MB$200=I$4),0),$E235-1973)</f>
        <v>NA</v>
      </c>
      <c r="J235" t="e" cm="1">
        <f t="array" ref="J235">INDEX('GMW - $100 oil'!$A$2:$MC$200,MATCH(1,('GMW - $100 oil'!$MC$2:$MC$200=J$3)*('GMW - $100 oil'!$MB$2:$MB$200=J$4),0),$E235-1973)</f>
        <v>#N/A</v>
      </c>
      <c r="K235" t="e" cm="1">
        <f t="array" ref="K235">INDEX('GMW - $100 oil'!$A$2:$MC$200,MATCH(1,('GMW - $100 oil'!$MC$2:$MC$200=K$3)*('GMW - $100 oil'!$MB$2:$MB$200=K$4),0),$E235-1973)</f>
        <v>#N/A</v>
      </c>
      <c r="L235" t="e" cm="1">
        <f t="array" ref="L235">INDEX('GMW - $100 oil'!$A$2:$MC$200,MATCH(1,('GMW - $100 oil'!$MC$2:$MC$200=L$3)*('GMW - $100 oil'!$MB$2:$MB$200=L$4),0),$E235-1973)</f>
        <v>#N/A</v>
      </c>
      <c r="M235" t="e" cm="1">
        <f t="array" ref="M235">INDEX('GMW - $100 oil'!$A$2:$MC$200,MATCH(1,('GMW - $100 oil'!$MC$2:$MC$200=M$3)*('GMW - $100 oil'!$MB$2:$MB$200=M$4),0),$E235-1973)</f>
        <v>#N/A</v>
      </c>
      <c r="N235" t="e" cm="1">
        <f t="array" ref="N235">INDEX('GMW - $100 oil'!$A$2:$MC$200,MATCH(1,('GMW - $100 oil'!$MC$2:$MC$200=N$3)*('GMW - $100 oil'!$MB$2:$MB$200=N$4),0),$E235-1973)</f>
        <v>#N/A</v>
      </c>
      <c r="O235" t="e" cm="1">
        <f t="array" ref="O235">INDEX('GMW - $100 oil'!$A$2:$MC$200,MATCH(1,('GMW - $100 oil'!$MC$2:$MC$200=O$3)*('GMW - $100 oil'!$MB$2:$MB$200=O$4),0),$E235-1973)</f>
        <v>#N/A</v>
      </c>
      <c r="P235" t="e" cm="1">
        <f t="array" ref="P235">INDEX('GMW - $100 oil'!$A$2:$MC$200,MATCH(1,('GMW - $100 oil'!$MC$2:$MC$200=P$3)*('GMW - $100 oil'!$MB$2:$MB$200=P$4),0),$E235-1973)</f>
        <v>#N/A</v>
      </c>
      <c r="Q235" t="e" cm="1">
        <f t="array" ref="Q235">INDEX('GMW - $100 oil'!$A$2:$MC$200,MATCH(1,('GMW - $100 oil'!$MC$2:$MC$200=Q$3)*('GMW - $100 oil'!$MB$2:$MB$200=Q$4),0),$E235-1973)</f>
        <v>#N/A</v>
      </c>
      <c r="R235" t="e" cm="1">
        <f t="array" ref="R235">INDEX('GMW - $100 oil'!$A$2:$MC$200,MATCH(1,('GMW - $100 oil'!$MC$2:$MC$200=R$3)*('GMW - $100 oil'!$MB$2:$MB$200=R$4),0),$E235-1973)</f>
        <v>#N/A</v>
      </c>
      <c r="S235" t="e" cm="1">
        <f t="array" ref="S235">INDEX('GMW - $100 oil'!$A$2:$MC$200,MATCH(1,('GMW - $100 oil'!$MC$2:$MC$200=S$3)*('GMW - $100 oil'!$MB$2:$MB$200=S$4),0),$E235-1973)</f>
        <v>#N/A</v>
      </c>
      <c r="T235" t="e" cm="1">
        <f t="array" ref="T235">INDEX('GMW - $100 oil'!$A$2:$MC$200,MATCH(1,('GMW - $100 oil'!$MC$2:$MC$200=T$3)*('GMW - $100 oil'!$MB$2:$MB$200=T$4),0),$E235-1973)</f>
        <v>#N/A</v>
      </c>
    </row>
    <row r="236" spans="1:20" x14ac:dyDescent="0.25">
      <c r="B236">
        <f t="shared" ref="B236:D251" si="19">+B232+1</f>
        <v>2037</v>
      </c>
      <c r="C236">
        <f t="shared" si="19"/>
        <v>2037</v>
      </c>
      <c r="E236">
        <f t="shared" si="16"/>
        <v>2209</v>
      </c>
      <c r="F236" t="str" cm="1">
        <f t="array" ref="F236">INDEX('GMW - $100 oil'!$A$2:$MC$200,MATCH(1,('GMW - $100 oil'!$MC$2:$MC$200=F$3)*('GMW - $100 oil'!$MB$2:$MB$200=F$4),0),$E236-1973)</f>
        <v>NA</v>
      </c>
      <c r="G236" t="str" cm="1">
        <f t="array" ref="G236">INDEX('GMW - $100 oil'!$A$2:$MC$200,MATCH(1,('GMW - $100 oil'!$MC$2:$MC$200=G$3)*('GMW - $100 oil'!$MB$2:$MB$200=G$4),0),$E236-1973)</f>
        <v>NA</v>
      </c>
      <c r="H236" t="str" cm="1">
        <f t="array" ref="H236">INDEX('GMW - $100 oil'!$A$2:$MC$200,MATCH(1,('GMW - $100 oil'!$MC$2:$MC$200=H$3)*('GMW - $100 oil'!$MB$2:$MB$200=H$4),0),$E236-1973)</f>
        <v>NA</v>
      </c>
      <c r="I236" t="str" cm="1">
        <f t="array" ref="I236">INDEX('GMW - $100 oil'!$A$2:$MC$200,MATCH(1,('GMW - $100 oil'!$MC$2:$MC$200=I$3)*('GMW - $100 oil'!$MB$2:$MB$200=I$4),0),$E236-1973)</f>
        <v>NA</v>
      </c>
      <c r="J236" t="e" cm="1">
        <f t="array" ref="J236">INDEX('GMW - $100 oil'!$A$2:$MC$200,MATCH(1,('GMW - $100 oil'!$MC$2:$MC$200=J$3)*('GMW - $100 oil'!$MB$2:$MB$200=J$4),0),$E236-1973)</f>
        <v>#N/A</v>
      </c>
      <c r="K236" t="e" cm="1">
        <f t="array" ref="K236">INDEX('GMW - $100 oil'!$A$2:$MC$200,MATCH(1,('GMW - $100 oil'!$MC$2:$MC$200=K$3)*('GMW - $100 oil'!$MB$2:$MB$200=K$4),0),$E236-1973)</f>
        <v>#N/A</v>
      </c>
      <c r="L236" t="e" cm="1">
        <f t="array" ref="L236">INDEX('GMW - $100 oil'!$A$2:$MC$200,MATCH(1,('GMW - $100 oil'!$MC$2:$MC$200=L$3)*('GMW - $100 oil'!$MB$2:$MB$200=L$4),0),$E236-1973)</f>
        <v>#N/A</v>
      </c>
      <c r="M236" t="e" cm="1">
        <f t="array" ref="M236">INDEX('GMW - $100 oil'!$A$2:$MC$200,MATCH(1,('GMW - $100 oil'!$MC$2:$MC$200=M$3)*('GMW - $100 oil'!$MB$2:$MB$200=M$4),0),$E236-1973)</f>
        <v>#N/A</v>
      </c>
      <c r="N236" t="e" cm="1">
        <f t="array" ref="N236">INDEX('GMW - $100 oil'!$A$2:$MC$200,MATCH(1,('GMW - $100 oil'!$MC$2:$MC$200=N$3)*('GMW - $100 oil'!$MB$2:$MB$200=N$4),0),$E236-1973)</f>
        <v>#N/A</v>
      </c>
      <c r="O236" t="e" cm="1">
        <f t="array" ref="O236">INDEX('GMW - $100 oil'!$A$2:$MC$200,MATCH(1,('GMW - $100 oil'!$MC$2:$MC$200=O$3)*('GMW - $100 oil'!$MB$2:$MB$200=O$4),0),$E236-1973)</f>
        <v>#N/A</v>
      </c>
      <c r="P236" t="e" cm="1">
        <f t="array" ref="P236">INDEX('GMW - $100 oil'!$A$2:$MC$200,MATCH(1,('GMW - $100 oil'!$MC$2:$MC$200=P$3)*('GMW - $100 oil'!$MB$2:$MB$200=P$4),0),$E236-1973)</f>
        <v>#N/A</v>
      </c>
      <c r="Q236" t="e" cm="1">
        <f t="array" ref="Q236">INDEX('GMW - $100 oil'!$A$2:$MC$200,MATCH(1,('GMW - $100 oil'!$MC$2:$MC$200=Q$3)*('GMW - $100 oil'!$MB$2:$MB$200=Q$4),0),$E236-1973)</f>
        <v>#N/A</v>
      </c>
      <c r="R236" t="e" cm="1">
        <f t="array" ref="R236">INDEX('GMW - $100 oil'!$A$2:$MC$200,MATCH(1,('GMW - $100 oil'!$MC$2:$MC$200=R$3)*('GMW - $100 oil'!$MB$2:$MB$200=R$4),0),$E236-1973)</f>
        <v>#N/A</v>
      </c>
      <c r="S236" t="e" cm="1">
        <f t="array" ref="S236">INDEX('GMW - $100 oil'!$A$2:$MC$200,MATCH(1,('GMW - $100 oil'!$MC$2:$MC$200=S$3)*('GMW - $100 oil'!$MB$2:$MB$200=S$4),0),$E236-1973)</f>
        <v>#N/A</v>
      </c>
      <c r="T236" t="e" cm="1">
        <f t="array" ref="T236">INDEX('GMW - $100 oil'!$A$2:$MC$200,MATCH(1,('GMW - $100 oil'!$MC$2:$MC$200=T$3)*('GMW - $100 oil'!$MB$2:$MB$200=T$4),0),$E236-1973)</f>
        <v>#N/A</v>
      </c>
    </row>
    <row r="237" spans="1:20" x14ac:dyDescent="0.25">
      <c r="B237">
        <f t="shared" si="19"/>
        <v>2037</v>
      </c>
      <c r="C237">
        <f t="shared" si="19"/>
        <v>2037</v>
      </c>
      <c r="E237">
        <f t="shared" si="16"/>
        <v>2210</v>
      </c>
      <c r="F237" t="str" cm="1">
        <f t="array" ref="F237">INDEX('GMW - $100 oil'!$A$2:$MC$200,MATCH(1,('GMW - $100 oil'!$MC$2:$MC$200=F$3)*('GMW - $100 oil'!$MB$2:$MB$200=F$4),0),$E237-1973)</f>
        <v>NA</v>
      </c>
      <c r="G237" t="str" cm="1">
        <f t="array" ref="G237">INDEX('GMW - $100 oil'!$A$2:$MC$200,MATCH(1,('GMW - $100 oil'!$MC$2:$MC$200=G$3)*('GMW - $100 oil'!$MB$2:$MB$200=G$4),0),$E237-1973)</f>
        <v>NA</v>
      </c>
      <c r="H237" t="str" cm="1">
        <f t="array" ref="H237">INDEX('GMW - $100 oil'!$A$2:$MC$200,MATCH(1,('GMW - $100 oil'!$MC$2:$MC$200=H$3)*('GMW - $100 oil'!$MB$2:$MB$200=H$4),0),$E237-1973)</f>
        <v>NA</v>
      </c>
      <c r="I237" t="str" cm="1">
        <f t="array" ref="I237">INDEX('GMW - $100 oil'!$A$2:$MC$200,MATCH(1,('GMW - $100 oil'!$MC$2:$MC$200=I$3)*('GMW - $100 oil'!$MB$2:$MB$200=I$4),0),$E237-1973)</f>
        <v>NA</v>
      </c>
      <c r="J237" t="e" cm="1">
        <f t="array" ref="J237">INDEX('GMW - $100 oil'!$A$2:$MC$200,MATCH(1,('GMW - $100 oil'!$MC$2:$MC$200=J$3)*('GMW - $100 oil'!$MB$2:$MB$200=J$4),0),$E237-1973)</f>
        <v>#N/A</v>
      </c>
      <c r="K237" t="e" cm="1">
        <f t="array" ref="K237">INDEX('GMW - $100 oil'!$A$2:$MC$200,MATCH(1,('GMW - $100 oil'!$MC$2:$MC$200=K$3)*('GMW - $100 oil'!$MB$2:$MB$200=K$4),0),$E237-1973)</f>
        <v>#N/A</v>
      </c>
      <c r="L237" t="e" cm="1">
        <f t="array" ref="L237">INDEX('GMW - $100 oil'!$A$2:$MC$200,MATCH(1,('GMW - $100 oil'!$MC$2:$MC$200=L$3)*('GMW - $100 oil'!$MB$2:$MB$200=L$4),0),$E237-1973)</f>
        <v>#N/A</v>
      </c>
      <c r="M237" t="e" cm="1">
        <f t="array" ref="M237">INDEX('GMW - $100 oil'!$A$2:$MC$200,MATCH(1,('GMW - $100 oil'!$MC$2:$MC$200=M$3)*('GMW - $100 oil'!$MB$2:$MB$200=M$4),0),$E237-1973)</f>
        <v>#N/A</v>
      </c>
      <c r="N237" t="e" cm="1">
        <f t="array" ref="N237">INDEX('GMW - $100 oil'!$A$2:$MC$200,MATCH(1,('GMW - $100 oil'!$MC$2:$MC$200=N$3)*('GMW - $100 oil'!$MB$2:$MB$200=N$4),0),$E237-1973)</f>
        <v>#N/A</v>
      </c>
      <c r="O237" t="e" cm="1">
        <f t="array" ref="O237">INDEX('GMW - $100 oil'!$A$2:$MC$200,MATCH(1,('GMW - $100 oil'!$MC$2:$MC$200=O$3)*('GMW - $100 oil'!$MB$2:$MB$200=O$4),0),$E237-1973)</f>
        <v>#N/A</v>
      </c>
      <c r="P237" t="e" cm="1">
        <f t="array" ref="P237">INDEX('GMW - $100 oil'!$A$2:$MC$200,MATCH(1,('GMW - $100 oil'!$MC$2:$MC$200=P$3)*('GMW - $100 oil'!$MB$2:$MB$200=P$4),0),$E237-1973)</f>
        <v>#N/A</v>
      </c>
      <c r="Q237" t="e" cm="1">
        <f t="array" ref="Q237">INDEX('GMW - $100 oil'!$A$2:$MC$200,MATCH(1,('GMW - $100 oil'!$MC$2:$MC$200=Q$3)*('GMW - $100 oil'!$MB$2:$MB$200=Q$4),0),$E237-1973)</f>
        <v>#N/A</v>
      </c>
      <c r="R237" t="e" cm="1">
        <f t="array" ref="R237">INDEX('GMW - $100 oil'!$A$2:$MC$200,MATCH(1,('GMW - $100 oil'!$MC$2:$MC$200=R$3)*('GMW - $100 oil'!$MB$2:$MB$200=R$4),0),$E237-1973)</f>
        <v>#N/A</v>
      </c>
      <c r="S237" t="e" cm="1">
        <f t="array" ref="S237">INDEX('GMW - $100 oil'!$A$2:$MC$200,MATCH(1,('GMW - $100 oil'!$MC$2:$MC$200=S$3)*('GMW - $100 oil'!$MB$2:$MB$200=S$4),0),$E237-1973)</f>
        <v>#N/A</v>
      </c>
      <c r="T237" t="e" cm="1">
        <f t="array" ref="T237">INDEX('GMW - $100 oil'!$A$2:$MC$200,MATCH(1,('GMW - $100 oil'!$MC$2:$MC$200=T$3)*('GMW - $100 oil'!$MB$2:$MB$200=T$4),0),$E237-1973)</f>
        <v>#N/A</v>
      </c>
    </row>
    <row r="238" spans="1:20" x14ac:dyDescent="0.25">
      <c r="B238">
        <f t="shared" si="19"/>
        <v>2037</v>
      </c>
      <c r="C238">
        <f t="shared" si="19"/>
        <v>2037</v>
      </c>
      <c r="E238">
        <f t="shared" si="16"/>
        <v>2211</v>
      </c>
      <c r="F238" t="str" cm="1">
        <f t="array" ref="F238">INDEX('GMW - $100 oil'!$A$2:$MC$200,MATCH(1,('GMW - $100 oil'!$MC$2:$MC$200=F$3)*('GMW - $100 oil'!$MB$2:$MB$200=F$4),0),$E238-1973)</f>
        <v>NA</v>
      </c>
      <c r="G238" t="str" cm="1">
        <f t="array" ref="G238">INDEX('GMW - $100 oil'!$A$2:$MC$200,MATCH(1,('GMW - $100 oil'!$MC$2:$MC$200=G$3)*('GMW - $100 oil'!$MB$2:$MB$200=G$4),0),$E238-1973)</f>
        <v>NA</v>
      </c>
      <c r="H238" t="str" cm="1">
        <f t="array" ref="H238">INDEX('GMW - $100 oil'!$A$2:$MC$200,MATCH(1,('GMW - $100 oil'!$MC$2:$MC$200=H$3)*('GMW - $100 oil'!$MB$2:$MB$200=H$4),0),$E238-1973)</f>
        <v>NA</v>
      </c>
      <c r="I238" t="str" cm="1">
        <f t="array" ref="I238">INDEX('GMW - $100 oil'!$A$2:$MC$200,MATCH(1,('GMW - $100 oil'!$MC$2:$MC$200=I$3)*('GMW - $100 oil'!$MB$2:$MB$200=I$4),0),$E238-1973)</f>
        <v>NA</v>
      </c>
      <c r="J238" t="e" cm="1">
        <f t="array" ref="J238">INDEX('GMW - $100 oil'!$A$2:$MC$200,MATCH(1,('GMW - $100 oil'!$MC$2:$MC$200=J$3)*('GMW - $100 oil'!$MB$2:$MB$200=J$4),0),$E238-1973)</f>
        <v>#N/A</v>
      </c>
      <c r="K238" t="e" cm="1">
        <f t="array" ref="K238">INDEX('GMW - $100 oil'!$A$2:$MC$200,MATCH(1,('GMW - $100 oil'!$MC$2:$MC$200=K$3)*('GMW - $100 oil'!$MB$2:$MB$200=K$4),0),$E238-1973)</f>
        <v>#N/A</v>
      </c>
      <c r="L238" t="e" cm="1">
        <f t="array" ref="L238">INDEX('GMW - $100 oil'!$A$2:$MC$200,MATCH(1,('GMW - $100 oil'!$MC$2:$MC$200=L$3)*('GMW - $100 oil'!$MB$2:$MB$200=L$4),0),$E238-1973)</f>
        <v>#N/A</v>
      </c>
      <c r="M238" t="e" cm="1">
        <f t="array" ref="M238">INDEX('GMW - $100 oil'!$A$2:$MC$200,MATCH(1,('GMW - $100 oil'!$MC$2:$MC$200=M$3)*('GMW - $100 oil'!$MB$2:$MB$200=M$4),0),$E238-1973)</f>
        <v>#N/A</v>
      </c>
      <c r="N238" t="e" cm="1">
        <f t="array" ref="N238">INDEX('GMW - $100 oil'!$A$2:$MC$200,MATCH(1,('GMW - $100 oil'!$MC$2:$MC$200=N$3)*('GMW - $100 oil'!$MB$2:$MB$200=N$4),0),$E238-1973)</f>
        <v>#N/A</v>
      </c>
      <c r="O238" t="e" cm="1">
        <f t="array" ref="O238">INDEX('GMW - $100 oil'!$A$2:$MC$200,MATCH(1,('GMW - $100 oil'!$MC$2:$MC$200=O$3)*('GMW - $100 oil'!$MB$2:$MB$200=O$4),0),$E238-1973)</f>
        <v>#N/A</v>
      </c>
      <c r="P238" t="e" cm="1">
        <f t="array" ref="P238">INDEX('GMW - $100 oil'!$A$2:$MC$200,MATCH(1,('GMW - $100 oil'!$MC$2:$MC$200=P$3)*('GMW - $100 oil'!$MB$2:$MB$200=P$4),0),$E238-1973)</f>
        <v>#N/A</v>
      </c>
      <c r="Q238" t="e" cm="1">
        <f t="array" ref="Q238">INDEX('GMW - $100 oil'!$A$2:$MC$200,MATCH(1,('GMW - $100 oil'!$MC$2:$MC$200=Q$3)*('GMW - $100 oil'!$MB$2:$MB$200=Q$4),0),$E238-1973)</f>
        <v>#N/A</v>
      </c>
      <c r="R238" t="e" cm="1">
        <f t="array" ref="R238">INDEX('GMW - $100 oil'!$A$2:$MC$200,MATCH(1,('GMW - $100 oil'!$MC$2:$MC$200=R$3)*('GMW - $100 oil'!$MB$2:$MB$200=R$4),0),$E238-1973)</f>
        <v>#N/A</v>
      </c>
      <c r="S238" t="e" cm="1">
        <f t="array" ref="S238">INDEX('GMW - $100 oil'!$A$2:$MC$200,MATCH(1,('GMW - $100 oil'!$MC$2:$MC$200=S$3)*('GMW - $100 oil'!$MB$2:$MB$200=S$4),0),$E238-1973)</f>
        <v>#N/A</v>
      </c>
      <c r="T238" t="e" cm="1">
        <f t="array" ref="T238">INDEX('GMW - $100 oil'!$A$2:$MC$200,MATCH(1,('GMW - $100 oil'!$MC$2:$MC$200=T$3)*('GMW - $100 oil'!$MB$2:$MB$200=T$4),0),$E238-1973)</f>
        <v>#N/A</v>
      </c>
    </row>
    <row r="239" spans="1:20" x14ac:dyDescent="0.25">
      <c r="A239">
        <v>2038</v>
      </c>
      <c r="B239">
        <f t="shared" si="19"/>
        <v>2038</v>
      </c>
      <c r="C239">
        <f t="shared" si="19"/>
        <v>2037</v>
      </c>
      <c r="D239">
        <f t="shared" si="19"/>
        <v>2037</v>
      </c>
      <c r="E239">
        <f t="shared" si="16"/>
        <v>2212</v>
      </c>
      <c r="F239" t="str" cm="1">
        <f t="array" ref="F239">INDEX('GMW - $100 oil'!$A$2:$MC$200,MATCH(1,('GMW - $100 oil'!$MC$2:$MC$200=F$3)*('GMW - $100 oil'!$MB$2:$MB$200=F$4),0),$E239-1973)</f>
        <v>NA</v>
      </c>
      <c r="G239" t="str" cm="1">
        <f t="array" ref="G239">INDEX('GMW - $100 oil'!$A$2:$MC$200,MATCH(1,('GMW - $100 oil'!$MC$2:$MC$200=G$3)*('GMW - $100 oil'!$MB$2:$MB$200=G$4),0),$E239-1973)</f>
        <v>NA</v>
      </c>
      <c r="H239" t="str" cm="1">
        <f t="array" ref="H239">INDEX('GMW - $100 oil'!$A$2:$MC$200,MATCH(1,('GMW - $100 oil'!$MC$2:$MC$200=H$3)*('GMW - $100 oil'!$MB$2:$MB$200=H$4),0),$E239-1973)</f>
        <v>NA</v>
      </c>
      <c r="I239" t="str" cm="1">
        <f t="array" ref="I239">INDEX('GMW - $100 oil'!$A$2:$MC$200,MATCH(1,('GMW - $100 oil'!$MC$2:$MC$200=I$3)*('GMW - $100 oil'!$MB$2:$MB$200=I$4),0),$E239-1973)</f>
        <v>NA</v>
      </c>
      <c r="J239" t="e" cm="1">
        <f t="array" ref="J239">INDEX('GMW - $100 oil'!$A$2:$MC$200,MATCH(1,('GMW - $100 oil'!$MC$2:$MC$200=J$3)*('GMW - $100 oil'!$MB$2:$MB$200=J$4),0),$E239-1973)</f>
        <v>#N/A</v>
      </c>
      <c r="K239" t="e" cm="1">
        <f t="array" ref="K239">INDEX('GMW - $100 oil'!$A$2:$MC$200,MATCH(1,('GMW - $100 oil'!$MC$2:$MC$200=K$3)*('GMW - $100 oil'!$MB$2:$MB$200=K$4),0),$E239-1973)</f>
        <v>#N/A</v>
      </c>
      <c r="L239" t="e" cm="1">
        <f t="array" ref="L239">INDEX('GMW - $100 oil'!$A$2:$MC$200,MATCH(1,('GMW - $100 oil'!$MC$2:$MC$200=L$3)*('GMW - $100 oil'!$MB$2:$MB$200=L$4),0),$E239-1973)</f>
        <v>#N/A</v>
      </c>
      <c r="M239" t="e" cm="1">
        <f t="array" ref="M239">INDEX('GMW - $100 oil'!$A$2:$MC$200,MATCH(1,('GMW - $100 oil'!$MC$2:$MC$200=M$3)*('GMW - $100 oil'!$MB$2:$MB$200=M$4),0),$E239-1973)</f>
        <v>#N/A</v>
      </c>
      <c r="N239" t="e" cm="1">
        <f t="array" ref="N239">INDEX('GMW - $100 oil'!$A$2:$MC$200,MATCH(1,('GMW - $100 oil'!$MC$2:$MC$200=N$3)*('GMW - $100 oil'!$MB$2:$MB$200=N$4),0),$E239-1973)</f>
        <v>#N/A</v>
      </c>
      <c r="O239" t="e" cm="1">
        <f t="array" ref="O239">INDEX('GMW - $100 oil'!$A$2:$MC$200,MATCH(1,('GMW - $100 oil'!$MC$2:$MC$200=O$3)*('GMW - $100 oil'!$MB$2:$MB$200=O$4),0),$E239-1973)</f>
        <v>#N/A</v>
      </c>
      <c r="P239" t="e" cm="1">
        <f t="array" ref="P239">INDEX('GMW - $100 oil'!$A$2:$MC$200,MATCH(1,('GMW - $100 oil'!$MC$2:$MC$200=P$3)*('GMW - $100 oil'!$MB$2:$MB$200=P$4),0),$E239-1973)</f>
        <v>#N/A</v>
      </c>
      <c r="Q239" t="e" cm="1">
        <f t="array" ref="Q239">INDEX('GMW - $100 oil'!$A$2:$MC$200,MATCH(1,('GMW - $100 oil'!$MC$2:$MC$200=Q$3)*('GMW - $100 oil'!$MB$2:$MB$200=Q$4),0),$E239-1973)</f>
        <v>#N/A</v>
      </c>
      <c r="R239" t="e" cm="1">
        <f t="array" ref="R239">INDEX('GMW - $100 oil'!$A$2:$MC$200,MATCH(1,('GMW - $100 oil'!$MC$2:$MC$200=R$3)*('GMW - $100 oil'!$MB$2:$MB$200=R$4),0),$E239-1973)</f>
        <v>#N/A</v>
      </c>
      <c r="S239" t="e" cm="1">
        <f t="array" ref="S239">INDEX('GMW - $100 oil'!$A$2:$MC$200,MATCH(1,('GMW - $100 oil'!$MC$2:$MC$200=S$3)*('GMW - $100 oil'!$MB$2:$MB$200=S$4),0),$E239-1973)</f>
        <v>#N/A</v>
      </c>
      <c r="T239" t="e" cm="1">
        <f t="array" ref="T239">INDEX('GMW - $100 oil'!$A$2:$MC$200,MATCH(1,('GMW - $100 oil'!$MC$2:$MC$200=T$3)*('GMW - $100 oil'!$MB$2:$MB$200=T$4),0),$E239-1973)</f>
        <v>#N/A</v>
      </c>
    </row>
    <row r="240" spans="1:20" x14ac:dyDescent="0.25">
      <c r="B240">
        <f t="shared" si="19"/>
        <v>2038</v>
      </c>
      <c r="C240">
        <f t="shared" si="19"/>
        <v>2038</v>
      </c>
      <c r="E240">
        <f t="shared" si="16"/>
        <v>2213</v>
      </c>
      <c r="F240" t="str" cm="1">
        <f t="array" ref="F240">INDEX('GMW - $100 oil'!$A$2:$MC$200,MATCH(1,('GMW - $100 oil'!$MC$2:$MC$200=F$3)*('GMW - $100 oil'!$MB$2:$MB$200=F$4),0),$E240-1973)</f>
        <v>NA</v>
      </c>
      <c r="G240" t="str" cm="1">
        <f t="array" ref="G240">INDEX('GMW - $100 oil'!$A$2:$MC$200,MATCH(1,('GMW - $100 oil'!$MC$2:$MC$200=G$3)*('GMW - $100 oil'!$MB$2:$MB$200=G$4),0),$E240-1973)</f>
        <v>NA</v>
      </c>
      <c r="H240" t="str" cm="1">
        <f t="array" ref="H240">INDEX('GMW - $100 oil'!$A$2:$MC$200,MATCH(1,('GMW - $100 oil'!$MC$2:$MC$200=H$3)*('GMW - $100 oil'!$MB$2:$MB$200=H$4),0),$E240-1973)</f>
        <v>NA</v>
      </c>
      <c r="I240" t="str" cm="1">
        <f t="array" ref="I240">INDEX('GMW - $100 oil'!$A$2:$MC$200,MATCH(1,('GMW - $100 oil'!$MC$2:$MC$200=I$3)*('GMW - $100 oil'!$MB$2:$MB$200=I$4),0),$E240-1973)</f>
        <v>NA</v>
      </c>
      <c r="J240" t="e" cm="1">
        <f t="array" ref="J240">INDEX('GMW - $100 oil'!$A$2:$MC$200,MATCH(1,('GMW - $100 oil'!$MC$2:$MC$200=J$3)*('GMW - $100 oil'!$MB$2:$MB$200=J$4),0),$E240-1973)</f>
        <v>#N/A</v>
      </c>
      <c r="K240" t="e" cm="1">
        <f t="array" ref="K240">INDEX('GMW - $100 oil'!$A$2:$MC$200,MATCH(1,('GMW - $100 oil'!$MC$2:$MC$200=K$3)*('GMW - $100 oil'!$MB$2:$MB$200=K$4),0),$E240-1973)</f>
        <v>#N/A</v>
      </c>
      <c r="L240" t="e" cm="1">
        <f t="array" ref="L240">INDEX('GMW - $100 oil'!$A$2:$MC$200,MATCH(1,('GMW - $100 oil'!$MC$2:$MC$200=L$3)*('GMW - $100 oil'!$MB$2:$MB$200=L$4),0),$E240-1973)</f>
        <v>#N/A</v>
      </c>
      <c r="M240" t="e" cm="1">
        <f t="array" ref="M240">INDEX('GMW - $100 oil'!$A$2:$MC$200,MATCH(1,('GMW - $100 oil'!$MC$2:$MC$200=M$3)*('GMW - $100 oil'!$MB$2:$MB$200=M$4),0),$E240-1973)</f>
        <v>#N/A</v>
      </c>
      <c r="N240" t="e" cm="1">
        <f t="array" ref="N240">INDEX('GMW - $100 oil'!$A$2:$MC$200,MATCH(1,('GMW - $100 oil'!$MC$2:$MC$200=N$3)*('GMW - $100 oil'!$MB$2:$MB$200=N$4),0),$E240-1973)</f>
        <v>#N/A</v>
      </c>
      <c r="O240" t="e" cm="1">
        <f t="array" ref="O240">INDEX('GMW - $100 oil'!$A$2:$MC$200,MATCH(1,('GMW - $100 oil'!$MC$2:$MC$200=O$3)*('GMW - $100 oil'!$MB$2:$MB$200=O$4),0),$E240-1973)</f>
        <v>#N/A</v>
      </c>
      <c r="P240" t="e" cm="1">
        <f t="array" ref="P240">INDEX('GMW - $100 oil'!$A$2:$MC$200,MATCH(1,('GMW - $100 oil'!$MC$2:$MC$200=P$3)*('GMW - $100 oil'!$MB$2:$MB$200=P$4),0),$E240-1973)</f>
        <v>#N/A</v>
      </c>
      <c r="Q240" t="e" cm="1">
        <f t="array" ref="Q240">INDEX('GMW - $100 oil'!$A$2:$MC$200,MATCH(1,('GMW - $100 oil'!$MC$2:$MC$200=Q$3)*('GMW - $100 oil'!$MB$2:$MB$200=Q$4),0),$E240-1973)</f>
        <v>#N/A</v>
      </c>
      <c r="R240" t="e" cm="1">
        <f t="array" ref="R240">INDEX('GMW - $100 oil'!$A$2:$MC$200,MATCH(1,('GMW - $100 oil'!$MC$2:$MC$200=R$3)*('GMW - $100 oil'!$MB$2:$MB$200=R$4),0),$E240-1973)</f>
        <v>#N/A</v>
      </c>
      <c r="S240" t="e" cm="1">
        <f t="array" ref="S240">INDEX('GMW - $100 oil'!$A$2:$MC$200,MATCH(1,('GMW - $100 oil'!$MC$2:$MC$200=S$3)*('GMW - $100 oil'!$MB$2:$MB$200=S$4),0),$E240-1973)</f>
        <v>#N/A</v>
      </c>
      <c r="T240" t="e" cm="1">
        <f t="array" ref="T240">INDEX('GMW - $100 oil'!$A$2:$MC$200,MATCH(1,('GMW - $100 oil'!$MC$2:$MC$200=T$3)*('GMW - $100 oil'!$MB$2:$MB$200=T$4),0),$E240-1973)</f>
        <v>#N/A</v>
      </c>
    </row>
    <row r="241" spans="1:20" x14ac:dyDescent="0.25">
      <c r="B241">
        <f t="shared" si="19"/>
        <v>2038</v>
      </c>
      <c r="C241">
        <f t="shared" si="19"/>
        <v>2038</v>
      </c>
      <c r="E241">
        <f t="shared" si="16"/>
        <v>2214</v>
      </c>
      <c r="F241" t="str" cm="1">
        <f t="array" ref="F241">INDEX('GMW - $100 oil'!$A$2:$MC$200,MATCH(1,('GMW - $100 oil'!$MC$2:$MC$200=F$3)*('GMW - $100 oil'!$MB$2:$MB$200=F$4),0),$E241-1973)</f>
        <v>NA</v>
      </c>
      <c r="G241" t="str" cm="1">
        <f t="array" ref="G241">INDEX('GMW - $100 oil'!$A$2:$MC$200,MATCH(1,('GMW - $100 oil'!$MC$2:$MC$200=G$3)*('GMW - $100 oil'!$MB$2:$MB$200=G$4),0),$E241-1973)</f>
        <v>NA</v>
      </c>
      <c r="H241" t="str" cm="1">
        <f t="array" ref="H241">INDEX('GMW - $100 oil'!$A$2:$MC$200,MATCH(1,('GMW - $100 oil'!$MC$2:$MC$200=H$3)*('GMW - $100 oil'!$MB$2:$MB$200=H$4),0),$E241-1973)</f>
        <v>NA</v>
      </c>
      <c r="I241" t="str" cm="1">
        <f t="array" ref="I241">INDEX('GMW - $100 oil'!$A$2:$MC$200,MATCH(1,('GMW - $100 oil'!$MC$2:$MC$200=I$3)*('GMW - $100 oil'!$MB$2:$MB$200=I$4),0),$E241-1973)</f>
        <v>NA</v>
      </c>
      <c r="J241" t="e" cm="1">
        <f t="array" ref="J241">INDEX('GMW - $100 oil'!$A$2:$MC$200,MATCH(1,('GMW - $100 oil'!$MC$2:$MC$200=J$3)*('GMW - $100 oil'!$MB$2:$MB$200=J$4),0),$E241-1973)</f>
        <v>#N/A</v>
      </c>
      <c r="K241" t="e" cm="1">
        <f t="array" ref="K241">INDEX('GMW - $100 oil'!$A$2:$MC$200,MATCH(1,('GMW - $100 oil'!$MC$2:$MC$200=K$3)*('GMW - $100 oil'!$MB$2:$MB$200=K$4),0),$E241-1973)</f>
        <v>#N/A</v>
      </c>
      <c r="L241" t="e" cm="1">
        <f t="array" ref="L241">INDEX('GMW - $100 oil'!$A$2:$MC$200,MATCH(1,('GMW - $100 oil'!$MC$2:$MC$200=L$3)*('GMW - $100 oil'!$MB$2:$MB$200=L$4),0),$E241-1973)</f>
        <v>#N/A</v>
      </c>
      <c r="M241" t="e" cm="1">
        <f t="array" ref="M241">INDEX('GMW - $100 oil'!$A$2:$MC$200,MATCH(1,('GMW - $100 oil'!$MC$2:$MC$200=M$3)*('GMW - $100 oil'!$MB$2:$MB$200=M$4),0),$E241-1973)</f>
        <v>#N/A</v>
      </c>
      <c r="N241" t="e" cm="1">
        <f t="array" ref="N241">INDEX('GMW - $100 oil'!$A$2:$MC$200,MATCH(1,('GMW - $100 oil'!$MC$2:$MC$200=N$3)*('GMW - $100 oil'!$MB$2:$MB$200=N$4),0),$E241-1973)</f>
        <v>#N/A</v>
      </c>
      <c r="O241" t="e" cm="1">
        <f t="array" ref="O241">INDEX('GMW - $100 oil'!$A$2:$MC$200,MATCH(1,('GMW - $100 oil'!$MC$2:$MC$200=O$3)*('GMW - $100 oil'!$MB$2:$MB$200=O$4),0),$E241-1973)</f>
        <v>#N/A</v>
      </c>
      <c r="P241" t="e" cm="1">
        <f t="array" ref="P241">INDEX('GMW - $100 oil'!$A$2:$MC$200,MATCH(1,('GMW - $100 oil'!$MC$2:$MC$200=P$3)*('GMW - $100 oil'!$MB$2:$MB$200=P$4),0),$E241-1973)</f>
        <v>#N/A</v>
      </c>
      <c r="Q241" t="e" cm="1">
        <f t="array" ref="Q241">INDEX('GMW - $100 oil'!$A$2:$MC$200,MATCH(1,('GMW - $100 oil'!$MC$2:$MC$200=Q$3)*('GMW - $100 oil'!$MB$2:$MB$200=Q$4),0),$E241-1973)</f>
        <v>#N/A</v>
      </c>
      <c r="R241" t="e" cm="1">
        <f t="array" ref="R241">INDEX('GMW - $100 oil'!$A$2:$MC$200,MATCH(1,('GMW - $100 oil'!$MC$2:$MC$200=R$3)*('GMW - $100 oil'!$MB$2:$MB$200=R$4),0),$E241-1973)</f>
        <v>#N/A</v>
      </c>
      <c r="S241" t="e" cm="1">
        <f t="array" ref="S241">INDEX('GMW - $100 oil'!$A$2:$MC$200,MATCH(1,('GMW - $100 oil'!$MC$2:$MC$200=S$3)*('GMW - $100 oil'!$MB$2:$MB$200=S$4),0),$E241-1973)</f>
        <v>#N/A</v>
      </c>
      <c r="T241" t="e" cm="1">
        <f t="array" ref="T241">INDEX('GMW - $100 oil'!$A$2:$MC$200,MATCH(1,('GMW - $100 oil'!$MC$2:$MC$200=T$3)*('GMW - $100 oil'!$MB$2:$MB$200=T$4),0),$E241-1973)</f>
        <v>#N/A</v>
      </c>
    </row>
    <row r="242" spans="1:20" x14ac:dyDescent="0.25">
      <c r="B242">
        <f t="shared" si="19"/>
        <v>2038</v>
      </c>
      <c r="C242">
        <f t="shared" si="19"/>
        <v>2038</v>
      </c>
      <c r="E242">
        <f t="shared" si="16"/>
        <v>2215</v>
      </c>
      <c r="F242" t="str" cm="1">
        <f t="array" ref="F242">INDEX('GMW - $100 oil'!$A$2:$MC$200,MATCH(1,('GMW - $100 oil'!$MC$2:$MC$200=F$3)*('GMW - $100 oil'!$MB$2:$MB$200=F$4),0),$E242-1973)</f>
        <v>NA</v>
      </c>
      <c r="G242" t="str" cm="1">
        <f t="array" ref="G242">INDEX('GMW - $100 oil'!$A$2:$MC$200,MATCH(1,('GMW - $100 oil'!$MC$2:$MC$200=G$3)*('GMW - $100 oil'!$MB$2:$MB$200=G$4),0),$E242-1973)</f>
        <v>NA</v>
      </c>
      <c r="H242" t="str" cm="1">
        <f t="array" ref="H242">INDEX('GMW - $100 oil'!$A$2:$MC$200,MATCH(1,('GMW - $100 oil'!$MC$2:$MC$200=H$3)*('GMW - $100 oil'!$MB$2:$MB$200=H$4),0),$E242-1973)</f>
        <v>NA</v>
      </c>
      <c r="I242" t="str" cm="1">
        <f t="array" ref="I242">INDEX('GMW - $100 oil'!$A$2:$MC$200,MATCH(1,('GMW - $100 oil'!$MC$2:$MC$200=I$3)*('GMW - $100 oil'!$MB$2:$MB$200=I$4),0),$E242-1973)</f>
        <v>NA</v>
      </c>
      <c r="J242" t="e" cm="1">
        <f t="array" ref="J242">INDEX('GMW - $100 oil'!$A$2:$MC$200,MATCH(1,('GMW - $100 oil'!$MC$2:$MC$200=J$3)*('GMW - $100 oil'!$MB$2:$MB$200=J$4),0),$E242-1973)</f>
        <v>#N/A</v>
      </c>
      <c r="K242" t="e" cm="1">
        <f t="array" ref="K242">INDEX('GMW - $100 oil'!$A$2:$MC$200,MATCH(1,('GMW - $100 oil'!$MC$2:$MC$200=K$3)*('GMW - $100 oil'!$MB$2:$MB$200=K$4),0),$E242-1973)</f>
        <v>#N/A</v>
      </c>
      <c r="L242" t="e" cm="1">
        <f t="array" ref="L242">INDEX('GMW - $100 oil'!$A$2:$MC$200,MATCH(1,('GMW - $100 oil'!$MC$2:$MC$200=L$3)*('GMW - $100 oil'!$MB$2:$MB$200=L$4),0),$E242-1973)</f>
        <v>#N/A</v>
      </c>
      <c r="M242" t="e" cm="1">
        <f t="array" ref="M242">INDEX('GMW - $100 oil'!$A$2:$MC$200,MATCH(1,('GMW - $100 oil'!$MC$2:$MC$200=M$3)*('GMW - $100 oil'!$MB$2:$MB$200=M$4),0),$E242-1973)</f>
        <v>#N/A</v>
      </c>
      <c r="N242" t="e" cm="1">
        <f t="array" ref="N242">INDEX('GMW - $100 oil'!$A$2:$MC$200,MATCH(1,('GMW - $100 oil'!$MC$2:$MC$200=N$3)*('GMW - $100 oil'!$MB$2:$MB$200=N$4),0),$E242-1973)</f>
        <v>#N/A</v>
      </c>
      <c r="O242" t="e" cm="1">
        <f t="array" ref="O242">INDEX('GMW - $100 oil'!$A$2:$MC$200,MATCH(1,('GMW - $100 oil'!$MC$2:$MC$200=O$3)*('GMW - $100 oil'!$MB$2:$MB$200=O$4),0),$E242-1973)</f>
        <v>#N/A</v>
      </c>
      <c r="P242" t="e" cm="1">
        <f t="array" ref="P242">INDEX('GMW - $100 oil'!$A$2:$MC$200,MATCH(1,('GMW - $100 oil'!$MC$2:$MC$200=P$3)*('GMW - $100 oil'!$MB$2:$MB$200=P$4),0),$E242-1973)</f>
        <v>#N/A</v>
      </c>
      <c r="Q242" t="e" cm="1">
        <f t="array" ref="Q242">INDEX('GMW - $100 oil'!$A$2:$MC$200,MATCH(1,('GMW - $100 oil'!$MC$2:$MC$200=Q$3)*('GMW - $100 oil'!$MB$2:$MB$200=Q$4),0),$E242-1973)</f>
        <v>#N/A</v>
      </c>
      <c r="R242" t="e" cm="1">
        <f t="array" ref="R242">INDEX('GMW - $100 oil'!$A$2:$MC$200,MATCH(1,('GMW - $100 oil'!$MC$2:$MC$200=R$3)*('GMW - $100 oil'!$MB$2:$MB$200=R$4),0),$E242-1973)</f>
        <v>#N/A</v>
      </c>
      <c r="S242" t="e" cm="1">
        <f t="array" ref="S242">INDEX('GMW - $100 oil'!$A$2:$MC$200,MATCH(1,('GMW - $100 oil'!$MC$2:$MC$200=S$3)*('GMW - $100 oil'!$MB$2:$MB$200=S$4),0),$E242-1973)</f>
        <v>#N/A</v>
      </c>
      <c r="T242" t="e" cm="1">
        <f t="array" ref="T242">INDEX('GMW - $100 oil'!$A$2:$MC$200,MATCH(1,('GMW - $100 oil'!$MC$2:$MC$200=T$3)*('GMW - $100 oil'!$MB$2:$MB$200=T$4),0),$E242-1973)</f>
        <v>#N/A</v>
      </c>
    </row>
    <row r="243" spans="1:20" x14ac:dyDescent="0.25">
      <c r="A243">
        <v>2039</v>
      </c>
      <c r="B243">
        <f t="shared" si="19"/>
        <v>2039</v>
      </c>
      <c r="C243">
        <f t="shared" si="19"/>
        <v>2038</v>
      </c>
      <c r="D243">
        <f t="shared" si="19"/>
        <v>2038</v>
      </c>
      <c r="E243">
        <f t="shared" si="16"/>
        <v>2216</v>
      </c>
      <c r="F243" t="str" cm="1">
        <f t="array" ref="F243">INDEX('GMW - $100 oil'!$A$2:$MC$200,MATCH(1,('GMW - $100 oil'!$MC$2:$MC$200=F$3)*('GMW - $100 oil'!$MB$2:$MB$200=F$4),0),$E243-1973)</f>
        <v>NA</v>
      </c>
      <c r="G243" t="str" cm="1">
        <f t="array" ref="G243">INDEX('GMW - $100 oil'!$A$2:$MC$200,MATCH(1,('GMW - $100 oil'!$MC$2:$MC$200=G$3)*('GMW - $100 oil'!$MB$2:$MB$200=G$4),0),$E243-1973)</f>
        <v>NA</v>
      </c>
      <c r="H243" t="str" cm="1">
        <f t="array" ref="H243">INDEX('GMW - $100 oil'!$A$2:$MC$200,MATCH(1,('GMW - $100 oil'!$MC$2:$MC$200=H$3)*('GMW - $100 oil'!$MB$2:$MB$200=H$4),0),$E243-1973)</f>
        <v>NA</v>
      </c>
      <c r="I243" t="str" cm="1">
        <f t="array" ref="I243">INDEX('GMW - $100 oil'!$A$2:$MC$200,MATCH(1,('GMW - $100 oil'!$MC$2:$MC$200=I$3)*('GMW - $100 oil'!$MB$2:$MB$200=I$4),0),$E243-1973)</f>
        <v>NA</v>
      </c>
      <c r="J243" t="e" cm="1">
        <f t="array" ref="J243">INDEX('GMW - $100 oil'!$A$2:$MC$200,MATCH(1,('GMW - $100 oil'!$MC$2:$MC$200=J$3)*('GMW - $100 oil'!$MB$2:$MB$200=J$4),0),$E243-1973)</f>
        <v>#N/A</v>
      </c>
      <c r="K243" t="e" cm="1">
        <f t="array" ref="K243">INDEX('GMW - $100 oil'!$A$2:$MC$200,MATCH(1,('GMW - $100 oil'!$MC$2:$MC$200=K$3)*('GMW - $100 oil'!$MB$2:$MB$200=K$4),0),$E243-1973)</f>
        <v>#N/A</v>
      </c>
      <c r="L243" t="e" cm="1">
        <f t="array" ref="L243">INDEX('GMW - $100 oil'!$A$2:$MC$200,MATCH(1,('GMW - $100 oil'!$MC$2:$MC$200=L$3)*('GMW - $100 oil'!$MB$2:$MB$200=L$4),0),$E243-1973)</f>
        <v>#N/A</v>
      </c>
      <c r="M243" t="e" cm="1">
        <f t="array" ref="M243">INDEX('GMW - $100 oil'!$A$2:$MC$200,MATCH(1,('GMW - $100 oil'!$MC$2:$MC$200=M$3)*('GMW - $100 oil'!$MB$2:$MB$200=M$4),0),$E243-1973)</f>
        <v>#N/A</v>
      </c>
      <c r="N243" t="e" cm="1">
        <f t="array" ref="N243">INDEX('GMW - $100 oil'!$A$2:$MC$200,MATCH(1,('GMW - $100 oil'!$MC$2:$MC$200=N$3)*('GMW - $100 oil'!$MB$2:$MB$200=N$4),0),$E243-1973)</f>
        <v>#N/A</v>
      </c>
      <c r="O243" t="e" cm="1">
        <f t="array" ref="O243">INDEX('GMW - $100 oil'!$A$2:$MC$200,MATCH(1,('GMW - $100 oil'!$MC$2:$MC$200=O$3)*('GMW - $100 oil'!$MB$2:$MB$200=O$4),0),$E243-1973)</f>
        <v>#N/A</v>
      </c>
      <c r="P243" t="e" cm="1">
        <f t="array" ref="P243">INDEX('GMW - $100 oil'!$A$2:$MC$200,MATCH(1,('GMW - $100 oil'!$MC$2:$MC$200=P$3)*('GMW - $100 oil'!$MB$2:$MB$200=P$4),0),$E243-1973)</f>
        <v>#N/A</v>
      </c>
      <c r="Q243" t="e" cm="1">
        <f t="array" ref="Q243">INDEX('GMW - $100 oil'!$A$2:$MC$200,MATCH(1,('GMW - $100 oil'!$MC$2:$MC$200=Q$3)*('GMW - $100 oil'!$MB$2:$MB$200=Q$4),0),$E243-1973)</f>
        <v>#N/A</v>
      </c>
      <c r="R243" t="e" cm="1">
        <f t="array" ref="R243">INDEX('GMW - $100 oil'!$A$2:$MC$200,MATCH(1,('GMW - $100 oil'!$MC$2:$MC$200=R$3)*('GMW - $100 oil'!$MB$2:$MB$200=R$4),0),$E243-1973)</f>
        <v>#N/A</v>
      </c>
      <c r="S243" t="e" cm="1">
        <f t="array" ref="S243">INDEX('GMW - $100 oil'!$A$2:$MC$200,MATCH(1,('GMW - $100 oil'!$MC$2:$MC$200=S$3)*('GMW - $100 oil'!$MB$2:$MB$200=S$4),0),$E243-1973)</f>
        <v>#N/A</v>
      </c>
      <c r="T243" t="e" cm="1">
        <f t="array" ref="T243">INDEX('GMW - $100 oil'!$A$2:$MC$200,MATCH(1,('GMW - $100 oil'!$MC$2:$MC$200=T$3)*('GMW - $100 oil'!$MB$2:$MB$200=T$4),0),$E243-1973)</f>
        <v>#N/A</v>
      </c>
    </row>
    <row r="244" spans="1:20" x14ac:dyDescent="0.25">
      <c r="B244">
        <f t="shared" si="19"/>
        <v>2039</v>
      </c>
      <c r="C244">
        <f t="shared" si="19"/>
        <v>2039</v>
      </c>
      <c r="E244">
        <f t="shared" si="16"/>
        <v>2217</v>
      </c>
      <c r="F244" t="str" cm="1">
        <f t="array" ref="F244">INDEX('GMW - $100 oil'!$A$2:$MC$200,MATCH(1,('GMW - $100 oil'!$MC$2:$MC$200=F$3)*('GMW - $100 oil'!$MB$2:$MB$200=F$4),0),$E244-1973)</f>
        <v>NA</v>
      </c>
      <c r="G244" t="str" cm="1">
        <f t="array" ref="G244">INDEX('GMW - $100 oil'!$A$2:$MC$200,MATCH(1,('GMW - $100 oil'!$MC$2:$MC$200=G$3)*('GMW - $100 oil'!$MB$2:$MB$200=G$4),0),$E244-1973)</f>
        <v>NA</v>
      </c>
      <c r="H244" t="str" cm="1">
        <f t="array" ref="H244">INDEX('GMW - $100 oil'!$A$2:$MC$200,MATCH(1,('GMW - $100 oil'!$MC$2:$MC$200=H$3)*('GMW - $100 oil'!$MB$2:$MB$200=H$4),0),$E244-1973)</f>
        <v>NA</v>
      </c>
      <c r="I244" t="str" cm="1">
        <f t="array" ref="I244">INDEX('GMW - $100 oil'!$A$2:$MC$200,MATCH(1,('GMW - $100 oil'!$MC$2:$MC$200=I$3)*('GMW - $100 oil'!$MB$2:$MB$200=I$4),0),$E244-1973)</f>
        <v>NA</v>
      </c>
      <c r="J244" t="e" cm="1">
        <f t="array" ref="J244">INDEX('GMW - $100 oil'!$A$2:$MC$200,MATCH(1,('GMW - $100 oil'!$MC$2:$MC$200=J$3)*('GMW - $100 oil'!$MB$2:$MB$200=J$4),0),$E244-1973)</f>
        <v>#N/A</v>
      </c>
      <c r="K244" t="e" cm="1">
        <f t="array" ref="K244">INDEX('GMW - $100 oil'!$A$2:$MC$200,MATCH(1,('GMW - $100 oil'!$MC$2:$MC$200=K$3)*('GMW - $100 oil'!$MB$2:$MB$200=K$4),0),$E244-1973)</f>
        <v>#N/A</v>
      </c>
      <c r="L244" t="e" cm="1">
        <f t="array" ref="L244">INDEX('GMW - $100 oil'!$A$2:$MC$200,MATCH(1,('GMW - $100 oil'!$MC$2:$MC$200=L$3)*('GMW - $100 oil'!$MB$2:$MB$200=L$4),0),$E244-1973)</f>
        <v>#N/A</v>
      </c>
      <c r="M244" t="e" cm="1">
        <f t="array" ref="M244">INDEX('GMW - $100 oil'!$A$2:$MC$200,MATCH(1,('GMW - $100 oil'!$MC$2:$MC$200=M$3)*('GMW - $100 oil'!$MB$2:$MB$200=M$4),0),$E244-1973)</f>
        <v>#N/A</v>
      </c>
      <c r="N244" t="e" cm="1">
        <f t="array" ref="N244">INDEX('GMW - $100 oil'!$A$2:$MC$200,MATCH(1,('GMW - $100 oil'!$MC$2:$MC$200=N$3)*('GMW - $100 oil'!$MB$2:$MB$200=N$4),0),$E244-1973)</f>
        <v>#N/A</v>
      </c>
      <c r="O244" t="e" cm="1">
        <f t="array" ref="O244">INDEX('GMW - $100 oil'!$A$2:$MC$200,MATCH(1,('GMW - $100 oil'!$MC$2:$MC$200=O$3)*('GMW - $100 oil'!$MB$2:$MB$200=O$4),0),$E244-1973)</f>
        <v>#N/A</v>
      </c>
      <c r="P244" t="e" cm="1">
        <f t="array" ref="P244">INDEX('GMW - $100 oil'!$A$2:$MC$200,MATCH(1,('GMW - $100 oil'!$MC$2:$MC$200=P$3)*('GMW - $100 oil'!$MB$2:$MB$200=P$4),0),$E244-1973)</f>
        <v>#N/A</v>
      </c>
      <c r="Q244" t="e" cm="1">
        <f t="array" ref="Q244">INDEX('GMW - $100 oil'!$A$2:$MC$200,MATCH(1,('GMW - $100 oil'!$MC$2:$MC$200=Q$3)*('GMW - $100 oil'!$MB$2:$MB$200=Q$4),0),$E244-1973)</f>
        <v>#N/A</v>
      </c>
      <c r="R244" t="e" cm="1">
        <f t="array" ref="R244">INDEX('GMW - $100 oil'!$A$2:$MC$200,MATCH(1,('GMW - $100 oil'!$MC$2:$MC$200=R$3)*('GMW - $100 oil'!$MB$2:$MB$200=R$4),0),$E244-1973)</f>
        <v>#N/A</v>
      </c>
      <c r="S244" t="e" cm="1">
        <f t="array" ref="S244">INDEX('GMW - $100 oil'!$A$2:$MC$200,MATCH(1,('GMW - $100 oil'!$MC$2:$MC$200=S$3)*('GMW - $100 oil'!$MB$2:$MB$200=S$4),0),$E244-1973)</f>
        <v>#N/A</v>
      </c>
      <c r="T244" t="e" cm="1">
        <f t="array" ref="T244">INDEX('GMW - $100 oil'!$A$2:$MC$200,MATCH(1,('GMW - $100 oil'!$MC$2:$MC$200=T$3)*('GMW - $100 oil'!$MB$2:$MB$200=T$4),0),$E244-1973)</f>
        <v>#N/A</v>
      </c>
    </row>
    <row r="245" spans="1:20" x14ac:dyDescent="0.25">
      <c r="B245">
        <f t="shared" si="19"/>
        <v>2039</v>
      </c>
      <c r="C245">
        <f t="shared" si="19"/>
        <v>2039</v>
      </c>
      <c r="E245">
        <f t="shared" si="16"/>
        <v>2218</v>
      </c>
      <c r="F245" t="str" cm="1">
        <f t="array" ref="F245">INDEX('GMW - $100 oil'!$A$2:$MC$200,MATCH(1,('GMW - $100 oil'!$MC$2:$MC$200=F$3)*('GMW - $100 oil'!$MB$2:$MB$200=F$4),0),$E245-1973)</f>
        <v>NA</v>
      </c>
      <c r="G245" t="str" cm="1">
        <f t="array" ref="G245">INDEX('GMW - $100 oil'!$A$2:$MC$200,MATCH(1,('GMW - $100 oil'!$MC$2:$MC$200=G$3)*('GMW - $100 oil'!$MB$2:$MB$200=G$4),0),$E245-1973)</f>
        <v>NA</v>
      </c>
      <c r="H245" t="str" cm="1">
        <f t="array" ref="H245">INDEX('GMW - $100 oil'!$A$2:$MC$200,MATCH(1,('GMW - $100 oil'!$MC$2:$MC$200=H$3)*('GMW - $100 oil'!$MB$2:$MB$200=H$4),0),$E245-1973)</f>
        <v>NA</v>
      </c>
      <c r="I245" t="str" cm="1">
        <f t="array" ref="I245">INDEX('GMW - $100 oil'!$A$2:$MC$200,MATCH(1,('GMW - $100 oil'!$MC$2:$MC$200=I$3)*('GMW - $100 oil'!$MB$2:$MB$200=I$4),0),$E245-1973)</f>
        <v>NA</v>
      </c>
      <c r="J245" t="e" cm="1">
        <f t="array" ref="J245">INDEX('GMW - $100 oil'!$A$2:$MC$200,MATCH(1,('GMW - $100 oil'!$MC$2:$MC$200=J$3)*('GMW - $100 oil'!$MB$2:$MB$200=J$4),0),$E245-1973)</f>
        <v>#N/A</v>
      </c>
      <c r="K245" t="e" cm="1">
        <f t="array" ref="K245">INDEX('GMW - $100 oil'!$A$2:$MC$200,MATCH(1,('GMW - $100 oil'!$MC$2:$MC$200=K$3)*('GMW - $100 oil'!$MB$2:$MB$200=K$4),0),$E245-1973)</f>
        <v>#N/A</v>
      </c>
      <c r="L245" t="e" cm="1">
        <f t="array" ref="L245">INDEX('GMW - $100 oil'!$A$2:$MC$200,MATCH(1,('GMW - $100 oil'!$MC$2:$MC$200=L$3)*('GMW - $100 oil'!$MB$2:$MB$200=L$4),0),$E245-1973)</f>
        <v>#N/A</v>
      </c>
      <c r="M245" t="e" cm="1">
        <f t="array" ref="M245">INDEX('GMW - $100 oil'!$A$2:$MC$200,MATCH(1,('GMW - $100 oil'!$MC$2:$MC$200=M$3)*('GMW - $100 oil'!$MB$2:$MB$200=M$4),0),$E245-1973)</f>
        <v>#N/A</v>
      </c>
      <c r="N245" t="e" cm="1">
        <f t="array" ref="N245">INDEX('GMW - $100 oil'!$A$2:$MC$200,MATCH(1,('GMW - $100 oil'!$MC$2:$MC$200=N$3)*('GMW - $100 oil'!$MB$2:$MB$200=N$4),0),$E245-1973)</f>
        <v>#N/A</v>
      </c>
      <c r="O245" t="e" cm="1">
        <f t="array" ref="O245">INDEX('GMW - $100 oil'!$A$2:$MC$200,MATCH(1,('GMW - $100 oil'!$MC$2:$MC$200=O$3)*('GMW - $100 oil'!$MB$2:$MB$200=O$4),0),$E245-1973)</f>
        <v>#N/A</v>
      </c>
      <c r="P245" t="e" cm="1">
        <f t="array" ref="P245">INDEX('GMW - $100 oil'!$A$2:$MC$200,MATCH(1,('GMW - $100 oil'!$MC$2:$MC$200=P$3)*('GMW - $100 oil'!$MB$2:$MB$200=P$4),0),$E245-1973)</f>
        <v>#N/A</v>
      </c>
      <c r="Q245" t="e" cm="1">
        <f t="array" ref="Q245">INDEX('GMW - $100 oil'!$A$2:$MC$200,MATCH(1,('GMW - $100 oil'!$MC$2:$MC$200=Q$3)*('GMW - $100 oil'!$MB$2:$MB$200=Q$4),0),$E245-1973)</f>
        <v>#N/A</v>
      </c>
      <c r="R245" t="e" cm="1">
        <f t="array" ref="R245">INDEX('GMW - $100 oil'!$A$2:$MC$200,MATCH(1,('GMW - $100 oil'!$MC$2:$MC$200=R$3)*('GMW - $100 oil'!$MB$2:$MB$200=R$4),0),$E245-1973)</f>
        <v>#N/A</v>
      </c>
      <c r="S245" t="e" cm="1">
        <f t="array" ref="S245">INDEX('GMW - $100 oil'!$A$2:$MC$200,MATCH(1,('GMW - $100 oil'!$MC$2:$MC$200=S$3)*('GMW - $100 oil'!$MB$2:$MB$200=S$4),0),$E245-1973)</f>
        <v>#N/A</v>
      </c>
      <c r="T245" t="e" cm="1">
        <f t="array" ref="T245">INDEX('GMW - $100 oil'!$A$2:$MC$200,MATCH(1,('GMW - $100 oil'!$MC$2:$MC$200=T$3)*('GMW - $100 oil'!$MB$2:$MB$200=T$4),0),$E245-1973)</f>
        <v>#N/A</v>
      </c>
    </row>
    <row r="246" spans="1:20" x14ac:dyDescent="0.25">
      <c r="B246">
        <f t="shared" si="19"/>
        <v>2039</v>
      </c>
      <c r="C246">
        <f t="shared" si="19"/>
        <v>2039</v>
      </c>
      <c r="E246">
        <f t="shared" si="16"/>
        <v>2219</v>
      </c>
      <c r="F246" t="str" cm="1">
        <f t="array" ref="F246">INDEX('GMW - $100 oil'!$A$2:$MC$200,MATCH(1,('GMW - $100 oil'!$MC$2:$MC$200=F$3)*('GMW - $100 oil'!$MB$2:$MB$200=F$4),0),$E246-1973)</f>
        <v>NA</v>
      </c>
      <c r="G246" t="str" cm="1">
        <f t="array" ref="G246">INDEX('GMW - $100 oil'!$A$2:$MC$200,MATCH(1,('GMW - $100 oil'!$MC$2:$MC$200=G$3)*('GMW - $100 oil'!$MB$2:$MB$200=G$4),0),$E246-1973)</f>
        <v>NA</v>
      </c>
      <c r="H246" t="str" cm="1">
        <f t="array" ref="H246">INDEX('GMW - $100 oil'!$A$2:$MC$200,MATCH(1,('GMW - $100 oil'!$MC$2:$MC$200=H$3)*('GMW - $100 oil'!$MB$2:$MB$200=H$4),0),$E246-1973)</f>
        <v>NA</v>
      </c>
      <c r="I246" t="str" cm="1">
        <f t="array" ref="I246">INDEX('GMW - $100 oil'!$A$2:$MC$200,MATCH(1,('GMW - $100 oil'!$MC$2:$MC$200=I$3)*('GMW - $100 oil'!$MB$2:$MB$200=I$4),0),$E246-1973)</f>
        <v>NA</v>
      </c>
      <c r="J246" t="e" cm="1">
        <f t="array" ref="J246">INDEX('GMW - $100 oil'!$A$2:$MC$200,MATCH(1,('GMW - $100 oil'!$MC$2:$MC$200=J$3)*('GMW - $100 oil'!$MB$2:$MB$200=J$4),0),$E246-1973)</f>
        <v>#N/A</v>
      </c>
      <c r="K246" t="e" cm="1">
        <f t="array" ref="K246">INDEX('GMW - $100 oil'!$A$2:$MC$200,MATCH(1,('GMW - $100 oil'!$MC$2:$MC$200=K$3)*('GMW - $100 oil'!$MB$2:$MB$200=K$4),0),$E246-1973)</f>
        <v>#N/A</v>
      </c>
      <c r="L246" t="e" cm="1">
        <f t="array" ref="L246">INDEX('GMW - $100 oil'!$A$2:$MC$200,MATCH(1,('GMW - $100 oil'!$MC$2:$MC$200=L$3)*('GMW - $100 oil'!$MB$2:$MB$200=L$4),0),$E246-1973)</f>
        <v>#N/A</v>
      </c>
      <c r="M246" t="e" cm="1">
        <f t="array" ref="M246">INDEX('GMW - $100 oil'!$A$2:$MC$200,MATCH(1,('GMW - $100 oil'!$MC$2:$MC$200=M$3)*('GMW - $100 oil'!$MB$2:$MB$200=M$4),0),$E246-1973)</f>
        <v>#N/A</v>
      </c>
      <c r="N246" t="e" cm="1">
        <f t="array" ref="N246">INDEX('GMW - $100 oil'!$A$2:$MC$200,MATCH(1,('GMW - $100 oil'!$MC$2:$MC$200=N$3)*('GMW - $100 oil'!$MB$2:$MB$200=N$4),0),$E246-1973)</f>
        <v>#N/A</v>
      </c>
      <c r="O246" t="e" cm="1">
        <f t="array" ref="O246">INDEX('GMW - $100 oil'!$A$2:$MC$200,MATCH(1,('GMW - $100 oil'!$MC$2:$MC$200=O$3)*('GMW - $100 oil'!$MB$2:$MB$200=O$4),0),$E246-1973)</f>
        <v>#N/A</v>
      </c>
      <c r="P246" t="e" cm="1">
        <f t="array" ref="P246">INDEX('GMW - $100 oil'!$A$2:$MC$200,MATCH(1,('GMW - $100 oil'!$MC$2:$MC$200=P$3)*('GMW - $100 oil'!$MB$2:$MB$200=P$4),0),$E246-1973)</f>
        <v>#N/A</v>
      </c>
      <c r="Q246" t="e" cm="1">
        <f t="array" ref="Q246">INDEX('GMW - $100 oil'!$A$2:$MC$200,MATCH(1,('GMW - $100 oil'!$MC$2:$MC$200=Q$3)*('GMW - $100 oil'!$MB$2:$MB$200=Q$4),0),$E246-1973)</f>
        <v>#N/A</v>
      </c>
      <c r="R246" t="e" cm="1">
        <f t="array" ref="R246">INDEX('GMW - $100 oil'!$A$2:$MC$200,MATCH(1,('GMW - $100 oil'!$MC$2:$MC$200=R$3)*('GMW - $100 oil'!$MB$2:$MB$200=R$4),0),$E246-1973)</f>
        <v>#N/A</v>
      </c>
      <c r="S246" t="e" cm="1">
        <f t="array" ref="S246">INDEX('GMW - $100 oil'!$A$2:$MC$200,MATCH(1,('GMW - $100 oil'!$MC$2:$MC$200=S$3)*('GMW - $100 oil'!$MB$2:$MB$200=S$4),0),$E246-1973)</f>
        <v>#N/A</v>
      </c>
      <c r="T246" t="e" cm="1">
        <f t="array" ref="T246">INDEX('GMW - $100 oil'!$A$2:$MC$200,MATCH(1,('GMW - $100 oil'!$MC$2:$MC$200=T$3)*('GMW - $100 oil'!$MB$2:$MB$200=T$4),0),$E246-1973)</f>
        <v>#N/A</v>
      </c>
    </row>
    <row r="247" spans="1:20" x14ac:dyDescent="0.25">
      <c r="A247">
        <v>2040</v>
      </c>
      <c r="B247">
        <f t="shared" si="19"/>
        <v>2040</v>
      </c>
      <c r="C247">
        <f t="shared" si="19"/>
        <v>2039</v>
      </c>
      <c r="D247">
        <f t="shared" si="19"/>
        <v>2039</v>
      </c>
      <c r="E247">
        <f t="shared" si="16"/>
        <v>2220</v>
      </c>
      <c r="F247" t="str" cm="1">
        <f t="array" ref="F247">INDEX('GMW - $100 oil'!$A$2:$MC$200,MATCH(1,('GMW - $100 oil'!$MC$2:$MC$200=F$3)*('GMW - $100 oil'!$MB$2:$MB$200=F$4),0),$E247-1973)</f>
        <v>NA</v>
      </c>
      <c r="G247" t="str" cm="1">
        <f t="array" ref="G247">INDEX('GMW - $100 oil'!$A$2:$MC$200,MATCH(1,('GMW - $100 oil'!$MC$2:$MC$200=G$3)*('GMW - $100 oil'!$MB$2:$MB$200=G$4),0),$E247-1973)</f>
        <v>NA</v>
      </c>
      <c r="H247" t="str" cm="1">
        <f t="array" ref="H247">INDEX('GMW - $100 oil'!$A$2:$MC$200,MATCH(1,('GMW - $100 oil'!$MC$2:$MC$200=H$3)*('GMW - $100 oil'!$MB$2:$MB$200=H$4),0),$E247-1973)</f>
        <v>NA</v>
      </c>
      <c r="I247" t="str" cm="1">
        <f t="array" ref="I247">INDEX('GMW - $100 oil'!$A$2:$MC$200,MATCH(1,('GMW - $100 oil'!$MC$2:$MC$200=I$3)*('GMW - $100 oil'!$MB$2:$MB$200=I$4),0),$E247-1973)</f>
        <v>NA</v>
      </c>
      <c r="J247" t="e" cm="1">
        <f t="array" ref="J247">INDEX('GMW - $100 oil'!$A$2:$MC$200,MATCH(1,('GMW - $100 oil'!$MC$2:$MC$200=J$3)*('GMW - $100 oil'!$MB$2:$MB$200=J$4),0),$E247-1973)</f>
        <v>#N/A</v>
      </c>
      <c r="K247" t="e" cm="1">
        <f t="array" ref="K247">INDEX('GMW - $100 oil'!$A$2:$MC$200,MATCH(1,('GMW - $100 oil'!$MC$2:$MC$200=K$3)*('GMW - $100 oil'!$MB$2:$MB$200=K$4),0),$E247-1973)</f>
        <v>#N/A</v>
      </c>
      <c r="L247" t="e" cm="1">
        <f t="array" ref="L247">INDEX('GMW - $100 oil'!$A$2:$MC$200,MATCH(1,('GMW - $100 oil'!$MC$2:$MC$200=L$3)*('GMW - $100 oil'!$MB$2:$MB$200=L$4),0),$E247-1973)</f>
        <v>#N/A</v>
      </c>
      <c r="M247" t="e" cm="1">
        <f t="array" ref="M247">INDEX('GMW - $100 oil'!$A$2:$MC$200,MATCH(1,('GMW - $100 oil'!$MC$2:$MC$200=M$3)*('GMW - $100 oil'!$MB$2:$MB$200=M$4),0),$E247-1973)</f>
        <v>#N/A</v>
      </c>
      <c r="N247" t="e" cm="1">
        <f t="array" ref="N247">INDEX('GMW - $100 oil'!$A$2:$MC$200,MATCH(1,('GMW - $100 oil'!$MC$2:$MC$200=N$3)*('GMW - $100 oil'!$MB$2:$MB$200=N$4),0),$E247-1973)</f>
        <v>#N/A</v>
      </c>
      <c r="O247" t="e" cm="1">
        <f t="array" ref="O247">INDEX('GMW - $100 oil'!$A$2:$MC$200,MATCH(1,('GMW - $100 oil'!$MC$2:$MC$200=O$3)*('GMW - $100 oil'!$MB$2:$MB$200=O$4),0),$E247-1973)</f>
        <v>#N/A</v>
      </c>
      <c r="P247" t="e" cm="1">
        <f t="array" ref="P247">INDEX('GMW - $100 oil'!$A$2:$MC$200,MATCH(1,('GMW - $100 oil'!$MC$2:$MC$200=P$3)*('GMW - $100 oil'!$MB$2:$MB$200=P$4),0),$E247-1973)</f>
        <v>#N/A</v>
      </c>
      <c r="Q247" t="e" cm="1">
        <f t="array" ref="Q247">INDEX('GMW - $100 oil'!$A$2:$MC$200,MATCH(1,('GMW - $100 oil'!$MC$2:$MC$200=Q$3)*('GMW - $100 oil'!$MB$2:$MB$200=Q$4),0),$E247-1973)</f>
        <v>#N/A</v>
      </c>
      <c r="R247" t="e" cm="1">
        <f t="array" ref="R247">INDEX('GMW - $100 oil'!$A$2:$MC$200,MATCH(1,('GMW - $100 oil'!$MC$2:$MC$200=R$3)*('GMW - $100 oil'!$MB$2:$MB$200=R$4),0),$E247-1973)</f>
        <v>#N/A</v>
      </c>
      <c r="S247" t="e" cm="1">
        <f t="array" ref="S247">INDEX('GMW - $100 oil'!$A$2:$MC$200,MATCH(1,('GMW - $100 oil'!$MC$2:$MC$200=S$3)*('GMW - $100 oil'!$MB$2:$MB$200=S$4),0),$E247-1973)</f>
        <v>#N/A</v>
      </c>
      <c r="T247" t="e" cm="1">
        <f t="array" ref="T247">INDEX('GMW - $100 oil'!$A$2:$MC$200,MATCH(1,('GMW - $100 oil'!$MC$2:$MC$200=T$3)*('GMW - $100 oil'!$MB$2:$MB$200=T$4),0),$E247-1973)</f>
        <v>#N/A</v>
      </c>
    </row>
    <row r="248" spans="1:20" x14ac:dyDescent="0.25">
      <c r="B248">
        <f t="shared" si="19"/>
        <v>2040</v>
      </c>
      <c r="C248">
        <f t="shared" si="19"/>
        <v>2040</v>
      </c>
      <c r="E248">
        <f t="shared" si="16"/>
        <v>2221</v>
      </c>
      <c r="F248" t="str" cm="1">
        <f t="array" ref="F248">INDEX('GMW - $100 oil'!$A$2:$MC$200,MATCH(1,('GMW - $100 oil'!$MC$2:$MC$200=F$3)*('GMW - $100 oil'!$MB$2:$MB$200=F$4),0),$E248-1973)</f>
        <v>NA</v>
      </c>
      <c r="G248" t="str" cm="1">
        <f t="array" ref="G248">INDEX('GMW - $100 oil'!$A$2:$MC$200,MATCH(1,('GMW - $100 oil'!$MC$2:$MC$200=G$3)*('GMW - $100 oil'!$MB$2:$MB$200=G$4),0),$E248-1973)</f>
        <v>NA</v>
      </c>
      <c r="H248" t="str" cm="1">
        <f t="array" ref="H248">INDEX('GMW - $100 oil'!$A$2:$MC$200,MATCH(1,('GMW - $100 oil'!$MC$2:$MC$200=H$3)*('GMW - $100 oil'!$MB$2:$MB$200=H$4),0),$E248-1973)</f>
        <v>NA</v>
      </c>
      <c r="I248" t="str" cm="1">
        <f t="array" ref="I248">INDEX('GMW - $100 oil'!$A$2:$MC$200,MATCH(1,('GMW - $100 oil'!$MC$2:$MC$200=I$3)*('GMW - $100 oil'!$MB$2:$MB$200=I$4),0),$E248-1973)</f>
        <v>NA</v>
      </c>
      <c r="J248" t="e" cm="1">
        <f t="array" ref="J248">INDEX('GMW - $100 oil'!$A$2:$MC$200,MATCH(1,('GMW - $100 oil'!$MC$2:$MC$200=J$3)*('GMW - $100 oil'!$MB$2:$MB$200=J$4),0),$E248-1973)</f>
        <v>#N/A</v>
      </c>
      <c r="K248" t="e" cm="1">
        <f t="array" ref="K248">INDEX('GMW - $100 oil'!$A$2:$MC$200,MATCH(1,('GMW - $100 oil'!$MC$2:$MC$200=K$3)*('GMW - $100 oil'!$MB$2:$MB$200=K$4),0),$E248-1973)</f>
        <v>#N/A</v>
      </c>
      <c r="L248" t="e" cm="1">
        <f t="array" ref="L248">INDEX('GMW - $100 oil'!$A$2:$MC$200,MATCH(1,('GMW - $100 oil'!$MC$2:$MC$200=L$3)*('GMW - $100 oil'!$MB$2:$MB$200=L$4),0),$E248-1973)</f>
        <v>#N/A</v>
      </c>
      <c r="M248" t="e" cm="1">
        <f t="array" ref="M248">INDEX('GMW - $100 oil'!$A$2:$MC$200,MATCH(1,('GMW - $100 oil'!$MC$2:$MC$200=M$3)*('GMW - $100 oil'!$MB$2:$MB$200=M$4),0),$E248-1973)</f>
        <v>#N/A</v>
      </c>
      <c r="N248" t="e" cm="1">
        <f t="array" ref="N248">INDEX('GMW - $100 oil'!$A$2:$MC$200,MATCH(1,('GMW - $100 oil'!$MC$2:$MC$200=N$3)*('GMW - $100 oil'!$MB$2:$MB$200=N$4),0),$E248-1973)</f>
        <v>#N/A</v>
      </c>
      <c r="O248" t="e" cm="1">
        <f t="array" ref="O248">INDEX('GMW - $100 oil'!$A$2:$MC$200,MATCH(1,('GMW - $100 oil'!$MC$2:$MC$200=O$3)*('GMW - $100 oil'!$MB$2:$MB$200=O$4),0),$E248-1973)</f>
        <v>#N/A</v>
      </c>
      <c r="P248" t="e" cm="1">
        <f t="array" ref="P248">INDEX('GMW - $100 oil'!$A$2:$MC$200,MATCH(1,('GMW - $100 oil'!$MC$2:$MC$200=P$3)*('GMW - $100 oil'!$MB$2:$MB$200=P$4),0),$E248-1973)</f>
        <v>#N/A</v>
      </c>
      <c r="Q248" t="e" cm="1">
        <f t="array" ref="Q248">INDEX('GMW - $100 oil'!$A$2:$MC$200,MATCH(1,('GMW - $100 oil'!$MC$2:$MC$200=Q$3)*('GMW - $100 oil'!$MB$2:$MB$200=Q$4),0),$E248-1973)</f>
        <v>#N/A</v>
      </c>
      <c r="R248" t="e" cm="1">
        <f t="array" ref="R248">INDEX('GMW - $100 oil'!$A$2:$MC$200,MATCH(1,('GMW - $100 oil'!$MC$2:$MC$200=R$3)*('GMW - $100 oil'!$MB$2:$MB$200=R$4),0),$E248-1973)</f>
        <v>#N/A</v>
      </c>
      <c r="S248" t="e" cm="1">
        <f t="array" ref="S248">INDEX('GMW - $100 oil'!$A$2:$MC$200,MATCH(1,('GMW - $100 oil'!$MC$2:$MC$200=S$3)*('GMW - $100 oil'!$MB$2:$MB$200=S$4),0),$E248-1973)</f>
        <v>#N/A</v>
      </c>
      <c r="T248" t="e" cm="1">
        <f t="array" ref="T248">INDEX('GMW - $100 oil'!$A$2:$MC$200,MATCH(1,('GMW - $100 oil'!$MC$2:$MC$200=T$3)*('GMW - $100 oil'!$MB$2:$MB$200=T$4),0),$E248-1973)</f>
        <v>#N/A</v>
      </c>
    </row>
    <row r="249" spans="1:20" x14ac:dyDescent="0.25">
      <c r="B249">
        <f t="shared" si="19"/>
        <v>2040</v>
      </c>
      <c r="C249">
        <f t="shared" si="19"/>
        <v>2040</v>
      </c>
      <c r="E249">
        <f t="shared" si="16"/>
        <v>2222</v>
      </c>
      <c r="F249" t="str" cm="1">
        <f t="array" ref="F249">INDEX('GMW - $100 oil'!$A$2:$MC$200,MATCH(1,('GMW - $100 oil'!$MC$2:$MC$200=F$3)*('GMW - $100 oil'!$MB$2:$MB$200=F$4),0),$E249-1973)</f>
        <v>NA</v>
      </c>
      <c r="G249" t="str" cm="1">
        <f t="array" ref="G249">INDEX('GMW - $100 oil'!$A$2:$MC$200,MATCH(1,('GMW - $100 oil'!$MC$2:$MC$200=G$3)*('GMW - $100 oil'!$MB$2:$MB$200=G$4),0),$E249-1973)</f>
        <v>NA</v>
      </c>
      <c r="H249" t="str" cm="1">
        <f t="array" ref="H249">INDEX('GMW - $100 oil'!$A$2:$MC$200,MATCH(1,('GMW - $100 oil'!$MC$2:$MC$200=H$3)*('GMW - $100 oil'!$MB$2:$MB$200=H$4),0),$E249-1973)</f>
        <v>NA</v>
      </c>
      <c r="I249" t="str" cm="1">
        <f t="array" ref="I249">INDEX('GMW - $100 oil'!$A$2:$MC$200,MATCH(1,('GMW - $100 oil'!$MC$2:$MC$200=I$3)*('GMW - $100 oil'!$MB$2:$MB$200=I$4),0),$E249-1973)</f>
        <v>NA</v>
      </c>
      <c r="J249" t="e" cm="1">
        <f t="array" ref="J249">INDEX('GMW - $100 oil'!$A$2:$MC$200,MATCH(1,('GMW - $100 oil'!$MC$2:$MC$200=J$3)*('GMW - $100 oil'!$MB$2:$MB$200=J$4),0),$E249-1973)</f>
        <v>#N/A</v>
      </c>
      <c r="K249" t="e" cm="1">
        <f t="array" ref="K249">INDEX('GMW - $100 oil'!$A$2:$MC$200,MATCH(1,('GMW - $100 oil'!$MC$2:$MC$200=K$3)*('GMW - $100 oil'!$MB$2:$MB$200=K$4),0),$E249-1973)</f>
        <v>#N/A</v>
      </c>
      <c r="L249" t="e" cm="1">
        <f t="array" ref="L249">INDEX('GMW - $100 oil'!$A$2:$MC$200,MATCH(1,('GMW - $100 oil'!$MC$2:$MC$200=L$3)*('GMW - $100 oil'!$MB$2:$MB$200=L$4),0),$E249-1973)</f>
        <v>#N/A</v>
      </c>
      <c r="M249" t="e" cm="1">
        <f t="array" ref="M249">INDEX('GMW - $100 oil'!$A$2:$MC$200,MATCH(1,('GMW - $100 oil'!$MC$2:$MC$200=M$3)*('GMW - $100 oil'!$MB$2:$MB$200=M$4),0),$E249-1973)</f>
        <v>#N/A</v>
      </c>
      <c r="N249" t="e" cm="1">
        <f t="array" ref="N249">INDEX('GMW - $100 oil'!$A$2:$MC$200,MATCH(1,('GMW - $100 oil'!$MC$2:$MC$200=N$3)*('GMW - $100 oil'!$MB$2:$MB$200=N$4),0),$E249-1973)</f>
        <v>#N/A</v>
      </c>
      <c r="O249" t="e" cm="1">
        <f t="array" ref="O249">INDEX('GMW - $100 oil'!$A$2:$MC$200,MATCH(1,('GMW - $100 oil'!$MC$2:$MC$200=O$3)*('GMW - $100 oil'!$MB$2:$MB$200=O$4),0),$E249-1973)</f>
        <v>#N/A</v>
      </c>
      <c r="P249" t="e" cm="1">
        <f t="array" ref="P249">INDEX('GMW - $100 oil'!$A$2:$MC$200,MATCH(1,('GMW - $100 oil'!$MC$2:$MC$200=P$3)*('GMW - $100 oil'!$MB$2:$MB$200=P$4),0),$E249-1973)</f>
        <v>#N/A</v>
      </c>
      <c r="Q249" t="e" cm="1">
        <f t="array" ref="Q249">INDEX('GMW - $100 oil'!$A$2:$MC$200,MATCH(1,('GMW - $100 oil'!$MC$2:$MC$200=Q$3)*('GMW - $100 oil'!$MB$2:$MB$200=Q$4),0),$E249-1973)</f>
        <v>#N/A</v>
      </c>
      <c r="R249" t="e" cm="1">
        <f t="array" ref="R249">INDEX('GMW - $100 oil'!$A$2:$MC$200,MATCH(1,('GMW - $100 oil'!$MC$2:$MC$200=R$3)*('GMW - $100 oil'!$MB$2:$MB$200=R$4),0),$E249-1973)</f>
        <v>#N/A</v>
      </c>
      <c r="S249" t="e" cm="1">
        <f t="array" ref="S249">INDEX('GMW - $100 oil'!$A$2:$MC$200,MATCH(1,('GMW - $100 oil'!$MC$2:$MC$200=S$3)*('GMW - $100 oil'!$MB$2:$MB$200=S$4),0),$E249-1973)</f>
        <v>#N/A</v>
      </c>
      <c r="T249" t="e" cm="1">
        <f t="array" ref="T249">INDEX('GMW - $100 oil'!$A$2:$MC$200,MATCH(1,('GMW - $100 oil'!$MC$2:$MC$200=T$3)*('GMW - $100 oil'!$MB$2:$MB$200=T$4),0),$E249-1973)</f>
        <v>#N/A</v>
      </c>
    </row>
    <row r="250" spans="1:20" x14ac:dyDescent="0.25">
      <c r="B250">
        <f t="shared" si="19"/>
        <v>2040</v>
      </c>
      <c r="C250">
        <f t="shared" si="19"/>
        <v>2040</v>
      </c>
      <c r="E250">
        <f t="shared" si="16"/>
        <v>2223</v>
      </c>
      <c r="F250" t="str" cm="1">
        <f t="array" ref="F250">INDEX('GMW - $100 oil'!$A$2:$MC$200,MATCH(1,('GMW - $100 oil'!$MC$2:$MC$200=F$3)*('GMW - $100 oil'!$MB$2:$MB$200=F$4),0),$E250-1973)</f>
        <v>NA</v>
      </c>
      <c r="G250" t="str" cm="1">
        <f t="array" ref="G250">INDEX('GMW - $100 oil'!$A$2:$MC$200,MATCH(1,('GMW - $100 oil'!$MC$2:$MC$200=G$3)*('GMW - $100 oil'!$MB$2:$MB$200=G$4),0),$E250-1973)</f>
        <v>NA</v>
      </c>
      <c r="H250" t="str" cm="1">
        <f t="array" ref="H250">INDEX('GMW - $100 oil'!$A$2:$MC$200,MATCH(1,('GMW - $100 oil'!$MC$2:$MC$200=H$3)*('GMW - $100 oil'!$MB$2:$MB$200=H$4),0),$E250-1973)</f>
        <v>NA</v>
      </c>
      <c r="I250" t="str" cm="1">
        <f t="array" ref="I250">INDEX('GMW - $100 oil'!$A$2:$MC$200,MATCH(1,('GMW - $100 oil'!$MC$2:$MC$200=I$3)*('GMW - $100 oil'!$MB$2:$MB$200=I$4),0),$E250-1973)</f>
        <v>NA</v>
      </c>
      <c r="J250" t="e" cm="1">
        <f t="array" ref="J250">INDEX('GMW - $100 oil'!$A$2:$MC$200,MATCH(1,('GMW - $100 oil'!$MC$2:$MC$200=J$3)*('GMW - $100 oil'!$MB$2:$MB$200=J$4),0),$E250-1973)</f>
        <v>#N/A</v>
      </c>
      <c r="K250" t="e" cm="1">
        <f t="array" ref="K250">INDEX('GMW - $100 oil'!$A$2:$MC$200,MATCH(1,('GMW - $100 oil'!$MC$2:$MC$200=K$3)*('GMW - $100 oil'!$MB$2:$MB$200=K$4),0),$E250-1973)</f>
        <v>#N/A</v>
      </c>
      <c r="L250" t="e" cm="1">
        <f t="array" ref="L250">INDEX('GMW - $100 oil'!$A$2:$MC$200,MATCH(1,('GMW - $100 oil'!$MC$2:$MC$200=L$3)*('GMW - $100 oil'!$MB$2:$MB$200=L$4),0),$E250-1973)</f>
        <v>#N/A</v>
      </c>
      <c r="M250" t="e" cm="1">
        <f t="array" ref="M250">INDEX('GMW - $100 oil'!$A$2:$MC$200,MATCH(1,('GMW - $100 oil'!$MC$2:$MC$200=M$3)*('GMW - $100 oil'!$MB$2:$MB$200=M$4),0),$E250-1973)</f>
        <v>#N/A</v>
      </c>
      <c r="N250" t="e" cm="1">
        <f t="array" ref="N250">INDEX('GMW - $100 oil'!$A$2:$MC$200,MATCH(1,('GMW - $100 oil'!$MC$2:$MC$200=N$3)*('GMW - $100 oil'!$MB$2:$MB$200=N$4),0),$E250-1973)</f>
        <v>#N/A</v>
      </c>
      <c r="O250" t="e" cm="1">
        <f t="array" ref="O250">INDEX('GMW - $100 oil'!$A$2:$MC$200,MATCH(1,('GMW - $100 oil'!$MC$2:$MC$200=O$3)*('GMW - $100 oil'!$MB$2:$MB$200=O$4),0),$E250-1973)</f>
        <v>#N/A</v>
      </c>
      <c r="P250" t="e" cm="1">
        <f t="array" ref="P250">INDEX('GMW - $100 oil'!$A$2:$MC$200,MATCH(1,('GMW - $100 oil'!$MC$2:$MC$200=P$3)*('GMW - $100 oil'!$MB$2:$MB$200=P$4),0),$E250-1973)</f>
        <v>#N/A</v>
      </c>
      <c r="Q250" t="e" cm="1">
        <f t="array" ref="Q250">INDEX('GMW - $100 oil'!$A$2:$MC$200,MATCH(1,('GMW - $100 oil'!$MC$2:$MC$200=Q$3)*('GMW - $100 oil'!$MB$2:$MB$200=Q$4),0),$E250-1973)</f>
        <v>#N/A</v>
      </c>
      <c r="R250" t="e" cm="1">
        <f t="array" ref="R250">INDEX('GMW - $100 oil'!$A$2:$MC$200,MATCH(1,('GMW - $100 oil'!$MC$2:$MC$200=R$3)*('GMW - $100 oil'!$MB$2:$MB$200=R$4),0),$E250-1973)</f>
        <v>#N/A</v>
      </c>
      <c r="S250" t="e" cm="1">
        <f t="array" ref="S250">INDEX('GMW - $100 oil'!$A$2:$MC$200,MATCH(1,('GMW - $100 oil'!$MC$2:$MC$200=S$3)*('GMW - $100 oil'!$MB$2:$MB$200=S$4),0),$E250-1973)</f>
        <v>#N/A</v>
      </c>
      <c r="T250" t="e" cm="1">
        <f t="array" ref="T250">INDEX('GMW - $100 oil'!$A$2:$MC$200,MATCH(1,('GMW - $100 oil'!$MC$2:$MC$200=T$3)*('GMW - $100 oil'!$MB$2:$MB$200=T$4),0),$E250-1973)</f>
        <v>#N/A</v>
      </c>
    </row>
    <row r="251" spans="1:20" x14ac:dyDescent="0.25">
      <c r="A251">
        <v>2041</v>
      </c>
      <c r="B251">
        <f t="shared" si="19"/>
        <v>2041</v>
      </c>
      <c r="C251">
        <f t="shared" si="19"/>
        <v>2040</v>
      </c>
      <c r="D251">
        <f t="shared" si="19"/>
        <v>2040</v>
      </c>
      <c r="E251">
        <f t="shared" si="16"/>
        <v>2224</v>
      </c>
      <c r="F251" t="str" cm="1">
        <f t="array" ref="F251">INDEX('GMW - $100 oil'!$A$2:$MC$200,MATCH(1,('GMW - $100 oil'!$MC$2:$MC$200=F$3)*('GMW - $100 oil'!$MB$2:$MB$200=F$4),0),$E251-1973)</f>
        <v>NA</v>
      </c>
      <c r="G251" t="str" cm="1">
        <f t="array" ref="G251">INDEX('GMW - $100 oil'!$A$2:$MC$200,MATCH(1,('GMW - $100 oil'!$MC$2:$MC$200=G$3)*('GMW - $100 oil'!$MB$2:$MB$200=G$4),0),$E251-1973)</f>
        <v>NA</v>
      </c>
      <c r="H251" t="str" cm="1">
        <f t="array" ref="H251">INDEX('GMW - $100 oil'!$A$2:$MC$200,MATCH(1,('GMW - $100 oil'!$MC$2:$MC$200=H$3)*('GMW - $100 oil'!$MB$2:$MB$200=H$4),0),$E251-1973)</f>
        <v>NA</v>
      </c>
      <c r="I251" t="str" cm="1">
        <f t="array" ref="I251">INDEX('GMW - $100 oil'!$A$2:$MC$200,MATCH(1,('GMW - $100 oil'!$MC$2:$MC$200=I$3)*('GMW - $100 oil'!$MB$2:$MB$200=I$4),0),$E251-1973)</f>
        <v>NA</v>
      </c>
      <c r="J251" t="e" cm="1">
        <f t="array" ref="J251">INDEX('GMW - $100 oil'!$A$2:$MC$200,MATCH(1,('GMW - $100 oil'!$MC$2:$MC$200=J$3)*('GMW - $100 oil'!$MB$2:$MB$200=J$4),0),$E251-1973)</f>
        <v>#N/A</v>
      </c>
      <c r="K251" t="e" cm="1">
        <f t="array" ref="K251">INDEX('GMW - $100 oil'!$A$2:$MC$200,MATCH(1,('GMW - $100 oil'!$MC$2:$MC$200=K$3)*('GMW - $100 oil'!$MB$2:$MB$200=K$4),0),$E251-1973)</f>
        <v>#N/A</v>
      </c>
      <c r="L251" t="e" cm="1">
        <f t="array" ref="L251">INDEX('GMW - $100 oil'!$A$2:$MC$200,MATCH(1,('GMW - $100 oil'!$MC$2:$MC$200=L$3)*('GMW - $100 oil'!$MB$2:$MB$200=L$4),0),$E251-1973)</f>
        <v>#N/A</v>
      </c>
      <c r="M251" t="e" cm="1">
        <f t="array" ref="M251">INDEX('GMW - $100 oil'!$A$2:$MC$200,MATCH(1,('GMW - $100 oil'!$MC$2:$MC$200=M$3)*('GMW - $100 oil'!$MB$2:$MB$200=M$4),0),$E251-1973)</f>
        <v>#N/A</v>
      </c>
      <c r="N251" t="e" cm="1">
        <f t="array" ref="N251">INDEX('GMW - $100 oil'!$A$2:$MC$200,MATCH(1,('GMW - $100 oil'!$MC$2:$MC$200=N$3)*('GMW - $100 oil'!$MB$2:$MB$200=N$4),0),$E251-1973)</f>
        <v>#N/A</v>
      </c>
      <c r="O251" t="e" cm="1">
        <f t="array" ref="O251">INDEX('GMW - $100 oil'!$A$2:$MC$200,MATCH(1,('GMW - $100 oil'!$MC$2:$MC$200=O$3)*('GMW - $100 oil'!$MB$2:$MB$200=O$4),0),$E251-1973)</f>
        <v>#N/A</v>
      </c>
      <c r="P251" t="e" cm="1">
        <f t="array" ref="P251">INDEX('GMW - $100 oil'!$A$2:$MC$200,MATCH(1,('GMW - $100 oil'!$MC$2:$MC$200=P$3)*('GMW - $100 oil'!$MB$2:$MB$200=P$4),0),$E251-1973)</f>
        <v>#N/A</v>
      </c>
      <c r="Q251" t="e" cm="1">
        <f t="array" ref="Q251">INDEX('GMW - $100 oil'!$A$2:$MC$200,MATCH(1,('GMW - $100 oil'!$MC$2:$MC$200=Q$3)*('GMW - $100 oil'!$MB$2:$MB$200=Q$4),0),$E251-1973)</f>
        <v>#N/A</v>
      </c>
      <c r="R251" t="e" cm="1">
        <f t="array" ref="R251">INDEX('GMW - $100 oil'!$A$2:$MC$200,MATCH(1,('GMW - $100 oil'!$MC$2:$MC$200=R$3)*('GMW - $100 oil'!$MB$2:$MB$200=R$4),0),$E251-1973)</f>
        <v>#N/A</v>
      </c>
      <c r="S251" t="e" cm="1">
        <f t="array" ref="S251">INDEX('GMW - $100 oil'!$A$2:$MC$200,MATCH(1,('GMW - $100 oil'!$MC$2:$MC$200=S$3)*('GMW - $100 oil'!$MB$2:$MB$200=S$4),0),$E251-1973)</f>
        <v>#N/A</v>
      </c>
      <c r="T251" t="e" cm="1">
        <f t="array" ref="T251">INDEX('GMW - $100 oil'!$A$2:$MC$200,MATCH(1,('GMW - $100 oil'!$MC$2:$MC$200=T$3)*('GMW - $100 oil'!$MB$2:$MB$200=T$4),0),$E251-1973)</f>
        <v>#N/A</v>
      </c>
    </row>
    <row r="252" spans="1:20" x14ac:dyDescent="0.25">
      <c r="B252">
        <f t="shared" ref="B252:D267" si="20">+B248+1</f>
        <v>2041</v>
      </c>
      <c r="C252">
        <f t="shared" si="20"/>
        <v>2041</v>
      </c>
      <c r="E252">
        <f t="shared" si="16"/>
        <v>2225</v>
      </c>
      <c r="F252" t="str" cm="1">
        <f t="array" ref="F252">INDEX('GMW - $100 oil'!$A$2:$MC$200,MATCH(1,('GMW - $100 oil'!$MC$2:$MC$200=F$3)*('GMW - $100 oil'!$MB$2:$MB$200=F$4),0),$E252-1973)</f>
        <v>NA</v>
      </c>
      <c r="G252" t="str" cm="1">
        <f t="array" ref="G252">INDEX('GMW - $100 oil'!$A$2:$MC$200,MATCH(1,('GMW - $100 oil'!$MC$2:$MC$200=G$3)*('GMW - $100 oil'!$MB$2:$MB$200=G$4),0),$E252-1973)</f>
        <v>NA</v>
      </c>
      <c r="H252" t="str" cm="1">
        <f t="array" ref="H252">INDEX('GMW - $100 oil'!$A$2:$MC$200,MATCH(1,('GMW - $100 oil'!$MC$2:$MC$200=H$3)*('GMW - $100 oil'!$MB$2:$MB$200=H$4),0),$E252-1973)</f>
        <v>NA</v>
      </c>
      <c r="I252" t="str" cm="1">
        <f t="array" ref="I252">INDEX('GMW - $100 oil'!$A$2:$MC$200,MATCH(1,('GMW - $100 oil'!$MC$2:$MC$200=I$3)*('GMW - $100 oil'!$MB$2:$MB$200=I$4),0),$E252-1973)</f>
        <v>NA</v>
      </c>
      <c r="J252" t="e" cm="1">
        <f t="array" ref="J252">INDEX('GMW - $100 oil'!$A$2:$MC$200,MATCH(1,('GMW - $100 oil'!$MC$2:$MC$200=J$3)*('GMW - $100 oil'!$MB$2:$MB$200=J$4),0),$E252-1973)</f>
        <v>#N/A</v>
      </c>
      <c r="K252" t="e" cm="1">
        <f t="array" ref="K252">INDEX('GMW - $100 oil'!$A$2:$MC$200,MATCH(1,('GMW - $100 oil'!$MC$2:$MC$200=K$3)*('GMW - $100 oil'!$MB$2:$MB$200=K$4),0),$E252-1973)</f>
        <v>#N/A</v>
      </c>
      <c r="L252" t="e" cm="1">
        <f t="array" ref="L252">INDEX('GMW - $100 oil'!$A$2:$MC$200,MATCH(1,('GMW - $100 oil'!$MC$2:$MC$200=L$3)*('GMW - $100 oil'!$MB$2:$MB$200=L$4),0),$E252-1973)</f>
        <v>#N/A</v>
      </c>
      <c r="M252" t="e" cm="1">
        <f t="array" ref="M252">INDEX('GMW - $100 oil'!$A$2:$MC$200,MATCH(1,('GMW - $100 oil'!$MC$2:$MC$200=M$3)*('GMW - $100 oil'!$MB$2:$MB$200=M$4),0),$E252-1973)</f>
        <v>#N/A</v>
      </c>
      <c r="N252" t="e" cm="1">
        <f t="array" ref="N252">INDEX('GMW - $100 oil'!$A$2:$MC$200,MATCH(1,('GMW - $100 oil'!$MC$2:$MC$200=N$3)*('GMW - $100 oil'!$MB$2:$MB$200=N$4),0),$E252-1973)</f>
        <v>#N/A</v>
      </c>
      <c r="O252" t="e" cm="1">
        <f t="array" ref="O252">INDEX('GMW - $100 oil'!$A$2:$MC$200,MATCH(1,('GMW - $100 oil'!$MC$2:$MC$200=O$3)*('GMW - $100 oil'!$MB$2:$MB$200=O$4),0),$E252-1973)</f>
        <v>#N/A</v>
      </c>
      <c r="P252" t="e" cm="1">
        <f t="array" ref="P252">INDEX('GMW - $100 oil'!$A$2:$MC$200,MATCH(1,('GMW - $100 oil'!$MC$2:$MC$200=P$3)*('GMW - $100 oil'!$MB$2:$MB$200=P$4),0),$E252-1973)</f>
        <v>#N/A</v>
      </c>
      <c r="Q252" t="e" cm="1">
        <f t="array" ref="Q252">INDEX('GMW - $100 oil'!$A$2:$MC$200,MATCH(1,('GMW - $100 oil'!$MC$2:$MC$200=Q$3)*('GMW - $100 oil'!$MB$2:$MB$200=Q$4),0),$E252-1973)</f>
        <v>#N/A</v>
      </c>
      <c r="R252" t="e" cm="1">
        <f t="array" ref="R252">INDEX('GMW - $100 oil'!$A$2:$MC$200,MATCH(1,('GMW - $100 oil'!$MC$2:$MC$200=R$3)*('GMW - $100 oil'!$MB$2:$MB$200=R$4),0),$E252-1973)</f>
        <v>#N/A</v>
      </c>
      <c r="S252" t="e" cm="1">
        <f t="array" ref="S252">INDEX('GMW - $100 oil'!$A$2:$MC$200,MATCH(1,('GMW - $100 oil'!$MC$2:$MC$200=S$3)*('GMW - $100 oil'!$MB$2:$MB$200=S$4),0),$E252-1973)</f>
        <v>#N/A</v>
      </c>
      <c r="T252" t="e" cm="1">
        <f t="array" ref="T252">INDEX('GMW - $100 oil'!$A$2:$MC$200,MATCH(1,('GMW - $100 oil'!$MC$2:$MC$200=T$3)*('GMW - $100 oil'!$MB$2:$MB$200=T$4),0),$E252-1973)</f>
        <v>#N/A</v>
      </c>
    </row>
    <row r="253" spans="1:20" x14ac:dyDescent="0.25">
      <c r="B253">
        <f t="shared" si="20"/>
        <v>2041</v>
      </c>
      <c r="C253">
        <f t="shared" si="20"/>
        <v>2041</v>
      </c>
      <c r="E253">
        <f t="shared" si="16"/>
        <v>2226</v>
      </c>
      <c r="F253" t="str" cm="1">
        <f t="array" ref="F253">INDEX('GMW - $100 oil'!$A$2:$MC$200,MATCH(1,('GMW - $100 oil'!$MC$2:$MC$200=F$3)*('GMW - $100 oil'!$MB$2:$MB$200=F$4),0),$E253-1973)</f>
        <v>NA</v>
      </c>
      <c r="G253" t="str" cm="1">
        <f t="array" ref="G253">INDEX('GMW - $100 oil'!$A$2:$MC$200,MATCH(1,('GMW - $100 oil'!$MC$2:$MC$200=G$3)*('GMW - $100 oil'!$MB$2:$MB$200=G$4),0),$E253-1973)</f>
        <v>NA</v>
      </c>
      <c r="H253" t="str" cm="1">
        <f t="array" ref="H253">INDEX('GMW - $100 oil'!$A$2:$MC$200,MATCH(1,('GMW - $100 oil'!$MC$2:$MC$200=H$3)*('GMW - $100 oil'!$MB$2:$MB$200=H$4),0),$E253-1973)</f>
        <v>NA</v>
      </c>
      <c r="I253" t="str" cm="1">
        <f t="array" ref="I253">INDEX('GMW - $100 oil'!$A$2:$MC$200,MATCH(1,('GMW - $100 oil'!$MC$2:$MC$200=I$3)*('GMW - $100 oil'!$MB$2:$MB$200=I$4),0),$E253-1973)</f>
        <v>NA</v>
      </c>
      <c r="J253" t="e" cm="1">
        <f t="array" ref="J253">INDEX('GMW - $100 oil'!$A$2:$MC$200,MATCH(1,('GMW - $100 oil'!$MC$2:$MC$200=J$3)*('GMW - $100 oil'!$MB$2:$MB$200=J$4),0),$E253-1973)</f>
        <v>#N/A</v>
      </c>
      <c r="K253" t="e" cm="1">
        <f t="array" ref="K253">INDEX('GMW - $100 oil'!$A$2:$MC$200,MATCH(1,('GMW - $100 oil'!$MC$2:$MC$200=K$3)*('GMW - $100 oil'!$MB$2:$MB$200=K$4),0),$E253-1973)</f>
        <v>#N/A</v>
      </c>
      <c r="L253" t="e" cm="1">
        <f t="array" ref="L253">INDEX('GMW - $100 oil'!$A$2:$MC$200,MATCH(1,('GMW - $100 oil'!$MC$2:$MC$200=L$3)*('GMW - $100 oil'!$MB$2:$MB$200=L$4),0),$E253-1973)</f>
        <v>#N/A</v>
      </c>
      <c r="M253" t="e" cm="1">
        <f t="array" ref="M253">INDEX('GMW - $100 oil'!$A$2:$MC$200,MATCH(1,('GMW - $100 oil'!$MC$2:$MC$200=M$3)*('GMW - $100 oil'!$MB$2:$MB$200=M$4),0),$E253-1973)</f>
        <v>#N/A</v>
      </c>
      <c r="N253" t="e" cm="1">
        <f t="array" ref="N253">INDEX('GMW - $100 oil'!$A$2:$MC$200,MATCH(1,('GMW - $100 oil'!$MC$2:$MC$200=N$3)*('GMW - $100 oil'!$MB$2:$MB$200=N$4),0),$E253-1973)</f>
        <v>#N/A</v>
      </c>
      <c r="O253" t="e" cm="1">
        <f t="array" ref="O253">INDEX('GMW - $100 oil'!$A$2:$MC$200,MATCH(1,('GMW - $100 oil'!$MC$2:$MC$200=O$3)*('GMW - $100 oil'!$MB$2:$MB$200=O$4),0),$E253-1973)</f>
        <v>#N/A</v>
      </c>
      <c r="P253" t="e" cm="1">
        <f t="array" ref="P253">INDEX('GMW - $100 oil'!$A$2:$MC$200,MATCH(1,('GMW - $100 oil'!$MC$2:$MC$200=P$3)*('GMW - $100 oil'!$MB$2:$MB$200=P$4),0),$E253-1973)</f>
        <v>#N/A</v>
      </c>
      <c r="Q253" t="e" cm="1">
        <f t="array" ref="Q253">INDEX('GMW - $100 oil'!$A$2:$MC$200,MATCH(1,('GMW - $100 oil'!$MC$2:$MC$200=Q$3)*('GMW - $100 oil'!$MB$2:$MB$200=Q$4),0),$E253-1973)</f>
        <v>#N/A</v>
      </c>
      <c r="R253" t="e" cm="1">
        <f t="array" ref="R253">INDEX('GMW - $100 oil'!$A$2:$MC$200,MATCH(1,('GMW - $100 oil'!$MC$2:$MC$200=R$3)*('GMW - $100 oil'!$MB$2:$MB$200=R$4),0),$E253-1973)</f>
        <v>#N/A</v>
      </c>
      <c r="S253" t="e" cm="1">
        <f t="array" ref="S253">INDEX('GMW - $100 oil'!$A$2:$MC$200,MATCH(1,('GMW - $100 oil'!$MC$2:$MC$200=S$3)*('GMW - $100 oil'!$MB$2:$MB$200=S$4),0),$E253-1973)</f>
        <v>#N/A</v>
      </c>
      <c r="T253" t="e" cm="1">
        <f t="array" ref="T253">INDEX('GMW - $100 oil'!$A$2:$MC$200,MATCH(1,('GMW - $100 oil'!$MC$2:$MC$200=T$3)*('GMW - $100 oil'!$MB$2:$MB$200=T$4),0),$E253-1973)</f>
        <v>#N/A</v>
      </c>
    </row>
    <row r="254" spans="1:20" x14ac:dyDescent="0.25">
      <c r="B254">
        <f t="shared" si="20"/>
        <v>2041</v>
      </c>
      <c r="C254">
        <f t="shared" si="20"/>
        <v>2041</v>
      </c>
      <c r="E254">
        <f t="shared" si="16"/>
        <v>2227</v>
      </c>
      <c r="F254" t="str" cm="1">
        <f t="array" ref="F254">INDEX('GMW - $100 oil'!$A$2:$MC$200,MATCH(1,('GMW - $100 oil'!$MC$2:$MC$200=F$3)*('GMW - $100 oil'!$MB$2:$MB$200=F$4),0),$E254-1973)</f>
        <v>NA</v>
      </c>
      <c r="G254" t="str" cm="1">
        <f t="array" ref="G254">INDEX('GMW - $100 oil'!$A$2:$MC$200,MATCH(1,('GMW - $100 oil'!$MC$2:$MC$200=G$3)*('GMW - $100 oil'!$MB$2:$MB$200=G$4),0),$E254-1973)</f>
        <v>NA</v>
      </c>
      <c r="H254" t="str" cm="1">
        <f t="array" ref="H254">INDEX('GMW - $100 oil'!$A$2:$MC$200,MATCH(1,('GMW - $100 oil'!$MC$2:$MC$200=H$3)*('GMW - $100 oil'!$MB$2:$MB$200=H$4),0),$E254-1973)</f>
        <v>NA</v>
      </c>
      <c r="I254" t="str" cm="1">
        <f t="array" ref="I254">INDEX('GMW - $100 oil'!$A$2:$MC$200,MATCH(1,('GMW - $100 oil'!$MC$2:$MC$200=I$3)*('GMW - $100 oil'!$MB$2:$MB$200=I$4),0),$E254-1973)</f>
        <v>NA</v>
      </c>
      <c r="J254" t="e" cm="1">
        <f t="array" ref="J254">INDEX('GMW - $100 oil'!$A$2:$MC$200,MATCH(1,('GMW - $100 oil'!$MC$2:$MC$200=J$3)*('GMW - $100 oil'!$MB$2:$MB$200=J$4),0),$E254-1973)</f>
        <v>#N/A</v>
      </c>
      <c r="K254" t="e" cm="1">
        <f t="array" ref="K254">INDEX('GMW - $100 oil'!$A$2:$MC$200,MATCH(1,('GMW - $100 oil'!$MC$2:$MC$200=K$3)*('GMW - $100 oil'!$MB$2:$MB$200=K$4),0),$E254-1973)</f>
        <v>#N/A</v>
      </c>
      <c r="L254" t="e" cm="1">
        <f t="array" ref="L254">INDEX('GMW - $100 oil'!$A$2:$MC$200,MATCH(1,('GMW - $100 oil'!$MC$2:$MC$200=L$3)*('GMW - $100 oil'!$MB$2:$MB$200=L$4),0),$E254-1973)</f>
        <v>#N/A</v>
      </c>
      <c r="M254" t="e" cm="1">
        <f t="array" ref="M254">INDEX('GMW - $100 oil'!$A$2:$MC$200,MATCH(1,('GMW - $100 oil'!$MC$2:$MC$200=M$3)*('GMW - $100 oil'!$MB$2:$MB$200=M$4),0),$E254-1973)</f>
        <v>#N/A</v>
      </c>
      <c r="N254" t="e" cm="1">
        <f t="array" ref="N254">INDEX('GMW - $100 oil'!$A$2:$MC$200,MATCH(1,('GMW - $100 oil'!$MC$2:$MC$200=N$3)*('GMW - $100 oil'!$MB$2:$MB$200=N$4),0),$E254-1973)</f>
        <v>#N/A</v>
      </c>
      <c r="O254" t="e" cm="1">
        <f t="array" ref="O254">INDEX('GMW - $100 oil'!$A$2:$MC$200,MATCH(1,('GMW - $100 oil'!$MC$2:$MC$200=O$3)*('GMW - $100 oil'!$MB$2:$MB$200=O$4),0),$E254-1973)</f>
        <v>#N/A</v>
      </c>
      <c r="P254" t="e" cm="1">
        <f t="array" ref="P254">INDEX('GMW - $100 oil'!$A$2:$MC$200,MATCH(1,('GMW - $100 oil'!$MC$2:$MC$200=P$3)*('GMW - $100 oil'!$MB$2:$MB$200=P$4),0),$E254-1973)</f>
        <v>#N/A</v>
      </c>
      <c r="Q254" t="e" cm="1">
        <f t="array" ref="Q254">INDEX('GMW - $100 oil'!$A$2:$MC$200,MATCH(1,('GMW - $100 oil'!$MC$2:$MC$200=Q$3)*('GMW - $100 oil'!$MB$2:$MB$200=Q$4),0),$E254-1973)</f>
        <v>#N/A</v>
      </c>
      <c r="R254" t="e" cm="1">
        <f t="array" ref="R254">INDEX('GMW - $100 oil'!$A$2:$MC$200,MATCH(1,('GMW - $100 oil'!$MC$2:$MC$200=R$3)*('GMW - $100 oil'!$MB$2:$MB$200=R$4),0),$E254-1973)</f>
        <v>#N/A</v>
      </c>
      <c r="S254" t="e" cm="1">
        <f t="array" ref="S254">INDEX('GMW - $100 oil'!$A$2:$MC$200,MATCH(1,('GMW - $100 oil'!$MC$2:$MC$200=S$3)*('GMW - $100 oil'!$MB$2:$MB$200=S$4),0),$E254-1973)</f>
        <v>#N/A</v>
      </c>
      <c r="T254" t="e" cm="1">
        <f t="array" ref="T254">INDEX('GMW - $100 oil'!$A$2:$MC$200,MATCH(1,('GMW - $100 oil'!$MC$2:$MC$200=T$3)*('GMW - $100 oil'!$MB$2:$MB$200=T$4),0),$E254-1973)</f>
        <v>#N/A</v>
      </c>
    </row>
    <row r="255" spans="1:20" x14ac:dyDescent="0.25">
      <c r="A255">
        <v>2042</v>
      </c>
      <c r="B255">
        <f t="shared" si="20"/>
        <v>2042</v>
      </c>
      <c r="C255">
        <f t="shared" si="20"/>
        <v>2041</v>
      </c>
      <c r="D255">
        <f t="shared" si="20"/>
        <v>2041</v>
      </c>
      <c r="E255">
        <f t="shared" si="16"/>
        <v>2228</v>
      </c>
      <c r="F255" t="str" cm="1">
        <f t="array" ref="F255">INDEX('GMW - $100 oil'!$A$2:$MC$200,MATCH(1,('GMW - $100 oil'!$MC$2:$MC$200=F$3)*('GMW - $100 oil'!$MB$2:$MB$200=F$4),0),$E255-1973)</f>
        <v>NA</v>
      </c>
      <c r="G255" t="str" cm="1">
        <f t="array" ref="G255">INDEX('GMW - $100 oil'!$A$2:$MC$200,MATCH(1,('GMW - $100 oil'!$MC$2:$MC$200=G$3)*('GMW - $100 oil'!$MB$2:$MB$200=G$4),0),$E255-1973)</f>
        <v>NA</v>
      </c>
      <c r="H255" t="str" cm="1">
        <f t="array" ref="H255">INDEX('GMW - $100 oil'!$A$2:$MC$200,MATCH(1,('GMW - $100 oil'!$MC$2:$MC$200=H$3)*('GMW - $100 oil'!$MB$2:$MB$200=H$4),0),$E255-1973)</f>
        <v>NA</v>
      </c>
      <c r="I255" t="str" cm="1">
        <f t="array" ref="I255">INDEX('GMW - $100 oil'!$A$2:$MC$200,MATCH(1,('GMW - $100 oil'!$MC$2:$MC$200=I$3)*('GMW - $100 oil'!$MB$2:$MB$200=I$4),0),$E255-1973)</f>
        <v>NA</v>
      </c>
      <c r="J255" t="e" cm="1">
        <f t="array" ref="J255">INDEX('GMW - $100 oil'!$A$2:$MC$200,MATCH(1,('GMW - $100 oil'!$MC$2:$MC$200=J$3)*('GMW - $100 oil'!$MB$2:$MB$200=J$4),0),$E255-1973)</f>
        <v>#N/A</v>
      </c>
      <c r="K255" t="e" cm="1">
        <f t="array" ref="K255">INDEX('GMW - $100 oil'!$A$2:$MC$200,MATCH(1,('GMW - $100 oil'!$MC$2:$MC$200=K$3)*('GMW - $100 oil'!$MB$2:$MB$200=K$4),0),$E255-1973)</f>
        <v>#N/A</v>
      </c>
      <c r="L255" t="e" cm="1">
        <f t="array" ref="L255">INDEX('GMW - $100 oil'!$A$2:$MC$200,MATCH(1,('GMW - $100 oil'!$MC$2:$MC$200=L$3)*('GMW - $100 oil'!$MB$2:$MB$200=L$4),0),$E255-1973)</f>
        <v>#N/A</v>
      </c>
      <c r="M255" t="e" cm="1">
        <f t="array" ref="M255">INDEX('GMW - $100 oil'!$A$2:$MC$200,MATCH(1,('GMW - $100 oil'!$MC$2:$MC$200=M$3)*('GMW - $100 oil'!$MB$2:$MB$200=M$4),0),$E255-1973)</f>
        <v>#N/A</v>
      </c>
      <c r="N255" t="e" cm="1">
        <f t="array" ref="N255">INDEX('GMW - $100 oil'!$A$2:$MC$200,MATCH(1,('GMW - $100 oil'!$MC$2:$MC$200=N$3)*('GMW - $100 oil'!$MB$2:$MB$200=N$4),0),$E255-1973)</f>
        <v>#N/A</v>
      </c>
      <c r="O255" t="e" cm="1">
        <f t="array" ref="O255">INDEX('GMW - $100 oil'!$A$2:$MC$200,MATCH(1,('GMW - $100 oil'!$MC$2:$MC$200=O$3)*('GMW - $100 oil'!$MB$2:$MB$200=O$4),0),$E255-1973)</f>
        <v>#N/A</v>
      </c>
      <c r="P255" t="e" cm="1">
        <f t="array" ref="P255">INDEX('GMW - $100 oil'!$A$2:$MC$200,MATCH(1,('GMW - $100 oil'!$MC$2:$MC$200=P$3)*('GMW - $100 oil'!$MB$2:$MB$200=P$4),0),$E255-1973)</f>
        <v>#N/A</v>
      </c>
      <c r="Q255" t="e" cm="1">
        <f t="array" ref="Q255">INDEX('GMW - $100 oil'!$A$2:$MC$200,MATCH(1,('GMW - $100 oil'!$MC$2:$MC$200=Q$3)*('GMW - $100 oil'!$MB$2:$MB$200=Q$4),0),$E255-1973)</f>
        <v>#N/A</v>
      </c>
      <c r="R255" t="e" cm="1">
        <f t="array" ref="R255">INDEX('GMW - $100 oil'!$A$2:$MC$200,MATCH(1,('GMW - $100 oil'!$MC$2:$MC$200=R$3)*('GMW - $100 oil'!$MB$2:$MB$200=R$4),0),$E255-1973)</f>
        <v>#N/A</v>
      </c>
      <c r="S255" t="e" cm="1">
        <f t="array" ref="S255">INDEX('GMW - $100 oil'!$A$2:$MC$200,MATCH(1,('GMW - $100 oil'!$MC$2:$MC$200=S$3)*('GMW - $100 oil'!$MB$2:$MB$200=S$4),0),$E255-1973)</f>
        <v>#N/A</v>
      </c>
      <c r="T255" t="e" cm="1">
        <f t="array" ref="T255">INDEX('GMW - $100 oil'!$A$2:$MC$200,MATCH(1,('GMW - $100 oil'!$MC$2:$MC$200=T$3)*('GMW - $100 oil'!$MB$2:$MB$200=T$4),0),$E255-1973)</f>
        <v>#N/A</v>
      </c>
    </row>
    <row r="256" spans="1:20" x14ac:dyDescent="0.25">
      <c r="B256">
        <f t="shared" si="20"/>
        <v>2042</v>
      </c>
      <c r="C256">
        <f t="shared" si="20"/>
        <v>2042</v>
      </c>
      <c r="E256">
        <f t="shared" si="16"/>
        <v>2229</v>
      </c>
      <c r="F256" t="str" cm="1">
        <f t="array" ref="F256">INDEX('GMW - $100 oil'!$A$2:$MC$200,MATCH(1,('GMW - $100 oil'!$MC$2:$MC$200=F$3)*('GMW - $100 oil'!$MB$2:$MB$200=F$4),0),$E256-1973)</f>
        <v>NA</v>
      </c>
      <c r="G256" t="str" cm="1">
        <f t="array" ref="G256">INDEX('GMW - $100 oil'!$A$2:$MC$200,MATCH(1,('GMW - $100 oil'!$MC$2:$MC$200=G$3)*('GMW - $100 oil'!$MB$2:$MB$200=G$4),0),$E256-1973)</f>
        <v>NA</v>
      </c>
      <c r="H256" t="str" cm="1">
        <f t="array" ref="H256">INDEX('GMW - $100 oil'!$A$2:$MC$200,MATCH(1,('GMW - $100 oil'!$MC$2:$MC$200=H$3)*('GMW - $100 oil'!$MB$2:$MB$200=H$4),0),$E256-1973)</f>
        <v>NA</v>
      </c>
      <c r="I256" t="str" cm="1">
        <f t="array" ref="I256">INDEX('GMW - $100 oil'!$A$2:$MC$200,MATCH(1,('GMW - $100 oil'!$MC$2:$MC$200=I$3)*('GMW - $100 oil'!$MB$2:$MB$200=I$4),0),$E256-1973)</f>
        <v>NA</v>
      </c>
      <c r="J256" t="e" cm="1">
        <f t="array" ref="J256">INDEX('GMW - $100 oil'!$A$2:$MC$200,MATCH(1,('GMW - $100 oil'!$MC$2:$MC$200=J$3)*('GMW - $100 oil'!$MB$2:$MB$200=J$4),0),$E256-1973)</f>
        <v>#N/A</v>
      </c>
      <c r="K256" t="e" cm="1">
        <f t="array" ref="K256">INDEX('GMW - $100 oil'!$A$2:$MC$200,MATCH(1,('GMW - $100 oil'!$MC$2:$MC$200=K$3)*('GMW - $100 oil'!$MB$2:$MB$200=K$4),0),$E256-1973)</f>
        <v>#N/A</v>
      </c>
      <c r="L256" t="e" cm="1">
        <f t="array" ref="L256">INDEX('GMW - $100 oil'!$A$2:$MC$200,MATCH(1,('GMW - $100 oil'!$MC$2:$MC$200=L$3)*('GMW - $100 oil'!$MB$2:$MB$200=L$4),0),$E256-1973)</f>
        <v>#N/A</v>
      </c>
      <c r="M256" t="e" cm="1">
        <f t="array" ref="M256">INDEX('GMW - $100 oil'!$A$2:$MC$200,MATCH(1,('GMW - $100 oil'!$MC$2:$MC$200=M$3)*('GMW - $100 oil'!$MB$2:$MB$200=M$4),0),$E256-1973)</f>
        <v>#N/A</v>
      </c>
      <c r="N256" t="e" cm="1">
        <f t="array" ref="N256">INDEX('GMW - $100 oil'!$A$2:$MC$200,MATCH(1,('GMW - $100 oil'!$MC$2:$MC$200=N$3)*('GMW - $100 oil'!$MB$2:$MB$200=N$4),0),$E256-1973)</f>
        <v>#N/A</v>
      </c>
      <c r="O256" t="e" cm="1">
        <f t="array" ref="O256">INDEX('GMW - $100 oil'!$A$2:$MC$200,MATCH(1,('GMW - $100 oil'!$MC$2:$MC$200=O$3)*('GMW - $100 oil'!$MB$2:$MB$200=O$4),0),$E256-1973)</f>
        <v>#N/A</v>
      </c>
      <c r="P256" t="e" cm="1">
        <f t="array" ref="P256">INDEX('GMW - $100 oil'!$A$2:$MC$200,MATCH(1,('GMW - $100 oil'!$MC$2:$MC$200=P$3)*('GMW - $100 oil'!$MB$2:$MB$200=P$4),0),$E256-1973)</f>
        <v>#N/A</v>
      </c>
      <c r="Q256" t="e" cm="1">
        <f t="array" ref="Q256">INDEX('GMW - $100 oil'!$A$2:$MC$200,MATCH(1,('GMW - $100 oil'!$MC$2:$MC$200=Q$3)*('GMW - $100 oil'!$MB$2:$MB$200=Q$4),0),$E256-1973)</f>
        <v>#N/A</v>
      </c>
      <c r="R256" t="e" cm="1">
        <f t="array" ref="R256">INDEX('GMW - $100 oil'!$A$2:$MC$200,MATCH(1,('GMW - $100 oil'!$MC$2:$MC$200=R$3)*('GMW - $100 oil'!$MB$2:$MB$200=R$4),0),$E256-1973)</f>
        <v>#N/A</v>
      </c>
      <c r="S256" t="e" cm="1">
        <f t="array" ref="S256">INDEX('GMW - $100 oil'!$A$2:$MC$200,MATCH(1,('GMW - $100 oil'!$MC$2:$MC$200=S$3)*('GMW - $100 oil'!$MB$2:$MB$200=S$4),0),$E256-1973)</f>
        <v>#N/A</v>
      </c>
      <c r="T256" t="e" cm="1">
        <f t="array" ref="T256">INDEX('GMW - $100 oil'!$A$2:$MC$200,MATCH(1,('GMW - $100 oil'!$MC$2:$MC$200=T$3)*('GMW - $100 oil'!$MB$2:$MB$200=T$4),0),$E256-1973)</f>
        <v>#N/A</v>
      </c>
    </row>
    <row r="257" spans="1:20" x14ac:dyDescent="0.25">
      <c r="B257">
        <f t="shared" si="20"/>
        <v>2042</v>
      </c>
      <c r="C257">
        <f t="shared" si="20"/>
        <v>2042</v>
      </c>
      <c r="E257">
        <f t="shared" si="16"/>
        <v>2230</v>
      </c>
      <c r="F257" t="str" cm="1">
        <f t="array" ref="F257">INDEX('GMW - $100 oil'!$A$2:$MC$200,MATCH(1,('GMW - $100 oil'!$MC$2:$MC$200=F$3)*('GMW - $100 oil'!$MB$2:$MB$200=F$4),0),$E257-1973)</f>
        <v>NA</v>
      </c>
      <c r="G257" t="str" cm="1">
        <f t="array" ref="G257">INDEX('GMW - $100 oil'!$A$2:$MC$200,MATCH(1,('GMW - $100 oil'!$MC$2:$MC$200=G$3)*('GMW - $100 oil'!$MB$2:$MB$200=G$4),0),$E257-1973)</f>
        <v>NA</v>
      </c>
      <c r="H257" t="str" cm="1">
        <f t="array" ref="H257">INDEX('GMW - $100 oil'!$A$2:$MC$200,MATCH(1,('GMW - $100 oil'!$MC$2:$MC$200=H$3)*('GMW - $100 oil'!$MB$2:$MB$200=H$4),0),$E257-1973)</f>
        <v>NA</v>
      </c>
      <c r="I257" t="str" cm="1">
        <f t="array" ref="I257">INDEX('GMW - $100 oil'!$A$2:$MC$200,MATCH(1,('GMW - $100 oil'!$MC$2:$MC$200=I$3)*('GMW - $100 oil'!$MB$2:$MB$200=I$4),0),$E257-1973)</f>
        <v>NA</v>
      </c>
      <c r="J257" t="e" cm="1">
        <f t="array" ref="J257">INDEX('GMW - $100 oil'!$A$2:$MC$200,MATCH(1,('GMW - $100 oil'!$MC$2:$MC$200=J$3)*('GMW - $100 oil'!$MB$2:$MB$200=J$4),0),$E257-1973)</f>
        <v>#N/A</v>
      </c>
      <c r="K257" t="e" cm="1">
        <f t="array" ref="K257">INDEX('GMW - $100 oil'!$A$2:$MC$200,MATCH(1,('GMW - $100 oil'!$MC$2:$MC$200=K$3)*('GMW - $100 oil'!$MB$2:$MB$200=K$4),0),$E257-1973)</f>
        <v>#N/A</v>
      </c>
      <c r="L257" t="e" cm="1">
        <f t="array" ref="L257">INDEX('GMW - $100 oil'!$A$2:$MC$200,MATCH(1,('GMW - $100 oil'!$MC$2:$MC$200=L$3)*('GMW - $100 oil'!$MB$2:$MB$200=L$4),0),$E257-1973)</f>
        <v>#N/A</v>
      </c>
      <c r="M257" t="e" cm="1">
        <f t="array" ref="M257">INDEX('GMW - $100 oil'!$A$2:$MC$200,MATCH(1,('GMW - $100 oil'!$MC$2:$MC$200=M$3)*('GMW - $100 oil'!$MB$2:$MB$200=M$4),0),$E257-1973)</f>
        <v>#N/A</v>
      </c>
      <c r="N257" t="e" cm="1">
        <f t="array" ref="N257">INDEX('GMW - $100 oil'!$A$2:$MC$200,MATCH(1,('GMW - $100 oil'!$MC$2:$MC$200=N$3)*('GMW - $100 oil'!$MB$2:$MB$200=N$4),0),$E257-1973)</f>
        <v>#N/A</v>
      </c>
      <c r="O257" t="e" cm="1">
        <f t="array" ref="O257">INDEX('GMW - $100 oil'!$A$2:$MC$200,MATCH(1,('GMW - $100 oil'!$MC$2:$MC$200=O$3)*('GMW - $100 oil'!$MB$2:$MB$200=O$4),0),$E257-1973)</f>
        <v>#N/A</v>
      </c>
      <c r="P257" t="e" cm="1">
        <f t="array" ref="P257">INDEX('GMW - $100 oil'!$A$2:$MC$200,MATCH(1,('GMW - $100 oil'!$MC$2:$MC$200=P$3)*('GMW - $100 oil'!$MB$2:$MB$200=P$4),0),$E257-1973)</f>
        <v>#N/A</v>
      </c>
      <c r="Q257" t="e" cm="1">
        <f t="array" ref="Q257">INDEX('GMW - $100 oil'!$A$2:$MC$200,MATCH(1,('GMW - $100 oil'!$MC$2:$MC$200=Q$3)*('GMW - $100 oil'!$MB$2:$MB$200=Q$4),0),$E257-1973)</f>
        <v>#N/A</v>
      </c>
      <c r="R257" t="e" cm="1">
        <f t="array" ref="R257">INDEX('GMW - $100 oil'!$A$2:$MC$200,MATCH(1,('GMW - $100 oil'!$MC$2:$MC$200=R$3)*('GMW - $100 oil'!$MB$2:$MB$200=R$4),0),$E257-1973)</f>
        <v>#N/A</v>
      </c>
      <c r="S257" t="e" cm="1">
        <f t="array" ref="S257">INDEX('GMW - $100 oil'!$A$2:$MC$200,MATCH(1,('GMW - $100 oil'!$MC$2:$MC$200=S$3)*('GMW - $100 oil'!$MB$2:$MB$200=S$4),0),$E257-1973)</f>
        <v>#N/A</v>
      </c>
      <c r="T257" t="e" cm="1">
        <f t="array" ref="T257">INDEX('GMW - $100 oil'!$A$2:$MC$200,MATCH(1,('GMW - $100 oil'!$MC$2:$MC$200=T$3)*('GMW - $100 oil'!$MB$2:$MB$200=T$4),0),$E257-1973)</f>
        <v>#N/A</v>
      </c>
    </row>
    <row r="258" spans="1:20" x14ac:dyDescent="0.25">
      <c r="B258">
        <f t="shared" si="20"/>
        <v>2042</v>
      </c>
      <c r="C258">
        <f t="shared" si="20"/>
        <v>2042</v>
      </c>
      <c r="E258">
        <f t="shared" si="16"/>
        <v>2231</v>
      </c>
      <c r="F258" t="str" cm="1">
        <f t="array" ref="F258">INDEX('GMW - $100 oil'!$A$2:$MC$200,MATCH(1,('GMW - $100 oil'!$MC$2:$MC$200=F$3)*('GMW - $100 oil'!$MB$2:$MB$200=F$4),0),$E258-1973)</f>
        <v>NA</v>
      </c>
      <c r="G258" t="str" cm="1">
        <f t="array" ref="G258">INDEX('GMW - $100 oil'!$A$2:$MC$200,MATCH(1,('GMW - $100 oil'!$MC$2:$MC$200=G$3)*('GMW - $100 oil'!$MB$2:$MB$200=G$4),0),$E258-1973)</f>
        <v>NA</v>
      </c>
      <c r="H258" t="str" cm="1">
        <f t="array" ref="H258">INDEX('GMW - $100 oil'!$A$2:$MC$200,MATCH(1,('GMW - $100 oil'!$MC$2:$MC$200=H$3)*('GMW - $100 oil'!$MB$2:$MB$200=H$4),0),$E258-1973)</f>
        <v>NA</v>
      </c>
      <c r="I258" t="str" cm="1">
        <f t="array" ref="I258">INDEX('GMW - $100 oil'!$A$2:$MC$200,MATCH(1,('GMW - $100 oil'!$MC$2:$MC$200=I$3)*('GMW - $100 oil'!$MB$2:$MB$200=I$4),0),$E258-1973)</f>
        <v>NA</v>
      </c>
      <c r="J258" t="e" cm="1">
        <f t="array" ref="J258">INDEX('GMW - $100 oil'!$A$2:$MC$200,MATCH(1,('GMW - $100 oil'!$MC$2:$MC$200=J$3)*('GMW - $100 oil'!$MB$2:$MB$200=J$4),0),$E258-1973)</f>
        <v>#N/A</v>
      </c>
      <c r="K258" t="e" cm="1">
        <f t="array" ref="K258">INDEX('GMW - $100 oil'!$A$2:$MC$200,MATCH(1,('GMW - $100 oil'!$MC$2:$MC$200=K$3)*('GMW - $100 oil'!$MB$2:$MB$200=K$4),0),$E258-1973)</f>
        <v>#N/A</v>
      </c>
      <c r="L258" t="e" cm="1">
        <f t="array" ref="L258">INDEX('GMW - $100 oil'!$A$2:$MC$200,MATCH(1,('GMW - $100 oil'!$MC$2:$MC$200=L$3)*('GMW - $100 oil'!$MB$2:$MB$200=L$4),0),$E258-1973)</f>
        <v>#N/A</v>
      </c>
      <c r="M258" t="e" cm="1">
        <f t="array" ref="M258">INDEX('GMW - $100 oil'!$A$2:$MC$200,MATCH(1,('GMW - $100 oil'!$MC$2:$MC$200=M$3)*('GMW - $100 oil'!$MB$2:$MB$200=M$4),0),$E258-1973)</f>
        <v>#N/A</v>
      </c>
      <c r="N258" t="e" cm="1">
        <f t="array" ref="N258">INDEX('GMW - $100 oil'!$A$2:$MC$200,MATCH(1,('GMW - $100 oil'!$MC$2:$MC$200=N$3)*('GMW - $100 oil'!$MB$2:$MB$200=N$4),0),$E258-1973)</f>
        <v>#N/A</v>
      </c>
      <c r="O258" t="e" cm="1">
        <f t="array" ref="O258">INDEX('GMW - $100 oil'!$A$2:$MC$200,MATCH(1,('GMW - $100 oil'!$MC$2:$MC$200=O$3)*('GMW - $100 oil'!$MB$2:$MB$200=O$4),0),$E258-1973)</f>
        <v>#N/A</v>
      </c>
      <c r="P258" t="e" cm="1">
        <f t="array" ref="P258">INDEX('GMW - $100 oil'!$A$2:$MC$200,MATCH(1,('GMW - $100 oil'!$MC$2:$MC$200=P$3)*('GMW - $100 oil'!$MB$2:$MB$200=P$4),0),$E258-1973)</f>
        <v>#N/A</v>
      </c>
      <c r="Q258" t="e" cm="1">
        <f t="array" ref="Q258">INDEX('GMW - $100 oil'!$A$2:$MC$200,MATCH(1,('GMW - $100 oil'!$MC$2:$MC$200=Q$3)*('GMW - $100 oil'!$MB$2:$MB$200=Q$4),0),$E258-1973)</f>
        <v>#N/A</v>
      </c>
      <c r="R258" t="e" cm="1">
        <f t="array" ref="R258">INDEX('GMW - $100 oil'!$A$2:$MC$200,MATCH(1,('GMW - $100 oil'!$MC$2:$MC$200=R$3)*('GMW - $100 oil'!$MB$2:$MB$200=R$4),0),$E258-1973)</f>
        <v>#N/A</v>
      </c>
      <c r="S258" t="e" cm="1">
        <f t="array" ref="S258">INDEX('GMW - $100 oil'!$A$2:$MC$200,MATCH(1,('GMW - $100 oil'!$MC$2:$MC$200=S$3)*('GMW - $100 oil'!$MB$2:$MB$200=S$4),0),$E258-1973)</f>
        <v>#N/A</v>
      </c>
      <c r="T258" t="e" cm="1">
        <f t="array" ref="T258">INDEX('GMW - $100 oil'!$A$2:$MC$200,MATCH(1,('GMW - $100 oil'!$MC$2:$MC$200=T$3)*('GMW - $100 oil'!$MB$2:$MB$200=T$4),0),$E258-1973)</f>
        <v>#N/A</v>
      </c>
    </row>
    <row r="259" spans="1:20" x14ac:dyDescent="0.25">
      <c r="A259">
        <v>2043</v>
      </c>
      <c r="B259">
        <f t="shared" si="20"/>
        <v>2043</v>
      </c>
      <c r="C259">
        <f t="shared" si="20"/>
        <v>2042</v>
      </c>
      <c r="D259">
        <f t="shared" si="20"/>
        <v>2042</v>
      </c>
      <c r="E259">
        <f t="shared" si="16"/>
        <v>2232</v>
      </c>
      <c r="F259" t="str" cm="1">
        <f t="array" ref="F259">INDEX('GMW - $100 oil'!$A$2:$MC$200,MATCH(1,('GMW - $100 oil'!$MC$2:$MC$200=F$3)*('GMW - $100 oil'!$MB$2:$MB$200=F$4),0),$E259-1973)</f>
        <v>NA</v>
      </c>
      <c r="G259" t="str" cm="1">
        <f t="array" ref="G259">INDEX('GMW - $100 oil'!$A$2:$MC$200,MATCH(1,('GMW - $100 oil'!$MC$2:$MC$200=G$3)*('GMW - $100 oil'!$MB$2:$MB$200=G$4),0),$E259-1973)</f>
        <v>NA</v>
      </c>
      <c r="H259" t="str" cm="1">
        <f t="array" ref="H259">INDEX('GMW - $100 oil'!$A$2:$MC$200,MATCH(1,('GMW - $100 oil'!$MC$2:$MC$200=H$3)*('GMW - $100 oil'!$MB$2:$MB$200=H$4),0),$E259-1973)</f>
        <v>NA</v>
      </c>
      <c r="I259" t="str" cm="1">
        <f t="array" ref="I259">INDEX('GMW - $100 oil'!$A$2:$MC$200,MATCH(1,('GMW - $100 oil'!$MC$2:$MC$200=I$3)*('GMW - $100 oil'!$MB$2:$MB$200=I$4),0),$E259-1973)</f>
        <v>NA</v>
      </c>
      <c r="J259" t="e" cm="1">
        <f t="array" ref="J259">INDEX('GMW - $100 oil'!$A$2:$MC$200,MATCH(1,('GMW - $100 oil'!$MC$2:$MC$200=J$3)*('GMW - $100 oil'!$MB$2:$MB$200=J$4),0),$E259-1973)</f>
        <v>#N/A</v>
      </c>
      <c r="K259" t="e" cm="1">
        <f t="array" ref="K259">INDEX('GMW - $100 oil'!$A$2:$MC$200,MATCH(1,('GMW - $100 oil'!$MC$2:$MC$200=K$3)*('GMW - $100 oil'!$MB$2:$MB$200=K$4),0),$E259-1973)</f>
        <v>#N/A</v>
      </c>
      <c r="L259" t="e" cm="1">
        <f t="array" ref="L259">INDEX('GMW - $100 oil'!$A$2:$MC$200,MATCH(1,('GMW - $100 oil'!$MC$2:$MC$200=L$3)*('GMW - $100 oil'!$MB$2:$MB$200=L$4),0),$E259-1973)</f>
        <v>#N/A</v>
      </c>
      <c r="M259" t="e" cm="1">
        <f t="array" ref="M259">INDEX('GMW - $100 oil'!$A$2:$MC$200,MATCH(1,('GMW - $100 oil'!$MC$2:$MC$200=M$3)*('GMW - $100 oil'!$MB$2:$MB$200=M$4),0),$E259-1973)</f>
        <v>#N/A</v>
      </c>
      <c r="N259" t="e" cm="1">
        <f t="array" ref="N259">INDEX('GMW - $100 oil'!$A$2:$MC$200,MATCH(1,('GMW - $100 oil'!$MC$2:$MC$200=N$3)*('GMW - $100 oil'!$MB$2:$MB$200=N$4),0),$E259-1973)</f>
        <v>#N/A</v>
      </c>
      <c r="O259" t="e" cm="1">
        <f t="array" ref="O259">INDEX('GMW - $100 oil'!$A$2:$MC$200,MATCH(1,('GMW - $100 oil'!$MC$2:$MC$200=O$3)*('GMW - $100 oil'!$MB$2:$MB$200=O$4),0),$E259-1973)</f>
        <v>#N/A</v>
      </c>
      <c r="P259" t="e" cm="1">
        <f t="array" ref="P259">INDEX('GMW - $100 oil'!$A$2:$MC$200,MATCH(1,('GMW - $100 oil'!$MC$2:$MC$200=P$3)*('GMW - $100 oil'!$MB$2:$MB$200=P$4),0),$E259-1973)</f>
        <v>#N/A</v>
      </c>
      <c r="Q259" t="e" cm="1">
        <f t="array" ref="Q259">INDEX('GMW - $100 oil'!$A$2:$MC$200,MATCH(1,('GMW - $100 oil'!$MC$2:$MC$200=Q$3)*('GMW - $100 oil'!$MB$2:$MB$200=Q$4),0),$E259-1973)</f>
        <v>#N/A</v>
      </c>
      <c r="R259" t="e" cm="1">
        <f t="array" ref="R259">INDEX('GMW - $100 oil'!$A$2:$MC$200,MATCH(1,('GMW - $100 oil'!$MC$2:$MC$200=R$3)*('GMW - $100 oil'!$MB$2:$MB$200=R$4),0),$E259-1973)</f>
        <v>#N/A</v>
      </c>
      <c r="S259" t="e" cm="1">
        <f t="array" ref="S259">INDEX('GMW - $100 oil'!$A$2:$MC$200,MATCH(1,('GMW - $100 oil'!$MC$2:$MC$200=S$3)*('GMW - $100 oil'!$MB$2:$MB$200=S$4),0),$E259-1973)</f>
        <v>#N/A</v>
      </c>
      <c r="T259" t="e" cm="1">
        <f t="array" ref="T259">INDEX('GMW - $100 oil'!$A$2:$MC$200,MATCH(1,('GMW - $100 oil'!$MC$2:$MC$200=T$3)*('GMW - $100 oil'!$MB$2:$MB$200=T$4),0),$E259-1973)</f>
        <v>#N/A</v>
      </c>
    </row>
    <row r="260" spans="1:20" x14ac:dyDescent="0.25">
      <c r="B260">
        <f t="shared" si="20"/>
        <v>2043</v>
      </c>
      <c r="C260">
        <f t="shared" si="20"/>
        <v>2043</v>
      </c>
      <c r="E260">
        <f t="shared" si="16"/>
        <v>2233</v>
      </c>
      <c r="F260" t="str" cm="1">
        <f t="array" ref="F260">INDEX('GMW - $100 oil'!$A$2:$MC$200,MATCH(1,('GMW - $100 oil'!$MC$2:$MC$200=F$3)*('GMW - $100 oil'!$MB$2:$MB$200=F$4),0),$E260-1973)</f>
        <v>NA</v>
      </c>
      <c r="G260" t="str" cm="1">
        <f t="array" ref="G260">INDEX('GMW - $100 oil'!$A$2:$MC$200,MATCH(1,('GMW - $100 oil'!$MC$2:$MC$200=G$3)*('GMW - $100 oil'!$MB$2:$MB$200=G$4),0),$E260-1973)</f>
        <v>NA</v>
      </c>
      <c r="H260" t="str" cm="1">
        <f t="array" ref="H260">INDEX('GMW - $100 oil'!$A$2:$MC$200,MATCH(1,('GMW - $100 oil'!$MC$2:$MC$200=H$3)*('GMW - $100 oil'!$MB$2:$MB$200=H$4),0),$E260-1973)</f>
        <v>NA</v>
      </c>
      <c r="I260" t="str" cm="1">
        <f t="array" ref="I260">INDEX('GMW - $100 oil'!$A$2:$MC$200,MATCH(1,('GMW - $100 oil'!$MC$2:$MC$200=I$3)*('GMW - $100 oil'!$MB$2:$MB$200=I$4),0),$E260-1973)</f>
        <v>NA</v>
      </c>
      <c r="J260" t="e" cm="1">
        <f t="array" ref="J260">INDEX('GMW - $100 oil'!$A$2:$MC$200,MATCH(1,('GMW - $100 oil'!$MC$2:$MC$200=J$3)*('GMW - $100 oil'!$MB$2:$MB$200=J$4),0),$E260-1973)</f>
        <v>#N/A</v>
      </c>
      <c r="K260" t="e" cm="1">
        <f t="array" ref="K260">INDEX('GMW - $100 oil'!$A$2:$MC$200,MATCH(1,('GMW - $100 oil'!$MC$2:$MC$200=K$3)*('GMW - $100 oil'!$MB$2:$MB$200=K$4),0),$E260-1973)</f>
        <v>#N/A</v>
      </c>
      <c r="L260" t="e" cm="1">
        <f t="array" ref="L260">INDEX('GMW - $100 oil'!$A$2:$MC$200,MATCH(1,('GMW - $100 oil'!$MC$2:$MC$200=L$3)*('GMW - $100 oil'!$MB$2:$MB$200=L$4),0),$E260-1973)</f>
        <v>#N/A</v>
      </c>
      <c r="M260" t="e" cm="1">
        <f t="array" ref="M260">INDEX('GMW - $100 oil'!$A$2:$MC$200,MATCH(1,('GMW - $100 oil'!$MC$2:$MC$200=M$3)*('GMW - $100 oil'!$MB$2:$MB$200=M$4),0),$E260-1973)</f>
        <v>#N/A</v>
      </c>
      <c r="N260" t="e" cm="1">
        <f t="array" ref="N260">INDEX('GMW - $100 oil'!$A$2:$MC$200,MATCH(1,('GMW - $100 oil'!$MC$2:$MC$200=N$3)*('GMW - $100 oil'!$MB$2:$MB$200=N$4),0),$E260-1973)</f>
        <v>#N/A</v>
      </c>
      <c r="O260" t="e" cm="1">
        <f t="array" ref="O260">INDEX('GMW - $100 oil'!$A$2:$MC$200,MATCH(1,('GMW - $100 oil'!$MC$2:$MC$200=O$3)*('GMW - $100 oil'!$MB$2:$MB$200=O$4),0),$E260-1973)</f>
        <v>#N/A</v>
      </c>
      <c r="P260" t="e" cm="1">
        <f t="array" ref="P260">INDEX('GMW - $100 oil'!$A$2:$MC$200,MATCH(1,('GMW - $100 oil'!$MC$2:$MC$200=P$3)*('GMW - $100 oil'!$MB$2:$MB$200=P$4),0),$E260-1973)</f>
        <v>#N/A</v>
      </c>
      <c r="Q260" t="e" cm="1">
        <f t="array" ref="Q260">INDEX('GMW - $100 oil'!$A$2:$MC$200,MATCH(1,('GMW - $100 oil'!$MC$2:$MC$200=Q$3)*('GMW - $100 oil'!$MB$2:$MB$200=Q$4),0),$E260-1973)</f>
        <v>#N/A</v>
      </c>
      <c r="R260" t="e" cm="1">
        <f t="array" ref="R260">INDEX('GMW - $100 oil'!$A$2:$MC$200,MATCH(1,('GMW - $100 oil'!$MC$2:$MC$200=R$3)*('GMW - $100 oil'!$MB$2:$MB$200=R$4),0),$E260-1973)</f>
        <v>#N/A</v>
      </c>
      <c r="S260" t="e" cm="1">
        <f t="array" ref="S260">INDEX('GMW - $100 oil'!$A$2:$MC$200,MATCH(1,('GMW - $100 oil'!$MC$2:$MC$200=S$3)*('GMW - $100 oil'!$MB$2:$MB$200=S$4),0),$E260-1973)</f>
        <v>#N/A</v>
      </c>
      <c r="T260" t="e" cm="1">
        <f t="array" ref="T260">INDEX('GMW - $100 oil'!$A$2:$MC$200,MATCH(1,('GMW - $100 oil'!$MC$2:$MC$200=T$3)*('GMW - $100 oil'!$MB$2:$MB$200=T$4),0),$E260-1973)</f>
        <v>#N/A</v>
      </c>
    </row>
    <row r="261" spans="1:20" x14ac:dyDescent="0.25">
      <c r="B261">
        <f t="shared" si="20"/>
        <v>2043</v>
      </c>
      <c r="C261">
        <f t="shared" si="20"/>
        <v>2043</v>
      </c>
      <c r="E261">
        <f t="shared" si="16"/>
        <v>2234</v>
      </c>
      <c r="F261" t="str" cm="1">
        <f t="array" ref="F261">INDEX('GMW - $100 oil'!$A$2:$MC$200,MATCH(1,('GMW - $100 oil'!$MC$2:$MC$200=F$3)*('GMW - $100 oil'!$MB$2:$MB$200=F$4),0),$E261-1973)</f>
        <v>NA</v>
      </c>
      <c r="G261" t="str" cm="1">
        <f t="array" ref="G261">INDEX('GMW - $100 oil'!$A$2:$MC$200,MATCH(1,('GMW - $100 oil'!$MC$2:$MC$200=G$3)*('GMW - $100 oil'!$MB$2:$MB$200=G$4),0),$E261-1973)</f>
        <v>NA</v>
      </c>
      <c r="H261" t="str" cm="1">
        <f t="array" ref="H261">INDEX('GMW - $100 oil'!$A$2:$MC$200,MATCH(1,('GMW - $100 oil'!$MC$2:$MC$200=H$3)*('GMW - $100 oil'!$MB$2:$MB$200=H$4),0),$E261-1973)</f>
        <v>NA</v>
      </c>
      <c r="I261" t="str" cm="1">
        <f t="array" ref="I261">INDEX('GMW - $100 oil'!$A$2:$MC$200,MATCH(1,('GMW - $100 oil'!$MC$2:$MC$200=I$3)*('GMW - $100 oil'!$MB$2:$MB$200=I$4),0),$E261-1973)</f>
        <v>NA</v>
      </c>
      <c r="J261" t="e" cm="1">
        <f t="array" ref="J261">INDEX('GMW - $100 oil'!$A$2:$MC$200,MATCH(1,('GMW - $100 oil'!$MC$2:$MC$200=J$3)*('GMW - $100 oil'!$MB$2:$MB$200=J$4),0),$E261-1973)</f>
        <v>#N/A</v>
      </c>
      <c r="K261" t="e" cm="1">
        <f t="array" ref="K261">INDEX('GMW - $100 oil'!$A$2:$MC$200,MATCH(1,('GMW - $100 oil'!$MC$2:$MC$200=K$3)*('GMW - $100 oil'!$MB$2:$MB$200=K$4),0),$E261-1973)</f>
        <v>#N/A</v>
      </c>
      <c r="L261" t="e" cm="1">
        <f t="array" ref="L261">INDEX('GMW - $100 oil'!$A$2:$MC$200,MATCH(1,('GMW - $100 oil'!$MC$2:$MC$200=L$3)*('GMW - $100 oil'!$MB$2:$MB$200=L$4),0),$E261-1973)</f>
        <v>#N/A</v>
      </c>
      <c r="M261" t="e" cm="1">
        <f t="array" ref="M261">INDEX('GMW - $100 oil'!$A$2:$MC$200,MATCH(1,('GMW - $100 oil'!$MC$2:$MC$200=M$3)*('GMW - $100 oil'!$MB$2:$MB$200=M$4),0),$E261-1973)</f>
        <v>#N/A</v>
      </c>
      <c r="N261" t="e" cm="1">
        <f t="array" ref="N261">INDEX('GMW - $100 oil'!$A$2:$MC$200,MATCH(1,('GMW - $100 oil'!$MC$2:$MC$200=N$3)*('GMW - $100 oil'!$MB$2:$MB$200=N$4),0),$E261-1973)</f>
        <v>#N/A</v>
      </c>
      <c r="O261" t="e" cm="1">
        <f t="array" ref="O261">INDEX('GMW - $100 oil'!$A$2:$MC$200,MATCH(1,('GMW - $100 oil'!$MC$2:$MC$200=O$3)*('GMW - $100 oil'!$MB$2:$MB$200=O$4),0),$E261-1973)</f>
        <v>#N/A</v>
      </c>
      <c r="P261" t="e" cm="1">
        <f t="array" ref="P261">INDEX('GMW - $100 oil'!$A$2:$MC$200,MATCH(1,('GMW - $100 oil'!$MC$2:$MC$200=P$3)*('GMW - $100 oil'!$MB$2:$MB$200=P$4),0),$E261-1973)</f>
        <v>#N/A</v>
      </c>
      <c r="Q261" t="e" cm="1">
        <f t="array" ref="Q261">INDEX('GMW - $100 oil'!$A$2:$MC$200,MATCH(1,('GMW - $100 oil'!$MC$2:$MC$200=Q$3)*('GMW - $100 oil'!$MB$2:$MB$200=Q$4),0),$E261-1973)</f>
        <v>#N/A</v>
      </c>
      <c r="R261" t="e" cm="1">
        <f t="array" ref="R261">INDEX('GMW - $100 oil'!$A$2:$MC$200,MATCH(1,('GMW - $100 oil'!$MC$2:$MC$200=R$3)*('GMW - $100 oil'!$MB$2:$MB$200=R$4),0),$E261-1973)</f>
        <v>#N/A</v>
      </c>
      <c r="S261" t="e" cm="1">
        <f t="array" ref="S261">INDEX('GMW - $100 oil'!$A$2:$MC$200,MATCH(1,('GMW - $100 oil'!$MC$2:$MC$200=S$3)*('GMW - $100 oil'!$MB$2:$MB$200=S$4),0),$E261-1973)</f>
        <v>#N/A</v>
      </c>
      <c r="T261" t="e" cm="1">
        <f t="array" ref="T261">INDEX('GMW - $100 oil'!$A$2:$MC$200,MATCH(1,('GMW - $100 oil'!$MC$2:$MC$200=T$3)*('GMW - $100 oil'!$MB$2:$MB$200=T$4),0),$E261-1973)</f>
        <v>#N/A</v>
      </c>
    </row>
    <row r="262" spans="1:20" x14ac:dyDescent="0.25">
      <c r="B262">
        <f t="shared" si="20"/>
        <v>2043</v>
      </c>
      <c r="C262">
        <f t="shared" si="20"/>
        <v>2043</v>
      </c>
      <c r="E262">
        <f t="shared" si="16"/>
        <v>2235</v>
      </c>
      <c r="F262" t="str" cm="1">
        <f t="array" ref="F262">INDEX('GMW - $100 oil'!$A$2:$MC$200,MATCH(1,('GMW - $100 oil'!$MC$2:$MC$200=F$3)*('GMW - $100 oil'!$MB$2:$MB$200=F$4),0),$E262-1973)</f>
        <v>NA</v>
      </c>
      <c r="G262" t="str" cm="1">
        <f t="array" ref="G262">INDEX('GMW - $100 oil'!$A$2:$MC$200,MATCH(1,('GMW - $100 oil'!$MC$2:$MC$200=G$3)*('GMW - $100 oil'!$MB$2:$MB$200=G$4),0),$E262-1973)</f>
        <v>NA</v>
      </c>
      <c r="H262" t="str" cm="1">
        <f t="array" ref="H262">INDEX('GMW - $100 oil'!$A$2:$MC$200,MATCH(1,('GMW - $100 oil'!$MC$2:$MC$200=H$3)*('GMW - $100 oil'!$MB$2:$MB$200=H$4),0),$E262-1973)</f>
        <v>NA</v>
      </c>
      <c r="I262" t="str" cm="1">
        <f t="array" ref="I262">INDEX('GMW - $100 oil'!$A$2:$MC$200,MATCH(1,('GMW - $100 oil'!$MC$2:$MC$200=I$3)*('GMW - $100 oil'!$MB$2:$MB$200=I$4),0),$E262-1973)</f>
        <v>NA</v>
      </c>
      <c r="J262" t="e" cm="1">
        <f t="array" ref="J262">INDEX('GMW - $100 oil'!$A$2:$MC$200,MATCH(1,('GMW - $100 oil'!$MC$2:$MC$200=J$3)*('GMW - $100 oil'!$MB$2:$MB$200=J$4),0),$E262-1973)</f>
        <v>#N/A</v>
      </c>
      <c r="K262" t="e" cm="1">
        <f t="array" ref="K262">INDEX('GMW - $100 oil'!$A$2:$MC$200,MATCH(1,('GMW - $100 oil'!$MC$2:$MC$200=K$3)*('GMW - $100 oil'!$MB$2:$MB$200=K$4),0),$E262-1973)</f>
        <v>#N/A</v>
      </c>
      <c r="L262" t="e" cm="1">
        <f t="array" ref="L262">INDEX('GMW - $100 oil'!$A$2:$MC$200,MATCH(1,('GMW - $100 oil'!$MC$2:$MC$200=L$3)*('GMW - $100 oil'!$MB$2:$MB$200=L$4),0),$E262-1973)</f>
        <v>#N/A</v>
      </c>
      <c r="M262" t="e" cm="1">
        <f t="array" ref="M262">INDEX('GMW - $100 oil'!$A$2:$MC$200,MATCH(1,('GMW - $100 oil'!$MC$2:$MC$200=M$3)*('GMW - $100 oil'!$MB$2:$MB$200=M$4),0),$E262-1973)</f>
        <v>#N/A</v>
      </c>
      <c r="N262" t="e" cm="1">
        <f t="array" ref="N262">INDEX('GMW - $100 oil'!$A$2:$MC$200,MATCH(1,('GMW - $100 oil'!$MC$2:$MC$200=N$3)*('GMW - $100 oil'!$MB$2:$MB$200=N$4),0),$E262-1973)</f>
        <v>#N/A</v>
      </c>
      <c r="O262" t="e" cm="1">
        <f t="array" ref="O262">INDEX('GMW - $100 oil'!$A$2:$MC$200,MATCH(1,('GMW - $100 oil'!$MC$2:$MC$200=O$3)*('GMW - $100 oil'!$MB$2:$MB$200=O$4),0),$E262-1973)</f>
        <v>#N/A</v>
      </c>
      <c r="P262" t="e" cm="1">
        <f t="array" ref="P262">INDEX('GMW - $100 oil'!$A$2:$MC$200,MATCH(1,('GMW - $100 oil'!$MC$2:$MC$200=P$3)*('GMW - $100 oil'!$MB$2:$MB$200=P$4),0),$E262-1973)</f>
        <v>#N/A</v>
      </c>
      <c r="Q262" t="e" cm="1">
        <f t="array" ref="Q262">INDEX('GMW - $100 oil'!$A$2:$MC$200,MATCH(1,('GMW - $100 oil'!$MC$2:$MC$200=Q$3)*('GMW - $100 oil'!$MB$2:$MB$200=Q$4),0),$E262-1973)</f>
        <v>#N/A</v>
      </c>
      <c r="R262" t="e" cm="1">
        <f t="array" ref="R262">INDEX('GMW - $100 oil'!$A$2:$MC$200,MATCH(1,('GMW - $100 oil'!$MC$2:$MC$200=R$3)*('GMW - $100 oil'!$MB$2:$MB$200=R$4),0),$E262-1973)</f>
        <v>#N/A</v>
      </c>
      <c r="S262" t="e" cm="1">
        <f t="array" ref="S262">INDEX('GMW - $100 oil'!$A$2:$MC$200,MATCH(1,('GMW - $100 oil'!$MC$2:$MC$200=S$3)*('GMW - $100 oil'!$MB$2:$MB$200=S$4),0),$E262-1973)</f>
        <v>#N/A</v>
      </c>
      <c r="T262" t="e" cm="1">
        <f t="array" ref="T262">INDEX('GMW - $100 oil'!$A$2:$MC$200,MATCH(1,('GMW - $100 oil'!$MC$2:$MC$200=T$3)*('GMW - $100 oil'!$MB$2:$MB$200=T$4),0),$E262-1973)</f>
        <v>#N/A</v>
      </c>
    </row>
    <row r="263" spans="1:20" x14ac:dyDescent="0.25">
      <c r="A263">
        <v>2044</v>
      </c>
      <c r="B263">
        <f t="shared" si="20"/>
        <v>2044</v>
      </c>
      <c r="C263">
        <f t="shared" si="20"/>
        <v>2043</v>
      </c>
      <c r="D263">
        <f t="shared" si="20"/>
        <v>2043</v>
      </c>
      <c r="E263">
        <f t="shared" si="16"/>
        <v>2236</v>
      </c>
      <c r="F263" t="str" cm="1">
        <f t="array" ref="F263">INDEX('GMW - $100 oil'!$A$2:$MC$200,MATCH(1,('GMW - $100 oil'!$MC$2:$MC$200=F$3)*('GMW - $100 oil'!$MB$2:$MB$200=F$4),0),$E263-1973)</f>
        <v>NA</v>
      </c>
      <c r="G263" t="str" cm="1">
        <f t="array" ref="G263">INDEX('GMW - $100 oil'!$A$2:$MC$200,MATCH(1,('GMW - $100 oil'!$MC$2:$MC$200=G$3)*('GMW - $100 oil'!$MB$2:$MB$200=G$4),0),$E263-1973)</f>
        <v>NA</v>
      </c>
      <c r="H263" t="str" cm="1">
        <f t="array" ref="H263">INDEX('GMW - $100 oil'!$A$2:$MC$200,MATCH(1,('GMW - $100 oil'!$MC$2:$MC$200=H$3)*('GMW - $100 oil'!$MB$2:$MB$200=H$4),0),$E263-1973)</f>
        <v>NA</v>
      </c>
      <c r="I263" t="str" cm="1">
        <f t="array" ref="I263">INDEX('GMW - $100 oil'!$A$2:$MC$200,MATCH(1,('GMW - $100 oil'!$MC$2:$MC$200=I$3)*('GMW - $100 oil'!$MB$2:$MB$200=I$4),0),$E263-1973)</f>
        <v>NA</v>
      </c>
      <c r="J263" t="e" cm="1">
        <f t="array" ref="J263">INDEX('GMW - $100 oil'!$A$2:$MC$200,MATCH(1,('GMW - $100 oil'!$MC$2:$MC$200=J$3)*('GMW - $100 oil'!$MB$2:$MB$200=J$4),0),$E263-1973)</f>
        <v>#N/A</v>
      </c>
      <c r="K263" t="e" cm="1">
        <f t="array" ref="K263">INDEX('GMW - $100 oil'!$A$2:$MC$200,MATCH(1,('GMW - $100 oil'!$MC$2:$MC$200=K$3)*('GMW - $100 oil'!$MB$2:$MB$200=K$4),0),$E263-1973)</f>
        <v>#N/A</v>
      </c>
      <c r="L263" t="e" cm="1">
        <f t="array" ref="L263">INDEX('GMW - $100 oil'!$A$2:$MC$200,MATCH(1,('GMW - $100 oil'!$MC$2:$MC$200=L$3)*('GMW - $100 oil'!$MB$2:$MB$200=L$4),0),$E263-1973)</f>
        <v>#N/A</v>
      </c>
      <c r="M263" t="e" cm="1">
        <f t="array" ref="M263">INDEX('GMW - $100 oil'!$A$2:$MC$200,MATCH(1,('GMW - $100 oil'!$MC$2:$MC$200=M$3)*('GMW - $100 oil'!$MB$2:$MB$200=M$4),0),$E263-1973)</f>
        <v>#N/A</v>
      </c>
      <c r="N263" t="e" cm="1">
        <f t="array" ref="N263">INDEX('GMW - $100 oil'!$A$2:$MC$200,MATCH(1,('GMW - $100 oil'!$MC$2:$MC$200=N$3)*('GMW - $100 oil'!$MB$2:$MB$200=N$4),0),$E263-1973)</f>
        <v>#N/A</v>
      </c>
      <c r="O263" t="e" cm="1">
        <f t="array" ref="O263">INDEX('GMW - $100 oil'!$A$2:$MC$200,MATCH(1,('GMW - $100 oil'!$MC$2:$MC$200=O$3)*('GMW - $100 oil'!$MB$2:$MB$200=O$4),0),$E263-1973)</f>
        <v>#N/A</v>
      </c>
      <c r="P263" t="e" cm="1">
        <f t="array" ref="P263">INDEX('GMW - $100 oil'!$A$2:$MC$200,MATCH(1,('GMW - $100 oil'!$MC$2:$MC$200=P$3)*('GMW - $100 oil'!$MB$2:$MB$200=P$4),0),$E263-1973)</f>
        <v>#N/A</v>
      </c>
      <c r="Q263" t="e" cm="1">
        <f t="array" ref="Q263">INDEX('GMW - $100 oil'!$A$2:$MC$200,MATCH(1,('GMW - $100 oil'!$MC$2:$MC$200=Q$3)*('GMW - $100 oil'!$MB$2:$MB$200=Q$4),0),$E263-1973)</f>
        <v>#N/A</v>
      </c>
      <c r="R263" t="e" cm="1">
        <f t="array" ref="R263">INDEX('GMW - $100 oil'!$A$2:$MC$200,MATCH(1,('GMW - $100 oil'!$MC$2:$MC$200=R$3)*('GMW - $100 oil'!$MB$2:$MB$200=R$4),0),$E263-1973)</f>
        <v>#N/A</v>
      </c>
      <c r="S263" t="e" cm="1">
        <f t="array" ref="S263">INDEX('GMW - $100 oil'!$A$2:$MC$200,MATCH(1,('GMW - $100 oil'!$MC$2:$MC$200=S$3)*('GMW - $100 oil'!$MB$2:$MB$200=S$4),0),$E263-1973)</f>
        <v>#N/A</v>
      </c>
      <c r="T263" t="e" cm="1">
        <f t="array" ref="T263">INDEX('GMW - $100 oil'!$A$2:$MC$200,MATCH(1,('GMW - $100 oil'!$MC$2:$MC$200=T$3)*('GMW - $100 oil'!$MB$2:$MB$200=T$4),0),$E263-1973)</f>
        <v>#N/A</v>
      </c>
    </row>
    <row r="264" spans="1:20" x14ac:dyDescent="0.25">
      <c r="B264">
        <f t="shared" si="20"/>
        <v>2044</v>
      </c>
      <c r="C264">
        <f t="shared" si="20"/>
        <v>2044</v>
      </c>
      <c r="E264">
        <f t="shared" si="16"/>
        <v>2237</v>
      </c>
      <c r="F264" t="str" cm="1">
        <f t="array" ref="F264">INDEX('GMW - $100 oil'!$A$2:$MC$200,MATCH(1,('GMW - $100 oil'!$MC$2:$MC$200=F$3)*('GMW - $100 oil'!$MB$2:$MB$200=F$4),0),$E264-1973)</f>
        <v>NA</v>
      </c>
      <c r="G264" t="str" cm="1">
        <f t="array" ref="G264">INDEX('GMW - $100 oil'!$A$2:$MC$200,MATCH(1,('GMW - $100 oil'!$MC$2:$MC$200=G$3)*('GMW - $100 oil'!$MB$2:$MB$200=G$4),0),$E264-1973)</f>
        <v>NA</v>
      </c>
      <c r="H264" t="str" cm="1">
        <f t="array" ref="H264">INDEX('GMW - $100 oil'!$A$2:$MC$200,MATCH(1,('GMW - $100 oil'!$MC$2:$MC$200=H$3)*('GMW - $100 oil'!$MB$2:$MB$200=H$4),0),$E264-1973)</f>
        <v>NA</v>
      </c>
      <c r="I264" t="str" cm="1">
        <f t="array" ref="I264">INDEX('GMW - $100 oil'!$A$2:$MC$200,MATCH(1,('GMW - $100 oil'!$MC$2:$MC$200=I$3)*('GMW - $100 oil'!$MB$2:$MB$200=I$4),0),$E264-1973)</f>
        <v>NA</v>
      </c>
      <c r="J264" t="e" cm="1">
        <f t="array" ref="J264">INDEX('GMW - $100 oil'!$A$2:$MC$200,MATCH(1,('GMW - $100 oil'!$MC$2:$MC$200=J$3)*('GMW - $100 oil'!$MB$2:$MB$200=J$4),0),$E264-1973)</f>
        <v>#N/A</v>
      </c>
      <c r="K264" t="e" cm="1">
        <f t="array" ref="K264">INDEX('GMW - $100 oil'!$A$2:$MC$200,MATCH(1,('GMW - $100 oil'!$MC$2:$MC$200=K$3)*('GMW - $100 oil'!$MB$2:$MB$200=K$4),0),$E264-1973)</f>
        <v>#N/A</v>
      </c>
      <c r="L264" t="e" cm="1">
        <f t="array" ref="L264">INDEX('GMW - $100 oil'!$A$2:$MC$200,MATCH(1,('GMW - $100 oil'!$MC$2:$MC$200=L$3)*('GMW - $100 oil'!$MB$2:$MB$200=L$4),0),$E264-1973)</f>
        <v>#N/A</v>
      </c>
      <c r="M264" t="e" cm="1">
        <f t="array" ref="M264">INDEX('GMW - $100 oil'!$A$2:$MC$200,MATCH(1,('GMW - $100 oil'!$MC$2:$MC$200=M$3)*('GMW - $100 oil'!$MB$2:$MB$200=M$4),0),$E264-1973)</f>
        <v>#N/A</v>
      </c>
      <c r="N264" t="e" cm="1">
        <f t="array" ref="N264">INDEX('GMW - $100 oil'!$A$2:$MC$200,MATCH(1,('GMW - $100 oil'!$MC$2:$MC$200=N$3)*('GMW - $100 oil'!$MB$2:$MB$200=N$4),0),$E264-1973)</f>
        <v>#N/A</v>
      </c>
      <c r="O264" t="e" cm="1">
        <f t="array" ref="O264">INDEX('GMW - $100 oil'!$A$2:$MC$200,MATCH(1,('GMW - $100 oil'!$MC$2:$MC$200=O$3)*('GMW - $100 oil'!$MB$2:$MB$200=O$4),0),$E264-1973)</f>
        <v>#N/A</v>
      </c>
      <c r="P264" t="e" cm="1">
        <f t="array" ref="P264">INDEX('GMW - $100 oil'!$A$2:$MC$200,MATCH(1,('GMW - $100 oil'!$MC$2:$MC$200=P$3)*('GMW - $100 oil'!$MB$2:$MB$200=P$4),0),$E264-1973)</f>
        <v>#N/A</v>
      </c>
      <c r="Q264" t="e" cm="1">
        <f t="array" ref="Q264">INDEX('GMW - $100 oil'!$A$2:$MC$200,MATCH(1,('GMW - $100 oil'!$MC$2:$MC$200=Q$3)*('GMW - $100 oil'!$MB$2:$MB$200=Q$4),0),$E264-1973)</f>
        <v>#N/A</v>
      </c>
      <c r="R264" t="e" cm="1">
        <f t="array" ref="R264">INDEX('GMW - $100 oil'!$A$2:$MC$200,MATCH(1,('GMW - $100 oil'!$MC$2:$MC$200=R$3)*('GMW - $100 oil'!$MB$2:$MB$200=R$4),0),$E264-1973)</f>
        <v>#N/A</v>
      </c>
      <c r="S264" t="e" cm="1">
        <f t="array" ref="S264">INDEX('GMW - $100 oil'!$A$2:$MC$200,MATCH(1,('GMW - $100 oil'!$MC$2:$MC$200=S$3)*('GMW - $100 oil'!$MB$2:$MB$200=S$4),0),$E264-1973)</f>
        <v>#N/A</v>
      </c>
      <c r="T264" t="e" cm="1">
        <f t="array" ref="T264">INDEX('GMW - $100 oil'!$A$2:$MC$200,MATCH(1,('GMW - $100 oil'!$MC$2:$MC$200=T$3)*('GMW - $100 oil'!$MB$2:$MB$200=T$4),0),$E264-1973)</f>
        <v>#N/A</v>
      </c>
    </row>
    <row r="265" spans="1:20" x14ac:dyDescent="0.25">
      <c r="B265">
        <f t="shared" si="20"/>
        <v>2044</v>
      </c>
      <c r="C265">
        <f t="shared" si="20"/>
        <v>2044</v>
      </c>
      <c r="E265">
        <f t="shared" ref="E265:E328" si="21">+E264+1</f>
        <v>2238</v>
      </c>
      <c r="F265" t="str" cm="1">
        <f t="array" ref="F265">INDEX('GMW - $100 oil'!$A$2:$MC$200,MATCH(1,('GMW - $100 oil'!$MC$2:$MC$200=F$3)*('GMW - $100 oil'!$MB$2:$MB$200=F$4),0),$E265-1973)</f>
        <v>NA</v>
      </c>
      <c r="G265" t="str" cm="1">
        <f t="array" ref="G265">INDEX('GMW - $100 oil'!$A$2:$MC$200,MATCH(1,('GMW - $100 oil'!$MC$2:$MC$200=G$3)*('GMW - $100 oil'!$MB$2:$MB$200=G$4),0),$E265-1973)</f>
        <v>NA</v>
      </c>
      <c r="H265" t="str" cm="1">
        <f t="array" ref="H265">INDEX('GMW - $100 oil'!$A$2:$MC$200,MATCH(1,('GMW - $100 oil'!$MC$2:$MC$200=H$3)*('GMW - $100 oil'!$MB$2:$MB$200=H$4),0),$E265-1973)</f>
        <v>NA</v>
      </c>
      <c r="I265" t="str" cm="1">
        <f t="array" ref="I265">INDEX('GMW - $100 oil'!$A$2:$MC$200,MATCH(1,('GMW - $100 oil'!$MC$2:$MC$200=I$3)*('GMW - $100 oil'!$MB$2:$MB$200=I$4),0),$E265-1973)</f>
        <v>NA</v>
      </c>
      <c r="J265" t="e" cm="1">
        <f t="array" ref="J265">INDEX('GMW - $100 oil'!$A$2:$MC$200,MATCH(1,('GMW - $100 oil'!$MC$2:$MC$200=J$3)*('GMW - $100 oil'!$MB$2:$MB$200=J$4),0),$E265-1973)</f>
        <v>#N/A</v>
      </c>
      <c r="K265" t="e" cm="1">
        <f t="array" ref="K265">INDEX('GMW - $100 oil'!$A$2:$MC$200,MATCH(1,('GMW - $100 oil'!$MC$2:$MC$200=K$3)*('GMW - $100 oil'!$MB$2:$MB$200=K$4),0),$E265-1973)</f>
        <v>#N/A</v>
      </c>
      <c r="L265" t="e" cm="1">
        <f t="array" ref="L265">INDEX('GMW - $100 oil'!$A$2:$MC$200,MATCH(1,('GMW - $100 oil'!$MC$2:$MC$200=L$3)*('GMW - $100 oil'!$MB$2:$MB$200=L$4),0),$E265-1973)</f>
        <v>#N/A</v>
      </c>
      <c r="M265" t="e" cm="1">
        <f t="array" ref="M265">INDEX('GMW - $100 oil'!$A$2:$MC$200,MATCH(1,('GMW - $100 oil'!$MC$2:$MC$200=M$3)*('GMW - $100 oil'!$MB$2:$MB$200=M$4),0),$E265-1973)</f>
        <v>#N/A</v>
      </c>
      <c r="N265" t="e" cm="1">
        <f t="array" ref="N265">INDEX('GMW - $100 oil'!$A$2:$MC$200,MATCH(1,('GMW - $100 oil'!$MC$2:$MC$200=N$3)*('GMW - $100 oil'!$MB$2:$MB$200=N$4),0),$E265-1973)</f>
        <v>#N/A</v>
      </c>
      <c r="O265" t="e" cm="1">
        <f t="array" ref="O265">INDEX('GMW - $100 oil'!$A$2:$MC$200,MATCH(1,('GMW - $100 oil'!$MC$2:$MC$200=O$3)*('GMW - $100 oil'!$MB$2:$MB$200=O$4),0),$E265-1973)</f>
        <v>#N/A</v>
      </c>
      <c r="P265" t="e" cm="1">
        <f t="array" ref="P265">INDEX('GMW - $100 oil'!$A$2:$MC$200,MATCH(1,('GMW - $100 oil'!$MC$2:$MC$200=P$3)*('GMW - $100 oil'!$MB$2:$MB$200=P$4),0),$E265-1973)</f>
        <v>#N/A</v>
      </c>
      <c r="Q265" t="e" cm="1">
        <f t="array" ref="Q265">INDEX('GMW - $100 oil'!$A$2:$MC$200,MATCH(1,('GMW - $100 oil'!$MC$2:$MC$200=Q$3)*('GMW - $100 oil'!$MB$2:$MB$200=Q$4),0),$E265-1973)</f>
        <v>#N/A</v>
      </c>
      <c r="R265" t="e" cm="1">
        <f t="array" ref="R265">INDEX('GMW - $100 oil'!$A$2:$MC$200,MATCH(1,('GMW - $100 oil'!$MC$2:$MC$200=R$3)*('GMW - $100 oil'!$MB$2:$MB$200=R$4),0),$E265-1973)</f>
        <v>#N/A</v>
      </c>
      <c r="S265" t="e" cm="1">
        <f t="array" ref="S265">INDEX('GMW - $100 oil'!$A$2:$MC$200,MATCH(1,('GMW - $100 oil'!$MC$2:$MC$200=S$3)*('GMW - $100 oil'!$MB$2:$MB$200=S$4),0),$E265-1973)</f>
        <v>#N/A</v>
      </c>
      <c r="T265" t="e" cm="1">
        <f t="array" ref="T265">INDEX('GMW - $100 oil'!$A$2:$MC$200,MATCH(1,('GMW - $100 oil'!$MC$2:$MC$200=T$3)*('GMW - $100 oil'!$MB$2:$MB$200=T$4),0),$E265-1973)</f>
        <v>#N/A</v>
      </c>
    </row>
    <row r="266" spans="1:20" x14ac:dyDescent="0.25">
      <c r="B266">
        <f t="shared" si="20"/>
        <v>2044</v>
      </c>
      <c r="C266">
        <f t="shared" si="20"/>
        <v>2044</v>
      </c>
      <c r="E266">
        <f t="shared" si="21"/>
        <v>2239</v>
      </c>
      <c r="F266" t="str" cm="1">
        <f t="array" ref="F266">INDEX('GMW - $100 oil'!$A$2:$MC$200,MATCH(1,('GMW - $100 oil'!$MC$2:$MC$200=F$3)*('GMW - $100 oil'!$MB$2:$MB$200=F$4),0),$E266-1973)</f>
        <v>NA</v>
      </c>
      <c r="G266" t="str" cm="1">
        <f t="array" ref="G266">INDEX('GMW - $100 oil'!$A$2:$MC$200,MATCH(1,('GMW - $100 oil'!$MC$2:$MC$200=G$3)*('GMW - $100 oil'!$MB$2:$MB$200=G$4),0),$E266-1973)</f>
        <v>NA</v>
      </c>
      <c r="H266" t="str" cm="1">
        <f t="array" ref="H266">INDEX('GMW - $100 oil'!$A$2:$MC$200,MATCH(1,('GMW - $100 oil'!$MC$2:$MC$200=H$3)*('GMW - $100 oil'!$MB$2:$MB$200=H$4),0),$E266-1973)</f>
        <v>NA</v>
      </c>
      <c r="I266" t="str" cm="1">
        <f t="array" ref="I266">INDEX('GMW - $100 oil'!$A$2:$MC$200,MATCH(1,('GMW - $100 oil'!$MC$2:$MC$200=I$3)*('GMW - $100 oil'!$MB$2:$MB$200=I$4),0),$E266-1973)</f>
        <v>NA</v>
      </c>
      <c r="J266" t="e" cm="1">
        <f t="array" ref="J266">INDEX('GMW - $100 oil'!$A$2:$MC$200,MATCH(1,('GMW - $100 oil'!$MC$2:$MC$200=J$3)*('GMW - $100 oil'!$MB$2:$MB$200=J$4),0),$E266-1973)</f>
        <v>#N/A</v>
      </c>
      <c r="K266" t="e" cm="1">
        <f t="array" ref="K266">INDEX('GMW - $100 oil'!$A$2:$MC$200,MATCH(1,('GMW - $100 oil'!$MC$2:$MC$200=K$3)*('GMW - $100 oil'!$MB$2:$MB$200=K$4),0),$E266-1973)</f>
        <v>#N/A</v>
      </c>
      <c r="L266" t="e" cm="1">
        <f t="array" ref="L266">INDEX('GMW - $100 oil'!$A$2:$MC$200,MATCH(1,('GMW - $100 oil'!$MC$2:$MC$200=L$3)*('GMW - $100 oil'!$MB$2:$MB$200=L$4),0),$E266-1973)</f>
        <v>#N/A</v>
      </c>
      <c r="M266" t="e" cm="1">
        <f t="array" ref="M266">INDEX('GMW - $100 oil'!$A$2:$MC$200,MATCH(1,('GMW - $100 oil'!$MC$2:$MC$200=M$3)*('GMW - $100 oil'!$MB$2:$MB$200=M$4),0),$E266-1973)</f>
        <v>#N/A</v>
      </c>
      <c r="N266" t="e" cm="1">
        <f t="array" ref="N266">INDEX('GMW - $100 oil'!$A$2:$MC$200,MATCH(1,('GMW - $100 oil'!$MC$2:$MC$200=N$3)*('GMW - $100 oil'!$MB$2:$MB$200=N$4),0),$E266-1973)</f>
        <v>#N/A</v>
      </c>
      <c r="O266" t="e" cm="1">
        <f t="array" ref="O266">INDEX('GMW - $100 oil'!$A$2:$MC$200,MATCH(1,('GMW - $100 oil'!$MC$2:$MC$200=O$3)*('GMW - $100 oil'!$MB$2:$MB$200=O$4),0),$E266-1973)</f>
        <v>#N/A</v>
      </c>
      <c r="P266" t="e" cm="1">
        <f t="array" ref="P266">INDEX('GMW - $100 oil'!$A$2:$MC$200,MATCH(1,('GMW - $100 oil'!$MC$2:$MC$200=P$3)*('GMW - $100 oil'!$MB$2:$MB$200=P$4),0),$E266-1973)</f>
        <v>#N/A</v>
      </c>
      <c r="Q266" t="e" cm="1">
        <f t="array" ref="Q266">INDEX('GMW - $100 oil'!$A$2:$MC$200,MATCH(1,('GMW - $100 oil'!$MC$2:$MC$200=Q$3)*('GMW - $100 oil'!$MB$2:$MB$200=Q$4),0),$E266-1973)</f>
        <v>#N/A</v>
      </c>
      <c r="R266" t="e" cm="1">
        <f t="array" ref="R266">INDEX('GMW - $100 oil'!$A$2:$MC$200,MATCH(1,('GMW - $100 oil'!$MC$2:$MC$200=R$3)*('GMW - $100 oil'!$MB$2:$MB$200=R$4),0),$E266-1973)</f>
        <v>#N/A</v>
      </c>
      <c r="S266" t="e" cm="1">
        <f t="array" ref="S266">INDEX('GMW - $100 oil'!$A$2:$MC$200,MATCH(1,('GMW - $100 oil'!$MC$2:$MC$200=S$3)*('GMW - $100 oil'!$MB$2:$MB$200=S$4),0),$E266-1973)</f>
        <v>#N/A</v>
      </c>
      <c r="T266" t="e" cm="1">
        <f t="array" ref="T266">INDEX('GMW - $100 oil'!$A$2:$MC$200,MATCH(1,('GMW - $100 oil'!$MC$2:$MC$200=T$3)*('GMW - $100 oil'!$MB$2:$MB$200=T$4),0),$E266-1973)</f>
        <v>#N/A</v>
      </c>
    </row>
    <row r="267" spans="1:20" x14ac:dyDescent="0.25">
      <c r="A267">
        <v>2045</v>
      </c>
      <c r="B267">
        <f t="shared" si="20"/>
        <v>2045</v>
      </c>
      <c r="C267">
        <f t="shared" si="20"/>
        <v>2044</v>
      </c>
      <c r="D267">
        <f t="shared" si="20"/>
        <v>2044</v>
      </c>
      <c r="E267">
        <f t="shared" si="21"/>
        <v>2240</v>
      </c>
      <c r="F267" t="str" cm="1">
        <f t="array" ref="F267">INDEX('GMW - $100 oil'!$A$2:$MC$200,MATCH(1,('GMW - $100 oil'!$MC$2:$MC$200=F$3)*('GMW - $100 oil'!$MB$2:$MB$200=F$4),0),$E267-1973)</f>
        <v>NA</v>
      </c>
      <c r="G267" t="str" cm="1">
        <f t="array" ref="G267">INDEX('GMW - $100 oil'!$A$2:$MC$200,MATCH(1,('GMW - $100 oil'!$MC$2:$MC$200=G$3)*('GMW - $100 oil'!$MB$2:$MB$200=G$4),0),$E267-1973)</f>
        <v>NA</v>
      </c>
      <c r="H267" t="str" cm="1">
        <f t="array" ref="H267">INDEX('GMW - $100 oil'!$A$2:$MC$200,MATCH(1,('GMW - $100 oil'!$MC$2:$MC$200=H$3)*('GMW - $100 oil'!$MB$2:$MB$200=H$4),0),$E267-1973)</f>
        <v>NA</v>
      </c>
      <c r="I267" t="str" cm="1">
        <f t="array" ref="I267">INDEX('GMW - $100 oil'!$A$2:$MC$200,MATCH(1,('GMW - $100 oil'!$MC$2:$MC$200=I$3)*('GMW - $100 oil'!$MB$2:$MB$200=I$4),0),$E267-1973)</f>
        <v>NA</v>
      </c>
      <c r="J267" t="e" cm="1">
        <f t="array" ref="J267">INDEX('GMW - $100 oil'!$A$2:$MC$200,MATCH(1,('GMW - $100 oil'!$MC$2:$MC$200=J$3)*('GMW - $100 oil'!$MB$2:$MB$200=J$4),0),$E267-1973)</f>
        <v>#N/A</v>
      </c>
      <c r="K267" t="e" cm="1">
        <f t="array" ref="K267">INDEX('GMW - $100 oil'!$A$2:$MC$200,MATCH(1,('GMW - $100 oil'!$MC$2:$MC$200=K$3)*('GMW - $100 oil'!$MB$2:$MB$200=K$4),0),$E267-1973)</f>
        <v>#N/A</v>
      </c>
      <c r="L267" t="e" cm="1">
        <f t="array" ref="L267">INDEX('GMW - $100 oil'!$A$2:$MC$200,MATCH(1,('GMW - $100 oil'!$MC$2:$MC$200=L$3)*('GMW - $100 oil'!$MB$2:$MB$200=L$4),0),$E267-1973)</f>
        <v>#N/A</v>
      </c>
      <c r="M267" t="e" cm="1">
        <f t="array" ref="M267">INDEX('GMW - $100 oil'!$A$2:$MC$200,MATCH(1,('GMW - $100 oil'!$MC$2:$MC$200=M$3)*('GMW - $100 oil'!$MB$2:$MB$200=M$4),0),$E267-1973)</f>
        <v>#N/A</v>
      </c>
      <c r="N267" t="e" cm="1">
        <f t="array" ref="N267">INDEX('GMW - $100 oil'!$A$2:$MC$200,MATCH(1,('GMW - $100 oil'!$MC$2:$MC$200=N$3)*('GMW - $100 oil'!$MB$2:$MB$200=N$4),0),$E267-1973)</f>
        <v>#N/A</v>
      </c>
      <c r="O267" t="e" cm="1">
        <f t="array" ref="O267">INDEX('GMW - $100 oil'!$A$2:$MC$200,MATCH(1,('GMW - $100 oil'!$MC$2:$MC$200=O$3)*('GMW - $100 oil'!$MB$2:$MB$200=O$4),0),$E267-1973)</f>
        <v>#N/A</v>
      </c>
      <c r="P267" t="e" cm="1">
        <f t="array" ref="P267">INDEX('GMW - $100 oil'!$A$2:$MC$200,MATCH(1,('GMW - $100 oil'!$MC$2:$MC$200=P$3)*('GMW - $100 oil'!$MB$2:$MB$200=P$4),0),$E267-1973)</f>
        <v>#N/A</v>
      </c>
      <c r="Q267" t="e" cm="1">
        <f t="array" ref="Q267">INDEX('GMW - $100 oil'!$A$2:$MC$200,MATCH(1,('GMW - $100 oil'!$MC$2:$MC$200=Q$3)*('GMW - $100 oil'!$MB$2:$MB$200=Q$4),0),$E267-1973)</f>
        <v>#N/A</v>
      </c>
      <c r="R267" t="e" cm="1">
        <f t="array" ref="R267">INDEX('GMW - $100 oil'!$A$2:$MC$200,MATCH(1,('GMW - $100 oil'!$MC$2:$MC$200=R$3)*('GMW - $100 oil'!$MB$2:$MB$200=R$4),0),$E267-1973)</f>
        <v>#N/A</v>
      </c>
      <c r="S267" t="e" cm="1">
        <f t="array" ref="S267">INDEX('GMW - $100 oil'!$A$2:$MC$200,MATCH(1,('GMW - $100 oil'!$MC$2:$MC$200=S$3)*('GMW - $100 oil'!$MB$2:$MB$200=S$4),0),$E267-1973)</f>
        <v>#N/A</v>
      </c>
      <c r="T267" t="e" cm="1">
        <f t="array" ref="T267">INDEX('GMW - $100 oil'!$A$2:$MC$200,MATCH(1,('GMW - $100 oil'!$MC$2:$MC$200=T$3)*('GMW - $100 oil'!$MB$2:$MB$200=T$4),0),$E267-1973)</f>
        <v>#N/A</v>
      </c>
    </row>
    <row r="268" spans="1:20" x14ac:dyDescent="0.25">
      <c r="B268">
        <f t="shared" ref="B268:D283" si="22">+B264+1</f>
        <v>2045</v>
      </c>
      <c r="C268">
        <f t="shared" si="22"/>
        <v>2045</v>
      </c>
      <c r="E268">
        <f t="shared" si="21"/>
        <v>2241</v>
      </c>
      <c r="F268" t="str" cm="1">
        <f t="array" ref="F268">INDEX('GMW - $100 oil'!$A$2:$MC$200,MATCH(1,('GMW - $100 oil'!$MC$2:$MC$200=F$3)*('GMW - $100 oil'!$MB$2:$MB$200=F$4),0),$E268-1973)</f>
        <v>NA</v>
      </c>
      <c r="G268" t="str" cm="1">
        <f t="array" ref="G268">INDEX('GMW - $100 oil'!$A$2:$MC$200,MATCH(1,('GMW - $100 oil'!$MC$2:$MC$200=G$3)*('GMW - $100 oil'!$MB$2:$MB$200=G$4),0),$E268-1973)</f>
        <v>NA</v>
      </c>
      <c r="H268" t="str" cm="1">
        <f t="array" ref="H268">INDEX('GMW - $100 oil'!$A$2:$MC$200,MATCH(1,('GMW - $100 oil'!$MC$2:$MC$200=H$3)*('GMW - $100 oil'!$MB$2:$MB$200=H$4),0),$E268-1973)</f>
        <v>NA</v>
      </c>
      <c r="I268" t="str" cm="1">
        <f t="array" ref="I268">INDEX('GMW - $100 oil'!$A$2:$MC$200,MATCH(1,('GMW - $100 oil'!$MC$2:$MC$200=I$3)*('GMW - $100 oil'!$MB$2:$MB$200=I$4),0),$E268-1973)</f>
        <v>NA</v>
      </c>
      <c r="J268" t="e" cm="1">
        <f t="array" ref="J268">INDEX('GMW - $100 oil'!$A$2:$MC$200,MATCH(1,('GMW - $100 oil'!$MC$2:$MC$200=J$3)*('GMW - $100 oil'!$MB$2:$MB$200=J$4),0),$E268-1973)</f>
        <v>#N/A</v>
      </c>
      <c r="K268" t="e" cm="1">
        <f t="array" ref="K268">INDEX('GMW - $100 oil'!$A$2:$MC$200,MATCH(1,('GMW - $100 oil'!$MC$2:$MC$200=K$3)*('GMW - $100 oil'!$MB$2:$MB$200=K$4),0),$E268-1973)</f>
        <v>#N/A</v>
      </c>
      <c r="L268" t="e" cm="1">
        <f t="array" ref="L268">INDEX('GMW - $100 oil'!$A$2:$MC$200,MATCH(1,('GMW - $100 oil'!$MC$2:$MC$200=L$3)*('GMW - $100 oil'!$MB$2:$MB$200=L$4),0),$E268-1973)</f>
        <v>#N/A</v>
      </c>
      <c r="M268" t="e" cm="1">
        <f t="array" ref="M268">INDEX('GMW - $100 oil'!$A$2:$MC$200,MATCH(1,('GMW - $100 oil'!$MC$2:$MC$200=M$3)*('GMW - $100 oil'!$MB$2:$MB$200=M$4),0),$E268-1973)</f>
        <v>#N/A</v>
      </c>
      <c r="N268" t="e" cm="1">
        <f t="array" ref="N268">INDEX('GMW - $100 oil'!$A$2:$MC$200,MATCH(1,('GMW - $100 oil'!$MC$2:$MC$200=N$3)*('GMW - $100 oil'!$MB$2:$MB$200=N$4),0),$E268-1973)</f>
        <v>#N/A</v>
      </c>
      <c r="O268" t="e" cm="1">
        <f t="array" ref="O268">INDEX('GMW - $100 oil'!$A$2:$MC$200,MATCH(1,('GMW - $100 oil'!$MC$2:$MC$200=O$3)*('GMW - $100 oil'!$MB$2:$MB$200=O$4),0),$E268-1973)</f>
        <v>#N/A</v>
      </c>
      <c r="P268" t="e" cm="1">
        <f t="array" ref="P268">INDEX('GMW - $100 oil'!$A$2:$MC$200,MATCH(1,('GMW - $100 oil'!$MC$2:$MC$200=P$3)*('GMW - $100 oil'!$MB$2:$MB$200=P$4),0),$E268-1973)</f>
        <v>#N/A</v>
      </c>
      <c r="Q268" t="e" cm="1">
        <f t="array" ref="Q268">INDEX('GMW - $100 oil'!$A$2:$MC$200,MATCH(1,('GMW - $100 oil'!$MC$2:$MC$200=Q$3)*('GMW - $100 oil'!$MB$2:$MB$200=Q$4),0),$E268-1973)</f>
        <v>#N/A</v>
      </c>
      <c r="R268" t="e" cm="1">
        <f t="array" ref="R268">INDEX('GMW - $100 oil'!$A$2:$MC$200,MATCH(1,('GMW - $100 oil'!$MC$2:$MC$200=R$3)*('GMW - $100 oil'!$MB$2:$MB$200=R$4),0),$E268-1973)</f>
        <v>#N/A</v>
      </c>
      <c r="S268" t="e" cm="1">
        <f t="array" ref="S268">INDEX('GMW - $100 oil'!$A$2:$MC$200,MATCH(1,('GMW - $100 oil'!$MC$2:$MC$200=S$3)*('GMW - $100 oil'!$MB$2:$MB$200=S$4),0),$E268-1973)</f>
        <v>#N/A</v>
      </c>
      <c r="T268" t="e" cm="1">
        <f t="array" ref="T268">INDEX('GMW - $100 oil'!$A$2:$MC$200,MATCH(1,('GMW - $100 oil'!$MC$2:$MC$200=T$3)*('GMW - $100 oil'!$MB$2:$MB$200=T$4),0),$E268-1973)</f>
        <v>#N/A</v>
      </c>
    </row>
    <row r="269" spans="1:20" x14ac:dyDescent="0.25">
      <c r="B269">
        <f t="shared" si="22"/>
        <v>2045</v>
      </c>
      <c r="C269">
        <f t="shared" si="22"/>
        <v>2045</v>
      </c>
      <c r="E269">
        <f t="shared" si="21"/>
        <v>2242</v>
      </c>
      <c r="F269" t="str" cm="1">
        <f t="array" ref="F269">INDEX('GMW - $100 oil'!$A$2:$MC$200,MATCH(1,('GMW - $100 oil'!$MC$2:$MC$200=F$3)*('GMW - $100 oil'!$MB$2:$MB$200=F$4),0),$E269-1973)</f>
        <v>NA</v>
      </c>
      <c r="G269" t="str" cm="1">
        <f t="array" ref="G269">INDEX('GMW - $100 oil'!$A$2:$MC$200,MATCH(1,('GMW - $100 oil'!$MC$2:$MC$200=G$3)*('GMW - $100 oil'!$MB$2:$MB$200=G$4),0),$E269-1973)</f>
        <v>NA</v>
      </c>
      <c r="H269" t="str" cm="1">
        <f t="array" ref="H269">INDEX('GMW - $100 oil'!$A$2:$MC$200,MATCH(1,('GMW - $100 oil'!$MC$2:$MC$200=H$3)*('GMW - $100 oil'!$MB$2:$MB$200=H$4),0),$E269-1973)</f>
        <v>NA</v>
      </c>
      <c r="I269" t="str" cm="1">
        <f t="array" ref="I269">INDEX('GMW - $100 oil'!$A$2:$MC$200,MATCH(1,('GMW - $100 oil'!$MC$2:$MC$200=I$3)*('GMW - $100 oil'!$MB$2:$MB$200=I$4),0),$E269-1973)</f>
        <v>NA</v>
      </c>
      <c r="J269" t="e" cm="1">
        <f t="array" ref="J269">INDEX('GMW - $100 oil'!$A$2:$MC$200,MATCH(1,('GMW - $100 oil'!$MC$2:$MC$200=J$3)*('GMW - $100 oil'!$MB$2:$MB$200=J$4),0),$E269-1973)</f>
        <v>#N/A</v>
      </c>
      <c r="K269" t="e" cm="1">
        <f t="array" ref="K269">INDEX('GMW - $100 oil'!$A$2:$MC$200,MATCH(1,('GMW - $100 oil'!$MC$2:$MC$200=K$3)*('GMW - $100 oil'!$MB$2:$MB$200=K$4),0),$E269-1973)</f>
        <v>#N/A</v>
      </c>
      <c r="L269" t="e" cm="1">
        <f t="array" ref="L269">INDEX('GMW - $100 oil'!$A$2:$MC$200,MATCH(1,('GMW - $100 oil'!$MC$2:$MC$200=L$3)*('GMW - $100 oil'!$MB$2:$MB$200=L$4),0),$E269-1973)</f>
        <v>#N/A</v>
      </c>
      <c r="M269" t="e" cm="1">
        <f t="array" ref="M269">INDEX('GMW - $100 oil'!$A$2:$MC$200,MATCH(1,('GMW - $100 oil'!$MC$2:$MC$200=M$3)*('GMW - $100 oil'!$MB$2:$MB$200=M$4),0),$E269-1973)</f>
        <v>#N/A</v>
      </c>
      <c r="N269" t="e" cm="1">
        <f t="array" ref="N269">INDEX('GMW - $100 oil'!$A$2:$MC$200,MATCH(1,('GMW - $100 oil'!$MC$2:$MC$200=N$3)*('GMW - $100 oil'!$MB$2:$MB$200=N$4),0),$E269-1973)</f>
        <v>#N/A</v>
      </c>
      <c r="O269" t="e" cm="1">
        <f t="array" ref="O269">INDEX('GMW - $100 oil'!$A$2:$MC$200,MATCH(1,('GMW - $100 oil'!$MC$2:$MC$200=O$3)*('GMW - $100 oil'!$MB$2:$MB$200=O$4),0),$E269-1973)</f>
        <v>#N/A</v>
      </c>
      <c r="P269" t="e" cm="1">
        <f t="array" ref="P269">INDEX('GMW - $100 oil'!$A$2:$MC$200,MATCH(1,('GMW - $100 oil'!$MC$2:$MC$200=P$3)*('GMW - $100 oil'!$MB$2:$MB$200=P$4),0),$E269-1973)</f>
        <v>#N/A</v>
      </c>
      <c r="Q269" t="e" cm="1">
        <f t="array" ref="Q269">INDEX('GMW - $100 oil'!$A$2:$MC$200,MATCH(1,('GMW - $100 oil'!$MC$2:$MC$200=Q$3)*('GMW - $100 oil'!$MB$2:$MB$200=Q$4),0),$E269-1973)</f>
        <v>#N/A</v>
      </c>
      <c r="R269" t="e" cm="1">
        <f t="array" ref="R269">INDEX('GMW - $100 oil'!$A$2:$MC$200,MATCH(1,('GMW - $100 oil'!$MC$2:$MC$200=R$3)*('GMW - $100 oil'!$MB$2:$MB$200=R$4),0),$E269-1973)</f>
        <v>#N/A</v>
      </c>
      <c r="S269" t="e" cm="1">
        <f t="array" ref="S269">INDEX('GMW - $100 oil'!$A$2:$MC$200,MATCH(1,('GMW - $100 oil'!$MC$2:$MC$200=S$3)*('GMW - $100 oil'!$MB$2:$MB$200=S$4),0),$E269-1973)</f>
        <v>#N/A</v>
      </c>
      <c r="T269" t="e" cm="1">
        <f t="array" ref="T269">INDEX('GMW - $100 oil'!$A$2:$MC$200,MATCH(1,('GMW - $100 oil'!$MC$2:$MC$200=T$3)*('GMW - $100 oil'!$MB$2:$MB$200=T$4),0),$E269-1973)</f>
        <v>#N/A</v>
      </c>
    </row>
    <row r="270" spans="1:20" x14ac:dyDescent="0.25">
      <c r="B270">
        <f t="shared" si="22"/>
        <v>2045</v>
      </c>
      <c r="C270">
        <f t="shared" si="22"/>
        <v>2045</v>
      </c>
      <c r="E270">
        <f t="shared" si="21"/>
        <v>2243</v>
      </c>
      <c r="F270" t="str" cm="1">
        <f t="array" ref="F270">INDEX('GMW - $100 oil'!$A$2:$MC$200,MATCH(1,('GMW - $100 oil'!$MC$2:$MC$200=F$3)*('GMW - $100 oil'!$MB$2:$MB$200=F$4),0),$E270-1973)</f>
        <v>NA</v>
      </c>
      <c r="G270" t="str" cm="1">
        <f t="array" ref="G270">INDEX('GMW - $100 oil'!$A$2:$MC$200,MATCH(1,('GMW - $100 oil'!$MC$2:$MC$200=G$3)*('GMW - $100 oil'!$MB$2:$MB$200=G$4),0),$E270-1973)</f>
        <v>NA</v>
      </c>
      <c r="H270" t="str" cm="1">
        <f t="array" ref="H270">INDEX('GMW - $100 oil'!$A$2:$MC$200,MATCH(1,('GMW - $100 oil'!$MC$2:$MC$200=H$3)*('GMW - $100 oil'!$MB$2:$MB$200=H$4),0),$E270-1973)</f>
        <v>NA</v>
      </c>
      <c r="I270" t="str" cm="1">
        <f t="array" ref="I270">INDEX('GMW - $100 oil'!$A$2:$MC$200,MATCH(1,('GMW - $100 oil'!$MC$2:$MC$200=I$3)*('GMW - $100 oil'!$MB$2:$MB$200=I$4),0),$E270-1973)</f>
        <v>NA</v>
      </c>
      <c r="J270" t="e" cm="1">
        <f t="array" ref="J270">INDEX('GMW - $100 oil'!$A$2:$MC$200,MATCH(1,('GMW - $100 oil'!$MC$2:$MC$200=J$3)*('GMW - $100 oil'!$MB$2:$MB$200=J$4),0),$E270-1973)</f>
        <v>#N/A</v>
      </c>
      <c r="K270" t="e" cm="1">
        <f t="array" ref="K270">INDEX('GMW - $100 oil'!$A$2:$MC$200,MATCH(1,('GMW - $100 oil'!$MC$2:$MC$200=K$3)*('GMW - $100 oil'!$MB$2:$MB$200=K$4),0),$E270-1973)</f>
        <v>#N/A</v>
      </c>
      <c r="L270" t="e" cm="1">
        <f t="array" ref="L270">INDEX('GMW - $100 oil'!$A$2:$MC$200,MATCH(1,('GMW - $100 oil'!$MC$2:$MC$200=L$3)*('GMW - $100 oil'!$MB$2:$MB$200=L$4),0),$E270-1973)</f>
        <v>#N/A</v>
      </c>
      <c r="M270" t="e" cm="1">
        <f t="array" ref="M270">INDEX('GMW - $100 oil'!$A$2:$MC$200,MATCH(1,('GMW - $100 oil'!$MC$2:$MC$200=M$3)*('GMW - $100 oil'!$MB$2:$MB$200=M$4),0),$E270-1973)</f>
        <v>#N/A</v>
      </c>
      <c r="N270" t="e" cm="1">
        <f t="array" ref="N270">INDEX('GMW - $100 oil'!$A$2:$MC$200,MATCH(1,('GMW - $100 oil'!$MC$2:$MC$200=N$3)*('GMW - $100 oil'!$MB$2:$MB$200=N$4),0),$E270-1973)</f>
        <v>#N/A</v>
      </c>
      <c r="O270" t="e" cm="1">
        <f t="array" ref="O270">INDEX('GMW - $100 oil'!$A$2:$MC$200,MATCH(1,('GMW - $100 oil'!$MC$2:$MC$200=O$3)*('GMW - $100 oil'!$MB$2:$MB$200=O$4),0),$E270-1973)</f>
        <v>#N/A</v>
      </c>
      <c r="P270" t="e" cm="1">
        <f t="array" ref="P270">INDEX('GMW - $100 oil'!$A$2:$MC$200,MATCH(1,('GMW - $100 oil'!$MC$2:$MC$200=P$3)*('GMW - $100 oil'!$MB$2:$MB$200=P$4),0),$E270-1973)</f>
        <v>#N/A</v>
      </c>
      <c r="Q270" t="e" cm="1">
        <f t="array" ref="Q270">INDEX('GMW - $100 oil'!$A$2:$MC$200,MATCH(1,('GMW - $100 oil'!$MC$2:$MC$200=Q$3)*('GMW - $100 oil'!$MB$2:$MB$200=Q$4),0),$E270-1973)</f>
        <v>#N/A</v>
      </c>
      <c r="R270" t="e" cm="1">
        <f t="array" ref="R270">INDEX('GMW - $100 oil'!$A$2:$MC$200,MATCH(1,('GMW - $100 oil'!$MC$2:$MC$200=R$3)*('GMW - $100 oil'!$MB$2:$MB$200=R$4),0),$E270-1973)</f>
        <v>#N/A</v>
      </c>
      <c r="S270" t="e" cm="1">
        <f t="array" ref="S270">INDEX('GMW - $100 oil'!$A$2:$MC$200,MATCH(1,('GMW - $100 oil'!$MC$2:$MC$200=S$3)*('GMW - $100 oil'!$MB$2:$MB$200=S$4),0),$E270-1973)</f>
        <v>#N/A</v>
      </c>
      <c r="T270" t="e" cm="1">
        <f t="array" ref="T270">INDEX('GMW - $100 oil'!$A$2:$MC$200,MATCH(1,('GMW - $100 oil'!$MC$2:$MC$200=T$3)*('GMW - $100 oil'!$MB$2:$MB$200=T$4),0),$E270-1973)</f>
        <v>#N/A</v>
      </c>
    </row>
    <row r="271" spans="1:20" x14ac:dyDescent="0.25">
      <c r="A271">
        <v>2046</v>
      </c>
      <c r="B271">
        <f t="shared" si="22"/>
        <v>2046</v>
      </c>
      <c r="C271">
        <f t="shared" si="22"/>
        <v>2045</v>
      </c>
      <c r="D271">
        <f t="shared" si="22"/>
        <v>2045</v>
      </c>
      <c r="E271">
        <f t="shared" si="21"/>
        <v>2244</v>
      </c>
      <c r="F271" t="str" cm="1">
        <f t="array" ref="F271">INDEX('GMW - $100 oil'!$A$2:$MC$200,MATCH(1,('GMW - $100 oil'!$MC$2:$MC$200=F$3)*('GMW - $100 oil'!$MB$2:$MB$200=F$4),0),$E271-1973)</f>
        <v>NA</v>
      </c>
      <c r="G271" t="str" cm="1">
        <f t="array" ref="G271">INDEX('GMW - $100 oil'!$A$2:$MC$200,MATCH(1,('GMW - $100 oil'!$MC$2:$MC$200=G$3)*('GMW - $100 oil'!$MB$2:$MB$200=G$4),0),$E271-1973)</f>
        <v>NA</v>
      </c>
      <c r="H271" t="str" cm="1">
        <f t="array" ref="H271">INDEX('GMW - $100 oil'!$A$2:$MC$200,MATCH(1,('GMW - $100 oil'!$MC$2:$MC$200=H$3)*('GMW - $100 oil'!$MB$2:$MB$200=H$4),0),$E271-1973)</f>
        <v>NA</v>
      </c>
      <c r="I271" t="str" cm="1">
        <f t="array" ref="I271">INDEX('GMW - $100 oil'!$A$2:$MC$200,MATCH(1,('GMW - $100 oil'!$MC$2:$MC$200=I$3)*('GMW - $100 oil'!$MB$2:$MB$200=I$4),0),$E271-1973)</f>
        <v>NA</v>
      </c>
      <c r="J271" t="e" cm="1">
        <f t="array" ref="J271">INDEX('GMW - $100 oil'!$A$2:$MC$200,MATCH(1,('GMW - $100 oil'!$MC$2:$MC$200=J$3)*('GMW - $100 oil'!$MB$2:$MB$200=J$4),0),$E271-1973)</f>
        <v>#N/A</v>
      </c>
      <c r="K271" t="e" cm="1">
        <f t="array" ref="K271">INDEX('GMW - $100 oil'!$A$2:$MC$200,MATCH(1,('GMW - $100 oil'!$MC$2:$MC$200=K$3)*('GMW - $100 oil'!$MB$2:$MB$200=K$4),0),$E271-1973)</f>
        <v>#N/A</v>
      </c>
      <c r="L271" t="e" cm="1">
        <f t="array" ref="L271">INDEX('GMW - $100 oil'!$A$2:$MC$200,MATCH(1,('GMW - $100 oil'!$MC$2:$MC$200=L$3)*('GMW - $100 oil'!$MB$2:$MB$200=L$4),0),$E271-1973)</f>
        <v>#N/A</v>
      </c>
      <c r="M271" t="e" cm="1">
        <f t="array" ref="M271">INDEX('GMW - $100 oil'!$A$2:$MC$200,MATCH(1,('GMW - $100 oil'!$MC$2:$MC$200=M$3)*('GMW - $100 oil'!$MB$2:$MB$200=M$4),0),$E271-1973)</f>
        <v>#N/A</v>
      </c>
      <c r="N271" t="e" cm="1">
        <f t="array" ref="N271">INDEX('GMW - $100 oil'!$A$2:$MC$200,MATCH(1,('GMW - $100 oil'!$MC$2:$MC$200=N$3)*('GMW - $100 oil'!$MB$2:$MB$200=N$4),0),$E271-1973)</f>
        <v>#N/A</v>
      </c>
      <c r="O271" t="e" cm="1">
        <f t="array" ref="O271">INDEX('GMW - $100 oil'!$A$2:$MC$200,MATCH(1,('GMW - $100 oil'!$MC$2:$MC$200=O$3)*('GMW - $100 oil'!$MB$2:$MB$200=O$4),0),$E271-1973)</f>
        <v>#N/A</v>
      </c>
      <c r="P271" t="e" cm="1">
        <f t="array" ref="P271">INDEX('GMW - $100 oil'!$A$2:$MC$200,MATCH(1,('GMW - $100 oil'!$MC$2:$MC$200=P$3)*('GMW - $100 oil'!$MB$2:$MB$200=P$4),0),$E271-1973)</f>
        <v>#N/A</v>
      </c>
      <c r="Q271" t="e" cm="1">
        <f t="array" ref="Q271">INDEX('GMW - $100 oil'!$A$2:$MC$200,MATCH(1,('GMW - $100 oil'!$MC$2:$MC$200=Q$3)*('GMW - $100 oil'!$MB$2:$MB$200=Q$4),0),$E271-1973)</f>
        <v>#N/A</v>
      </c>
      <c r="R271" t="e" cm="1">
        <f t="array" ref="R271">INDEX('GMW - $100 oil'!$A$2:$MC$200,MATCH(1,('GMW - $100 oil'!$MC$2:$MC$200=R$3)*('GMW - $100 oil'!$MB$2:$MB$200=R$4),0),$E271-1973)</f>
        <v>#N/A</v>
      </c>
      <c r="S271" t="e" cm="1">
        <f t="array" ref="S271">INDEX('GMW - $100 oil'!$A$2:$MC$200,MATCH(1,('GMW - $100 oil'!$MC$2:$MC$200=S$3)*('GMW - $100 oil'!$MB$2:$MB$200=S$4),0),$E271-1973)</f>
        <v>#N/A</v>
      </c>
      <c r="T271" t="e" cm="1">
        <f t="array" ref="T271">INDEX('GMW - $100 oil'!$A$2:$MC$200,MATCH(1,('GMW - $100 oil'!$MC$2:$MC$200=T$3)*('GMW - $100 oil'!$MB$2:$MB$200=T$4),0),$E271-1973)</f>
        <v>#N/A</v>
      </c>
    </row>
    <row r="272" spans="1:20" x14ac:dyDescent="0.25">
      <c r="B272">
        <f t="shared" si="22"/>
        <v>2046</v>
      </c>
      <c r="C272">
        <f t="shared" si="22"/>
        <v>2046</v>
      </c>
      <c r="E272">
        <f t="shared" si="21"/>
        <v>2245</v>
      </c>
      <c r="F272" t="str" cm="1">
        <f t="array" ref="F272">INDEX('GMW - $100 oil'!$A$2:$MC$200,MATCH(1,('GMW - $100 oil'!$MC$2:$MC$200=F$3)*('GMW - $100 oil'!$MB$2:$MB$200=F$4),0),$E272-1973)</f>
        <v>NA</v>
      </c>
      <c r="G272" t="str" cm="1">
        <f t="array" ref="G272">INDEX('GMW - $100 oil'!$A$2:$MC$200,MATCH(1,('GMW - $100 oil'!$MC$2:$MC$200=G$3)*('GMW - $100 oil'!$MB$2:$MB$200=G$4),0),$E272-1973)</f>
        <v>NA</v>
      </c>
      <c r="H272" t="str" cm="1">
        <f t="array" ref="H272">INDEX('GMW - $100 oil'!$A$2:$MC$200,MATCH(1,('GMW - $100 oil'!$MC$2:$MC$200=H$3)*('GMW - $100 oil'!$MB$2:$MB$200=H$4),0),$E272-1973)</f>
        <v>NA</v>
      </c>
      <c r="I272" t="str" cm="1">
        <f t="array" ref="I272">INDEX('GMW - $100 oil'!$A$2:$MC$200,MATCH(1,('GMW - $100 oil'!$MC$2:$MC$200=I$3)*('GMW - $100 oil'!$MB$2:$MB$200=I$4),0),$E272-1973)</f>
        <v>NA</v>
      </c>
      <c r="J272" t="e" cm="1">
        <f t="array" ref="J272">INDEX('GMW - $100 oil'!$A$2:$MC$200,MATCH(1,('GMW - $100 oil'!$MC$2:$MC$200=J$3)*('GMW - $100 oil'!$MB$2:$MB$200=J$4),0),$E272-1973)</f>
        <v>#N/A</v>
      </c>
      <c r="K272" t="e" cm="1">
        <f t="array" ref="K272">INDEX('GMW - $100 oil'!$A$2:$MC$200,MATCH(1,('GMW - $100 oil'!$MC$2:$MC$200=K$3)*('GMW - $100 oil'!$MB$2:$MB$200=K$4),0),$E272-1973)</f>
        <v>#N/A</v>
      </c>
      <c r="L272" t="e" cm="1">
        <f t="array" ref="L272">INDEX('GMW - $100 oil'!$A$2:$MC$200,MATCH(1,('GMW - $100 oil'!$MC$2:$MC$200=L$3)*('GMW - $100 oil'!$MB$2:$MB$200=L$4),0),$E272-1973)</f>
        <v>#N/A</v>
      </c>
      <c r="M272" t="e" cm="1">
        <f t="array" ref="M272">INDEX('GMW - $100 oil'!$A$2:$MC$200,MATCH(1,('GMW - $100 oil'!$MC$2:$MC$200=M$3)*('GMW - $100 oil'!$MB$2:$MB$200=M$4),0),$E272-1973)</f>
        <v>#N/A</v>
      </c>
      <c r="N272" t="e" cm="1">
        <f t="array" ref="N272">INDEX('GMW - $100 oil'!$A$2:$MC$200,MATCH(1,('GMW - $100 oil'!$MC$2:$MC$200=N$3)*('GMW - $100 oil'!$MB$2:$MB$200=N$4),0),$E272-1973)</f>
        <v>#N/A</v>
      </c>
      <c r="O272" t="e" cm="1">
        <f t="array" ref="O272">INDEX('GMW - $100 oil'!$A$2:$MC$200,MATCH(1,('GMW - $100 oil'!$MC$2:$MC$200=O$3)*('GMW - $100 oil'!$MB$2:$MB$200=O$4),0),$E272-1973)</f>
        <v>#N/A</v>
      </c>
      <c r="P272" t="e" cm="1">
        <f t="array" ref="P272">INDEX('GMW - $100 oil'!$A$2:$MC$200,MATCH(1,('GMW - $100 oil'!$MC$2:$MC$200=P$3)*('GMW - $100 oil'!$MB$2:$MB$200=P$4),0),$E272-1973)</f>
        <v>#N/A</v>
      </c>
      <c r="Q272" t="e" cm="1">
        <f t="array" ref="Q272">INDEX('GMW - $100 oil'!$A$2:$MC$200,MATCH(1,('GMW - $100 oil'!$MC$2:$MC$200=Q$3)*('GMW - $100 oil'!$MB$2:$MB$200=Q$4),0),$E272-1973)</f>
        <v>#N/A</v>
      </c>
      <c r="R272" t="e" cm="1">
        <f t="array" ref="R272">INDEX('GMW - $100 oil'!$A$2:$MC$200,MATCH(1,('GMW - $100 oil'!$MC$2:$MC$200=R$3)*('GMW - $100 oil'!$MB$2:$MB$200=R$4),0),$E272-1973)</f>
        <v>#N/A</v>
      </c>
      <c r="S272" t="e" cm="1">
        <f t="array" ref="S272">INDEX('GMW - $100 oil'!$A$2:$MC$200,MATCH(1,('GMW - $100 oil'!$MC$2:$MC$200=S$3)*('GMW - $100 oil'!$MB$2:$MB$200=S$4),0),$E272-1973)</f>
        <v>#N/A</v>
      </c>
      <c r="T272" t="e" cm="1">
        <f t="array" ref="T272">INDEX('GMW - $100 oil'!$A$2:$MC$200,MATCH(1,('GMW - $100 oil'!$MC$2:$MC$200=T$3)*('GMW - $100 oil'!$MB$2:$MB$200=T$4),0),$E272-1973)</f>
        <v>#N/A</v>
      </c>
    </row>
    <row r="273" spans="1:20" x14ac:dyDescent="0.25">
      <c r="B273">
        <f t="shared" si="22"/>
        <v>2046</v>
      </c>
      <c r="C273">
        <f t="shared" si="22"/>
        <v>2046</v>
      </c>
      <c r="E273">
        <f t="shared" si="21"/>
        <v>2246</v>
      </c>
      <c r="F273" t="str" cm="1">
        <f t="array" ref="F273">INDEX('GMW - $100 oil'!$A$2:$MC$200,MATCH(1,('GMW - $100 oil'!$MC$2:$MC$200=F$3)*('GMW - $100 oil'!$MB$2:$MB$200=F$4),0),$E273-1973)</f>
        <v>NA</v>
      </c>
      <c r="G273" t="str" cm="1">
        <f t="array" ref="G273">INDEX('GMW - $100 oil'!$A$2:$MC$200,MATCH(1,('GMW - $100 oil'!$MC$2:$MC$200=G$3)*('GMW - $100 oil'!$MB$2:$MB$200=G$4),0),$E273-1973)</f>
        <v>NA</v>
      </c>
      <c r="H273" t="str" cm="1">
        <f t="array" ref="H273">INDEX('GMW - $100 oil'!$A$2:$MC$200,MATCH(1,('GMW - $100 oil'!$MC$2:$MC$200=H$3)*('GMW - $100 oil'!$MB$2:$MB$200=H$4),0),$E273-1973)</f>
        <v>NA</v>
      </c>
      <c r="I273" t="str" cm="1">
        <f t="array" ref="I273">INDEX('GMW - $100 oil'!$A$2:$MC$200,MATCH(1,('GMW - $100 oil'!$MC$2:$MC$200=I$3)*('GMW - $100 oil'!$MB$2:$MB$200=I$4),0),$E273-1973)</f>
        <v>NA</v>
      </c>
      <c r="J273" t="e" cm="1">
        <f t="array" ref="J273">INDEX('GMW - $100 oil'!$A$2:$MC$200,MATCH(1,('GMW - $100 oil'!$MC$2:$MC$200=J$3)*('GMW - $100 oil'!$MB$2:$MB$200=J$4),0),$E273-1973)</f>
        <v>#N/A</v>
      </c>
      <c r="K273" t="e" cm="1">
        <f t="array" ref="K273">INDEX('GMW - $100 oil'!$A$2:$MC$200,MATCH(1,('GMW - $100 oil'!$MC$2:$MC$200=K$3)*('GMW - $100 oil'!$MB$2:$MB$200=K$4),0),$E273-1973)</f>
        <v>#N/A</v>
      </c>
      <c r="L273" t="e" cm="1">
        <f t="array" ref="L273">INDEX('GMW - $100 oil'!$A$2:$MC$200,MATCH(1,('GMW - $100 oil'!$MC$2:$MC$200=L$3)*('GMW - $100 oil'!$MB$2:$MB$200=L$4),0),$E273-1973)</f>
        <v>#N/A</v>
      </c>
      <c r="M273" t="e" cm="1">
        <f t="array" ref="M273">INDEX('GMW - $100 oil'!$A$2:$MC$200,MATCH(1,('GMW - $100 oil'!$MC$2:$MC$200=M$3)*('GMW - $100 oil'!$MB$2:$MB$200=M$4),0),$E273-1973)</f>
        <v>#N/A</v>
      </c>
      <c r="N273" t="e" cm="1">
        <f t="array" ref="N273">INDEX('GMW - $100 oil'!$A$2:$MC$200,MATCH(1,('GMW - $100 oil'!$MC$2:$MC$200=N$3)*('GMW - $100 oil'!$MB$2:$MB$200=N$4),0),$E273-1973)</f>
        <v>#N/A</v>
      </c>
      <c r="O273" t="e" cm="1">
        <f t="array" ref="O273">INDEX('GMW - $100 oil'!$A$2:$MC$200,MATCH(1,('GMW - $100 oil'!$MC$2:$MC$200=O$3)*('GMW - $100 oil'!$MB$2:$MB$200=O$4),0),$E273-1973)</f>
        <v>#N/A</v>
      </c>
      <c r="P273" t="e" cm="1">
        <f t="array" ref="P273">INDEX('GMW - $100 oil'!$A$2:$MC$200,MATCH(1,('GMW - $100 oil'!$MC$2:$MC$200=P$3)*('GMW - $100 oil'!$MB$2:$MB$200=P$4),0),$E273-1973)</f>
        <v>#N/A</v>
      </c>
      <c r="Q273" t="e" cm="1">
        <f t="array" ref="Q273">INDEX('GMW - $100 oil'!$A$2:$MC$200,MATCH(1,('GMW - $100 oil'!$MC$2:$MC$200=Q$3)*('GMW - $100 oil'!$MB$2:$MB$200=Q$4),0),$E273-1973)</f>
        <v>#N/A</v>
      </c>
      <c r="R273" t="e" cm="1">
        <f t="array" ref="R273">INDEX('GMW - $100 oil'!$A$2:$MC$200,MATCH(1,('GMW - $100 oil'!$MC$2:$MC$200=R$3)*('GMW - $100 oil'!$MB$2:$MB$200=R$4),0),$E273-1973)</f>
        <v>#N/A</v>
      </c>
      <c r="S273" t="e" cm="1">
        <f t="array" ref="S273">INDEX('GMW - $100 oil'!$A$2:$MC$200,MATCH(1,('GMW - $100 oil'!$MC$2:$MC$200=S$3)*('GMW - $100 oil'!$MB$2:$MB$200=S$4),0),$E273-1973)</f>
        <v>#N/A</v>
      </c>
      <c r="T273" t="e" cm="1">
        <f t="array" ref="T273">INDEX('GMW - $100 oil'!$A$2:$MC$200,MATCH(1,('GMW - $100 oil'!$MC$2:$MC$200=T$3)*('GMW - $100 oil'!$MB$2:$MB$200=T$4),0),$E273-1973)</f>
        <v>#N/A</v>
      </c>
    </row>
    <row r="274" spans="1:20" x14ac:dyDescent="0.25">
      <c r="B274">
        <f t="shared" si="22"/>
        <v>2046</v>
      </c>
      <c r="C274">
        <f t="shared" si="22"/>
        <v>2046</v>
      </c>
      <c r="E274">
        <f t="shared" si="21"/>
        <v>2247</v>
      </c>
      <c r="F274" t="str" cm="1">
        <f t="array" ref="F274">INDEX('GMW - $100 oil'!$A$2:$MC$200,MATCH(1,('GMW - $100 oil'!$MC$2:$MC$200=F$3)*('GMW - $100 oil'!$MB$2:$MB$200=F$4),0),$E274-1973)</f>
        <v>NA</v>
      </c>
      <c r="G274" t="str" cm="1">
        <f t="array" ref="G274">INDEX('GMW - $100 oil'!$A$2:$MC$200,MATCH(1,('GMW - $100 oil'!$MC$2:$MC$200=G$3)*('GMW - $100 oil'!$MB$2:$MB$200=G$4),0),$E274-1973)</f>
        <v>NA</v>
      </c>
      <c r="H274" t="str" cm="1">
        <f t="array" ref="H274">INDEX('GMW - $100 oil'!$A$2:$MC$200,MATCH(1,('GMW - $100 oil'!$MC$2:$MC$200=H$3)*('GMW - $100 oil'!$MB$2:$MB$200=H$4),0),$E274-1973)</f>
        <v>NA</v>
      </c>
      <c r="I274" t="str" cm="1">
        <f t="array" ref="I274">INDEX('GMW - $100 oil'!$A$2:$MC$200,MATCH(1,('GMW - $100 oil'!$MC$2:$MC$200=I$3)*('GMW - $100 oil'!$MB$2:$MB$200=I$4),0),$E274-1973)</f>
        <v>NA</v>
      </c>
      <c r="J274" t="e" cm="1">
        <f t="array" ref="J274">INDEX('GMW - $100 oil'!$A$2:$MC$200,MATCH(1,('GMW - $100 oil'!$MC$2:$MC$200=J$3)*('GMW - $100 oil'!$MB$2:$MB$200=J$4),0),$E274-1973)</f>
        <v>#N/A</v>
      </c>
      <c r="K274" t="e" cm="1">
        <f t="array" ref="K274">INDEX('GMW - $100 oil'!$A$2:$MC$200,MATCH(1,('GMW - $100 oil'!$MC$2:$MC$200=K$3)*('GMW - $100 oil'!$MB$2:$MB$200=K$4),0),$E274-1973)</f>
        <v>#N/A</v>
      </c>
      <c r="L274" t="e" cm="1">
        <f t="array" ref="L274">INDEX('GMW - $100 oil'!$A$2:$MC$200,MATCH(1,('GMW - $100 oil'!$MC$2:$MC$200=L$3)*('GMW - $100 oil'!$MB$2:$MB$200=L$4),0),$E274-1973)</f>
        <v>#N/A</v>
      </c>
      <c r="M274" t="e" cm="1">
        <f t="array" ref="M274">INDEX('GMW - $100 oil'!$A$2:$MC$200,MATCH(1,('GMW - $100 oil'!$MC$2:$MC$200=M$3)*('GMW - $100 oil'!$MB$2:$MB$200=M$4),0),$E274-1973)</f>
        <v>#N/A</v>
      </c>
      <c r="N274" t="e" cm="1">
        <f t="array" ref="N274">INDEX('GMW - $100 oil'!$A$2:$MC$200,MATCH(1,('GMW - $100 oil'!$MC$2:$MC$200=N$3)*('GMW - $100 oil'!$MB$2:$MB$200=N$4),0),$E274-1973)</f>
        <v>#N/A</v>
      </c>
      <c r="O274" t="e" cm="1">
        <f t="array" ref="O274">INDEX('GMW - $100 oil'!$A$2:$MC$200,MATCH(1,('GMW - $100 oil'!$MC$2:$MC$200=O$3)*('GMW - $100 oil'!$MB$2:$MB$200=O$4),0),$E274-1973)</f>
        <v>#N/A</v>
      </c>
      <c r="P274" t="e" cm="1">
        <f t="array" ref="P274">INDEX('GMW - $100 oil'!$A$2:$MC$200,MATCH(1,('GMW - $100 oil'!$MC$2:$MC$200=P$3)*('GMW - $100 oil'!$MB$2:$MB$200=P$4),0),$E274-1973)</f>
        <v>#N/A</v>
      </c>
      <c r="Q274" t="e" cm="1">
        <f t="array" ref="Q274">INDEX('GMW - $100 oil'!$A$2:$MC$200,MATCH(1,('GMW - $100 oil'!$MC$2:$MC$200=Q$3)*('GMW - $100 oil'!$MB$2:$MB$200=Q$4),0),$E274-1973)</f>
        <v>#N/A</v>
      </c>
      <c r="R274" t="e" cm="1">
        <f t="array" ref="R274">INDEX('GMW - $100 oil'!$A$2:$MC$200,MATCH(1,('GMW - $100 oil'!$MC$2:$MC$200=R$3)*('GMW - $100 oil'!$MB$2:$MB$200=R$4),0),$E274-1973)</f>
        <v>#N/A</v>
      </c>
      <c r="S274" t="e" cm="1">
        <f t="array" ref="S274">INDEX('GMW - $100 oil'!$A$2:$MC$200,MATCH(1,('GMW - $100 oil'!$MC$2:$MC$200=S$3)*('GMW - $100 oil'!$MB$2:$MB$200=S$4),0),$E274-1973)</f>
        <v>#N/A</v>
      </c>
      <c r="T274" t="e" cm="1">
        <f t="array" ref="T274">INDEX('GMW - $100 oil'!$A$2:$MC$200,MATCH(1,('GMW - $100 oil'!$MC$2:$MC$200=T$3)*('GMW - $100 oil'!$MB$2:$MB$200=T$4),0),$E274-1973)</f>
        <v>#N/A</v>
      </c>
    </row>
    <row r="275" spans="1:20" x14ac:dyDescent="0.25">
      <c r="A275">
        <v>2047</v>
      </c>
      <c r="B275">
        <f t="shared" si="22"/>
        <v>2047</v>
      </c>
      <c r="C275">
        <f t="shared" si="22"/>
        <v>2046</v>
      </c>
      <c r="D275">
        <f t="shared" si="22"/>
        <v>2046</v>
      </c>
      <c r="E275">
        <f t="shared" si="21"/>
        <v>2248</v>
      </c>
      <c r="F275" t="str" cm="1">
        <f t="array" ref="F275">INDEX('GMW - $100 oil'!$A$2:$MC$200,MATCH(1,('GMW - $100 oil'!$MC$2:$MC$200=F$3)*('GMW - $100 oil'!$MB$2:$MB$200=F$4),0),$E275-1973)</f>
        <v>NA</v>
      </c>
      <c r="G275" t="str" cm="1">
        <f t="array" ref="G275">INDEX('GMW - $100 oil'!$A$2:$MC$200,MATCH(1,('GMW - $100 oil'!$MC$2:$MC$200=G$3)*('GMW - $100 oil'!$MB$2:$MB$200=G$4),0),$E275-1973)</f>
        <v>NA</v>
      </c>
      <c r="H275" t="str" cm="1">
        <f t="array" ref="H275">INDEX('GMW - $100 oil'!$A$2:$MC$200,MATCH(1,('GMW - $100 oil'!$MC$2:$MC$200=H$3)*('GMW - $100 oil'!$MB$2:$MB$200=H$4),0),$E275-1973)</f>
        <v>NA</v>
      </c>
      <c r="I275" t="str" cm="1">
        <f t="array" ref="I275">INDEX('GMW - $100 oil'!$A$2:$MC$200,MATCH(1,('GMW - $100 oil'!$MC$2:$MC$200=I$3)*('GMW - $100 oil'!$MB$2:$MB$200=I$4),0),$E275-1973)</f>
        <v>NA</v>
      </c>
      <c r="J275" t="e" cm="1">
        <f t="array" ref="J275">INDEX('GMW - $100 oil'!$A$2:$MC$200,MATCH(1,('GMW - $100 oil'!$MC$2:$MC$200=J$3)*('GMW - $100 oil'!$MB$2:$MB$200=J$4),0),$E275-1973)</f>
        <v>#N/A</v>
      </c>
      <c r="K275" t="e" cm="1">
        <f t="array" ref="K275">INDEX('GMW - $100 oil'!$A$2:$MC$200,MATCH(1,('GMW - $100 oil'!$MC$2:$MC$200=K$3)*('GMW - $100 oil'!$MB$2:$MB$200=K$4),0),$E275-1973)</f>
        <v>#N/A</v>
      </c>
      <c r="L275" t="e" cm="1">
        <f t="array" ref="L275">INDEX('GMW - $100 oil'!$A$2:$MC$200,MATCH(1,('GMW - $100 oil'!$MC$2:$MC$200=L$3)*('GMW - $100 oil'!$MB$2:$MB$200=L$4),0),$E275-1973)</f>
        <v>#N/A</v>
      </c>
      <c r="M275" t="e" cm="1">
        <f t="array" ref="M275">INDEX('GMW - $100 oil'!$A$2:$MC$200,MATCH(1,('GMW - $100 oil'!$MC$2:$MC$200=M$3)*('GMW - $100 oil'!$MB$2:$MB$200=M$4),0),$E275-1973)</f>
        <v>#N/A</v>
      </c>
      <c r="N275" t="e" cm="1">
        <f t="array" ref="N275">INDEX('GMW - $100 oil'!$A$2:$MC$200,MATCH(1,('GMW - $100 oil'!$MC$2:$MC$200=N$3)*('GMW - $100 oil'!$MB$2:$MB$200=N$4),0),$E275-1973)</f>
        <v>#N/A</v>
      </c>
      <c r="O275" t="e" cm="1">
        <f t="array" ref="O275">INDEX('GMW - $100 oil'!$A$2:$MC$200,MATCH(1,('GMW - $100 oil'!$MC$2:$MC$200=O$3)*('GMW - $100 oil'!$MB$2:$MB$200=O$4),0),$E275-1973)</f>
        <v>#N/A</v>
      </c>
      <c r="P275" t="e" cm="1">
        <f t="array" ref="P275">INDEX('GMW - $100 oil'!$A$2:$MC$200,MATCH(1,('GMW - $100 oil'!$MC$2:$MC$200=P$3)*('GMW - $100 oil'!$MB$2:$MB$200=P$4),0),$E275-1973)</f>
        <v>#N/A</v>
      </c>
      <c r="Q275" t="e" cm="1">
        <f t="array" ref="Q275">INDEX('GMW - $100 oil'!$A$2:$MC$200,MATCH(1,('GMW - $100 oil'!$MC$2:$MC$200=Q$3)*('GMW - $100 oil'!$MB$2:$MB$200=Q$4),0),$E275-1973)</f>
        <v>#N/A</v>
      </c>
      <c r="R275" t="e" cm="1">
        <f t="array" ref="R275">INDEX('GMW - $100 oil'!$A$2:$MC$200,MATCH(1,('GMW - $100 oil'!$MC$2:$MC$200=R$3)*('GMW - $100 oil'!$MB$2:$MB$200=R$4),0),$E275-1973)</f>
        <v>#N/A</v>
      </c>
      <c r="S275" t="e" cm="1">
        <f t="array" ref="S275">INDEX('GMW - $100 oil'!$A$2:$MC$200,MATCH(1,('GMW - $100 oil'!$MC$2:$MC$200=S$3)*('GMW - $100 oil'!$MB$2:$MB$200=S$4),0),$E275-1973)</f>
        <v>#N/A</v>
      </c>
      <c r="T275" t="e" cm="1">
        <f t="array" ref="T275">INDEX('GMW - $100 oil'!$A$2:$MC$200,MATCH(1,('GMW - $100 oil'!$MC$2:$MC$200=T$3)*('GMW - $100 oil'!$MB$2:$MB$200=T$4),0),$E275-1973)</f>
        <v>#N/A</v>
      </c>
    </row>
    <row r="276" spans="1:20" x14ac:dyDescent="0.25">
      <c r="B276">
        <f t="shared" si="22"/>
        <v>2047</v>
      </c>
      <c r="C276">
        <f t="shared" si="22"/>
        <v>2047</v>
      </c>
      <c r="E276">
        <f t="shared" si="21"/>
        <v>2249</v>
      </c>
      <c r="F276" t="str" cm="1">
        <f t="array" ref="F276">INDEX('GMW - $100 oil'!$A$2:$MC$200,MATCH(1,('GMW - $100 oil'!$MC$2:$MC$200=F$3)*('GMW - $100 oil'!$MB$2:$MB$200=F$4),0),$E276-1973)</f>
        <v>NA</v>
      </c>
      <c r="G276" t="str" cm="1">
        <f t="array" ref="G276">INDEX('GMW - $100 oil'!$A$2:$MC$200,MATCH(1,('GMW - $100 oil'!$MC$2:$MC$200=G$3)*('GMW - $100 oil'!$MB$2:$MB$200=G$4),0),$E276-1973)</f>
        <v>NA</v>
      </c>
      <c r="H276" t="str" cm="1">
        <f t="array" ref="H276">INDEX('GMW - $100 oil'!$A$2:$MC$200,MATCH(1,('GMW - $100 oil'!$MC$2:$MC$200=H$3)*('GMW - $100 oil'!$MB$2:$MB$200=H$4),0),$E276-1973)</f>
        <v>NA</v>
      </c>
      <c r="I276" t="str" cm="1">
        <f t="array" ref="I276">INDEX('GMW - $100 oil'!$A$2:$MC$200,MATCH(1,('GMW - $100 oil'!$MC$2:$MC$200=I$3)*('GMW - $100 oil'!$MB$2:$MB$200=I$4),0),$E276-1973)</f>
        <v>NA</v>
      </c>
      <c r="J276" t="e" cm="1">
        <f t="array" ref="J276">INDEX('GMW - $100 oil'!$A$2:$MC$200,MATCH(1,('GMW - $100 oil'!$MC$2:$MC$200=J$3)*('GMW - $100 oil'!$MB$2:$MB$200=J$4),0),$E276-1973)</f>
        <v>#N/A</v>
      </c>
      <c r="K276" t="e" cm="1">
        <f t="array" ref="K276">INDEX('GMW - $100 oil'!$A$2:$MC$200,MATCH(1,('GMW - $100 oil'!$MC$2:$MC$200=K$3)*('GMW - $100 oil'!$MB$2:$MB$200=K$4),0),$E276-1973)</f>
        <v>#N/A</v>
      </c>
      <c r="L276" t="e" cm="1">
        <f t="array" ref="L276">INDEX('GMW - $100 oil'!$A$2:$MC$200,MATCH(1,('GMW - $100 oil'!$MC$2:$MC$200=L$3)*('GMW - $100 oil'!$MB$2:$MB$200=L$4),0),$E276-1973)</f>
        <v>#N/A</v>
      </c>
      <c r="M276" t="e" cm="1">
        <f t="array" ref="M276">INDEX('GMW - $100 oil'!$A$2:$MC$200,MATCH(1,('GMW - $100 oil'!$MC$2:$MC$200=M$3)*('GMW - $100 oil'!$MB$2:$MB$200=M$4),0),$E276-1973)</f>
        <v>#N/A</v>
      </c>
      <c r="N276" t="e" cm="1">
        <f t="array" ref="N276">INDEX('GMW - $100 oil'!$A$2:$MC$200,MATCH(1,('GMW - $100 oil'!$MC$2:$MC$200=N$3)*('GMW - $100 oil'!$MB$2:$MB$200=N$4),0),$E276-1973)</f>
        <v>#N/A</v>
      </c>
      <c r="O276" t="e" cm="1">
        <f t="array" ref="O276">INDEX('GMW - $100 oil'!$A$2:$MC$200,MATCH(1,('GMW - $100 oil'!$MC$2:$MC$200=O$3)*('GMW - $100 oil'!$MB$2:$MB$200=O$4),0),$E276-1973)</f>
        <v>#N/A</v>
      </c>
      <c r="P276" t="e" cm="1">
        <f t="array" ref="P276">INDEX('GMW - $100 oil'!$A$2:$MC$200,MATCH(1,('GMW - $100 oil'!$MC$2:$MC$200=P$3)*('GMW - $100 oil'!$MB$2:$MB$200=P$4),0),$E276-1973)</f>
        <v>#N/A</v>
      </c>
      <c r="Q276" t="e" cm="1">
        <f t="array" ref="Q276">INDEX('GMW - $100 oil'!$A$2:$MC$200,MATCH(1,('GMW - $100 oil'!$MC$2:$MC$200=Q$3)*('GMW - $100 oil'!$MB$2:$MB$200=Q$4),0),$E276-1973)</f>
        <v>#N/A</v>
      </c>
      <c r="R276" t="e" cm="1">
        <f t="array" ref="R276">INDEX('GMW - $100 oil'!$A$2:$MC$200,MATCH(1,('GMW - $100 oil'!$MC$2:$MC$200=R$3)*('GMW - $100 oil'!$MB$2:$MB$200=R$4),0),$E276-1973)</f>
        <v>#N/A</v>
      </c>
      <c r="S276" t="e" cm="1">
        <f t="array" ref="S276">INDEX('GMW - $100 oil'!$A$2:$MC$200,MATCH(1,('GMW - $100 oil'!$MC$2:$MC$200=S$3)*('GMW - $100 oil'!$MB$2:$MB$200=S$4),0),$E276-1973)</f>
        <v>#N/A</v>
      </c>
      <c r="T276" t="e" cm="1">
        <f t="array" ref="T276">INDEX('GMW - $100 oil'!$A$2:$MC$200,MATCH(1,('GMW - $100 oil'!$MC$2:$MC$200=T$3)*('GMW - $100 oil'!$MB$2:$MB$200=T$4),0),$E276-1973)</f>
        <v>#N/A</v>
      </c>
    </row>
    <row r="277" spans="1:20" x14ac:dyDescent="0.25">
      <c r="B277">
        <f t="shared" si="22"/>
        <v>2047</v>
      </c>
      <c r="C277">
        <f t="shared" si="22"/>
        <v>2047</v>
      </c>
      <c r="E277">
        <f t="shared" si="21"/>
        <v>2250</v>
      </c>
      <c r="F277" t="str" cm="1">
        <f t="array" ref="F277">INDEX('GMW - $100 oil'!$A$2:$MC$200,MATCH(1,('GMW - $100 oil'!$MC$2:$MC$200=F$3)*('GMW - $100 oil'!$MB$2:$MB$200=F$4),0),$E277-1973)</f>
        <v>NA</v>
      </c>
      <c r="G277" t="str" cm="1">
        <f t="array" ref="G277">INDEX('GMW - $100 oil'!$A$2:$MC$200,MATCH(1,('GMW - $100 oil'!$MC$2:$MC$200=G$3)*('GMW - $100 oil'!$MB$2:$MB$200=G$4),0),$E277-1973)</f>
        <v>NA</v>
      </c>
      <c r="H277" t="str" cm="1">
        <f t="array" ref="H277">INDEX('GMW - $100 oil'!$A$2:$MC$200,MATCH(1,('GMW - $100 oil'!$MC$2:$MC$200=H$3)*('GMW - $100 oil'!$MB$2:$MB$200=H$4),0),$E277-1973)</f>
        <v>NA</v>
      </c>
      <c r="I277" t="str" cm="1">
        <f t="array" ref="I277">INDEX('GMW - $100 oil'!$A$2:$MC$200,MATCH(1,('GMW - $100 oil'!$MC$2:$MC$200=I$3)*('GMW - $100 oil'!$MB$2:$MB$200=I$4),0),$E277-1973)</f>
        <v>NA</v>
      </c>
      <c r="J277" t="e" cm="1">
        <f t="array" ref="J277">INDEX('GMW - $100 oil'!$A$2:$MC$200,MATCH(1,('GMW - $100 oil'!$MC$2:$MC$200=J$3)*('GMW - $100 oil'!$MB$2:$MB$200=J$4),0),$E277-1973)</f>
        <v>#N/A</v>
      </c>
      <c r="K277" t="e" cm="1">
        <f t="array" ref="K277">INDEX('GMW - $100 oil'!$A$2:$MC$200,MATCH(1,('GMW - $100 oil'!$MC$2:$MC$200=K$3)*('GMW - $100 oil'!$MB$2:$MB$200=K$4),0),$E277-1973)</f>
        <v>#N/A</v>
      </c>
      <c r="L277" t="e" cm="1">
        <f t="array" ref="L277">INDEX('GMW - $100 oil'!$A$2:$MC$200,MATCH(1,('GMW - $100 oil'!$MC$2:$MC$200=L$3)*('GMW - $100 oil'!$MB$2:$MB$200=L$4),0),$E277-1973)</f>
        <v>#N/A</v>
      </c>
      <c r="M277" t="e" cm="1">
        <f t="array" ref="M277">INDEX('GMW - $100 oil'!$A$2:$MC$200,MATCH(1,('GMW - $100 oil'!$MC$2:$MC$200=M$3)*('GMW - $100 oil'!$MB$2:$MB$200=M$4),0),$E277-1973)</f>
        <v>#N/A</v>
      </c>
      <c r="N277" t="e" cm="1">
        <f t="array" ref="N277">INDEX('GMW - $100 oil'!$A$2:$MC$200,MATCH(1,('GMW - $100 oil'!$MC$2:$MC$200=N$3)*('GMW - $100 oil'!$MB$2:$MB$200=N$4),0),$E277-1973)</f>
        <v>#N/A</v>
      </c>
      <c r="O277" t="e" cm="1">
        <f t="array" ref="O277">INDEX('GMW - $100 oil'!$A$2:$MC$200,MATCH(1,('GMW - $100 oil'!$MC$2:$MC$200=O$3)*('GMW - $100 oil'!$MB$2:$MB$200=O$4),0),$E277-1973)</f>
        <v>#N/A</v>
      </c>
      <c r="P277" t="e" cm="1">
        <f t="array" ref="P277">INDEX('GMW - $100 oil'!$A$2:$MC$200,MATCH(1,('GMW - $100 oil'!$MC$2:$MC$200=P$3)*('GMW - $100 oil'!$MB$2:$MB$200=P$4),0),$E277-1973)</f>
        <v>#N/A</v>
      </c>
      <c r="Q277" t="e" cm="1">
        <f t="array" ref="Q277">INDEX('GMW - $100 oil'!$A$2:$MC$200,MATCH(1,('GMW - $100 oil'!$MC$2:$MC$200=Q$3)*('GMW - $100 oil'!$MB$2:$MB$200=Q$4),0),$E277-1973)</f>
        <v>#N/A</v>
      </c>
      <c r="R277" t="e" cm="1">
        <f t="array" ref="R277">INDEX('GMW - $100 oil'!$A$2:$MC$200,MATCH(1,('GMW - $100 oil'!$MC$2:$MC$200=R$3)*('GMW - $100 oil'!$MB$2:$MB$200=R$4),0),$E277-1973)</f>
        <v>#N/A</v>
      </c>
      <c r="S277" t="e" cm="1">
        <f t="array" ref="S277">INDEX('GMW - $100 oil'!$A$2:$MC$200,MATCH(1,('GMW - $100 oil'!$MC$2:$MC$200=S$3)*('GMW - $100 oil'!$MB$2:$MB$200=S$4),0),$E277-1973)</f>
        <v>#N/A</v>
      </c>
      <c r="T277" t="e" cm="1">
        <f t="array" ref="T277">INDEX('GMW - $100 oil'!$A$2:$MC$200,MATCH(1,('GMW - $100 oil'!$MC$2:$MC$200=T$3)*('GMW - $100 oil'!$MB$2:$MB$200=T$4),0),$E277-1973)</f>
        <v>#N/A</v>
      </c>
    </row>
    <row r="278" spans="1:20" x14ac:dyDescent="0.25">
      <c r="B278">
        <f t="shared" si="22"/>
        <v>2047</v>
      </c>
      <c r="C278">
        <f t="shared" si="22"/>
        <v>2047</v>
      </c>
      <c r="E278">
        <f t="shared" si="21"/>
        <v>2251</v>
      </c>
      <c r="F278" t="str" cm="1">
        <f t="array" ref="F278">INDEX('GMW - $100 oil'!$A$2:$MC$200,MATCH(1,('GMW - $100 oil'!$MC$2:$MC$200=F$3)*('GMW - $100 oil'!$MB$2:$MB$200=F$4),0),$E278-1973)</f>
        <v>NA</v>
      </c>
      <c r="G278" t="str" cm="1">
        <f t="array" ref="G278">INDEX('GMW - $100 oil'!$A$2:$MC$200,MATCH(1,('GMW - $100 oil'!$MC$2:$MC$200=G$3)*('GMW - $100 oil'!$MB$2:$MB$200=G$4),0),$E278-1973)</f>
        <v>NA</v>
      </c>
      <c r="H278" t="str" cm="1">
        <f t="array" ref="H278">INDEX('GMW - $100 oil'!$A$2:$MC$200,MATCH(1,('GMW - $100 oil'!$MC$2:$MC$200=H$3)*('GMW - $100 oil'!$MB$2:$MB$200=H$4),0),$E278-1973)</f>
        <v>NA</v>
      </c>
      <c r="I278" t="str" cm="1">
        <f t="array" ref="I278">INDEX('GMW - $100 oil'!$A$2:$MC$200,MATCH(1,('GMW - $100 oil'!$MC$2:$MC$200=I$3)*('GMW - $100 oil'!$MB$2:$MB$200=I$4),0),$E278-1973)</f>
        <v>NA</v>
      </c>
      <c r="J278" t="e" cm="1">
        <f t="array" ref="J278">INDEX('GMW - $100 oil'!$A$2:$MC$200,MATCH(1,('GMW - $100 oil'!$MC$2:$MC$200=J$3)*('GMW - $100 oil'!$MB$2:$MB$200=J$4),0),$E278-1973)</f>
        <v>#N/A</v>
      </c>
      <c r="K278" t="e" cm="1">
        <f t="array" ref="K278">INDEX('GMW - $100 oil'!$A$2:$MC$200,MATCH(1,('GMW - $100 oil'!$MC$2:$MC$200=K$3)*('GMW - $100 oil'!$MB$2:$MB$200=K$4),0),$E278-1973)</f>
        <v>#N/A</v>
      </c>
      <c r="L278" t="e" cm="1">
        <f t="array" ref="L278">INDEX('GMW - $100 oil'!$A$2:$MC$200,MATCH(1,('GMW - $100 oil'!$MC$2:$MC$200=L$3)*('GMW - $100 oil'!$MB$2:$MB$200=L$4),0),$E278-1973)</f>
        <v>#N/A</v>
      </c>
      <c r="M278" t="e" cm="1">
        <f t="array" ref="M278">INDEX('GMW - $100 oil'!$A$2:$MC$200,MATCH(1,('GMW - $100 oil'!$MC$2:$MC$200=M$3)*('GMW - $100 oil'!$MB$2:$MB$200=M$4),0),$E278-1973)</f>
        <v>#N/A</v>
      </c>
      <c r="N278" t="e" cm="1">
        <f t="array" ref="N278">INDEX('GMW - $100 oil'!$A$2:$MC$200,MATCH(1,('GMW - $100 oil'!$MC$2:$MC$200=N$3)*('GMW - $100 oil'!$MB$2:$MB$200=N$4),0),$E278-1973)</f>
        <v>#N/A</v>
      </c>
      <c r="O278" t="e" cm="1">
        <f t="array" ref="O278">INDEX('GMW - $100 oil'!$A$2:$MC$200,MATCH(1,('GMW - $100 oil'!$MC$2:$MC$200=O$3)*('GMW - $100 oil'!$MB$2:$MB$200=O$4),0),$E278-1973)</f>
        <v>#N/A</v>
      </c>
      <c r="P278" t="e" cm="1">
        <f t="array" ref="P278">INDEX('GMW - $100 oil'!$A$2:$MC$200,MATCH(1,('GMW - $100 oil'!$MC$2:$MC$200=P$3)*('GMW - $100 oil'!$MB$2:$MB$200=P$4),0),$E278-1973)</f>
        <v>#N/A</v>
      </c>
      <c r="Q278" t="e" cm="1">
        <f t="array" ref="Q278">INDEX('GMW - $100 oil'!$A$2:$MC$200,MATCH(1,('GMW - $100 oil'!$MC$2:$MC$200=Q$3)*('GMW - $100 oil'!$MB$2:$MB$200=Q$4),0),$E278-1973)</f>
        <v>#N/A</v>
      </c>
      <c r="R278" t="e" cm="1">
        <f t="array" ref="R278">INDEX('GMW - $100 oil'!$A$2:$MC$200,MATCH(1,('GMW - $100 oil'!$MC$2:$MC$200=R$3)*('GMW - $100 oil'!$MB$2:$MB$200=R$4),0),$E278-1973)</f>
        <v>#N/A</v>
      </c>
      <c r="S278" t="e" cm="1">
        <f t="array" ref="S278">INDEX('GMW - $100 oil'!$A$2:$MC$200,MATCH(1,('GMW - $100 oil'!$MC$2:$MC$200=S$3)*('GMW - $100 oil'!$MB$2:$MB$200=S$4),0),$E278-1973)</f>
        <v>#N/A</v>
      </c>
      <c r="T278" t="e" cm="1">
        <f t="array" ref="T278">INDEX('GMW - $100 oil'!$A$2:$MC$200,MATCH(1,('GMW - $100 oil'!$MC$2:$MC$200=T$3)*('GMW - $100 oil'!$MB$2:$MB$200=T$4),0),$E278-1973)</f>
        <v>#N/A</v>
      </c>
    </row>
    <row r="279" spans="1:20" x14ac:dyDescent="0.25">
      <c r="A279">
        <v>2048</v>
      </c>
      <c r="B279">
        <f t="shared" si="22"/>
        <v>2048</v>
      </c>
      <c r="C279">
        <f t="shared" si="22"/>
        <v>2047</v>
      </c>
      <c r="D279">
        <f t="shared" si="22"/>
        <v>2047</v>
      </c>
      <c r="E279">
        <f t="shared" si="21"/>
        <v>2252</v>
      </c>
      <c r="F279" t="str" cm="1">
        <f t="array" ref="F279">INDEX('GMW - $100 oil'!$A$2:$MC$200,MATCH(1,('GMW - $100 oil'!$MC$2:$MC$200=F$3)*('GMW - $100 oil'!$MB$2:$MB$200=F$4),0),$E279-1973)</f>
        <v>NA</v>
      </c>
      <c r="G279" t="str" cm="1">
        <f t="array" ref="G279">INDEX('GMW - $100 oil'!$A$2:$MC$200,MATCH(1,('GMW - $100 oil'!$MC$2:$MC$200=G$3)*('GMW - $100 oil'!$MB$2:$MB$200=G$4),0),$E279-1973)</f>
        <v>NA</v>
      </c>
      <c r="H279" t="str" cm="1">
        <f t="array" ref="H279">INDEX('GMW - $100 oil'!$A$2:$MC$200,MATCH(1,('GMW - $100 oil'!$MC$2:$MC$200=H$3)*('GMW - $100 oil'!$MB$2:$MB$200=H$4),0),$E279-1973)</f>
        <v>NA</v>
      </c>
      <c r="I279" t="str" cm="1">
        <f t="array" ref="I279">INDEX('GMW - $100 oil'!$A$2:$MC$200,MATCH(1,('GMW - $100 oil'!$MC$2:$MC$200=I$3)*('GMW - $100 oil'!$MB$2:$MB$200=I$4),0),$E279-1973)</f>
        <v>NA</v>
      </c>
      <c r="J279" t="e" cm="1">
        <f t="array" ref="J279">INDEX('GMW - $100 oil'!$A$2:$MC$200,MATCH(1,('GMW - $100 oil'!$MC$2:$MC$200=J$3)*('GMW - $100 oil'!$MB$2:$MB$200=J$4),0),$E279-1973)</f>
        <v>#N/A</v>
      </c>
      <c r="K279" t="e" cm="1">
        <f t="array" ref="K279">INDEX('GMW - $100 oil'!$A$2:$MC$200,MATCH(1,('GMW - $100 oil'!$MC$2:$MC$200=K$3)*('GMW - $100 oil'!$MB$2:$MB$200=K$4),0),$E279-1973)</f>
        <v>#N/A</v>
      </c>
      <c r="L279" t="e" cm="1">
        <f t="array" ref="L279">INDEX('GMW - $100 oil'!$A$2:$MC$200,MATCH(1,('GMW - $100 oil'!$MC$2:$MC$200=L$3)*('GMW - $100 oil'!$MB$2:$MB$200=L$4),0),$E279-1973)</f>
        <v>#N/A</v>
      </c>
      <c r="M279" t="e" cm="1">
        <f t="array" ref="M279">INDEX('GMW - $100 oil'!$A$2:$MC$200,MATCH(1,('GMW - $100 oil'!$MC$2:$MC$200=M$3)*('GMW - $100 oil'!$MB$2:$MB$200=M$4),0),$E279-1973)</f>
        <v>#N/A</v>
      </c>
      <c r="N279" t="e" cm="1">
        <f t="array" ref="N279">INDEX('GMW - $100 oil'!$A$2:$MC$200,MATCH(1,('GMW - $100 oil'!$MC$2:$MC$200=N$3)*('GMW - $100 oil'!$MB$2:$MB$200=N$4),0),$E279-1973)</f>
        <v>#N/A</v>
      </c>
      <c r="O279" t="e" cm="1">
        <f t="array" ref="O279">INDEX('GMW - $100 oil'!$A$2:$MC$200,MATCH(1,('GMW - $100 oil'!$MC$2:$MC$200=O$3)*('GMW - $100 oil'!$MB$2:$MB$200=O$4),0),$E279-1973)</f>
        <v>#N/A</v>
      </c>
      <c r="P279" t="e" cm="1">
        <f t="array" ref="P279">INDEX('GMW - $100 oil'!$A$2:$MC$200,MATCH(1,('GMW - $100 oil'!$MC$2:$MC$200=P$3)*('GMW - $100 oil'!$MB$2:$MB$200=P$4),0),$E279-1973)</f>
        <v>#N/A</v>
      </c>
      <c r="Q279" t="e" cm="1">
        <f t="array" ref="Q279">INDEX('GMW - $100 oil'!$A$2:$MC$200,MATCH(1,('GMW - $100 oil'!$MC$2:$MC$200=Q$3)*('GMW - $100 oil'!$MB$2:$MB$200=Q$4),0),$E279-1973)</f>
        <v>#N/A</v>
      </c>
      <c r="R279" t="e" cm="1">
        <f t="array" ref="R279">INDEX('GMW - $100 oil'!$A$2:$MC$200,MATCH(1,('GMW - $100 oil'!$MC$2:$MC$200=R$3)*('GMW - $100 oil'!$MB$2:$MB$200=R$4),0),$E279-1973)</f>
        <v>#N/A</v>
      </c>
      <c r="S279" t="e" cm="1">
        <f t="array" ref="S279">INDEX('GMW - $100 oil'!$A$2:$MC$200,MATCH(1,('GMW - $100 oil'!$MC$2:$MC$200=S$3)*('GMW - $100 oil'!$MB$2:$MB$200=S$4),0),$E279-1973)</f>
        <v>#N/A</v>
      </c>
      <c r="T279" t="e" cm="1">
        <f t="array" ref="T279">INDEX('GMW - $100 oil'!$A$2:$MC$200,MATCH(1,('GMW - $100 oil'!$MC$2:$MC$200=T$3)*('GMW - $100 oil'!$MB$2:$MB$200=T$4),0),$E279-1973)</f>
        <v>#N/A</v>
      </c>
    </row>
    <row r="280" spans="1:20" x14ac:dyDescent="0.25">
      <c r="B280">
        <f t="shared" si="22"/>
        <v>2048</v>
      </c>
      <c r="C280">
        <f t="shared" si="22"/>
        <v>2048</v>
      </c>
      <c r="E280">
        <f t="shared" si="21"/>
        <v>2253</v>
      </c>
      <c r="F280" t="str" cm="1">
        <f t="array" ref="F280">INDEX('GMW - $100 oil'!$A$2:$MC$200,MATCH(1,('GMW - $100 oil'!$MC$2:$MC$200=F$3)*('GMW - $100 oil'!$MB$2:$MB$200=F$4),0),$E280-1973)</f>
        <v>NA</v>
      </c>
      <c r="G280" t="str" cm="1">
        <f t="array" ref="G280">INDEX('GMW - $100 oil'!$A$2:$MC$200,MATCH(1,('GMW - $100 oil'!$MC$2:$MC$200=G$3)*('GMW - $100 oil'!$MB$2:$MB$200=G$4),0),$E280-1973)</f>
        <v>NA</v>
      </c>
      <c r="H280" t="str" cm="1">
        <f t="array" ref="H280">INDEX('GMW - $100 oil'!$A$2:$MC$200,MATCH(1,('GMW - $100 oil'!$MC$2:$MC$200=H$3)*('GMW - $100 oil'!$MB$2:$MB$200=H$4),0),$E280-1973)</f>
        <v>NA</v>
      </c>
      <c r="I280" t="str" cm="1">
        <f t="array" ref="I280">INDEX('GMW - $100 oil'!$A$2:$MC$200,MATCH(1,('GMW - $100 oil'!$MC$2:$MC$200=I$3)*('GMW - $100 oil'!$MB$2:$MB$200=I$4),0),$E280-1973)</f>
        <v>NA</v>
      </c>
      <c r="J280" t="e" cm="1">
        <f t="array" ref="J280">INDEX('GMW - $100 oil'!$A$2:$MC$200,MATCH(1,('GMW - $100 oil'!$MC$2:$MC$200=J$3)*('GMW - $100 oil'!$MB$2:$MB$200=J$4),0),$E280-1973)</f>
        <v>#N/A</v>
      </c>
      <c r="K280" t="e" cm="1">
        <f t="array" ref="K280">INDEX('GMW - $100 oil'!$A$2:$MC$200,MATCH(1,('GMW - $100 oil'!$MC$2:$MC$200=K$3)*('GMW - $100 oil'!$MB$2:$MB$200=K$4),0),$E280-1973)</f>
        <v>#N/A</v>
      </c>
      <c r="L280" t="e" cm="1">
        <f t="array" ref="L280">INDEX('GMW - $100 oil'!$A$2:$MC$200,MATCH(1,('GMW - $100 oil'!$MC$2:$MC$200=L$3)*('GMW - $100 oil'!$MB$2:$MB$200=L$4),0),$E280-1973)</f>
        <v>#N/A</v>
      </c>
      <c r="M280" t="e" cm="1">
        <f t="array" ref="M280">INDEX('GMW - $100 oil'!$A$2:$MC$200,MATCH(1,('GMW - $100 oil'!$MC$2:$MC$200=M$3)*('GMW - $100 oil'!$MB$2:$MB$200=M$4),0),$E280-1973)</f>
        <v>#N/A</v>
      </c>
      <c r="N280" t="e" cm="1">
        <f t="array" ref="N280">INDEX('GMW - $100 oil'!$A$2:$MC$200,MATCH(1,('GMW - $100 oil'!$MC$2:$MC$200=N$3)*('GMW - $100 oil'!$MB$2:$MB$200=N$4),0),$E280-1973)</f>
        <v>#N/A</v>
      </c>
      <c r="O280" t="e" cm="1">
        <f t="array" ref="O280">INDEX('GMW - $100 oil'!$A$2:$MC$200,MATCH(1,('GMW - $100 oil'!$MC$2:$MC$200=O$3)*('GMW - $100 oil'!$MB$2:$MB$200=O$4),0),$E280-1973)</f>
        <v>#N/A</v>
      </c>
      <c r="P280" t="e" cm="1">
        <f t="array" ref="P280">INDEX('GMW - $100 oil'!$A$2:$MC$200,MATCH(1,('GMW - $100 oil'!$MC$2:$MC$200=P$3)*('GMW - $100 oil'!$MB$2:$MB$200=P$4),0),$E280-1973)</f>
        <v>#N/A</v>
      </c>
      <c r="Q280" t="e" cm="1">
        <f t="array" ref="Q280">INDEX('GMW - $100 oil'!$A$2:$MC$200,MATCH(1,('GMW - $100 oil'!$MC$2:$MC$200=Q$3)*('GMW - $100 oil'!$MB$2:$MB$200=Q$4),0),$E280-1973)</f>
        <v>#N/A</v>
      </c>
      <c r="R280" t="e" cm="1">
        <f t="array" ref="R280">INDEX('GMW - $100 oil'!$A$2:$MC$200,MATCH(1,('GMW - $100 oil'!$MC$2:$MC$200=R$3)*('GMW - $100 oil'!$MB$2:$MB$200=R$4),0),$E280-1973)</f>
        <v>#N/A</v>
      </c>
      <c r="S280" t="e" cm="1">
        <f t="array" ref="S280">INDEX('GMW - $100 oil'!$A$2:$MC$200,MATCH(1,('GMW - $100 oil'!$MC$2:$MC$200=S$3)*('GMW - $100 oil'!$MB$2:$MB$200=S$4),0),$E280-1973)</f>
        <v>#N/A</v>
      </c>
      <c r="T280" t="e" cm="1">
        <f t="array" ref="T280">INDEX('GMW - $100 oil'!$A$2:$MC$200,MATCH(1,('GMW - $100 oil'!$MC$2:$MC$200=T$3)*('GMW - $100 oil'!$MB$2:$MB$200=T$4),0),$E280-1973)</f>
        <v>#N/A</v>
      </c>
    </row>
    <row r="281" spans="1:20" x14ac:dyDescent="0.25">
      <c r="B281">
        <f t="shared" si="22"/>
        <v>2048</v>
      </c>
      <c r="C281">
        <f t="shared" si="22"/>
        <v>2048</v>
      </c>
      <c r="E281">
        <f t="shared" si="21"/>
        <v>2254</v>
      </c>
      <c r="F281" t="str" cm="1">
        <f t="array" ref="F281">INDEX('GMW - $100 oil'!$A$2:$MC$200,MATCH(1,('GMW - $100 oil'!$MC$2:$MC$200=F$3)*('GMW - $100 oil'!$MB$2:$MB$200=F$4),0),$E281-1973)</f>
        <v>NA</v>
      </c>
      <c r="G281" t="str" cm="1">
        <f t="array" ref="G281">INDEX('GMW - $100 oil'!$A$2:$MC$200,MATCH(1,('GMW - $100 oil'!$MC$2:$MC$200=G$3)*('GMW - $100 oil'!$MB$2:$MB$200=G$4),0),$E281-1973)</f>
        <v>NA</v>
      </c>
      <c r="H281" t="str" cm="1">
        <f t="array" ref="H281">INDEX('GMW - $100 oil'!$A$2:$MC$200,MATCH(1,('GMW - $100 oil'!$MC$2:$MC$200=H$3)*('GMW - $100 oil'!$MB$2:$MB$200=H$4),0),$E281-1973)</f>
        <v>NA</v>
      </c>
      <c r="I281" t="str" cm="1">
        <f t="array" ref="I281">INDEX('GMW - $100 oil'!$A$2:$MC$200,MATCH(1,('GMW - $100 oil'!$MC$2:$MC$200=I$3)*('GMW - $100 oil'!$MB$2:$MB$200=I$4),0),$E281-1973)</f>
        <v>NA</v>
      </c>
      <c r="J281" t="e" cm="1">
        <f t="array" ref="J281">INDEX('GMW - $100 oil'!$A$2:$MC$200,MATCH(1,('GMW - $100 oil'!$MC$2:$MC$200=J$3)*('GMW - $100 oil'!$MB$2:$MB$200=J$4),0),$E281-1973)</f>
        <v>#N/A</v>
      </c>
      <c r="K281" t="e" cm="1">
        <f t="array" ref="K281">INDEX('GMW - $100 oil'!$A$2:$MC$200,MATCH(1,('GMW - $100 oil'!$MC$2:$MC$200=K$3)*('GMW - $100 oil'!$MB$2:$MB$200=K$4),0),$E281-1973)</f>
        <v>#N/A</v>
      </c>
      <c r="L281" t="e" cm="1">
        <f t="array" ref="L281">INDEX('GMW - $100 oil'!$A$2:$MC$200,MATCH(1,('GMW - $100 oil'!$MC$2:$MC$200=L$3)*('GMW - $100 oil'!$MB$2:$MB$200=L$4),0),$E281-1973)</f>
        <v>#N/A</v>
      </c>
      <c r="M281" t="e" cm="1">
        <f t="array" ref="M281">INDEX('GMW - $100 oil'!$A$2:$MC$200,MATCH(1,('GMW - $100 oil'!$MC$2:$MC$200=M$3)*('GMW - $100 oil'!$MB$2:$MB$200=M$4),0),$E281-1973)</f>
        <v>#N/A</v>
      </c>
      <c r="N281" t="e" cm="1">
        <f t="array" ref="N281">INDEX('GMW - $100 oil'!$A$2:$MC$200,MATCH(1,('GMW - $100 oil'!$MC$2:$MC$200=N$3)*('GMW - $100 oil'!$MB$2:$MB$200=N$4),0),$E281-1973)</f>
        <v>#N/A</v>
      </c>
      <c r="O281" t="e" cm="1">
        <f t="array" ref="O281">INDEX('GMW - $100 oil'!$A$2:$MC$200,MATCH(1,('GMW - $100 oil'!$MC$2:$MC$200=O$3)*('GMW - $100 oil'!$MB$2:$MB$200=O$4),0),$E281-1973)</f>
        <v>#N/A</v>
      </c>
      <c r="P281" t="e" cm="1">
        <f t="array" ref="P281">INDEX('GMW - $100 oil'!$A$2:$MC$200,MATCH(1,('GMW - $100 oil'!$MC$2:$MC$200=P$3)*('GMW - $100 oil'!$MB$2:$MB$200=P$4),0),$E281-1973)</f>
        <v>#N/A</v>
      </c>
      <c r="Q281" t="e" cm="1">
        <f t="array" ref="Q281">INDEX('GMW - $100 oil'!$A$2:$MC$200,MATCH(1,('GMW - $100 oil'!$MC$2:$MC$200=Q$3)*('GMW - $100 oil'!$MB$2:$MB$200=Q$4),0),$E281-1973)</f>
        <v>#N/A</v>
      </c>
      <c r="R281" t="e" cm="1">
        <f t="array" ref="R281">INDEX('GMW - $100 oil'!$A$2:$MC$200,MATCH(1,('GMW - $100 oil'!$MC$2:$MC$200=R$3)*('GMW - $100 oil'!$MB$2:$MB$200=R$4),0),$E281-1973)</f>
        <v>#N/A</v>
      </c>
      <c r="S281" t="e" cm="1">
        <f t="array" ref="S281">INDEX('GMW - $100 oil'!$A$2:$MC$200,MATCH(1,('GMW - $100 oil'!$MC$2:$MC$200=S$3)*('GMW - $100 oil'!$MB$2:$MB$200=S$4),0),$E281-1973)</f>
        <v>#N/A</v>
      </c>
      <c r="T281" t="e" cm="1">
        <f t="array" ref="T281">INDEX('GMW - $100 oil'!$A$2:$MC$200,MATCH(1,('GMW - $100 oil'!$MC$2:$MC$200=T$3)*('GMW - $100 oil'!$MB$2:$MB$200=T$4),0),$E281-1973)</f>
        <v>#N/A</v>
      </c>
    </row>
    <row r="282" spans="1:20" x14ac:dyDescent="0.25">
      <c r="B282">
        <f t="shared" si="22"/>
        <v>2048</v>
      </c>
      <c r="C282">
        <f t="shared" si="22"/>
        <v>2048</v>
      </c>
      <c r="E282">
        <f t="shared" si="21"/>
        <v>2255</v>
      </c>
      <c r="F282" t="str" cm="1">
        <f t="array" ref="F282">INDEX('GMW - $100 oil'!$A$2:$MC$200,MATCH(1,('GMW - $100 oil'!$MC$2:$MC$200=F$3)*('GMW - $100 oil'!$MB$2:$MB$200=F$4),0),$E282-1973)</f>
        <v>NA</v>
      </c>
      <c r="G282" t="str" cm="1">
        <f t="array" ref="G282">INDEX('GMW - $100 oil'!$A$2:$MC$200,MATCH(1,('GMW - $100 oil'!$MC$2:$MC$200=G$3)*('GMW - $100 oil'!$MB$2:$MB$200=G$4),0),$E282-1973)</f>
        <v>NA</v>
      </c>
      <c r="H282" t="str" cm="1">
        <f t="array" ref="H282">INDEX('GMW - $100 oil'!$A$2:$MC$200,MATCH(1,('GMW - $100 oil'!$MC$2:$MC$200=H$3)*('GMW - $100 oil'!$MB$2:$MB$200=H$4),0),$E282-1973)</f>
        <v>NA</v>
      </c>
      <c r="I282" t="str" cm="1">
        <f t="array" ref="I282">INDEX('GMW - $100 oil'!$A$2:$MC$200,MATCH(1,('GMW - $100 oil'!$MC$2:$MC$200=I$3)*('GMW - $100 oil'!$MB$2:$MB$200=I$4),0),$E282-1973)</f>
        <v>NA</v>
      </c>
      <c r="J282" t="e" cm="1">
        <f t="array" ref="J282">INDEX('GMW - $100 oil'!$A$2:$MC$200,MATCH(1,('GMW - $100 oil'!$MC$2:$MC$200=J$3)*('GMW - $100 oil'!$MB$2:$MB$200=J$4),0),$E282-1973)</f>
        <v>#N/A</v>
      </c>
      <c r="K282" t="e" cm="1">
        <f t="array" ref="K282">INDEX('GMW - $100 oil'!$A$2:$MC$200,MATCH(1,('GMW - $100 oil'!$MC$2:$MC$200=K$3)*('GMW - $100 oil'!$MB$2:$MB$200=K$4),0),$E282-1973)</f>
        <v>#N/A</v>
      </c>
      <c r="L282" t="e" cm="1">
        <f t="array" ref="L282">INDEX('GMW - $100 oil'!$A$2:$MC$200,MATCH(1,('GMW - $100 oil'!$MC$2:$MC$200=L$3)*('GMW - $100 oil'!$MB$2:$MB$200=L$4),0),$E282-1973)</f>
        <v>#N/A</v>
      </c>
      <c r="M282" t="e" cm="1">
        <f t="array" ref="M282">INDEX('GMW - $100 oil'!$A$2:$MC$200,MATCH(1,('GMW - $100 oil'!$MC$2:$MC$200=M$3)*('GMW - $100 oil'!$MB$2:$MB$200=M$4),0),$E282-1973)</f>
        <v>#N/A</v>
      </c>
      <c r="N282" t="e" cm="1">
        <f t="array" ref="N282">INDEX('GMW - $100 oil'!$A$2:$MC$200,MATCH(1,('GMW - $100 oil'!$MC$2:$MC$200=N$3)*('GMW - $100 oil'!$MB$2:$MB$200=N$4),0),$E282-1973)</f>
        <v>#N/A</v>
      </c>
      <c r="O282" t="e" cm="1">
        <f t="array" ref="O282">INDEX('GMW - $100 oil'!$A$2:$MC$200,MATCH(1,('GMW - $100 oil'!$MC$2:$MC$200=O$3)*('GMW - $100 oil'!$MB$2:$MB$200=O$4),0),$E282-1973)</f>
        <v>#N/A</v>
      </c>
      <c r="P282" t="e" cm="1">
        <f t="array" ref="P282">INDEX('GMW - $100 oil'!$A$2:$MC$200,MATCH(1,('GMW - $100 oil'!$MC$2:$MC$200=P$3)*('GMW - $100 oil'!$MB$2:$MB$200=P$4),0),$E282-1973)</f>
        <v>#N/A</v>
      </c>
      <c r="Q282" t="e" cm="1">
        <f t="array" ref="Q282">INDEX('GMW - $100 oil'!$A$2:$MC$200,MATCH(1,('GMW - $100 oil'!$MC$2:$MC$200=Q$3)*('GMW - $100 oil'!$MB$2:$MB$200=Q$4),0),$E282-1973)</f>
        <v>#N/A</v>
      </c>
      <c r="R282" t="e" cm="1">
        <f t="array" ref="R282">INDEX('GMW - $100 oil'!$A$2:$MC$200,MATCH(1,('GMW - $100 oil'!$MC$2:$MC$200=R$3)*('GMW - $100 oil'!$MB$2:$MB$200=R$4),0),$E282-1973)</f>
        <v>#N/A</v>
      </c>
      <c r="S282" t="e" cm="1">
        <f t="array" ref="S282">INDEX('GMW - $100 oil'!$A$2:$MC$200,MATCH(1,('GMW - $100 oil'!$MC$2:$MC$200=S$3)*('GMW - $100 oil'!$MB$2:$MB$200=S$4),0),$E282-1973)</f>
        <v>#N/A</v>
      </c>
      <c r="T282" t="e" cm="1">
        <f t="array" ref="T282">INDEX('GMW - $100 oil'!$A$2:$MC$200,MATCH(1,('GMW - $100 oil'!$MC$2:$MC$200=T$3)*('GMW - $100 oil'!$MB$2:$MB$200=T$4),0),$E282-1973)</f>
        <v>#N/A</v>
      </c>
    </row>
    <row r="283" spans="1:20" x14ac:dyDescent="0.25">
      <c r="A283">
        <v>2049</v>
      </c>
      <c r="B283">
        <f t="shared" si="22"/>
        <v>2049</v>
      </c>
      <c r="C283">
        <f t="shared" si="22"/>
        <v>2048</v>
      </c>
      <c r="D283">
        <f t="shared" si="22"/>
        <v>2048</v>
      </c>
      <c r="E283">
        <f t="shared" si="21"/>
        <v>2256</v>
      </c>
      <c r="F283" t="str" cm="1">
        <f t="array" ref="F283">INDEX('GMW - $100 oil'!$A$2:$MC$200,MATCH(1,('GMW - $100 oil'!$MC$2:$MC$200=F$3)*('GMW - $100 oil'!$MB$2:$MB$200=F$4),0),$E283-1973)</f>
        <v>NA</v>
      </c>
      <c r="G283" t="str" cm="1">
        <f t="array" ref="G283">INDEX('GMW - $100 oil'!$A$2:$MC$200,MATCH(1,('GMW - $100 oil'!$MC$2:$MC$200=G$3)*('GMW - $100 oil'!$MB$2:$MB$200=G$4),0),$E283-1973)</f>
        <v>NA</v>
      </c>
      <c r="H283" t="str" cm="1">
        <f t="array" ref="H283">INDEX('GMW - $100 oil'!$A$2:$MC$200,MATCH(1,('GMW - $100 oil'!$MC$2:$MC$200=H$3)*('GMW - $100 oil'!$MB$2:$MB$200=H$4),0),$E283-1973)</f>
        <v>NA</v>
      </c>
      <c r="I283" t="str" cm="1">
        <f t="array" ref="I283">INDEX('GMW - $100 oil'!$A$2:$MC$200,MATCH(1,('GMW - $100 oil'!$MC$2:$MC$200=I$3)*('GMW - $100 oil'!$MB$2:$MB$200=I$4),0),$E283-1973)</f>
        <v>NA</v>
      </c>
      <c r="J283" t="e" cm="1">
        <f t="array" ref="J283">INDEX('GMW - $100 oil'!$A$2:$MC$200,MATCH(1,('GMW - $100 oil'!$MC$2:$MC$200=J$3)*('GMW - $100 oil'!$MB$2:$MB$200=J$4),0),$E283-1973)</f>
        <v>#N/A</v>
      </c>
      <c r="K283" t="e" cm="1">
        <f t="array" ref="K283">INDEX('GMW - $100 oil'!$A$2:$MC$200,MATCH(1,('GMW - $100 oil'!$MC$2:$MC$200=K$3)*('GMW - $100 oil'!$MB$2:$MB$200=K$4),0),$E283-1973)</f>
        <v>#N/A</v>
      </c>
      <c r="L283" t="e" cm="1">
        <f t="array" ref="L283">INDEX('GMW - $100 oil'!$A$2:$MC$200,MATCH(1,('GMW - $100 oil'!$MC$2:$MC$200=L$3)*('GMW - $100 oil'!$MB$2:$MB$200=L$4),0),$E283-1973)</f>
        <v>#N/A</v>
      </c>
      <c r="M283" t="e" cm="1">
        <f t="array" ref="M283">INDEX('GMW - $100 oil'!$A$2:$MC$200,MATCH(1,('GMW - $100 oil'!$MC$2:$MC$200=M$3)*('GMW - $100 oil'!$MB$2:$MB$200=M$4),0),$E283-1973)</f>
        <v>#N/A</v>
      </c>
      <c r="N283" t="e" cm="1">
        <f t="array" ref="N283">INDEX('GMW - $100 oil'!$A$2:$MC$200,MATCH(1,('GMW - $100 oil'!$MC$2:$MC$200=N$3)*('GMW - $100 oil'!$MB$2:$MB$200=N$4),0),$E283-1973)</f>
        <v>#N/A</v>
      </c>
      <c r="O283" t="e" cm="1">
        <f t="array" ref="O283">INDEX('GMW - $100 oil'!$A$2:$MC$200,MATCH(1,('GMW - $100 oil'!$MC$2:$MC$200=O$3)*('GMW - $100 oil'!$MB$2:$MB$200=O$4),0),$E283-1973)</f>
        <v>#N/A</v>
      </c>
      <c r="P283" t="e" cm="1">
        <f t="array" ref="P283">INDEX('GMW - $100 oil'!$A$2:$MC$200,MATCH(1,('GMW - $100 oil'!$MC$2:$MC$200=P$3)*('GMW - $100 oil'!$MB$2:$MB$200=P$4),0),$E283-1973)</f>
        <v>#N/A</v>
      </c>
      <c r="Q283" t="e" cm="1">
        <f t="array" ref="Q283">INDEX('GMW - $100 oil'!$A$2:$MC$200,MATCH(1,('GMW - $100 oil'!$MC$2:$MC$200=Q$3)*('GMW - $100 oil'!$MB$2:$MB$200=Q$4),0),$E283-1973)</f>
        <v>#N/A</v>
      </c>
      <c r="R283" t="e" cm="1">
        <f t="array" ref="R283">INDEX('GMW - $100 oil'!$A$2:$MC$200,MATCH(1,('GMW - $100 oil'!$MC$2:$MC$200=R$3)*('GMW - $100 oil'!$MB$2:$MB$200=R$4),0),$E283-1973)</f>
        <v>#N/A</v>
      </c>
      <c r="S283" t="e" cm="1">
        <f t="array" ref="S283">INDEX('GMW - $100 oil'!$A$2:$MC$200,MATCH(1,('GMW - $100 oil'!$MC$2:$MC$200=S$3)*('GMW - $100 oil'!$MB$2:$MB$200=S$4),0),$E283-1973)</f>
        <v>#N/A</v>
      </c>
      <c r="T283" t="e" cm="1">
        <f t="array" ref="T283">INDEX('GMW - $100 oil'!$A$2:$MC$200,MATCH(1,('GMW - $100 oil'!$MC$2:$MC$200=T$3)*('GMW - $100 oil'!$MB$2:$MB$200=T$4),0),$E283-1973)</f>
        <v>#N/A</v>
      </c>
    </row>
    <row r="284" spans="1:20" x14ac:dyDescent="0.25">
      <c r="B284">
        <f t="shared" ref="B284:D299" si="23">+B280+1</f>
        <v>2049</v>
      </c>
      <c r="C284">
        <f t="shared" si="23"/>
        <v>2049</v>
      </c>
      <c r="E284">
        <f t="shared" si="21"/>
        <v>2257</v>
      </c>
      <c r="F284" t="str" cm="1">
        <f t="array" ref="F284">INDEX('GMW - $100 oil'!$A$2:$MC$200,MATCH(1,('GMW - $100 oil'!$MC$2:$MC$200=F$3)*('GMW - $100 oil'!$MB$2:$MB$200=F$4),0),$E284-1973)</f>
        <v>NA</v>
      </c>
      <c r="G284" t="str" cm="1">
        <f t="array" ref="G284">INDEX('GMW - $100 oil'!$A$2:$MC$200,MATCH(1,('GMW - $100 oil'!$MC$2:$MC$200=G$3)*('GMW - $100 oil'!$MB$2:$MB$200=G$4),0),$E284-1973)</f>
        <v>NA</v>
      </c>
      <c r="H284" t="str" cm="1">
        <f t="array" ref="H284">INDEX('GMW - $100 oil'!$A$2:$MC$200,MATCH(1,('GMW - $100 oil'!$MC$2:$MC$200=H$3)*('GMW - $100 oil'!$MB$2:$MB$200=H$4),0),$E284-1973)</f>
        <v>NA</v>
      </c>
      <c r="I284" t="str" cm="1">
        <f t="array" ref="I284">INDEX('GMW - $100 oil'!$A$2:$MC$200,MATCH(1,('GMW - $100 oil'!$MC$2:$MC$200=I$3)*('GMW - $100 oil'!$MB$2:$MB$200=I$4),0),$E284-1973)</f>
        <v>NA</v>
      </c>
      <c r="J284" t="e" cm="1">
        <f t="array" ref="J284">INDEX('GMW - $100 oil'!$A$2:$MC$200,MATCH(1,('GMW - $100 oil'!$MC$2:$MC$200=J$3)*('GMW - $100 oil'!$MB$2:$MB$200=J$4),0),$E284-1973)</f>
        <v>#N/A</v>
      </c>
      <c r="K284" t="e" cm="1">
        <f t="array" ref="K284">INDEX('GMW - $100 oil'!$A$2:$MC$200,MATCH(1,('GMW - $100 oil'!$MC$2:$MC$200=K$3)*('GMW - $100 oil'!$MB$2:$MB$200=K$4),0),$E284-1973)</f>
        <v>#N/A</v>
      </c>
      <c r="L284" t="e" cm="1">
        <f t="array" ref="L284">INDEX('GMW - $100 oil'!$A$2:$MC$200,MATCH(1,('GMW - $100 oil'!$MC$2:$MC$200=L$3)*('GMW - $100 oil'!$MB$2:$MB$200=L$4),0),$E284-1973)</f>
        <v>#N/A</v>
      </c>
      <c r="M284" t="e" cm="1">
        <f t="array" ref="M284">INDEX('GMW - $100 oil'!$A$2:$MC$200,MATCH(1,('GMW - $100 oil'!$MC$2:$MC$200=M$3)*('GMW - $100 oil'!$MB$2:$MB$200=M$4),0),$E284-1973)</f>
        <v>#N/A</v>
      </c>
      <c r="N284" t="e" cm="1">
        <f t="array" ref="N284">INDEX('GMW - $100 oil'!$A$2:$MC$200,MATCH(1,('GMW - $100 oil'!$MC$2:$MC$200=N$3)*('GMW - $100 oil'!$MB$2:$MB$200=N$4),0),$E284-1973)</f>
        <v>#N/A</v>
      </c>
      <c r="O284" t="e" cm="1">
        <f t="array" ref="O284">INDEX('GMW - $100 oil'!$A$2:$MC$200,MATCH(1,('GMW - $100 oil'!$MC$2:$MC$200=O$3)*('GMW - $100 oil'!$MB$2:$MB$200=O$4),0),$E284-1973)</f>
        <v>#N/A</v>
      </c>
      <c r="P284" t="e" cm="1">
        <f t="array" ref="P284">INDEX('GMW - $100 oil'!$A$2:$MC$200,MATCH(1,('GMW - $100 oil'!$MC$2:$MC$200=P$3)*('GMW - $100 oil'!$MB$2:$MB$200=P$4),0),$E284-1973)</f>
        <v>#N/A</v>
      </c>
      <c r="Q284" t="e" cm="1">
        <f t="array" ref="Q284">INDEX('GMW - $100 oil'!$A$2:$MC$200,MATCH(1,('GMW - $100 oil'!$MC$2:$MC$200=Q$3)*('GMW - $100 oil'!$MB$2:$MB$200=Q$4),0),$E284-1973)</f>
        <v>#N/A</v>
      </c>
      <c r="R284" t="e" cm="1">
        <f t="array" ref="R284">INDEX('GMW - $100 oil'!$A$2:$MC$200,MATCH(1,('GMW - $100 oil'!$MC$2:$MC$200=R$3)*('GMW - $100 oil'!$MB$2:$MB$200=R$4),0),$E284-1973)</f>
        <v>#N/A</v>
      </c>
      <c r="S284" t="e" cm="1">
        <f t="array" ref="S284">INDEX('GMW - $100 oil'!$A$2:$MC$200,MATCH(1,('GMW - $100 oil'!$MC$2:$MC$200=S$3)*('GMW - $100 oil'!$MB$2:$MB$200=S$4),0),$E284-1973)</f>
        <v>#N/A</v>
      </c>
      <c r="T284" t="e" cm="1">
        <f t="array" ref="T284">INDEX('GMW - $100 oil'!$A$2:$MC$200,MATCH(1,('GMW - $100 oil'!$MC$2:$MC$200=T$3)*('GMW - $100 oil'!$MB$2:$MB$200=T$4),0),$E284-1973)</f>
        <v>#N/A</v>
      </c>
    </row>
    <row r="285" spans="1:20" x14ac:dyDescent="0.25">
      <c r="B285">
        <f t="shared" si="23"/>
        <v>2049</v>
      </c>
      <c r="C285">
        <f t="shared" si="23"/>
        <v>2049</v>
      </c>
      <c r="E285">
        <f t="shared" si="21"/>
        <v>2258</v>
      </c>
      <c r="F285" t="str" cm="1">
        <f t="array" ref="F285">INDEX('GMW - $100 oil'!$A$2:$MC$200,MATCH(1,('GMW - $100 oil'!$MC$2:$MC$200=F$3)*('GMW - $100 oil'!$MB$2:$MB$200=F$4),0),$E285-1973)</f>
        <v>NA</v>
      </c>
      <c r="G285" t="str" cm="1">
        <f t="array" ref="G285">INDEX('GMW - $100 oil'!$A$2:$MC$200,MATCH(1,('GMW - $100 oil'!$MC$2:$MC$200=G$3)*('GMW - $100 oil'!$MB$2:$MB$200=G$4),0),$E285-1973)</f>
        <v>NA</v>
      </c>
      <c r="H285" t="str" cm="1">
        <f t="array" ref="H285">INDEX('GMW - $100 oil'!$A$2:$MC$200,MATCH(1,('GMW - $100 oil'!$MC$2:$MC$200=H$3)*('GMW - $100 oil'!$MB$2:$MB$200=H$4),0),$E285-1973)</f>
        <v>NA</v>
      </c>
      <c r="I285" t="str" cm="1">
        <f t="array" ref="I285">INDEX('GMW - $100 oil'!$A$2:$MC$200,MATCH(1,('GMW - $100 oil'!$MC$2:$MC$200=I$3)*('GMW - $100 oil'!$MB$2:$MB$200=I$4),0),$E285-1973)</f>
        <v>NA</v>
      </c>
      <c r="J285" t="e" cm="1">
        <f t="array" ref="J285">INDEX('GMW - $100 oil'!$A$2:$MC$200,MATCH(1,('GMW - $100 oil'!$MC$2:$MC$200=J$3)*('GMW - $100 oil'!$MB$2:$MB$200=J$4),0),$E285-1973)</f>
        <v>#N/A</v>
      </c>
      <c r="K285" t="e" cm="1">
        <f t="array" ref="K285">INDEX('GMW - $100 oil'!$A$2:$MC$200,MATCH(1,('GMW - $100 oil'!$MC$2:$MC$200=K$3)*('GMW - $100 oil'!$MB$2:$MB$200=K$4),0),$E285-1973)</f>
        <v>#N/A</v>
      </c>
      <c r="L285" t="e" cm="1">
        <f t="array" ref="L285">INDEX('GMW - $100 oil'!$A$2:$MC$200,MATCH(1,('GMW - $100 oil'!$MC$2:$MC$200=L$3)*('GMW - $100 oil'!$MB$2:$MB$200=L$4),0),$E285-1973)</f>
        <v>#N/A</v>
      </c>
      <c r="M285" t="e" cm="1">
        <f t="array" ref="M285">INDEX('GMW - $100 oil'!$A$2:$MC$200,MATCH(1,('GMW - $100 oil'!$MC$2:$MC$200=M$3)*('GMW - $100 oil'!$MB$2:$MB$200=M$4),0),$E285-1973)</f>
        <v>#N/A</v>
      </c>
      <c r="N285" t="e" cm="1">
        <f t="array" ref="N285">INDEX('GMW - $100 oil'!$A$2:$MC$200,MATCH(1,('GMW - $100 oil'!$MC$2:$MC$200=N$3)*('GMW - $100 oil'!$MB$2:$MB$200=N$4),0),$E285-1973)</f>
        <v>#N/A</v>
      </c>
      <c r="O285" t="e" cm="1">
        <f t="array" ref="O285">INDEX('GMW - $100 oil'!$A$2:$MC$200,MATCH(1,('GMW - $100 oil'!$MC$2:$MC$200=O$3)*('GMW - $100 oil'!$MB$2:$MB$200=O$4),0),$E285-1973)</f>
        <v>#N/A</v>
      </c>
      <c r="P285" t="e" cm="1">
        <f t="array" ref="P285">INDEX('GMW - $100 oil'!$A$2:$MC$200,MATCH(1,('GMW - $100 oil'!$MC$2:$MC$200=P$3)*('GMW - $100 oil'!$MB$2:$MB$200=P$4),0),$E285-1973)</f>
        <v>#N/A</v>
      </c>
      <c r="Q285" t="e" cm="1">
        <f t="array" ref="Q285">INDEX('GMW - $100 oil'!$A$2:$MC$200,MATCH(1,('GMW - $100 oil'!$MC$2:$MC$200=Q$3)*('GMW - $100 oil'!$MB$2:$MB$200=Q$4),0),$E285-1973)</f>
        <v>#N/A</v>
      </c>
      <c r="R285" t="e" cm="1">
        <f t="array" ref="R285">INDEX('GMW - $100 oil'!$A$2:$MC$200,MATCH(1,('GMW - $100 oil'!$MC$2:$MC$200=R$3)*('GMW - $100 oil'!$MB$2:$MB$200=R$4),0),$E285-1973)</f>
        <v>#N/A</v>
      </c>
      <c r="S285" t="e" cm="1">
        <f t="array" ref="S285">INDEX('GMW - $100 oil'!$A$2:$MC$200,MATCH(1,('GMW - $100 oil'!$MC$2:$MC$200=S$3)*('GMW - $100 oil'!$MB$2:$MB$200=S$4),0),$E285-1973)</f>
        <v>#N/A</v>
      </c>
      <c r="T285" t="e" cm="1">
        <f t="array" ref="T285">INDEX('GMW - $100 oil'!$A$2:$MC$200,MATCH(1,('GMW - $100 oil'!$MC$2:$MC$200=T$3)*('GMW - $100 oil'!$MB$2:$MB$200=T$4),0),$E285-1973)</f>
        <v>#N/A</v>
      </c>
    </row>
    <row r="286" spans="1:20" x14ac:dyDescent="0.25">
      <c r="B286">
        <f t="shared" si="23"/>
        <v>2049</v>
      </c>
      <c r="C286">
        <f t="shared" si="23"/>
        <v>2049</v>
      </c>
      <c r="E286">
        <f t="shared" si="21"/>
        <v>2259</v>
      </c>
      <c r="F286" t="str" cm="1">
        <f t="array" ref="F286">INDEX('GMW - $100 oil'!$A$2:$MC$200,MATCH(1,('GMW - $100 oil'!$MC$2:$MC$200=F$3)*('GMW - $100 oil'!$MB$2:$MB$200=F$4),0),$E286-1973)</f>
        <v>NA</v>
      </c>
      <c r="G286" t="str" cm="1">
        <f t="array" ref="G286">INDEX('GMW - $100 oil'!$A$2:$MC$200,MATCH(1,('GMW - $100 oil'!$MC$2:$MC$200=G$3)*('GMW - $100 oil'!$MB$2:$MB$200=G$4),0),$E286-1973)</f>
        <v>NA</v>
      </c>
      <c r="H286" t="str" cm="1">
        <f t="array" ref="H286">INDEX('GMW - $100 oil'!$A$2:$MC$200,MATCH(1,('GMW - $100 oil'!$MC$2:$MC$200=H$3)*('GMW - $100 oil'!$MB$2:$MB$200=H$4),0),$E286-1973)</f>
        <v>NA</v>
      </c>
      <c r="I286" t="str" cm="1">
        <f t="array" ref="I286">INDEX('GMW - $100 oil'!$A$2:$MC$200,MATCH(1,('GMW - $100 oil'!$MC$2:$MC$200=I$3)*('GMW - $100 oil'!$MB$2:$MB$200=I$4),0),$E286-1973)</f>
        <v>NA</v>
      </c>
      <c r="J286" t="e" cm="1">
        <f t="array" ref="J286">INDEX('GMW - $100 oil'!$A$2:$MC$200,MATCH(1,('GMW - $100 oil'!$MC$2:$MC$200=J$3)*('GMW - $100 oil'!$MB$2:$MB$200=J$4),0),$E286-1973)</f>
        <v>#N/A</v>
      </c>
      <c r="K286" t="e" cm="1">
        <f t="array" ref="K286">INDEX('GMW - $100 oil'!$A$2:$MC$200,MATCH(1,('GMW - $100 oil'!$MC$2:$MC$200=K$3)*('GMW - $100 oil'!$MB$2:$MB$200=K$4),0),$E286-1973)</f>
        <v>#N/A</v>
      </c>
      <c r="L286" t="e" cm="1">
        <f t="array" ref="L286">INDEX('GMW - $100 oil'!$A$2:$MC$200,MATCH(1,('GMW - $100 oil'!$MC$2:$MC$200=L$3)*('GMW - $100 oil'!$MB$2:$MB$200=L$4),0),$E286-1973)</f>
        <v>#N/A</v>
      </c>
      <c r="M286" t="e" cm="1">
        <f t="array" ref="M286">INDEX('GMW - $100 oil'!$A$2:$MC$200,MATCH(1,('GMW - $100 oil'!$MC$2:$MC$200=M$3)*('GMW - $100 oil'!$MB$2:$MB$200=M$4),0),$E286-1973)</f>
        <v>#N/A</v>
      </c>
      <c r="N286" t="e" cm="1">
        <f t="array" ref="N286">INDEX('GMW - $100 oil'!$A$2:$MC$200,MATCH(1,('GMW - $100 oil'!$MC$2:$MC$200=N$3)*('GMW - $100 oil'!$MB$2:$MB$200=N$4),0),$E286-1973)</f>
        <v>#N/A</v>
      </c>
      <c r="O286" t="e" cm="1">
        <f t="array" ref="O286">INDEX('GMW - $100 oil'!$A$2:$MC$200,MATCH(1,('GMW - $100 oil'!$MC$2:$MC$200=O$3)*('GMW - $100 oil'!$MB$2:$MB$200=O$4),0),$E286-1973)</f>
        <v>#N/A</v>
      </c>
      <c r="P286" t="e" cm="1">
        <f t="array" ref="P286">INDEX('GMW - $100 oil'!$A$2:$MC$200,MATCH(1,('GMW - $100 oil'!$MC$2:$MC$200=P$3)*('GMW - $100 oil'!$MB$2:$MB$200=P$4),0),$E286-1973)</f>
        <v>#N/A</v>
      </c>
      <c r="Q286" t="e" cm="1">
        <f t="array" ref="Q286">INDEX('GMW - $100 oil'!$A$2:$MC$200,MATCH(1,('GMW - $100 oil'!$MC$2:$MC$200=Q$3)*('GMW - $100 oil'!$MB$2:$MB$200=Q$4),0),$E286-1973)</f>
        <v>#N/A</v>
      </c>
      <c r="R286" t="e" cm="1">
        <f t="array" ref="R286">INDEX('GMW - $100 oil'!$A$2:$MC$200,MATCH(1,('GMW - $100 oil'!$MC$2:$MC$200=R$3)*('GMW - $100 oil'!$MB$2:$MB$200=R$4),0),$E286-1973)</f>
        <v>#N/A</v>
      </c>
      <c r="S286" t="e" cm="1">
        <f t="array" ref="S286">INDEX('GMW - $100 oil'!$A$2:$MC$200,MATCH(1,('GMW - $100 oil'!$MC$2:$MC$200=S$3)*('GMW - $100 oil'!$MB$2:$MB$200=S$4),0),$E286-1973)</f>
        <v>#N/A</v>
      </c>
      <c r="T286" t="e" cm="1">
        <f t="array" ref="T286">INDEX('GMW - $100 oil'!$A$2:$MC$200,MATCH(1,('GMW - $100 oil'!$MC$2:$MC$200=T$3)*('GMW - $100 oil'!$MB$2:$MB$200=T$4),0),$E286-1973)</f>
        <v>#N/A</v>
      </c>
    </row>
    <row r="287" spans="1:20" x14ac:dyDescent="0.25">
      <c r="A287">
        <v>2050</v>
      </c>
      <c r="B287">
        <f t="shared" si="23"/>
        <v>2050</v>
      </c>
      <c r="C287">
        <f t="shared" si="23"/>
        <v>2049</v>
      </c>
      <c r="D287">
        <f t="shared" si="23"/>
        <v>2049</v>
      </c>
      <c r="E287">
        <f t="shared" si="21"/>
        <v>2260</v>
      </c>
      <c r="F287" t="str" cm="1">
        <f t="array" ref="F287">INDEX('GMW - $100 oil'!$A$2:$MC$200,MATCH(1,('GMW - $100 oil'!$MC$2:$MC$200=F$3)*('GMW - $100 oil'!$MB$2:$MB$200=F$4),0),$E287-1973)</f>
        <v>NA</v>
      </c>
      <c r="G287" t="str" cm="1">
        <f t="array" ref="G287">INDEX('GMW - $100 oil'!$A$2:$MC$200,MATCH(1,('GMW - $100 oil'!$MC$2:$MC$200=G$3)*('GMW - $100 oil'!$MB$2:$MB$200=G$4),0),$E287-1973)</f>
        <v>NA</v>
      </c>
      <c r="H287" t="str" cm="1">
        <f t="array" ref="H287">INDEX('GMW - $100 oil'!$A$2:$MC$200,MATCH(1,('GMW - $100 oil'!$MC$2:$MC$200=H$3)*('GMW - $100 oil'!$MB$2:$MB$200=H$4),0),$E287-1973)</f>
        <v>NA</v>
      </c>
      <c r="I287" t="str" cm="1">
        <f t="array" ref="I287">INDEX('GMW - $100 oil'!$A$2:$MC$200,MATCH(1,('GMW - $100 oil'!$MC$2:$MC$200=I$3)*('GMW - $100 oil'!$MB$2:$MB$200=I$4),0),$E287-1973)</f>
        <v>NA</v>
      </c>
      <c r="J287" t="e" cm="1">
        <f t="array" ref="J287">INDEX('GMW - $100 oil'!$A$2:$MC$200,MATCH(1,('GMW - $100 oil'!$MC$2:$MC$200=J$3)*('GMW - $100 oil'!$MB$2:$MB$200=J$4),0),$E287-1973)</f>
        <v>#N/A</v>
      </c>
      <c r="K287" t="e" cm="1">
        <f t="array" ref="K287">INDEX('GMW - $100 oil'!$A$2:$MC$200,MATCH(1,('GMW - $100 oil'!$MC$2:$MC$200=K$3)*('GMW - $100 oil'!$MB$2:$MB$200=K$4),0),$E287-1973)</f>
        <v>#N/A</v>
      </c>
      <c r="L287" t="e" cm="1">
        <f t="array" ref="L287">INDEX('GMW - $100 oil'!$A$2:$MC$200,MATCH(1,('GMW - $100 oil'!$MC$2:$MC$200=L$3)*('GMW - $100 oil'!$MB$2:$MB$200=L$4),0),$E287-1973)</f>
        <v>#N/A</v>
      </c>
      <c r="M287" t="e" cm="1">
        <f t="array" ref="M287">INDEX('GMW - $100 oil'!$A$2:$MC$200,MATCH(1,('GMW - $100 oil'!$MC$2:$MC$200=M$3)*('GMW - $100 oil'!$MB$2:$MB$200=M$4),0),$E287-1973)</f>
        <v>#N/A</v>
      </c>
      <c r="N287" t="e" cm="1">
        <f t="array" ref="N287">INDEX('GMW - $100 oil'!$A$2:$MC$200,MATCH(1,('GMW - $100 oil'!$MC$2:$MC$200=N$3)*('GMW - $100 oil'!$MB$2:$MB$200=N$4),0),$E287-1973)</f>
        <v>#N/A</v>
      </c>
      <c r="O287" t="e" cm="1">
        <f t="array" ref="O287">INDEX('GMW - $100 oil'!$A$2:$MC$200,MATCH(1,('GMW - $100 oil'!$MC$2:$MC$200=O$3)*('GMW - $100 oil'!$MB$2:$MB$200=O$4),0),$E287-1973)</f>
        <v>#N/A</v>
      </c>
      <c r="P287" t="e" cm="1">
        <f t="array" ref="P287">INDEX('GMW - $100 oil'!$A$2:$MC$200,MATCH(1,('GMW - $100 oil'!$MC$2:$MC$200=P$3)*('GMW - $100 oil'!$MB$2:$MB$200=P$4),0),$E287-1973)</f>
        <v>#N/A</v>
      </c>
      <c r="Q287" t="e" cm="1">
        <f t="array" ref="Q287">INDEX('GMW - $100 oil'!$A$2:$MC$200,MATCH(1,('GMW - $100 oil'!$MC$2:$MC$200=Q$3)*('GMW - $100 oil'!$MB$2:$MB$200=Q$4),0),$E287-1973)</f>
        <v>#N/A</v>
      </c>
      <c r="R287" t="e" cm="1">
        <f t="array" ref="R287">INDEX('GMW - $100 oil'!$A$2:$MC$200,MATCH(1,('GMW - $100 oil'!$MC$2:$MC$200=R$3)*('GMW - $100 oil'!$MB$2:$MB$200=R$4),0),$E287-1973)</f>
        <v>#N/A</v>
      </c>
      <c r="S287" t="e" cm="1">
        <f t="array" ref="S287">INDEX('GMW - $100 oil'!$A$2:$MC$200,MATCH(1,('GMW - $100 oil'!$MC$2:$MC$200=S$3)*('GMW - $100 oil'!$MB$2:$MB$200=S$4),0),$E287-1973)</f>
        <v>#N/A</v>
      </c>
      <c r="T287" t="e" cm="1">
        <f t="array" ref="T287">INDEX('GMW - $100 oil'!$A$2:$MC$200,MATCH(1,('GMW - $100 oil'!$MC$2:$MC$200=T$3)*('GMW - $100 oil'!$MB$2:$MB$200=T$4),0),$E287-1973)</f>
        <v>#N/A</v>
      </c>
    </row>
    <row r="288" spans="1:20" x14ac:dyDescent="0.25">
      <c r="B288">
        <f t="shared" si="23"/>
        <v>2050</v>
      </c>
      <c r="C288">
        <f t="shared" si="23"/>
        <v>2050</v>
      </c>
      <c r="E288">
        <f t="shared" si="21"/>
        <v>2261</v>
      </c>
      <c r="F288" t="str" cm="1">
        <f t="array" ref="F288">INDEX('GMW - $100 oil'!$A$2:$MC$200,MATCH(1,('GMW - $100 oil'!$MC$2:$MC$200=F$3)*('GMW - $100 oil'!$MB$2:$MB$200=F$4),0),$E288-1973)</f>
        <v>NA</v>
      </c>
      <c r="G288" t="str" cm="1">
        <f t="array" ref="G288">INDEX('GMW - $100 oil'!$A$2:$MC$200,MATCH(1,('GMW - $100 oil'!$MC$2:$MC$200=G$3)*('GMW - $100 oil'!$MB$2:$MB$200=G$4),0),$E288-1973)</f>
        <v>NA</v>
      </c>
      <c r="H288" t="str" cm="1">
        <f t="array" ref="H288">INDEX('GMW - $100 oil'!$A$2:$MC$200,MATCH(1,('GMW - $100 oil'!$MC$2:$MC$200=H$3)*('GMW - $100 oil'!$MB$2:$MB$200=H$4),0),$E288-1973)</f>
        <v>NA</v>
      </c>
      <c r="I288" t="str" cm="1">
        <f t="array" ref="I288">INDEX('GMW - $100 oil'!$A$2:$MC$200,MATCH(1,('GMW - $100 oil'!$MC$2:$MC$200=I$3)*('GMW - $100 oil'!$MB$2:$MB$200=I$4),0),$E288-1973)</f>
        <v>NA</v>
      </c>
      <c r="J288" t="e" cm="1">
        <f t="array" ref="J288">INDEX('GMW - $100 oil'!$A$2:$MC$200,MATCH(1,('GMW - $100 oil'!$MC$2:$MC$200=J$3)*('GMW - $100 oil'!$MB$2:$MB$200=J$4),0),$E288-1973)</f>
        <v>#N/A</v>
      </c>
      <c r="K288" t="e" cm="1">
        <f t="array" ref="K288">INDEX('GMW - $100 oil'!$A$2:$MC$200,MATCH(1,('GMW - $100 oil'!$MC$2:$MC$200=K$3)*('GMW - $100 oil'!$MB$2:$MB$200=K$4),0),$E288-1973)</f>
        <v>#N/A</v>
      </c>
      <c r="L288" t="e" cm="1">
        <f t="array" ref="L288">INDEX('GMW - $100 oil'!$A$2:$MC$200,MATCH(1,('GMW - $100 oil'!$MC$2:$MC$200=L$3)*('GMW - $100 oil'!$MB$2:$MB$200=L$4),0),$E288-1973)</f>
        <v>#N/A</v>
      </c>
      <c r="M288" t="e" cm="1">
        <f t="array" ref="M288">INDEX('GMW - $100 oil'!$A$2:$MC$200,MATCH(1,('GMW - $100 oil'!$MC$2:$MC$200=M$3)*('GMW - $100 oil'!$MB$2:$MB$200=M$4),0),$E288-1973)</f>
        <v>#N/A</v>
      </c>
      <c r="N288" t="e" cm="1">
        <f t="array" ref="N288">INDEX('GMW - $100 oil'!$A$2:$MC$200,MATCH(1,('GMW - $100 oil'!$MC$2:$MC$200=N$3)*('GMW - $100 oil'!$MB$2:$MB$200=N$4),0),$E288-1973)</f>
        <v>#N/A</v>
      </c>
      <c r="O288" t="e" cm="1">
        <f t="array" ref="O288">INDEX('GMW - $100 oil'!$A$2:$MC$200,MATCH(1,('GMW - $100 oil'!$MC$2:$MC$200=O$3)*('GMW - $100 oil'!$MB$2:$MB$200=O$4),0),$E288-1973)</f>
        <v>#N/A</v>
      </c>
      <c r="P288" t="e" cm="1">
        <f t="array" ref="P288">INDEX('GMW - $100 oil'!$A$2:$MC$200,MATCH(1,('GMW - $100 oil'!$MC$2:$MC$200=P$3)*('GMW - $100 oil'!$MB$2:$MB$200=P$4),0),$E288-1973)</f>
        <v>#N/A</v>
      </c>
      <c r="Q288" t="e" cm="1">
        <f t="array" ref="Q288">INDEX('GMW - $100 oil'!$A$2:$MC$200,MATCH(1,('GMW - $100 oil'!$MC$2:$MC$200=Q$3)*('GMW - $100 oil'!$MB$2:$MB$200=Q$4),0),$E288-1973)</f>
        <v>#N/A</v>
      </c>
      <c r="R288" t="e" cm="1">
        <f t="array" ref="R288">INDEX('GMW - $100 oil'!$A$2:$MC$200,MATCH(1,('GMW - $100 oil'!$MC$2:$MC$200=R$3)*('GMW - $100 oil'!$MB$2:$MB$200=R$4),0),$E288-1973)</f>
        <v>#N/A</v>
      </c>
      <c r="S288" t="e" cm="1">
        <f t="array" ref="S288">INDEX('GMW - $100 oil'!$A$2:$MC$200,MATCH(1,('GMW - $100 oil'!$MC$2:$MC$200=S$3)*('GMW - $100 oil'!$MB$2:$MB$200=S$4),0),$E288-1973)</f>
        <v>#N/A</v>
      </c>
      <c r="T288" t="e" cm="1">
        <f t="array" ref="T288">INDEX('GMW - $100 oil'!$A$2:$MC$200,MATCH(1,('GMW - $100 oil'!$MC$2:$MC$200=T$3)*('GMW - $100 oil'!$MB$2:$MB$200=T$4),0),$E288-1973)</f>
        <v>#N/A</v>
      </c>
    </row>
    <row r="289" spans="1:20" x14ac:dyDescent="0.25">
      <c r="B289">
        <f t="shared" si="23"/>
        <v>2050</v>
      </c>
      <c r="C289">
        <f t="shared" si="23"/>
        <v>2050</v>
      </c>
      <c r="E289">
        <f t="shared" si="21"/>
        <v>2262</v>
      </c>
      <c r="F289" t="str" cm="1">
        <f t="array" ref="F289">INDEX('GMW - $100 oil'!$A$2:$MC$200,MATCH(1,('GMW - $100 oil'!$MC$2:$MC$200=F$3)*('GMW - $100 oil'!$MB$2:$MB$200=F$4),0),$E289-1973)</f>
        <v>NA</v>
      </c>
      <c r="G289" t="str" cm="1">
        <f t="array" ref="G289">INDEX('GMW - $100 oil'!$A$2:$MC$200,MATCH(1,('GMW - $100 oil'!$MC$2:$MC$200=G$3)*('GMW - $100 oil'!$MB$2:$MB$200=G$4),0),$E289-1973)</f>
        <v>NA</v>
      </c>
      <c r="H289" t="str" cm="1">
        <f t="array" ref="H289">INDEX('GMW - $100 oil'!$A$2:$MC$200,MATCH(1,('GMW - $100 oil'!$MC$2:$MC$200=H$3)*('GMW - $100 oil'!$MB$2:$MB$200=H$4),0),$E289-1973)</f>
        <v>NA</v>
      </c>
      <c r="I289" t="str" cm="1">
        <f t="array" ref="I289">INDEX('GMW - $100 oil'!$A$2:$MC$200,MATCH(1,('GMW - $100 oil'!$MC$2:$MC$200=I$3)*('GMW - $100 oil'!$MB$2:$MB$200=I$4),0),$E289-1973)</f>
        <v>NA</v>
      </c>
      <c r="J289" t="e" cm="1">
        <f t="array" ref="J289">INDEX('GMW - $100 oil'!$A$2:$MC$200,MATCH(1,('GMW - $100 oil'!$MC$2:$MC$200=J$3)*('GMW - $100 oil'!$MB$2:$MB$200=J$4),0),$E289-1973)</f>
        <v>#N/A</v>
      </c>
      <c r="K289" t="e" cm="1">
        <f t="array" ref="K289">INDEX('GMW - $100 oil'!$A$2:$MC$200,MATCH(1,('GMW - $100 oil'!$MC$2:$MC$200=K$3)*('GMW - $100 oil'!$MB$2:$MB$200=K$4),0),$E289-1973)</f>
        <v>#N/A</v>
      </c>
      <c r="L289" t="e" cm="1">
        <f t="array" ref="L289">INDEX('GMW - $100 oil'!$A$2:$MC$200,MATCH(1,('GMW - $100 oil'!$MC$2:$MC$200=L$3)*('GMW - $100 oil'!$MB$2:$MB$200=L$4),0),$E289-1973)</f>
        <v>#N/A</v>
      </c>
      <c r="M289" t="e" cm="1">
        <f t="array" ref="M289">INDEX('GMW - $100 oil'!$A$2:$MC$200,MATCH(1,('GMW - $100 oil'!$MC$2:$MC$200=M$3)*('GMW - $100 oil'!$MB$2:$MB$200=M$4),0),$E289-1973)</f>
        <v>#N/A</v>
      </c>
      <c r="N289" t="e" cm="1">
        <f t="array" ref="N289">INDEX('GMW - $100 oil'!$A$2:$MC$200,MATCH(1,('GMW - $100 oil'!$MC$2:$MC$200=N$3)*('GMW - $100 oil'!$MB$2:$MB$200=N$4),0),$E289-1973)</f>
        <v>#N/A</v>
      </c>
      <c r="O289" t="e" cm="1">
        <f t="array" ref="O289">INDEX('GMW - $100 oil'!$A$2:$MC$200,MATCH(1,('GMW - $100 oil'!$MC$2:$MC$200=O$3)*('GMW - $100 oil'!$MB$2:$MB$200=O$4),0),$E289-1973)</f>
        <v>#N/A</v>
      </c>
      <c r="P289" t="e" cm="1">
        <f t="array" ref="P289">INDEX('GMW - $100 oil'!$A$2:$MC$200,MATCH(1,('GMW - $100 oil'!$MC$2:$MC$200=P$3)*('GMW - $100 oil'!$MB$2:$MB$200=P$4),0),$E289-1973)</f>
        <v>#N/A</v>
      </c>
      <c r="Q289" t="e" cm="1">
        <f t="array" ref="Q289">INDEX('GMW - $100 oil'!$A$2:$MC$200,MATCH(1,('GMW - $100 oil'!$MC$2:$MC$200=Q$3)*('GMW - $100 oil'!$MB$2:$MB$200=Q$4),0),$E289-1973)</f>
        <v>#N/A</v>
      </c>
      <c r="R289" t="e" cm="1">
        <f t="array" ref="R289">INDEX('GMW - $100 oil'!$A$2:$MC$200,MATCH(1,('GMW - $100 oil'!$MC$2:$MC$200=R$3)*('GMW - $100 oil'!$MB$2:$MB$200=R$4),0),$E289-1973)</f>
        <v>#N/A</v>
      </c>
      <c r="S289" t="e" cm="1">
        <f t="array" ref="S289">INDEX('GMW - $100 oil'!$A$2:$MC$200,MATCH(1,('GMW - $100 oil'!$MC$2:$MC$200=S$3)*('GMW - $100 oil'!$MB$2:$MB$200=S$4),0),$E289-1973)</f>
        <v>#N/A</v>
      </c>
      <c r="T289" t="e" cm="1">
        <f t="array" ref="T289">INDEX('GMW - $100 oil'!$A$2:$MC$200,MATCH(1,('GMW - $100 oil'!$MC$2:$MC$200=T$3)*('GMW - $100 oil'!$MB$2:$MB$200=T$4),0),$E289-1973)</f>
        <v>#N/A</v>
      </c>
    </row>
    <row r="290" spans="1:20" x14ac:dyDescent="0.25">
      <c r="B290">
        <f t="shared" si="23"/>
        <v>2050</v>
      </c>
      <c r="C290">
        <f t="shared" si="23"/>
        <v>2050</v>
      </c>
      <c r="E290">
        <f t="shared" si="21"/>
        <v>2263</v>
      </c>
      <c r="F290" t="str" cm="1">
        <f t="array" ref="F290">INDEX('GMW - $100 oil'!$A$2:$MC$200,MATCH(1,('GMW - $100 oil'!$MC$2:$MC$200=F$3)*('GMW - $100 oil'!$MB$2:$MB$200=F$4),0),$E290-1973)</f>
        <v>NA</v>
      </c>
      <c r="G290" t="str" cm="1">
        <f t="array" ref="G290">INDEX('GMW - $100 oil'!$A$2:$MC$200,MATCH(1,('GMW - $100 oil'!$MC$2:$MC$200=G$3)*('GMW - $100 oil'!$MB$2:$MB$200=G$4),0),$E290-1973)</f>
        <v>NA</v>
      </c>
      <c r="H290" t="str" cm="1">
        <f t="array" ref="H290">INDEX('GMW - $100 oil'!$A$2:$MC$200,MATCH(1,('GMW - $100 oil'!$MC$2:$MC$200=H$3)*('GMW - $100 oil'!$MB$2:$MB$200=H$4),0),$E290-1973)</f>
        <v>NA</v>
      </c>
      <c r="I290" t="str" cm="1">
        <f t="array" ref="I290">INDEX('GMW - $100 oil'!$A$2:$MC$200,MATCH(1,('GMW - $100 oil'!$MC$2:$MC$200=I$3)*('GMW - $100 oil'!$MB$2:$MB$200=I$4),0),$E290-1973)</f>
        <v>NA</v>
      </c>
      <c r="J290" t="e" cm="1">
        <f t="array" ref="J290">INDEX('GMW - $100 oil'!$A$2:$MC$200,MATCH(1,('GMW - $100 oil'!$MC$2:$MC$200=J$3)*('GMW - $100 oil'!$MB$2:$MB$200=J$4),0),$E290-1973)</f>
        <v>#N/A</v>
      </c>
      <c r="K290" t="e" cm="1">
        <f t="array" ref="K290">INDEX('GMW - $100 oil'!$A$2:$MC$200,MATCH(1,('GMW - $100 oil'!$MC$2:$MC$200=K$3)*('GMW - $100 oil'!$MB$2:$MB$200=K$4),0),$E290-1973)</f>
        <v>#N/A</v>
      </c>
      <c r="L290" t="e" cm="1">
        <f t="array" ref="L290">INDEX('GMW - $100 oil'!$A$2:$MC$200,MATCH(1,('GMW - $100 oil'!$MC$2:$MC$200=L$3)*('GMW - $100 oil'!$MB$2:$MB$200=L$4),0),$E290-1973)</f>
        <v>#N/A</v>
      </c>
      <c r="M290" t="e" cm="1">
        <f t="array" ref="M290">INDEX('GMW - $100 oil'!$A$2:$MC$200,MATCH(1,('GMW - $100 oil'!$MC$2:$MC$200=M$3)*('GMW - $100 oil'!$MB$2:$MB$200=M$4),0),$E290-1973)</f>
        <v>#N/A</v>
      </c>
      <c r="N290" t="e" cm="1">
        <f t="array" ref="N290">INDEX('GMW - $100 oil'!$A$2:$MC$200,MATCH(1,('GMW - $100 oil'!$MC$2:$MC$200=N$3)*('GMW - $100 oil'!$MB$2:$MB$200=N$4),0),$E290-1973)</f>
        <v>#N/A</v>
      </c>
      <c r="O290" t="e" cm="1">
        <f t="array" ref="O290">INDEX('GMW - $100 oil'!$A$2:$MC$200,MATCH(1,('GMW - $100 oil'!$MC$2:$MC$200=O$3)*('GMW - $100 oil'!$MB$2:$MB$200=O$4),0),$E290-1973)</f>
        <v>#N/A</v>
      </c>
      <c r="P290" t="e" cm="1">
        <f t="array" ref="P290">INDEX('GMW - $100 oil'!$A$2:$MC$200,MATCH(1,('GMW - $100 oil'!$MC$2:$MC$200=P$3)*('GMW - $100 oil'!$MB$2:$MB$200=P$4),0),$E290-1973)</f>
        <v>#N/A</v>
      </c>
      <c r="Q290" t="e" cm="1">
        <f t="array" ref="Q290">INDEX('GMW - $100 oil'!$A$2:$MC$200,MATCH(1,('GMW - $100 oil'!$MC$2:$MC$200=Q$3)*('GMW - $100 oil'!$MB$2:$MB$200=Q$4),0),$E290-1973)</f>
        <v>#N/A</v>
      </c>
      <c r="R290" t="e" cm="1">
        <f t="array" ref="R290">INDEX('GMW - $100 oil'!$A$2:$MC$200,MATCH(1,('GMW - $100 oil'!$MC$2:$MC$200=R$3)*('GMW - $100 oil'!$MB$2:$MB$200=R$4),0),$E290-1973)</f>
        <v>#N/A</v>
      </c>
      <c r="S290" t="e" cm="1">
        <f t="array" ref="S290">INDEX('GMW - $100 oil'!$A$2:$MC$200,MATCH(1,('GMW - $100 oil'!$MC$2:$MC$200=S$3)*('GMW - $100 oil'!$MB$2:$MB$200=S$4),0),$E290-1973)</f>
        <v>#N/A</v>
      </c>
      <c r="T290" t="e" cm="1">
        <f t="array" ref="T290">INDEX('GMW - $100 oil'!$A$2:$MC$200,MATCH(1,('GMW - $100 oil'!$MC$2:$MC$200=T$3)*('GMW - $100 oil'!$MB$2:$MB$200=T$4),0),$E290-1973)</f>
        <v>#N/A</v>
      </c>
    </row>
    <row r="291" spans="1:20" x14ac:dyDescent="0.25">
      <c r="A291">
        <v>2051</v>
      </c>
      <c r="B291">
        <f t="shared" si="23"/>
        <v>2051</v>
      </c>
      <c r="C291">
        <f t="shared" si="23"/>
        <v>2050</v>
      </c>
      <c r="D291">
        <f t="shared" si="23"/>
        <v>2050</v>
      </c>
      <c r="E291">
        <f t="shared" si="21"/>
        <v>2264</v>
      </c>
      <c r="F291" t="str" cm="1">
        <f t="array" ref="F291">INDEX('GMW - $100 oil'!$A$2:$MC$200,MATCH(1,('GMW - $100 oil'!$MC$2:$MC$200=F$3)*('GMW - $100 oil'!$MB$2:$MB$200=F$4),0),$E291-1973)</f>
        <v>NA</v>
      </c>
      <c r="G291" t="str" cm="1">
        <f t="array" ref="G291">INDEX('GMW - $100 oil'!$A$2:$MC$200,MATCH(1,('GMW - $100 oil'!$MC$2:$MC$200=G$3)*('GMW - $100 oil'!$MB$2:$MB$200=G$4),0),$E291-1973)</f>
        <v>NA</v>
      </c>
      <c r="H291" t="str" cm="1">
        <f t="array" ref="H291">INDEX('GMW - $100 oil'!$A$2:$MC$200,MATCH(1,('GMW - $100 oil'!$MC$2:$MC$200=H$3)*('GMW - $100 oil'!$MB$2:$MB$200=H$4),0),$E291-1973)</f>
        <v>NA</v>
      </c>
      <c r="I291" t="str" cm="1">
        <f t="array" ref="I291">INDEX('GMW - $100 oil'!$A$2:$MC$200,MATCH(1,('GMW - $100 oil'!$MC$2:$MC$200=I$3)*('GMW - $100 oil'!$MB$2:$MB$200=I$4),0),$E291-1973)</f>
        <v>NA</v>
      </c>
      <c r="J291" t="e" cm="1">
        <f t="array" ref="J291">INDEX('GMW - $100 oil'!$A$2:$MC$200,MATCH(1,('GMW - $100 oil'!$MC$2:$MC$200=J$3)*('GMW - $100 oil'!$MB$2:$MB$200=J$4),0),$E291-1973)</f>
        <v>#N/A</v>
      </c>
      <c r="K291" t="e" cm="1">
        <f t="array" ref="K291">INDEX('GMW - $100 oil'!$A$2:$MC$200,MATCH(1,('GMW - $100 oil'!$MC$2:$MC$200=K$3)*('GMW - $100 oil'!$MB$2:$MB$200=K$4),0),$E291-1973)</f>
        <v>#N/A</v>
      </c>
      <c r="L291" t="e" cm="1">
        <f t="array" ref="L291">INDEX('GMW - $100 oil'!$A$2:$MC$200,MATCH(1,('GMW - $100 oil'!$MC$2:$MC$200=L$3)*('GMW - $100 oil'!$MB$2:$MB$200=L$4),0),$E291-1973)</f>
        <v>#N/A</v>
      </c>
      <c r="M291" t="e" cm="1">
        <f t="array" ref="M291">INDEX('GMW - $100 oil'!$A$2:$MC$200,MATCH(1,('GMW - $100 oil'!$MC$2:$MC$200=M$3)*('GMW - $100 oil'!$MB$2:$MB$200=M$4),0),$E291-1973)</f>
        <v>#N/A</v>
      </c>
      <c r="N291" t="e" cm="1">
        <f t="array" ref="N291">INDEX('GMW - $100 oil'!$A$2:$MC$200,MATCH(1,('GMW - $100 oil'!$MC$2:$MC$200=N$3)*('GMW - $100 oil'!$MB$2:$MB$200=N$4),0),$E291-1973)</f>
        <v>#N/A</v>
      </c>
      <c r="O291" t="e" cm="1">
        <f t="array" ref="O291">INDEX('GMW - $100 oil'!$A$2:$MC$200,MATCH(1,('GMW - $100 oil'!$MC$2:$MC$200=O$3)*('GMW - $100 oil'!$MB$2:$MB$200=O$4),0),$E291-1973)</f>
        <v>#N/A</v>
      </c>
      <c r="P291" t="e" cm="1">
        <f t="array" ref="P291">INDEX('GMW - $100 oil'!$A$2:$MC$200,MATCH(1,('GMW - $100 oil'!$MC$2:$MC$200=P$3)*('GMW - $100 oil'!$MB$2:$MB$200=P$4),0),$E291-1973)</f>
        <v>#N/A</v>
      </c>
      <c r="Q291" t="e" cm="1">
        <f t="array" ref="Q291">INDEX('GMW - $100 oil'!$A$2:$MC$200,MATCH(1,('GMW - $100 oil'!$MC$2:$MC$200=Q$3)*('GMW - $100 oil'!$MB$2:$MB$200=Q$4),0),$E291-1973)</f>
        <v>#N/A</v>
      </c>
      <c r="R291" t="e" cm="1">
        <f t="array" ref="R291">INDEX('GMW - $100 oil'!$A$2:$MC$200,MATCH(1,('GMW - $100 oil'!$MC$2:$MC$200=R$3)*('GMW - $100 oil'!$MB$2:$MB$200=R$4),0),$E291-1973)</f>
        <v>#N/A</v>
      </c>
      <c r="S291" t="e" cm="1">
        <f t="array" ref="S291">INDEX('GMW - $100 oil'!$A$2:$MC$200,MATCH(1,('GMW - $100 oil'!$MC$2:$MC$200=S$3)*('GMW - $100 oil'!$MB$2:$MB$200=S$4),0),$E291-1973)</f>
        <v>#N/A</v>
      </c>
      <c r="T291" t="e" cm="1">
        <f t="array" ref="T291">INDEX('GMW - $100 oil'!$A$2:$MC$200,MATCH(1,('GMW - $100 oil'!$MC$2:$MC$200=T$3)*('GMW - $100 oil'!$MB$2:$MB$200=T$4),0),$E291-1973)</f>
        <v>#N/A</v>
      </c>
    </row>
    <row r="292" spans="1:20" x14ac:dyDescent="0.25">
      <c r="B292">
        <f t="shared" si="23"/>
        <v>2051</v>
      </c>
      <c r="C292">
        <f t="shared" si="23"/>
        <v>2051</v>
      </c>
      <c r="E292">
        <f t="shared" si="21"/>
        <v>2265</v>
      </c>
      <c r="F292" t="str" cm="1">
        <f t="array" ref="F292">INDEX('GMW - $100 oil'!$A$2:$MC$200,MATCH(1,('GMW - $100 oil'!$MC$2:$MC$200=F$3)*('GMW - $100 oil'!$MB$2:$MB$200=F$4),0),$E292-1973)</f>
        <v>NA</v>
      </c>
      <c r="G292" t="str" cm="1">
        <f t="array" ref="G292">INDEX('GMW - $100 oil'!$A$2:$MC$200,MATCH(1,('GMW - $100 oil'!$MC$2:$MC$200=G$3)*('GMW - $100 oil'!$MB$2:$MB$200=G$4),0),$E292-1973)</f>
        <v>NA</v>
      </c>
      <c r="H292" t="str" cm="1">
        <f t="array" ref="H292">INDEX('GMW - $100 oil'!$A$2:$MC$200,MATCH(1,('GMW - $100 oil'!$MC$2:$MC$200=H$3)*('GMW - $100 oil'!$MB$2:$MB$200=H$4),0),$E292-1973)</f>
        <v>NA</v>
      </c>
      <c r="I292" t="str" cm="1">
        <f t="array" ref="I292">INDEX('GMW - $100 oil'!$A$2:$MC$200,MATCH(1,('GMW - $100 oil'!$MC$2:$MC$200=I$3)*('GMW - $100 oil'!$MB$2:$MB$200=I$4),0),$E292-1973)</f>
        <v>NA</v>
      </c>
      <c r="J292" t="e" cm="1">
        <f t="array" ref="J292">INDEX('GMW - $100 oil'!$A$2:$MC$200,MATCH(1,('GMW - $100 oil'!$MC$2:$MC$200=J$3)*('GMW - $100 oil'!$MB$2:$MB$200=J$4),0),$E292-1973)</f>
        <v>#N/A</v>
      </c>
      <c r="K292" t="e" cm="1">
        <f t="array" ref="K292">INDEX('GMW - $100 oil'!$A$2:$MC$200,MATCH(1,('GMW - $100 oil'!$MC$2:$MC$200=K$3)*('GMW - $100 oil'!$MB$2:$MB$200=K$4),0),$E292-1973)</f>
        <v>#N/A</v>
      </c>
      <c r="L292" t="e" cm="1">
        <f t="array" ref="L292">INDEX('GMW - $100 oil'!$A$2:$MC$200,MATCH(1,('GMW - $100 oil'!$MC$2:$MC$200=L$3)*('GMW - $100 oil'!$MB$2:$MB$200=L$4),0),$E292-1973)</f>
        <v>#N/A</v>
      </c>
      <c r="M292" t="e" cm="1">
        <f t="array" ref="M292">INDEX('GMW - $100 oil'!$A$2:$MC$200,MATCH(1,('GMW - $100 oil'!$MC$2:$MC$200=M$3)*('GMW - $100 oil'!$MB$2:$MB$200=M$4),0),$E292-1973)</f>
        <v>#N/A</v>
      </c>
      <c r="N292" t="e" cm="1">
        <f t="array" ref="N292">INDEX('GMW - $100 oil'!$A$2:$MC$200,MATCH(1,('GMW - $100 oil'!$MC$2:$MC$200=N$3)*('GMW - $100 oil'!$MB$2:$MB$200=N$4),0),$E292-1973)</f>
        <v>#N/A</v>
      </c>
      <c r="O292" t="e" cm="1">
        <f t="array" ref="O292">INDEX('GMW - $100 oil'!$A$2:$MC$200,MATCH(1,('GMW - $100 oil'!$MC$2:$MC$200=O$3)*('GMW - $100 oil'!$MB$2:$MB$200=O$4),0),$E292-1973)</f>
        <v>#N/A</v>
      </c>
      <c r="P292" t="e" cm="1">
        <f t="array" ref="P292">INDEX('GMW - $100 oil'!$A$2:$MC$200,MATCH(1,('GMW - $100 oil'!$MC$2:$MC$200=P$3)*('GMW - $100 oil'!$MB$2:$MB$200=P$4),0),$E292-1973)</f>
        <v>#N/A</v>
      </c>
      <c r="Q292" t="e" cm="1">
        <f t="array" ref="Q292">INDEX('GMW - $100 oil'!$A$2:$MC$200,MATCH(1,('GMW - $100 oil'!$MC$2:$MC$200=Q$3)*('GMW - $100 oil'!$MB$2:$MB$200=Q$4),0),$E292-1973)</f>
        <v>#N/A</v>
      </c>
      <c r="R292" t="e" cm="1">
        <f t="array" ref="R292">INDEX('GMW - $100 oil'!$A$2:$MC$200,MATCH(1,('GMW - $100 oil'!$MC$2:$MC$200=R$3)*('GMW - $100 oil'!$MB$2:$MB$200=R$4),0),$E292-1973)</f>
        <v>#N/A</v>
      </c>
      <c r="S292" t="e" cm="1">
        <f t="array" ref="S292">INDEX('GMW - $100 oil'!$A$2:$MC$200,MATCH(1,('GMW - $100 oil'!$MC$2:$MC$200=S$3)*('GMW - $100 oil'!$MB$2:$MB$200=S$4),0),$E292-1973)</f>
        <v>#N/A</v>
      </c>
      <c r="T292" t="e" cm="1">
        <f t="array" ref="T292">INDEX('GMW - $100 oil'!$A$2:$MC$200,MATCH(1,('GMW - $100 oil'!$MC$2:$MC$200=T$3)*('GMW - $100 oil'!$MB$2:$MB$200=T$4),0),$E292-1973)</f>
        <v>#N/A</v>
      </c>
    </row>
    <row r="293" spans="1:20" x14ac:dyDescent="0.25">
      <c r="B293">
        <f t="shared" si="23"/>
        <v>2051</v>
      </c>
      <c r="C293">
        <f t="shared" si="23"/>
        <v>2051</v>
      </c>
      <c r="E293">
        <f t="shared" si="21"/>
        <v>2266</v>
      </c>
      <c r="F293" t="str" cm="1">
        <f t="array" ref="F293">INDEX('GMW - $100 oil'!$A$2:$MC$200,MATCH(1,('GMW - $100 oil'!$MC$2:$MC$200=F$3)*('GMW - $100 oil'!$MB$2:$MB$200=F$4),0),$E293-1973)</f>
        <v>NA</v>
      </c>
      <c r="G293" t="str" cm="1">
        <f t="array" ref="G293">INDEX('GMW - $100 oil'!$A$2:$MC$200,MATCH(1,('GMW - $100 oil'!$MC$2:$MC$200=G$3)*('GMW - $100 oil'!$MB$2:$MB$200=G$4),0),$E293-1973)</f>
        <v>NA</v>
      </c>
      <c r="H293" t="str" cm="1">
        <f t="array" ref="H293">INDEX('GMW - $100 oil'!$A$2:$MC$200,MATCH(1,('GMW - $100 oil'!$MC$2:$MC$200=H$3)*('GMW - $100 oil'!$MB$2:$MB$200=H$4),0),$E293-1973)</f>
        <v>NA</v>
      </c>
      <c r="I293" t="str" cm="1">
        <f t="array" ref="I293">INDEX('GMW - $100 oil'!$A$2:$MC$200,MATCH(1,('GMW - $100 oil'!$MC$2:$MC$200=I$3)*('GMW - $100 oil'!$MB$2:$MB$200=I$4),0),$E293-1973)</f>
        <v>NA</v>
      </c>
      <c r="J293" t="e" cm="1">
        <f t="array" ref="J293">INDEX('GMW - $100 oil'!$A$2:$MC$200,MATCH(1,('GMW - $100 oil'!$MC$2:$MC$200=J$3)*('GMW - $100 oil'!$MB$2:$MB$200=J$4),0),$E293-1973)</f>
        <v>#N/A</v>
      </c>
      <c r="K293" t="e" cm="1">
        <f t="array" ref="K293">INDEX('GMW - $100 oil'!$A$2:$MC$200,MATCH(1,('GMW - $100 oil'!$MC$2:$MC$200=K$3)*('GMW - $100 oil'!$MB$2:$MB$200=K$4),0),$E293-1973)</f>
        <v>#N/A</v>
      </c>
      <c r="L293" t="e" cm="1">
        <f t="array" ref="L293">INDEX('GMW - $100 oil'!$A$2:$MC$200,MATCH(1,('GMW - $100 oil'!$MC$2:$MC$200=L$3)*('GMW - $100 oil'!$MB$2:$MB$200=L$4),0),$E293-1973)</f>
        <v>#N/A</v>
      </c>
      <c r="M293" t="e" cm="1">
        <f t="array" ref="M293">INDEX('GMW - $100 oil'!$A$2:$MC$200,MATCH(1,('GMW - $100 oil'!$MC$2:$MC$200=M$3)*('GMW - $100 oil'!$MB$2:$MB$200=M$4),0),$E293-1973)</f>
        <v>#N/A</v>
      </c>
      <c r="N293" t="e" cm="1">
        <f t="array" ref="N293">INDEX('GMW - $100 oil'!$A$2:$MC$200,MATCH(1,('GMW - $100 oil'!$MC$2:$MC$200=N$3)*('GMW - $100 oil'!$MB$2:$MB$200=N$4),0),$E293-1973)</f>
        <v>#N/A</v>
      </c>
      <c r="O293" t="e" cm="1">
        <f t="array" ref="O293">INDEX('GMW - $100 oil'!$A$2:$MC$200,MATCH(1,('GMW - $100 oil'!$MC$2:$MC$200=O$3)*('GMW - $100 oil'!$MB$2:$MB$200=O$4),0),$E293-1973)</f>
        <v>#N/A</v>
      </c>
      <c r="P293" t="e" cm="1">
        <f t="array" ref="P293">INDEX('GMW - $100 oil'!$A$2:$MC$200,MATCH(1,('GMW - $100 oil'!$MC$2:$MC$200=P$3)*('GMW - $100 oil'!$MB$2:$MB$200=P$4),0),$E293-1973)</f>
        <v>#N/A</v>
      </c>
      <c r="Q293" t="e" cm="1">
        <f t="array" ref="Q293">INDEX('GMW - $100 oil'!$A$2:$MC$200,MATCH(1,('GMW - $100 oil'!$MC$2:$MC$200=Q$3)*('GMW - $100 oil'!$MB$2:$MB$200=Q$4),0),$E293-1973)</f>
        <v>#N/A</v>
      </c>
      <c r="R293" t="e" cm="1">
        <f t="array" ref="R293">INDEX('GMW - $100 oil'!$A$2:$MC$200,MATCH(1,('GMW - $100 oil'!$MC$2:$MC$200=R$3)*('GMW - $100 oil'!$MB$2:$MB$200=R$4),0),$E293-1973)</f>
        <v>#N/A</v>
      </c>
      <c r="S293" t="e" cm="1">
        <f t="array" ref="S293">INDEX('GMW - $100 oil'!$A$2:$MC$200,MATCH(1,('GMW - $100 oil'!$MC$2:$MC$200=S$3)*('GMW - $100 oil'!$MB$2:$MB$200=S$4),0),$E293-1973)</f>
        <v>#N/A</v>
      </c>
      <c r="T293" t="e" cm="1">
        <f t="array" ref="T293">INDEX('GMW - $100 oil'!$A$2:$MC$200,MATCH(1,('GMW - $100 oil'!$MC$2:$MC$200=T$3)*('GMW - $100 oil'!$MB$2:$MB$200=T$4),0),$E293-1973)</f>
        <v>#N/A</v>
      </c>
    </row>
    <row r="294" spans="1:20" x14ac:dyDescent="0.25">
      <c r="B294">
        <f t="shared" si="23"/>
        <v>2051</v>
      </c>
      <c r="C294">
        <f t="shared" si="23"/>
        <v>2051</v>
      </c>
      <c r="E294">
        <f t="shared" si="21"/>
        <v>2267</v>
      </c>
      <c r="F294" t="str" cm="1">
        <f t="array" ref="F294">INDEX('GMW - $100 oil'!$A$2:$MC$200,MATCH(1,('GMW - $100 oil'!$MC$2:$MC$200=F$3)*('GMW - $100 oil'!$MB$2:$MB$200=F$4),0),$E294-1973)</f>
        <v>NA</v>
      </c>
      <c r="G294" t="str" cm="1">
        <f t="array" ref="G294">INDEX('GMW - $100 oil'!$A$2:$MC$200,MATCH(1,('GMW - $100 oil'!$MC$2:$MC$200=G$3)*('GMW - $100 oil'!$MB$2:$MB$200=G$4),0),$E294-1973)</f>
        <v>NA</v>
      </c>
      <c r="H294" t="str" cm="1">
        <f t="array" ref="H294">INDEX('GMW - $100 oil'!$A$2:$MC$200,MATCH(1,('GMW - $100 oil'!$MC$2:$MC$200=H$3)*('GMW - $100 oil'!$MB$2:$MB$200=H$4),0),$E294-1973)</f>
        <v>NA</v>
      </c>
      <c r="I294" t="str" cm="1">
        <f t="array" ref="I294">INDEX('GMW - $100 oil'!$A$2:$MC$200,MATCH(1,('GMW - $100 oil'!$MC$2:$MC$200=I$3)*('GMW - $100 oil'!$MB$2:$MB$200=I$4),0),$E294-1973)</f>
        <v>NA</v>
      </c>
      <c r="J294" t="e" cm="1">
        <f t="array" ref="J294">INDEX('GMW - $100 oil'!$A$2:$MC$200,MATCH(1,('GMW - $100 oil'!$MC$2:$MC$200=J$3)*('GMW - $100 oil'!$MB$2:$MB$200=J$4),0),$E294-1973)</f>
        <v>#N/A</v>
      </c>
      <c r="K294" t="e" cm="1">
        <f t="array" ref="K294">INDEX('GMW - $100 oil'!$A$2:$MC$200,MATCH(1,('GMW - $100 oil'!$MC$2:$MC$200=K$3)*('GMW - $100 oil'!$MB$2:$MB$200=K$4),0),$E294-1973)</f>
        <v>#N/A</v>
      </c>
      <c r="L294" t="e" cm="1">
        <f t="array" ref="L294">INDEX('GMW - $100 oil'!$A$2:$MC$200,MATCH(1,('GMW - $100 oil'!$MC$2:$MC$200=L$3)*('GMW - $100 oil'!$MB$2:$MB$200=L$4),0),$E294-1973)</f>
        <v>#N/A</v>
      </c>
      <c r="M294" t="e" cm="1">
        <f t="array" ref="M294">INDEX('GMW - $100 oil'!$A$2:$MC$200,MATCH(1,('GMW - $100 oil'!$MC$2:$MC$200=M$3)*('GMW - $100 oil'!$MB$2:$MB$200=M$4),0),$E294-1973)</f>
        <v>#N/A</v>
      </c>
      <c r="N294" t="e" cm="1">
        <f t="array" ref="N294">INDEX('GMW - $100 oil'!$A$2:$MC$200,MATCH(1,('GMW - $100 oil'!$MC$2:$MC$200=N$3)*('GMW - $100 oil'!$MB$2:$MB$200=N$4),0),$E294-1973)</f>
        <v>#N/A</v>
      </c>
      <c r="O294" t="e" cm="1">
        <f t="array" ref="O294">INDEX('GMW - $100 oil'!$A$2:$MC$200,MATCH(1,('GMW - $100 oil'!$MC$2:$MC$200=O$3)*('GMW - $100 oil'!$MB$2:$MB$200=O$4),0),$E294-1973)</f>
        <v>#N/A</v>
      </c>
      <c r="P294" t="e" cm="1">
        <f t="array" ref="P294">INDEX('GMW - $100 oil'!$A$2:$MC$200,MATCH(1,('GMW - $100 oil'!$MC$2:$MC$200=P$3)*('GMW - $100 oil'!$MB$2:$MB$200=P$4),0),$E294-1973)</f>
        <v>#N/A</v>
      </c>
      <c r="Q294" t="e" cm="1">
        <f t="array" ref="Q294">INDEX('GMW - $100 oil'!$A$2:$MC$200,MATCH(1,('GMW - $100 oil'!$MC$2:$MC$200=Q$3)*('GMW - $100 oil'!$MB$2:$MB$200=Q$4),0),$E294-1973)</f>
        <v>#N/A</v>
      </c>
      <c r="R294" t="e" cm="1">
        <f t="array" ref="R294">INDEX('GMW - $100 oil'!$A$2:$MC$200,MATCH(1,('GMW - $100 oil'!$MC$2:$MC$200=R$3)*('GMW - $100 oil'!$MB$2:$MB$200=R$4),0),$E294-1973)</f>
        <v>#N/A</v>
      </c>
      <c r="S294" t="e" cm="1">
        <f t="array" ref="S294">INDEX('GMW - $100 oil'!$A$2:$MC$200,MATCH(1,('GMW - $100 oil'!$MC$2:$MC$200=S$3)*('GMW - $100 oil'!$MB$2:$MB$200=S$4),0),$E294-1973)</f>
        <v>#N/A</v>
      </c>
      <c r="T294" t="e" cm="1">
        <f t="array" ref="T294">INDEX('GMW - $100 oil'!$A$2:$MC$200,MATCH(1,('GMW - $100 oil'!$MC$2:$MC$200=T$3)*('GMW - $100 oil'!$MB$2:$MB$200=T$4),0),$E294-1973)</f>
        <v>#N/A</v>
      </c>
    </row>
    <row r="295" spans="1:20" x14ac:dyDescent="0.25">
      <c r="A295">
        <v>2052</v>
      </c>
      <c r="B295">
        <f t="shared" si="23"/>
        <v>2052</v>
      </c>
      <c r="C295">
        <f t="shared" si="23"/>
        <v>2051</v>
      </c>
      <c r="D295">
        <f t="shared" si="23"/>
        <v>2051</v>
      </c>
      <c r="E295">
        <f t="shared" si="21"/>
        <v>2268</v>
      </c>
      <c r="F295" t="str" cm="1">
        <f t="array" ref="F295">INDEX('GMW - $100 oil'!$A$2:$MC$200,MATCH(1,('GMW - $100 oil'!$MC$2:$MC$200=F$3)*('GMW - $100 oil'!$MB$2:$MB$200=F$4),0),$E295-1973)</f>
        <v>NA</v>
      </c>
      <c r="G295" t="str" cm="1">
        <f t="array" ref="G295">INDEX('GMW - $100 oil'!$A$2:$MC$200,MATCH(1,('GMW - $100 oil'!$MC$2:$MC$200=G$3)*('GMW - $100 oil'!$MB$2:$MB$200=G$4),0),$E295-1973)</f>
        <v>NA</v>
      </c>
      <c r="H295" t="str" cm="1">
        <f t="array" ref="H295">INDEX('GMW - $100 oil'!$A$2:$MC$200,MATCH(1,('GMW - $100 oil'!$MC$2:$MC$200=H$3)*('GMW - $100 oil'!$MB$2:$MB$200=H$4),0),$E295-1973)</f>
        <v>NA</v>
      </c>
      <c r="I295" t="str" cm="1">
        <f t="array" ref="I295">INDEX('GMW - $100 oil'!$A$2:$MC$200,MATCH(1,('GMW - $100 oil'!$MC$2:$MC$200=I$3)*('GMW - $100 oil'!$MB$2:$MB$200=I$4),0),$E295-1973)</f>
        <v>NA</v>
      </c>
      <c r="J295" t="e" cm="1">
        <f t="array" ref="J295">INDEX('GMW - $100 oil'!$A$2:$MC$200,MATCH(1,('GMW - $100 oil'!$MC$2:$MC$200=J$3)*('GMW - $100 oil'!$MB$2:$MB$200=J$4),0),$E295-1973)</f>
        <v>#N/A</v>
      </c>
      <c r="K295" t="e" cm="1">
        <f t="array" ref="K295">INDEX('GMW - $100 oil'!$A$2:$MC$200,MATCH(1,('GMW - $100 oil'!$MC$2:$MC$200=K$3)*('GMW - $100 oil'!$MB$2:$MB$200=K$4),0),$E295-1973)</f>
        <v>#N/A</v>
      </c>
      <c r="L295" t="e" cm="1">
        <f t="array" ref="L295">INDEX('GMW - $100 oil'!$A$2:$MC$200,MATCH(1,('GMW - $100 oil'!$MC$2:$MC$200=L$3)*('GMW - $100 oil'!$MB$2:$MB$200=L$4),0),$E295-1973)</f>
        <v>#N/A</v>
      </c>
      <c r="M295" t="e" cm="1">
        <f t="array" ref="M295">INDEX('GMW - $100 oil'!$A$2:$MC$200,MATCH(1,('GMW - $100 oil'!$MC$2:$MC$200=M$3)*('GMW - $100 oil'!$MB$2:$MB$200=M$4),0),$E295-1973)</f>
        <v>#N/A</v>
      </c>
      <c r="N295" t="e" cm="1">
        <f t="array" ref="N295">INDEX('GMW - $100 oil'!$A$2:$MC$200,MATCH(1,('GMW - $100 oil'!$MC$2:$MC$200=N$3)*('GMW - $100 oil'!$MB$2:$MB$200=N$4),0),$E295-1973)</f>
        <v>#N/A</v>
      </c>
      <c r="O295" t="e" cm="1">
        <f t="array" ref="O295">INDEX('GMW - $100 oil'!$A$2:$MC$200,MATCH(1,('GMW - $100 oil'!$MC$2:$MC$200=O$3)*('GMW - $100 oil'!$MB$2:$MB$200=O$4),0),$E295-1973)</f>
        <v>#N/A</v>
      </c>
      <c r="P295" t="e" cm="1">
        <f t="array" ref="P295">INDEX('GMW - $100 oil'!$A$2:$MC$200,MATCH(1,('GMW - $100 oil'!$MC$2:$MC$200=P$3)*('GMW - $100 oil'!$MB$2:$MB$200=P$4),0),$E295-1973)</f>
        <v>#N/A</v>
      </c>
      <c r="Q295" t="e" cm="1">
        <f t="array" ref="Q295">INDEX('GMW - $100 oil'!$A$2:$MC$200,MATCH(1,('GMW - $100 oil'!$MC$2:$MC$200=Q$3)*('GMW - $100 oil'!$MB$2:$MB$200=Q$4),0),$E295-1973)</f>
        <v>#N/A</v>
      </c>
      <c r="R295" t="e" cm="1">
        <f t="array" ref="R295">INDEX('GMW - $100 oil'!$A$2:$MC$200,MATCH(1,('GMW - $100 oil'!$MC$2:$MC$200=R$3)*('GMW - $100 oil'!$MB$2:$MB$200=R$4),0),$E295-1973)</f>
        <v>#N/A</v>
      </c>
      <c r="S295" t="e" cm="1">
        <f t="array" ref="S295">INDEX('GMW - $100 oil'!$A$2:$MC$200,MATCH(1,('GMW - $100 oil'!$MC$2:$MC$200=S$3)*('GMW - $100 oil'!$MB$2:$MB$200=S$4),0),$E295-1973)</f>
        <v>#N/A</v>
      </c>
      <c r="T295" t="e" cm="1">
        <f t="array" ref="T295">INDEX('GMW - $100 oil'!$A$2:$MC$200,MATCH(1,('GMW - $100 oil'!$MC$2:$MC$200=T$3)*('GMW - $100 oil'!$MB$2:$MB$200=T$4),0),$E295-1973)</f>
        <v>#N/A</v>
      </c>
    </row>
    <row r="296" spans="1:20" x14ac:dyDescent="0.25">
      <c r="B296">
        <f t="shared" si="23"/>
        <v>2052</v>
      </c>
      <c r="C296">
        <f t="shared" si="23"/>
        <v>2052</v>
      </c>
      <c r="E296">
        <f t="shared" si="21"/>
        <v>2269</v>
      </c>
      <c r="F296" t="str" cm="1">
        <f t="array" ref="F296">INDEX('GMW - $100 oil'!$A$2:$MC$200,MATCH(1,('GMW - $100 oil'!$MC$2:$MC$200=F$3)*('GMW - $100 oil'!$MB$2:$MB$200=F$4),0),$E296-1973)</f>
        <v>NA</v>
      </c>
      <c r="G296" t="str" cm="1">
        <f t="array" ref="G296">INDEX('GMW - $100 oil'!$A$2:$MC$200,MATCH(1,('GMW - $100 oil'!$MC$2:$MC$200=G$3)*('GMW - $100 oil'!$MB$2:$MB$200=G$4),0),$E296-1973)</f>
        <v>NA</v>
      </c>
      <c r="H296" t="str" cm="1">
        <f t="array" ref="H296">INDEX('GMW - $100 oil'!$A$2:$MC$200,MATCH(1,('GMW - $100 oil'!$MC$2:$MC$200=H$3)*('GMW - $100 oil'!$MB$2:$MB$200=H$4),0),$E296-1973)</f>
        <v>NA</v>
      </c>
      <c r="I296" t="str" cm="1">
        <f t="array" ref="I296">INDEX('GMW - $100 oil'!$A$2:$MC$200,MATCH(1,('GMW - $100 oil'!$MC$2:$MC$200=I$3)*('GMW - $100 oil'!$MB$2:$MB$200=I$4),0),$E296-1973)</f>
        <v>NA</v>
      </c>
      <c r="J296" t="e" cm="1">
        <f t="array" ref="J296">INDEX('GMW - $100 oil'!$A$2:$MC$200,MATCH(1,('GMW - $100 oil'!$MC$2:$MC$200=J$3)*('GMW - $100 oil'!$MB$2:$MB$200=J$4),0),$E296-1973)</f>
        <v>#N/A</v>
      </c>
      <c r="K296" t="e" cm="1">
        <f t="array" ref="K296">INDEX('GMW - $100 oil'!$A$2:$MC$200,MATCH(1,('GMW - $100 oil'!$MC$2:$MC$200=K$3)*('GMW - $100 oil'!$MB$2:$MB$200=K$4),0),$E296-1973)</f>
        <v>#N/A</v>
      </c>
      <c r="L296" t="e" cm="1">
        <f t="array" ref="L296">INDEX('GMW - $100 oil'!$A$2:$MC$200,MATCH(1,('GMW - $100 oil'!$MC$2:$MC$200=L$3)*('GMW - $100 oil'!$MB$2:$MB$200=L$4),0),$E296-1973)</f>
        <v>#N/A</v>
      </c>
      <c r="M296" t="e" cm="1">
        <f t="array" ref="M296">INDEX('GMW - $100 oil'!$A$2:$MC$200,MATCH(1,('GMW - $100 oil'!$MC$2:$MC$200=M$3)*('GMW - $100 oil'!$MB$2:$MB$200=M$4),0),$E296-1973)</f>
        <v>#N/A</v>
      </c>
      <c r="N296" t="e" cm="1">
        <f t="array" ref="N296">INDEX('GMW - $100 oil'!$A$2:$MC$200,MATCH(1,('GMW - $100 oil'!$MC$2:$MC$200=N$3)*('GMW - $100 oil'!$MB$2:$MB$200=N$4),0),$E296-1973)</f>
        <v>#N/A</v>
      </c>
      <c r="O296" t="e" cm="1">
        <f t="array" ref="O296">INDEX('GMW - $100 oil'!$A$2:$MC$200,MATCH(1,('GMW - $100 oil'!$MC$2:$MC$200=O$3)*('GMW - $100 oil'!$MB$2:$MB$200=O$4),0),$E296-1973)</f>
        <v>#N/A</v>
      </c>
      <c r="P296" t="e" cm="1">
        <f t="array" ref="P296">INDEX('GMW - $100 oil'!$A$2:$MC$200,MATCH(1,('GMW - $100 oil'!$MC$2:$MC$200=P$3)*('GMW - $100 oil'!$MB$2:$MB$200=P$4),0),$E296-1973)</f>
        <v>#N/A</v>
      </c>
      <c r="Q296" t="e" cm="1">
        <f t="array" ref="Q296">INDEX('GMW - $100 oil'!$A$2:$MC$200,MATCH(1,('GMW - $100 oil'!$MC$2:$MC$200=Q$3)*('GMW - $100 oil'!$MB$2:$MB$200=Q$4),0),$E296-1973)</f>
        <v>#N/A</v>
      </c>
      <c r="R296" t="e" cm="1">
        <f t="array" ref="R296">INDEX('GMW - $100 oil'!$A$2:$MC$200,MATCH(1,('GMW - $100 oil'!$MC$2:$MC$200=R$3)*('GMW - $100 oil'!$MB$2:$MB$200=R$4),0),$E296-1973)</f>
        <v>#N/A</v>
      </c>
      <c r="S296" t="e" cm="1">
        <f t="array" ref="S296">INDEX('GMW - $100 oil'!$A$2:$MC$200,MATCH(1,('GMW - $100 oil'!$MC$2:$MC$200=S$3)*('GMW - $100 oil'!$MB$2:$MB$200=S$4),0),$E296-1973)</f>
        <v>#N/A</v>
      </c>
      <c r="T296" t="e" cm="1">
        <f t="array" ref="T296">INDEX('GMW - $100 oil'!$A$2:$MC$200,MATCH(1,('GMW - $100 oil'!$MC$2:$MC$200=T$3)*('GMW - $100 oil'!$MB$2:$MB$200=T$4),0),$E296-1973)</f>
        <v>#N/A</v>
      </c>
    </row>
    <row r="297" spans="1:20" x14ac:dyDescent="0.25">
      <c r="B297">
        <f t="shared" si="23"/>
        <v>2052</v>
      </c>
      <c r="C297">
        <f t="shared" si="23"/>
        <v>2052</v>
      </c>
      <c r="E297">
        <f t="shared" si="21"/>
        <v>2270</v>
      </c>
      <c r="F297" t="str" cm="1">
        <f t="array" ref="F297">INDEX('GMW - $100 oil'!$A$2:$MC$200,MATCH(1,('GMW - $100 oil'!$MC$2:$MC$200=F$3)*('GMW - $100 oil'!$MB$2:$MB$200=F$4),0),$E297-1973)</f>
        <v>NA</v>
      </c>
      <c r="G297" t="str" cm="1">
        <f t="array" ref="G297">INDEX('GMW - $100 oil'!$A$2:$MC$200,MATCH(1,('GMW - $100 oil'!$MC$2:$MC$200=G$3)*('GMW - $100 oil'!$MB$2:$MB$200=G$4),0),$E297-1973)</f>
        <v>NA</v>
      </c>
      <c r="H297" t="str" cm="1">
        <f t="array" ref="H297">INDEX('GMW - $100 oil'!$A$2:$MC$200,MATCH(1,('GMW - $100 oil'!$MC$2:$MC$200=H$3)*('GMW - $100 oil'!$MB$2:$MB$200=H$4),0),$E297-1973)</f>
        <v>NA</v>
      </c>
      <c r="I297" t="str" cm="1">
        <f t="array" ref="I297">INDEX('GMW - $100 oil'!$A$2:$MC$200,MATCH(1,('GMW - $100 oil'!$MC$2:$MC$200=I$3)*('GMW - $100 oil'!$MB$2:$MB$200=I$4),0),$E297-1973)</f>
        <v>NA</v>
      </c>
      <c r="J297" t="e" cm="1">
        <f t="array" ref="J297">INDEX('GMW - $100 oil'!$A$2:$MC$200,MATCH(1,('GMW - $100 oil'!$MC$2:$MC$200=J$3)*('GMW - $100 oil'!$MB$2:$MB$200=J$4),0),$E297-1973)</f>
        <v>#N/A</v>
      </c>
      <c r="K297" t="e" cm="1">
        <f t="array" ref="K297">INDEX('GMW - $100 oil'!$A$2:$MC$200,MATCH(1,('GMW - $100 oil'!$MC$2:$MC$200=K$3)*('GMW - $100 oil'!$MB$2:$MB$200=K$4),0),$E297-1973)</f>
        <v>#N/A</v>
      </c>
      <c r="L297" t="e" cm="1">
        <f t="array" ref="L297">INDEX('GMW - $100 oil'!$A$2:$MC$200,MATCH(1,('GMW - $100 oil'!$MC$2:$MC$200=L$3)*('GMW - $100 oil'!$MB$2:$MB$200=L$4),0),$E297-1973)</f>
        <v>#N/A</v>
      </c>
      <c r="M297" t="e" cm="1">
        <f t="array" ref="M297">INDEX('GMW - $100 oil'!$A$2:$MC$200,MATCH(1,('GMW - $100 oil'!$MC$2:$MC$200=M$3)*('GMW - $100 oil'!$MB$2:$MB$200=M$4),0),$E297-1973)</f>
        <v>#N/A</v>
      </c>
      <c r="N297" t="e" cm="1">
        <f t="array" ref="N297">INDEX('GMW - $100 oil'!$A$2:$MC$200,MATCH(1,('GMW - $100 oil'!$MC$2:$MC$200=N$3)*('GMW - $100 oil'!$MB$2:$MB$200=N$4),0),$E297-1973)</f>
        <v>#N/A</v>
      </c>
      <c r="O297" t="e" cm="1">
        <f t="array" ref="O297">INDEX('GMW - $100 oil'!$A$2:$MC$200,MATCH(1,('GMW - $100 oil'!$MC$2:$MC$200=O$3)*('GMW - $100 oil'!$MB$2:$MB$200=O$4),0),$E297-1973)</f>
        <v>#N/A</v>
      </c>
      <c r="P297" t="e" cm="1">
        <f t="array" ref="P297">INDEX('GMW - $100 oil'!$A$2:$MC$200,MATCH(1,('GMW - $100 oil'!$MC$2:$MC$200=P$3)*('GMW - $100 oil'!$MB$2:$MB$200=P$4),0),$E297-1973)</f>
        <v>#N/A</v>
      </c>
      <c r="Q297" t="e" cm="1">
        <f t="array" ref="Q297">INDEX('GMW - $100 oil'!$A$2:$MC$200,MATCH(1,('GMW - $100 oil'!$MC$2:$MC$200=Q$3)*('GMW - $100 oil'!$MB$2:$MB$200=Q$4),0),$E297-1973)</f>
        <v>#N/A</v>
      </c>
      <c r="R297" t="e" cm="1">
        <f t="array" ref="R297">INDEX('GMW - $100 oil'!$A$2:$MC$200,MATCH(1,('GMW - $100 oil'!$MC$2:$MC$200=R$3)*('GMW - $100 oil'!$MB$2:$MB$200=R$4),0),$E297-1973)</f>
        <v>#N/A</v>
      </c>
      <c r="S297" t="e" cm="1">
        <f t="array" ref="S297">INDEX('GMW - $100 oil'!$A$2:$MC$200,MATCH(1,('GMW - $100 oil'!$MC$2:$MC$200=S$3)*('GMW - $100 oil'!$MB$2:$MB$200=S$4),0),$E297-1973)</f>
        <v>#N/A</v>
      </c>
      <c r="T297" t="e" cm="1">
        <f t="array" ref="T297">INDEX('GMW - $100 oil'!$A$2:$MC$200,MATCH(1,('GMW - $100 oil'!$MC$2:$MC$200=T$3)*('GMW - $100 oil'!$MB$2:$MB$200=T$4),0),$E297-1973)</f>
        <v>#N/A</v>
      </c>
    </row>
    <row r="298" spans="1:20" x14ac:dyDescent="0.25">
      <c r="B298">
        <f t="shared" si="23"/>
        <v>2052</v>
      </c>
      <c r="C298">
        <f t="shared" si="23"/>
        <v>2052</v>
      </c>
      <c r="E298">
        <f t="shared" si="21"/>
        <v>2271</v>
      </c>
      <c r="F298" t="str" cm="1">
        <f t="array" ref="F298">INDEX('GMW - $100 oil'!$A$2:$MC$200,MATCH(1,('GMW - $100 oil'!$MC$2:$MC$200=F$3)*('GMW - $100 oil'!$MB$2:$MB$200=F$4),0),$E298-1973)</f>
        <v>NA</v>
      </c>
      <c r="G298" t="str" cm="1">
        <f t="array" ref="G298">INDEX('GMW - $100 oil'!$A$2:$MC$200,MATCH(1,('GMW - $100 oil'!$MC$2:$MC$200=G$3)*('GMW - $100 oil'!$MB$2:$MB$200=G$4),0),$E298-1973)</f>
        <v>NA</v>
      </c>
      <c r="H298" t="str" cm="1">
        <f t="array" ref="H298">INDEX('GMW - $100 oil'!$A$2:$MC$200,MATCH(1,('GMW - $100 oil'!$MC$2:$MC$200=H$3)*('GMW - $100 oil'!$MB$2:$MB$200=H$4),0),$E298-1973)</f>
        <v>NA</v>
      </c>
      <c r="I298" t="str" cm="1">
        <f t="array" ref="I298">INDEX('GMW - $100 oil'!$A$2:$MC$200,MATCH(1,('GMW - $100 oil'!$MC$2:$MC$200=I$3)*('GMW - $100 oil'!$MB$2:$MB$200=I$4),0),$E298-1973)</f>
        <v>NA</v>
      </c>
      <c r="J298" t="e" cm="1">
        <f t="array" ref="J298">INDEX('GMW - $100 oil'!$A$2:$MC$200,MATCH(1,('GMW - $100 oil'!$MC$2:$MC$200=J$3)*('GMW - $100 oil'!$MB$2:$MB$200=J$4),0),$E298-1973)</f>
        <v>#N/A</v>
      </c>
      <c r="K298" t="e" cm="1">
        <f t="array" ref="K298">INDEX('GMW - $100 oil'!$A$2:$MC$200,MATCH(1,('GMW - $100 oil'!$MC$2:$MC$200=K$3)*('GMW - $100 oil'!$MB$2:$MB$200=K$4),0),$E298-1973)</f>
        <v>#N/A</v>
      </c>
      <c r="L298" t="e" cm="1">
        <f t="array" ref="L298">INDEX('GMW - $100 oil'!$A$2:$MC$200,MATCH(1,('GMW - $100 oil'!$MC$2:$MC$200=L$3)*('GMW - $100 oil'!$MB$2:$MB$200=L$4),0),$E298-1973)</f>
        <v>#N/A</v>
      </c>
      <c r="M298" t="e" cm="1">
        <f t="array" ref="M298">INDEX('GMW - $100 oil'!$A$2:$MC$200,MATCH(1,('GMW - $100 oil'!$MC$2:$MC$200=M$3)*('GMW - $100 oil'!$MB$2:$MB$200=M$4),0),$E298-1973)</f>
        <v>#N/A</v>
      </c>
      <c r="N298" t="e" cm="1">
        <f t="array" ref="N298">INDEX('GMW - $100 oil'!$A$2:$MC$200,MATCH(1,('GMW - $100 oil'!$MC$2:$MC$200=N$3)*('GMW - $100 oil'!$MB$2:$MB$200=N$4),0),$E298-1973)</f>
        <v>#N/A</v>
      </c>
      <c r="O298" t="e" cm="1">
        <f t="array" ref="O298">INDEX('GMW - $100 oil'!$A$2:$MC$200,MATCH(1,('GMW - $100 oil'!$MC$2:$MC$200=O$3)*('GMW - $100 oil'!$MB$2:$MB$200=O$4),0),$E298-1973)</f>
        <v>#N/A</v>
      </c>
      <c r="P298" t="e" cm="1">
        <f t="array" ref="P298">INDEX('GMW - $100 oil'!$A$2:$MC$200,MATCH(1,('GMW - $100 oil'!$MC$2:$MC$200=P$3)*('GMW - $100 oil'!$MB$2:$MB$200=P$4),0),$E298-1973)</f>
        <v>#N/A</v>
      </c>
      <c r="Q298" t="e" cm="1">
        <f t="array" ref="Q298">INDEX('GMW - $100 oil'!$A$2:$MC$200,MATCH(1,('GMW - $100 oil'!$MC$2:$MC$200=Q$3)*('GMW - $100 oil'!$MB$2:$MB$200=Q$4),0),$E298-1973)</f>
        <v>#N/A</v>
      </c>
      <c r="R298" t="e" cm="1">
        <f t="array" ref="R298">INDEX('GMW - $100 oil'!$A$2:$MC$200,MATCH(1,('GMW - $100 oil'!$MC$2:$MC$200=R$3)*('GMW - $100 oil'!$MB$2:$MB$200=R$4),0),$E298-1973)</f>
        <v>#N/A</v>
      </c>
      <c r="S298" t="e" cm="1">
        <f t="array" ref="S298">INDEX('GMW - $100 oil'!$A$2:$MC$200,MATCH(1,('GMW - $100 oil'!$MC$2:$MC$200=S$3)*('GMW - $100 oil'!$MB$2:$MB$200=S$4),0),$E298-1973)</f>
        <v>#N/A</v>
      </c>
      <c r="T298" t="e" cm="1">
        <f t="array" ref="T298">INDEX('GMW - $100 oil'!$A$2:$MC$200,MATCH(1,('GMW - $100 oil'!$MC$2:$MC$200=T$3)*('GMW - $100 oil'!$MB$2:$MB$200=T$4),0),$E298-1973)</f>
        <v>#N/A</v>
      </c>
    </row>
    <row r="299" spans="1:20" x14ac:dyDescent="0.25">
      <c r="A299">
        <v>2053</v>
      </c>
      <c r="B299">
        <f t="shared" si="23"/>
        <v>2053</v>
      </c>
      <c r="C299">
        <f t="shared" si="23"/>
        <v>2052</v>
      </c>
      <c r="D299">
        <f t="shared" si="23"/>
        <v>2052</v>
      </c>
      <c r="E299">
        <f t="shared" si="21"/>
        <v>2272</v>
      </c>
      <c r="F299" t="str" cm="1">
        <f t="array" ref="F299">INDEX('GMW - $100 oil'!$A$2:$MC$200,MATCH(1,('GMW - $100 oil'!$MC$2:$MC$200=F$3)*('GMW - $100 oil'!$MB$2:$MB$200=F$4),0),$E299-1973)</f>
        <v>NA</v>
      </c>
      <c r="G299" t="str" cm="1">
        <f t="array" ref="G299">INDEX('GMW - $100 oil'!$A$2:$MC$200,MATCH(1,('GMW - $100 oil'!$MC$2:$MC$200=G$3)*('GMW - $100 oil'!$MB$2:$MB$200=G$4),0),$E299-1973)</f>
        <v>NA</v>
      </c>
      <c r="H299" t="str" cm="1">
        <f t="array" ref="H299">INDEX('GMW - $100 oil'!$A$2:$MC$200,MATCH(1,('GMW - $100 oil'!$MC$2:$MC$200=H$3)*('GMW - $100 oil'!$MB$2:$MB$200=H$4),0),$E299-1973)</f>
        <v>NA</v>
      </c>
      <c r="I299" t="str" cm="1">
        <f t="array" ref="I299">INDEX('GMW - $100 oil'!$A$2:$MC$200,MATCH(1,('GMW - $100 oil'!$MC$2:$MC$200=I$3)*('GMW - $100 oil'!$MB$2:$MB$200=I$4),0),$E299-1973)</f>
        <v>NA</v>
      </c>
      <c r="J299" t="e" cm="1">
        <f t="array" ref="J299">INDEX('GMW - $100 oil'!$A$2:$MC$200,MATCH(1,('GMW - $100 oil'!$MC$2:$MC$200=J$3)*('GMW - $100 oil'!$MB$2:$MB$200=J$4),0),$E299-1973)</f>
        <v>#N/A</v>
      </c>
      <c r="K299" t="e" cm="1">
        <f t="array" ref="K299">INDEX('GMW - $100 oil'!$A$2:$MC$200,MATCH(1,('GMW - $100 oil'!$MC$2:$MC$200=K$3)*('GMW - $100 oil'!$MB$2:$MB$200=K$4),0),$E299-1973)</f>
        <v>#N/A</v>
      </c>
      <c r="L299" t="e" cm="1">
        <f t="array" ref="L299">INDEX('GMW - $100 oil'!$A$2:$MC$200,MATCH(1,('GMW - $100 oil'!$MC$2:$MC$200=L$3)*('GMW - $100 oil'!$MB$2:$MB$200=L$4),0),$E299-1973)</f>
        <v>#N/A</v>
      </c>
      <c r="M299" t="e" cm="1">
        <f t="array" ref="M299">INDEX('GMW - $100 oil'!$A$2:$MC$200,MATCH(1,('GMW - $100 oil'!$MC$2:$MC$200=M$3)*('GMW - $100 oil'!$MB$2:$MB$200=M$4),0),$E299-1973)</f>
        <v>#N/A</v>
      </c>
      <c r="N299" t="e" cm="1">
        <f t="array" ref="N299">INDEX('GMW - $100 oil'!$A$2:$MC$200,MATCH(1,('GMW - $100 oil'!$MC$2:$MC$200=N$3)*('GMW - $100 oil'!$MB$2:$MB$200=N$4),0),$E299-1973)</f>
        <v>#N/A</v>
      </c>
      <c r="O299" t="e" cm="1">
        <f t="array" ref="O299">INDEX('GMW - $100 oil'!$A$2:$MC$200,MATCH(1,('GMW - $100 oil'!$MC$2:$MC$200=O$3)*('GMW - $100 oil'!$MB$2:$MB$200=O$4),0),$E299-1973)</f>
        <v>#N/A</v>
      </c>
      <c r="P299" t="e" cm="1">
        <f t="array" ref="P299">INDEX('GMW - $100 oil'!$A$2:$MC$200,MATCH(1,('GMW - $100 oil'!$MC$2:$MC$200=P$3)*('GMW - $100 oil'!$MB$2:$MB$200=P$4),0),$E299-1973)</f>
        <v>#N/A</v>
      </c>
      <c r="Q299" t="e" cm="1">
        <f t="array" ref="Q299">INDEX('GMW - $100 oil'!$A$2:$MC$200,MATCH(1,('GMW - $100 oil'!$MC$2:$MC$200=Q$3)*('GMW - $100 oil'!$MB$2:$MB$200=Q$4),0),$E299-1973)</f>
        <v>#N/A</v>
      </c>
      <c r="R299" t="e" cm="1">
        <f t="array" ref="R299">INDEX('GMW - $100 oil'!$A$2:$MC$200,MATCH(1,('GMW - $100 oil'!$MC$2:$MC$200=R$3)*('GMW - $100 oil'!$MB$2:$MB$200=R$4),0),$E299-1973)</f>
        <v>#N/A</v>
      </c>
      <c r="S299" t="e" cm="1">
        <f t="array" ref="S299">INDEX('GMW - $100 oil'!$A$2:$MC$200,MATCH(1,('GMW - $100 oil'!$MC$2:$MC$200=S$3)*('GMW - $100 oil'!$MB$2:$MB$200=S$4),0),$E299-1973)</f>
        <v>#N/A</v>
      </c>
      <c r="T299" t="e" cm="1">
        <f t="array" ref="T299">INDEX('GMW - $100 oil'!$A$2:$MC$200,MATCH(1,('GMW - $100 oil'!$MC$2:$MC$200=T$3)*('GMW - $100 oil'!$MB$2:$MB$200=T$4),0),$E299-1973)</f>
        <v>#N/A</v>
      </c>
    </row>
    <row r="300" spans="1:20" x14ac:dyDescent="0.25">
      <c r="B300">
        <f t="shared" ref="B300:D315" si="24">+B296+1</f>
        <v>2053</v>
      </c>
      <c r="C300">
        <f t="shared" si="24"/>
        <v>2053</v>
      </c>
      <c r="E300">
        <f t="shared" si="21"/>
        <v>2273</v>
      </c>
      <c r="F300" t="str" cm="1">
        <f t="array" ref="F300">INDEX('GMW - $100 oil'!$A$2:$MC$200,MATCH(1,('GMW - $100 oil'!$MC$2:$MC$200=F$3)*('GMW - $100 oil'!$MB$2:$MB$200=F$4),0),$E300-1973)</f>
        <v>NA</v>
      </c>
      <c r="G300" t="str" cm="1">
        <f t="array" ref="G300">INDEX('GMW - $100 oil'!$A$2:$MC$200,MATCH(1,('GMW - $100 oil'!$MC$2:$MC$200=G$3)*('GMW - $100 oil'!$MB$2:$MB$200=G$4),0),$E300-1973)</f>
        <v>NA</v>
      </c>
      <c r="H300" t="str" cm="1">
        <f t="array" ref="H300">INDEX('GMW - $100 oil'!$A$2:$MC$200,MATCH(1,('GMW - $100 oil'!$MC$2:$MC$200=H$3)*('GMW - $100 oil'!$MB$2:$MB$200=H$4),0),$E300-1973)</f>
        <v>NA</v>
      </c>
      <c r="I300" t="str" cm="1">
        <f t="array" ref="I300">INDEX('GMW - $100 oil'!$A$2:$MC$200,MATCH(1,('GMW - $100 oil'!$MC$2:$MC$200=I$3)*('GMW - $100 oil'!$MB$2:$MB$200=I$4),0),$E300-1973)</f>
        <v>NA</v>
      </c>
      <c r="J300" t="e" cm="1">
        <f t="array" ref="J300">INDEX('GMW - $100 oil'!$A$2:$MC$200,MATCH(1,('GMW - $100 oil'!$MC$2:$MC$200=J$3)*('GMW - $100 oil'!$MB$2:$MB$200=J$4),0),$E300-1973)</f>
        <v>#N/A</v>
      </c>
      <c r="K300" t="e" cm="1">
        <f t="array" ref="K300">INDEX('GMW - $100 oil'!$A$2:$MC$200,MATCH(1,('GMW - $100 oil'!$MC$2:$MC$200=K$3)*('GMW - $100 oil'!$MB$2:$MB$200=K$4),0),$E300-1973)</f>
        <v>#N/A</v>
      </c>
      <c r="L300" t="e" cm="1">
        <f t="array" ref="L300">INDEX('GMW - $100 oil'!$A$2:$MC$200,MATCH(1,('GMW - $100 oil'!$MC$2:$MC$200=L$3)*('GMW - $100 oil'!$MB$2:$MB$200=L$4),0),$E300-1973)</f>
        <v>#N/A</v>
      </c>
      <c r="M300" t="e" cm="1">
        <f t="array" ref="M300">INDEX('GMW - $100 oil'!$A$2:$MC$200,MATCH(1,('GMW - $100 oil'!$MC$2:$MC$200=M$3)*('GMW - $100 oil'!$MB$2:$MB$200=M$4),0),$E300-1973)</f>
        <v>#N/A</v>
      </c>
      <c r="N300" t="e" cm="1">
        <f t="array" ref="N300">INDEX('GMW - $100 oil'!$A$2:$MC$200,MATCH(1,('GMW - $100 oil'!$MC$2:$MC$200=N$3)*('GMW - $100 oil'!$MB$2:$MB$200=N$4),0),$E300-1973)</f>
        <v>#N/A</v>
      </c>
      <c r="O300" t="e" cm="1">
        <f t="array" ref="O300">INDEX('GMW - $100 oil'!$A$2:$MC$200,MATCH(1,('GMW - $100 oil'!$MC$2:$MC$200=O$3)*('GMW - $100 oil'!$MB$2:$MB$200=O$4),0),$E300-1973)</f>
        <v>#N/A</v>
      </c>
      <c r="P300" t="e" cm="1">
        <f t="array" ref="P300">INDEX('GMW - $100 oil'!$A$2:$MC$200,MATCH(1,('GMW - $100 oil'!$MC$2:$MC$200=P$3)*('GMW - $100 oil'!$MB$2:$MB$200=P$4),0),$E300-1973)</f>
        <v>#N/A</v>
      </c>
      <c r="Q300" t="e" cm="1">
        <f t="array" ref="Q300">INDEX('GMW - $100 oil'!$A$2:$MC$200,MATCH(1,('GMW - $100 oil'!$MC$2:$MC$200=Q$3)*('GMW - $100 oil'!$MB$2:$MB$200=Q$4),0),$E300-1973)</f>
        <v>#N/A</v>
      </c>
      <c r="R300" t="e" cm="1">
        <f t="array" ref="R300">INDEX('GMW - $100 oil'!$A$2:$MC$200,MATCH(1,('GMW - $100 oil'!$MC$2:$MC$200=R$3)*('GMW - $100 oil'!$MB$2:$MB$200=R$4),0),$E300-1973)</f>
        <v>#N/A</v>
      </c>
      <c r="S300" t="e" cm="1">
        <f t="array" ref="S300">INDEX('GMW - $100 oil'!$A$2:$MC$200,MATCH(1,('GMW - $100 oil'!$MC$2:$MC$200=S$3)*('GMW - $100 oil'!$MB$2:$MB$200=S$4),0),$E300-1973)</f>
        <v>#N/A</v>
      </c>
      <c r="T300" t="e" cm="1">
        <f t="array" ref="T300">INDEX('GMW - $100 oil'!$A$2:$MC$200,MATCH(1,('GMW - $100 oil'!$MC$2:$MC$200=T$3)*('GMW - $100 oil'!$MB$2:$MB$200=T$4),0),$E300-1973)</f>
        <v>#N/A</v>
      </c>
    </row>
    <row r="301" spans="1:20" x14ac:dyDescent="0.25">
      <c r="B301">
        <f t="shared" si="24"/>
        <v>2053</v>
      </c>
      <c r="C301">
        <f t="shared" si="24"/>
        <v>2053</v>
      </c>
      <c r="E301">
        <f t="shared" si="21"/>
        <v>2274</v>
      </c>
      <c r="F301" t="str" cm="1">
        <f t="array" ref="F301">INDEX('GMW - $100 oil'!$A$2:$MC$200,MATCH(1,('GMW - $100 oil'!$MC$2:$MC$200=F$3)*('GMW - $100 oil'!$MB$2:$MB$200=F$4),0),$E301-1973)</f>
        <v>NA</v>
      </c>
      <c r="G301" t="str" cm="1">
        <f t="array" ref="G301">INDEX('GMW - $100 oil'!$A$2:$MC$200,MATCH(1,('GMW - $100 oil'!$MC$2:$MC$200=G$3)*('GMW - $100 oil'!$MB$2:$MB$200=G$4),0),$E301-1973)</f>
        <v>NA</v>
      </c>
      <c r="H301" t="str" cm="1">
        <f t="array" ref="H301">INDEX('GMW - $100 oil'!$A$2:$MC$200,MATCH(1,('GMW - $100 oil'!$MC$2:$MC$200=H$3)*('GMW - $100 oil'!$MB$2:$MB$200=H$4),0),$E301-1973)</f>
        <v>NA</v>
      </c>
      <c r="I301" t="str" cm="1">
        <f t="array" ref="I301">INDEX('GMW - $100 oil'!$A$2:$MC$200,MATCH(1,('GMW - $100 oil'!$MC$2:$MC$200=I$3)*('GMW - $100 oil'!$MB$2:$MB$200=I$4),0),$E301-1973)</f>
        <v>NA</v>
      </c>
      <c r="J301" t="e" cm="1">
        <f t="array" ref="J301">INDEX('GMW - $100 oil'!$A$2:$MC$200,MATCH(1,('GMW - $100 oil'!$MC$2:$MC$200=J$3)*('GMW - $100 oil'!$MB$2:$MB$200=J$4),0),$E301-1973)</f>
        <v>#N/A</v>
      </c>
      <c r="K301" t="e" cm="1">
        <f t="array" ref="K301">INDEX('GMW - $100 oil'!$A$2:$MC$200,MATCH(1,('GMW - $100 oil'!$MC$2:$MC$200=K$3)*('GMW - $100 oil'!$MB$2:$MB$200=K$4),0),$E301-1973)</f>
        <v>#N/A</v>
      </c>
      <c r="L301" t="e" cm="1">
        <f t="array" ref="L301">INDEX('GMW - $100 oil'!$A$2:$MC$200,MATCH(1,('GMW - $100 oil'!$MC$2:$MC$200=L$3)*('GMW - $100 oil'!$MB$2:$MB$200=L$4),0),$E301-1973)</f>
        <v>#N/A</v>
      </c>
      <c r="M301" t="e" cm="1">
        <f t="array" ref="M301">INDEX('GMW - $100 oil'!$A$2:$MC$200,MATCH(1,('GMW - $100 oil'!$MC$2:$MC$200=M$3)*('GMW - $100 oil'!$MB$2:$MB$200=M$4),0),$E301-1973)</f>
        <v>#N/A</v>
      </c>
      <c r="N301" t="e" cm="1">
        <f t="array" ref="N301">INDEX('GMW - $100 oil'!$A$2:$MC$200,MATCH(1,('GMW - $100 oil'!$MC$2:$MC$200=N$3)*('GMW - $100 oil'!$MB$2:$MB$200=N$4),0),$E301-1973)</f>
        <v>#N/A</v>
      </c>
      <c r="O301" t="e" cm="1">
        <f t="array" ref="O301">INDEX('GMW - $100 oil'!$A$2:$MC$200,MATCH(1,('GMW - $100 oil'!$MC$2:$MC$200=O$3)*('GMW - $100 oil'!$MB$2:$MB$200=O$4),0),$E301-1973)</f>
        <v>#N/A</v>
      </c>
      <c r="P301" t="e" cm="1">
        <f t="array" ref="P301">INDEX('GMW - $100 oil'!$A$2:$MC$200,MATCH(1,('GMW - $100 oil'!$MC$2:$MC$200=P$3)*('GMW - $100 oil'!$MB$2:$MB$200=P$4),0),$E301-1973)</f>
        <v>#N/A</v>
      </c>
      <c r="Q301" t="e" cm="1">
        <f t="array" ref="Q301">INDEX('GMW - $100 oil'!$A$2:$MC$200,MATCH(1,('GMW - $100 oil'!$MC$2:$MC$200=Q$3)*('GMW - $100 oil'!$MB$2:$MB$200=Q$4),0),$E301-1973)</f>
        <v>#N/A</v>
      </c>
      <c r="R301" t="e" cm="1">
        <f t="array" ref="R301">INDEX('GMW - $100 oil'!$A$2:$MC$200,MATCH(1,('GMW - $100 oil'!$MC$2:$MC$200=R$3)*('GMW - $100 oil'!$MB$2:$MB$200=R$4),0),$E301-1973)</f>
        <v>#N/A</v>
      </c>
      <c r="S301" t="e" cm="1">
        <f t="array" ref="S301">INDEX('GMW - $100 oil'!$A$2:$MC$200,MATCH(1,('GMW - $100 oil'!$MC$2:$MC$200=S$3)*('GMW - $100 oil'!$MB$2:$MB$200=S$4),0),$E301-1973)</f>
        <v>#N/A</v>
      </c>
      <c r="T301" t="e" cm="1">
        <f t="array" ref="T301">INDEX('GMW - $100 oil'!$A$2:$MC$200,MATCH(1,('GMW - $100 oil'!$MC$2:$MC$200=T$3)*('GMW - $100 oil'!$MB$2:$MB$200=T$4),0),$E301-1973)</f>
        <v>#N/A</v>
      </c>
    </row>
    <row r="302" spans="1:20" x14ac:dyDescent="0.25">
      <c r="B302">
        <f t="shared" si="24"/>
        <v>2053</v>
      </c>
      <c r="C302">
        <f t="shared" si="24"/>
        <v>2053</v>
      </c>
      <c r="E302">
        <f t="shared" si="21"/>
        <v>2275</v>
      </c>
      <c r="F302" t="str" cm="1">
        <f t="array" ref="F302">INDEX('GMW - $100 oil'!$A$2:$MC$200,MATCH(1,('GMW - $100 oil'!$MC$2:$MC$200=F$3)*('GMW - $100 oil'!$MB$2:$MB$200=F$4),0),$E302-1973)</f>
        <v>NA</v>
      </c>
      <c r="G302" t="str" cm="1">
        <f t="array" ref="G302">INDEX('GMW - $100 oil'!$A$2:$MC$200,MATCH(1,('GMW - $100 oil'!$MC$2:$MC$200=G$3)*('GMW - $100 oil'!$MB$2:$MB$200=G$4),0),$E302-1973)</f>
        <v>NA</v>
      </c>
      <c r="H302" t="str" cm="1">
        <f t="array" ref="H302">INDEX('GMW - $100 oil'!$A$2:$MC$200,MATCH(1,('GMW - $100 oil'!$MC$2:$MC$200=H$3)*('GMW - $100 oil'!$MB$2:$MB$200=H$4),0),$E302-1973)</f>
        <v>NA</v>
      </c>
      <c r="I302" t="str" cm="1">
        <f t="array" ref="I302">INDEX('GMW - $100 oil'!$A$2:$MC$200,MATCH(1,('GMW - $100 oil'!$MC$2:$MC$200=I$3)*('GMW - $100 oil'!$MB$2:$MB$200=I$4),0),$E302-1973)</f>
        <v>NA</v>
      </c>
      <c r="J302" t="e" cm="1">
        <f t="array" ref="J302">INDEX('GMW - $100 oil'!$A$2:$MC$200,MATCH(1,('GMW - $100 oil'!$MC$2:$MC$200=J$3)*('GMW - $100 oil'!$MB$2:$MB$200=J$4),0),$E302-1973)</f>
        <v>#N/A</v>
      </c>
      <c r="K302" t="e" cm="1">
        <f t="array" ref="K302">INDEX('GMW - $100 oil'!$A$2:$MC$200,MATCH(1,('GMW - $100 oil'!$MC$2:$MC$200=K$3)*('GMW - $100 oil'!$MB$2:$MB$200=K$4),0),$E302-1973)</f>
        <v>#N/A</v>
      </c>
      <c r="L302" t="e" cm="1">
        <f t="array" ref="L302">INDEX('GMW - $100 oil'!$A$2:$MC$200,MATCH(1,('GMW - $100 oil'!$MC$2:$MC$200=L$3)*('GMW - $100 oil'!$MB$2:$MB$200=L$4),0),$E302-1973)</f>
        <v>#N/A</v>
      </c>
      <c r="M302" t="e" cm="1">
        <f t="array" ref="M302">INDEX('GMW - $100 oil'!$A$2:$MC$200,MATCH(1,('GMW - $100 oil'!$MC$2:$MC$200=M$3)*('GMW - $100 oil'!$MB$2:$MB$200=M$4),0),$E302-1973)</f>
        <v>#N/A</v>
      </c>
      <c r="N302" t="e" cm="1">
        <f t="array" ref="N302">INDEX('GMW - $100 oil'!$A$2:$MC$200,MATCH(1,('GMW - $100 oil'!$MC$2:$MC$200=N$3)*('GMW - $100 oil'!$MB$2:$MB$200=N$4),0),$E302-1973)</f>
        <v>#N/A</v>
      </c>
      <c r="O302" t="e" cm="1">
        <f t="array" ref="O302">INDEX('GMW - $100 oil'!$A$2:$MC$200,MATCH(1,('GMW - $100 oil'!$MC$2:$MC$200=O$3)*('GMW - $100 oil'!$MB$2:$MB$200=O$4),0),$E302-1973)</f>
        <v>#N/A</v>
      </c>
      <c r="P302" t="e" cm="1">
        <f t="array" ref="P302">INDEX('GMW - $100 oil'!$A$2:$MC$200,MATCH(1,('GMW - $100 oil'!$MC$2:$MC$200=P$3)*('GMW - $100 oil'!$MB$2:$MB$200=P$4),0),$E302-1973)</f>
        <v>#N/A</v>
      </c>
      <c r="Q302" t="e" cm="1">
        <f t="array" ref="Q302">INDEX('GMW - $100 oil'!$A$2:$MC$200,MATCH(1,('GMW - $100 oil'!$MC$2:$MC$200=Q$3)*('GMW - $100 oil'!$MB$2:$MB$200=Q$4),0),$E302-1973)</f>
        <v>#N/A</v>
      </c>
      <c r="R302" t="e" cm="1">
        <f t="array" ref="R302">INDEX('GMW - $100 oil'!$A$2:$MC$200,MATCH(1,('GMW - $100 oil'!$MC$2:$MC$200=R$3)*('GMW - $100 oil'!$MB$2:$MB$200=R$4),0),$E302-1973)</f>
        <v>#N/A</v>
      </c>
      <c r="S302" t="e" cm="1">
        <f t="array" ref="S302">INDEX('GMW - $100 oil'!$A$2:$MC$200,MATCH(1,('GMW - $100 oil'!$MC$2:$MC$200=S$3)*('GMW - $100 oil'!$MB$2:$MB$200=S$4),0),$E302-1973)</f>
        <v>#N/A</v>
      </c>
      <c r="T302" t="e" cm="1">
        <f t="array" ref="T302">INDEX('GMW - $100 oil'!$A$2:$MC$200,MATCH(1,('GMW - $100 oil'!$MC$2:$MC$200=T$3)*('GMW - $100 oil'!$MB$2:$MB$200=T$4),0),$E302-1973)</f>
        <v>#N/A</v>
      </c>
    </row>
    <row r="303" spans="1:20" x14ac:dyDescent="0.25">
      <c r="A303">
        <v>2054</v>
      </c>
      <c r="B303">
        <f t="shared" si="24"/>
        <v>2054</v>
      </c>
      <c r="C303">
        <f t="shared" si="24"/>
        <v>2053</v>
      </c>
      <c r="D303">
        <f t="shared" si="24"/>
        <v>2053</v>
      </c>
      <c r="E303">
        <f t="shared" si="21"/>
        <v>2276</v>
      </c>
      <c r="F303" t="str" cm="1">
        <f t="array" ref="F303">INDEX('GMW - $100 oil'!$A$2:$MC$200,MATCH(1,('GMW - $100 oil'!$MC$2:$MC$200=F$3)*('GMW - $100 oil'!$MB$2:$MB$200=F$4),0),$E303-1973)</f>
        <v>NA</v>
      </c>
      <c r="G303" t="str" cm="1">
        <f t="array" ref="G303">INDEX('GMW - $100 oil'!$A$2:$MC$200,MATCH(1,('GMW - $100 oil'!$MC$2:$MC$200=G$3)*('GMW - $100 oil'!$MB$2:$MB$200=G$4),0),$E303-1973)</f>
        <v>NA</v>
      </c>
      <c r="H303" t="str" cm="1">
        <f t="array" ref="H303">INDEX('GMW - $100 oil'!$A$2:$MC$200,MATCH(1,('GMW - $100 oil'!$MC$2:$MC$200=H$3)*('GMW - $100 oil'!$MB$2:$MB$200=H$4),0),$E303-1973)</f>
        <v>NA</v>
      </c>
      <c r="I303" t="str" cm="1">
        <f t="array" ref="I303">INDEX('GMW - $100 oil'!$A$2:$MC$200,MATCH(1,('GMW - $100 oil'!$MC$2:$MC$200=I$3)*('GMW - $100 oil'!$MB$2:$MB$200=I$4),0),$E303-1973)</f>
        <v>NA</v>
      </c>
      <c r="J303" t="e" cm="1">
        <f t="array" ref="J303">INDEX('GMW - $100 oil'!$A$2:$MC$200,MATCH(1,('GMW - $100 oil'!$MC$2:$MC$200=J$3)*('GMW - $100 oil'!$MB$2:$MB$200=J$4),0),$E303-1973)</f>
        <v>#N/A</v>
      </c>
      <c r="K303" t="e" cm="1">
        <f t="array" ref="K303">INDEX('GMW - $100 oil'!$A$2:$MC$200,MATCH(1,('GMW - $100 oil'!$MC$2:$MC$200=K$3)*('GMW - $100 oil'!$MB$2:$MB$200=K$4),0),$E303-1973)</f>
        <v>#N/A</v>
      </c>
      <c r="L303" t="e" cm="1">
        <f t="array" ref="L303">INDEX('GMW - $100 oil'!$A$2:$MC$200,MATCH(1,('GMW - $100 oil'!$MC$2:$MC$200=L$3)*('GMW - $100 oil'!$MB$2:$MB$200=L$4),0),$E303-1973)</f>
        <v>#N/A</v>
      </c>
      <c r="M303" t="e" cm="1">
        <f t="array" ref="M303">INDEX('GMW - $100 oil'!$A$2:$MC$200,MATCH(1,('GMW - $100 oil'!$MC$2:$MC$200=M$3)*('GMW - $100 oil'!$MB$2:$MB$200=M$4),0),$E303-1973)</f>
        <v>#N/A</v>
      </c>
      <c r="N303" t="e" cm="1">
        <f t="array" ref="N303">INDEX('GMW - $100 oil'!$A$2:$MC$200,MATCH(1,('GMW - $100 oil'!$MC$2:$MC$200=N$3)*('GMW - $100 oil'!$MB$2:$MB$200=N$4),0),$E303-1973)</f>
        <v>#N/A</v>
      </c>
      <c r="O303" t="e" cm="1">
        <f t="array" ref="O303">INDEX('GMW - $100 oil'!$A$2:$MC$200,MATCH(1,('GMW - $100 oil'!$MC$2:$MC$200=O$3)*('GMW - $100 oil'!$MB$2:$MB$200=O$4),0),$E303-1973)</f>
        <v>#N/A</v>
      </c>
      <c r="P303" t="e" cm="1">
        <f t="array" ref="P303">INDEX('GMW - $100 oil'!$A$2:$MC$200,MATCH(1,('GMW - $100 oil'!$MC$2:$MC$200=P$3)*('GMW - $100 oil'!$MB$2:$MB$200=P$4),0),$E303-1973)</f>
        <v>#N/A</v>
      </c>
      <c r="Q303" t="e" cm="1">
        <f t="array" ref="Q303">INDEX('GMW - $100 oil'!$A$2:$MC$200,MATCH(1,('GMW - $100 oil'!$MC$2:$MC$200=Q$3)*('GMW - $100 oil'!$MB$2:$MB$200=Q$4),0),$E303-1973)</f>
        <v>#N/A</v>
      </c>
      <c r="R303" t="e" cm="1">
        <f t="array" ref="R303">INDEX('GMW - $100 oil'!$A$2:$MC$200,MATCH(1,('GMW - $100 oil'!$MC$2:$MC$200=R$3)*('GMW - $100 oil'!$MB$2:$MB$200=R$4),0),$E303-1973)</f>
        <v>#N/A</v>
      </c>
      <c r="S303" t="e" cm="1">
        <f t="array" ref="S303">INDEX('GMW - $100 oil'!$A$2:$MC$200,MATCH(1,('GMW - $100 oil'!$MC$2:$MC$200=S$3)*('GMW - $100 oil'!$MB$2:$MB$200=S$4),0),$E303-1973)</f>
        <v>#N/A</v>
      </c>
      <c r="T303" t="e" cm="1">
        <f t="array" ref="T303">INDEX('GMW - $100 oil'!$A$2:$MC$200,MATCH(1,('GMW - $100 oil'!$MC$2:$MC$200=T$3)*('GMW - $100 oil'!$MB$2:$MB$200=T$4),0),$E303-1973)</f>
        <v>#N/A</v>
      </c>
    </row>
    <row r="304" spans="1:20" x14ac:dyDescent="0.25">
      <c r="B304">
        <f t="shared" si="24"/>
        <v>2054</v>
      </c>
      <c r="C304">
        <f t="shared" si="24"/>
        <v>2054</v>
      </c>
      <c r="E304">
        <f t="shared" si="21"/>
        <v>2277</v>
      </c>
      <c r="F304" t="str" cm="1">
        <f t="array" ref="F304">INDEX('GMW - $100 oil'!$A$2:$MC$200,MATCH(1,('GMW - $100 oil'!$MC$2:$MC$200=F$3)*('GMW - $100 oil'!$MB$2:$MB$200=F$4),0),$E304-1973)</f>
        <v>NA</v>
      </c>
      <c r="G304" t="str" cm="1">
        <f t="array" ref="G304">INDEX('GMW - $100 oil'!$A$2:$MC$200,MATCH(1,('GMW - $100 oil'!$MC$2:$MC$200=G$3)*('GMW - $100 oil'!$MB$2:$MB$200=G$4),0),$E304-1973)</f>
        <v>NA</v>
      </c>
      <c r="H304" t="str" cm="1">
        <f t="array" ref="H304">INDEX('GMW - $100 oil'!$A$2:$MC$200,MATCH(1,('GMW - $100 oil'!$MC$2:$MC$200=H$3)*('GMW - $100 oil'!$MB$2:$MB$200=H$4),0),$E304-1973)</f>
        <v>NA</v>
      </c>
      <c r="I304" t="str" cm="1">
        <f t="array" ref="I304">INDEX('GMW - $100 oil'!$A$2:$MC$200,MATCH(1,('GMW - $100 oil'!$MC$2:$MC$200=I$3)*('GMW - $100 oil'!$MB$2:$MB$200=I$4),0),$E304-1973)</f>
        <v>NA</v>
      </c>
      <c r="J304" t="e" cm="1">
        <f t="array" ref="J304">INDEX('GMW - $100 oil'!$A$2:$MC$200,MATCH(1,('GMW - $100 oil'!$MC$2:$MC$200=J$3)*('GMW - $100 oil'!$MB$2:$MB$200=J$4),0),$E304-1973)</f>
        <v>#N/A</v>
      </c>
      <c r="K304" t="e" cm="1">
        <f t="array" ref="K304">INDEX('GMW - $100 oil'!$A$2:$MC$200,MATCH(1,('GMW - $100 oil'!$MC$2:$MC$200=K$3)*('GMW - $100 oil'!$MB$2:$MB$200=K$4),0),$E304-1973)</f>
        <v>#N/A</v>
      </c>
      <c r="L304" t="e" cm="1">
        <f t="array" ref="L304">INDEX('GMW - $100 oil'!$A$2:$MC$200,MATCH(1,('GMW - $100 oil'!$MC$2:$MC$200=L$3)*('GMW - $100 oil'!$MB$2:$MB$200=L$4),0),$E304-1973)</f>
        <v>#N/A</v>
      </c>
      <c r="M304" t="e" cm="1">
        <f t="array" ref="M304">INDEX('GMW - $100 oil'!$A$2:$MC$200,MATCH(1,('GMW - $100 oil'!$MC$2:$MC$200=M$3)*('GMW - $100 oil'!$MB$2:$MB$200=M$4),0),$E304-1973)</f>
        <v>#N/A</v>
      </c>
      <c r="N304" t="e" cm="1">
        <f t="array" ref="N304">INDEX('GMW - $100 oil'!$A$2:$MC$200,MATCH(1,('GMW - $100 oil'!$MC$2:$MC$200=N$3)*('GMW - $100 oil'!$MB$2:$MB$200=N$4),0),$E304-1973)</f>
        <v>#N/A</v>
      </c>
      <c r="O304" t="e" cm="1">
        <f t="array" ref="O304">INDEX('GMW - $100 oil'!$A$2:$MC$200,MATCH(1,('GMW - $100 oil'!$MC$2:$MC$200=O$3)*('GMW - $100 oil'!$MB$2:$MB$200=O$4),0),$E304-1973)</f>
        <v>#N/A</v>
      </c>
      <c r="P304" t="e" cm="1">
        <f t="array" ref="P304">INDEX('GMW - $100 oil'!$A$2:$MC$200,MATCH(1,('GMW - $100 oil'!$MC$2:$MC$200=P$3)*('GMW - $100 oil'!$MB$2:$MB$200=P$4),0),$E304-1973)</f>
        <v>#N/A</v>
      </c>
      <c r="Q304" t="e" cm="1">
        <f t="array" ref="Q304">INDEX('GMW - $100 oil'!$A$2:$MC$200,MATCH(1,('GMW - $100 oil'!$MC$2:$MC$200=Q$3)*('GMW - $100 oil'!$MB$2:$MB$200=Q$4),0),$E304-1973)</f>
        <v>#N/A</v>
      </c>
      <c r="R304" t="e" cm="1">
        <f t="array" ref="R304">INDEX('GMW - $100 oil'!$A$2:$MC$200,MATCH(1,('GMW - $100 oil'!$MC$2:$MC$200=R$3)*('GMW - $100 oil'!$MB$2:$MB$200=R$4),0),$E304-1973)</f>
        <v>#N/A</v>
      </c>
      <c r="S304" t="e" cm="1">
        <f t="array" ref="S304">INDEX('GMW - $100 oil'!$A$2:$MC$200,MATCH(1,('GMW - $100 oil'!$MC$2:$MC$200=S$3)*('GMW - $100 oil'!$MB$2:$MB$200=S$4),0),$E304-1973)</f>
        <v>#N/A</v>
      </c>
      <c r="T304" t="e" cm="1">
        <f t="array" ref="T304">INDEX('GMW - $100 oil'!$A$2:$MC$200,MATCH(1,('GMW - $100 oil'!$MC$2:$MC$200=T$3)*('GMW - $100 oil'!$MB$2:$MB$200=T$4),0),$E304-1973)</f>
        <v>#N/A</v>
      </c>
    </row>
    <row r="305" spans="1:20" x14ac:dyDescent="0.25">
      <c r="B305">
        <f t="shared" si="24"/>
        <v>2054</v>
      </c>
      <c r="C305">
        <f t="shared" si="24"/>
        <v>2054</v>
      </c>
      <c r="E305">
        <f t="shared" si="21"/>
        <v>2278</v>
      </c>
      <c r="F305" t="str" cm="1">
        <f t="array" ref="F305">INDEX('GMW - $100 oil'!$A$2:$MC$200,MATCH(1,('GMW - $100 oil'!$MC$2:$MC$200=F$3)*('GMW - $100 oil'!$MB$2:$MB$200=F$4),0),$E305-1973)</f>
        <v>NA</v>
      </c>
      <c r="G305" t="str" cm="1">
        <f t="array" ref="G305">INDEX('GMW - $100 oil'!$A$2:$MC$200,MATCH(1,('GMW - $100 oil'!$MC$2:$MC$200=G$3)*('GMW - $100 oil'!$MB$2:$MB$200=G$4),0),$E305-1973)</f>
        <v>NA</v>
      </c>
      <c r="H305" t="str" cm="1">
        <f t="array" ref="H305">INDEX('GMW - $100 oil'!$A$2:$MC$200,MATCH(1,('GMW - $100 oil'!$MC$2:$MC$200=H$3)*('GMW - $100 oil'!$MB$2:$MB$200=H$4),0),$E305-1973)</f>
        <v>NA</v>
      </c>
      <c r="I305" t="str" cm="1">
        <f t="array" ref="I305">INDEX('GMW - $100 oil'!$A$2:$MC$200,MATCH(1,('GMW - $100 oil'!$MC$2:$MC$200=I$3)*('GMW - $100 oil'!$MB$2:$MB$200=I$4),0),$E305-1973)</f>
        <v>NA</v>
      </c>
      <c r="J305" t="e" cm="1">
        <f t="array" ref="J305">INDEX('GMW - $100 oil'!$A$2:$MC$200,MATCH(1,('GMW - $100 oil'!$MC$2:$MC$200=J$3)*('GMW - $100 oil'!$MB$2:$MB$200=J$4),0),$E305-1973)</f>
        <v>#N/A</v>
      </c>
      <c r="K305" t="e" cm="1">
        <f t="array" ref="K305">INDEX('GMW - $100 oil'!$A$2:$MC$200,MATCH(1,('GMW - $100 oil'!$MC$2:$MC$200=K$3)*('GMW - $100 oil'!$MB$2:$MB$200=K$4),0),$E305-1973)</f>
        <v>#N/A</v>
      </c>
      <c r="L305" t="e" cm="1">
        <f t="array" ref="L305">INDEX('GMW - $100 oil'!$A$2:$MC$200,MATCH(1,('GMW - $100 oil'!$MC$2:$MC$200=L$3)*('GMW - $100 oil'!$MB$2:$MB$200=L$4),0),$E305-1973)</f>
        <v>#N/A</v>
      </c>
      <c r="M305" t="e" cm="1">
        <f t="array" ref="M305">INDEX('GMW - $100 oil'!$A$2:$MC$200,MATCH(1,('GMW - $100 oil'!$MC$2:$MC$200=M$3)*('GMW - $100 oil'!$MB$2:$MB$200=M$4),0),$E305-1973)</f>
        <v>#N/A</v>
      </c>
      <c r="N305" t="e" cm="1">
        <f t="array" ref="N305">INDEX('GMW - $100 oil'!$A$2:$MC$200,MATCH(1,('GMW - $100 oil'!$MC$2:$MC$200=N$3)*('GMW - $100 oil'!$MB$2:$MB$200=N$4),0),$E305-1973)</f>
        <v>#N/A</v>
      </c>
      <c r="O305" t="e" cm="1">
        <f t="array" ref="O305">INDEX('GMW - $100 oil'!$A$2:$MC$200,MATCH(1,('GMW - $100 oil'!$MC$2:$MC$200=O$3)*('GMW - $100 oil'!$MB$2:$MB$200=O$4),0),$E305-1973)</f>
        <v>#N/A</v>
      </c>
      <c r="P305" t="e" cm="1">
        <f t="array" ref="P305">INDEX('GMW - $100 oil'!$A$2:$MC$200,MATCH(1,('GMW - $100 oil'!$MC$2:$MC$200=P$3)*('GMW - $100 oil'!$MB$2:$MB$200=P$4),0),$E305-1973)</f>
        <v>#N/A</v>
      </c>
      <c r="Q305" t="e" cm="1">
        <f t="array" ref="Q305">INDEX('GMW - $100 oil'!$A$2:$MC$200,MATCH(1,('GMW - $100 oil'!$MC$2:$MC$200=Q$3)*('GMW - $100 oil'!$MB$2:$MB$200=Q$4),0),$E305-1973)</f>
        <v>#N/A</v>
      </c>
      <c r="R305" t="e" cm="1">
        <f t="array" ref="R305">INDEX('GMW - $100 oil'!$A$2:$MC$200,MATCH(1,('GMW - $100 oil'!$MC$2:$MC$200=R$3)*('GMW - $100 oil'!$MB$2:$MB$200=R$4),0),$E305-1973)</f>
        <v>#N/A</v>
      </c>
      <c r="S305" t="e" cm="1">
        <f t="array" ref="S305">INDEX('GMW - $100 oil'!$A$2:$MC$200,MATCH(1,('GMW - $100 oil'!$MC$2:$MC$200=S$3)*('GMW - $100 oil'!$MB$2:$MB$200=S$4),0),$E305-1973)</f>
        <v>#N/A</v>
      </c>
      <c r="T305" t="e" cm="1">
        <f t="array" ref="T305">INDEX('GMW - $100 oil'!$A$2:$MC$200,MATCH(1,('GMW - $100 oil'!$MC$2:$MC$200=T$3)*('GMW - $100 oil'!$MB$2:$MB$200=T$4),0),$E305-1973)</f>
        <v>#N/A</v>
      </c>
    </row>
    <row r="306" spans="1:20" x14ac:dyDescent="0.25">
      <c r="B306">
        <f t="shared" si="24"/>
        <v>2054</v>
      </c>
      <c r="C306">
        <f t="shared" si="24"/>
        <v>2054</v>
      </c>
      <c r="E306">
        <f t="shared" si="21"/>
        <v>2279</v>
      </c>
      <c r="F306" t="str" cm="1">
        <f t="array" ref="F306">INDEX('GMW - $100 oil'!$A$2:$MC$200,MATCH(1,('GMW - $100 oil'!$MC$2:$MC$200=F$3)*('GMW - $100 oil'!$MB$2:$MB$200=F$4),0),$E306-1973)</f>
        <v>NA</v>
      </c>
      <c r="G306" t="str" cm="1">
        <f t="array" ref="G306">INDEX('GMW - $100 oil'!$A$2:$MC$200,MATCH(1,('GMW - $100 oil'!$MC$2:$MC$200=G$3)*('GMW - $100 oil'!$MB$2:$MB$200=G$4),0),$E306-1973)</f>
        <v>NA</v>
      </c>
      <c r="H306" t="str" cm="1">
        <f t="array" ref="H306">INDEX('GMW - $100 oil'!$A$2:$MC$200,MATCH(1,('GMW - $100 oil'!$MC$2:$MC$200=H$3)*('GMW - $100 oil'!$MB$2:$MB$200=H$4),0),$E306-1973)</f>
        <v>NA</v>
      </c>
      <c r="I306" t="str" cm="1">
        <f t="array" ref="I306">INDEX('GMW - $100 oil'!$A$2:$MC$200,MATCH(1,('GMW - $100 oil'!$MC$2:$MC$200=I$3)*('GMW - $100 oil'!$MB$2:$MB$200=I$4),0),$E306-1973)</f>
        <v>NA</v>
      </c>
      <c r="J306" t="e" cm="1">
        <f t="array" ref="J306">INDEX('GMW - $100 oil'!$A$2:$MC$200,MATCH(1,('GMW - $100 oil'!$MC$2:$MC$200=J$3)*('GMW - $100 oil'!$MB$2:$MB$200=J$4),0),$E306-1973)</f>
        <v>#N/A</v>
      </c>
      <c r="K306" t="e" cm="1">
        <f t="array" ref="K306">INDEX('GMW - $100 oil'!$A$2:$MC$200,MATCH(1,('GMW - $100 oil'!$MC$2:$MC$200=K$3)*('GMW - $100 oil'!$MB$2:$MB$200=K$4),0),$E306-1973)</f>
        <v>#N/A</v>
      </c>
      <c r="L306" t="e" cm="1">
        <f t="array" ref="L306">INDEX('GMW - $100 oil'!$A$2:$MC$200,MATCH(1,('GMW - $100 oil'!$MC$2:$MC$200=L$3)*('GMW - $100 oil'!$MB$2:$MB$200=L$4),0),$E306-1973)</f>
        <v>#N/A</v>
      </c>
      <c r="M306" t="e" cm="1">
        <f t="array" ref="M306">INDEX('GMW - $100 oil'!$A$2:$MC$200,MATCH(1,('GMW - $100 oil'!$MC$2:$MC$200=M$3)*('GMW - $100 oil'!$MB$2:$MB$200=M$4),0),$E306-1973)</f>
        <v>#N/A</v>
      </c>
      <c r="N306" t="e" cm="1">
        <f t="array" ref="N306">INDEX('GMW - $100 oil'!$A$2:$MC$200,MATCH(1,('GMW - $100 oil'!$MC$2:$MC$200=N$3)*('GMW - $100 oil'!$MB$2:$MB$200=N$4),0),$E306-1973)</f>
        <v>#N/A</v>
      </c>
      <c r="O306" t="e" cm="1">
        <f t="array" ref="O306">INDEX('GMW - $100 oil'!$A$2:$MC$200,MATCH(1,('GMW - $100 oil'!$MC$2:$MC$200=O$3)*('GMW - $100 oil'!$MB$2:$MB$200=O$4),0),$E306-1973)</f>
        <v>#N/A</v>
      </c>
      <c r="P306" t="e" cm="1">
        <f t="array" ref="P306">INDEX('GMW - $100 oil'!$A$2:$MC$200,MATCH(1,('GMW - $100 oil'!$MC$2:$MC$200=P$3)*('GMW - $100 oil'!$MB$2:$MB$200=P$4),0),$E306-1973)</f>
        <v>#N/A</v>
      </c>
      <c r="Q306" t="e" cm="1">
        <f t="array" ref="Q306">INDEX('GMW - $100 oil'!$A$2:$MC$200,MATCH(1,('GMW - $100 oil'!$MC$2:$MC$200=Q$3)*('GMW - $100 oil'!$MB$2:$MB$200=Q$4),0),$E306-1973)</f>
        <v>#N/A</v>
      </c>
      <c r="R306" t="e" cm="1">
        <f t="array" ref="R306">INDEX('GMW - $100 oil'!$A$2:$MC$200,MATCH(1,('GMW - $100 oil'!$MC$2:$MC$200=R$3)*('GMW - $100 oil'!$MB$2:$MB$200=R$4),0),$E306-1973)</f>
        <v>#N/A</v>
      </c>
      <c r="S306" t="e" cm="1">
        <f t="array" ref="S306">INDEX('GMW - $100 oil'!$A$2:$MC$200,MATCH(1,('GMW - $100 oil'!$MC$2:$MC$200=S$3)*('GMW - $100 oil'!$MB$2:$MB$200=S$4),0),$E306-1973)</f>
        <v>#N/A</v>
      </c>
      <c r="T306" t="e" cm="1">
        <f t="array" ref="T306">INDEX('GMW - $100 oil'!$A$2:$MC$200,MATCH(1,('GMW - $100 oil'!$MC$2:$MC$200=T$3)*('GMW - $100 oil'!$MB$2:$MB$200=T$4),0),$E306-1973)</f>
        <v>#N/A</v>
      </c>
    </row>
    <row r="307" spans="1:20" x14ac:dyDescent="0.25">
      <c r="A307">
        <v>2055</v>
      </c>
      <c r="B307">
        <f t="shared" si="24"/>
        <v>2055</v>
      </c>
      <c r="C307">
        <f t="shared" si="24"/>
        <v>2054</v>
      </c>
      <c r="D307">
        <f t="shared" si="24"/>
        <v>2054</v>
      </c>
      <c r="E307">
        <f t="shared" si="21"/>
        <v>2280</v>
      </c>
      <c r="F307" t="str" cm="1">
        <f t="array" ref="F307">INDEX('GMW - $100 oil'!$A$2:$MC$200,MATCH(1,('GMW - $100 oil'!$MC$2:$MC$200=F$3)*('GMW - $100 oil'!$MB$2:$MB$200=F$4),0),$E307-1973)</f>
        <v>NA</v>
      </c>
      <c r="G307" t="str" cm="1">
        <f t="array" ref="G307">INDEX('GMW - $100 oil'!$A$2:$MC$200,MATCH(1,('GMW - $100 oil'!$MC$2:$MC$200=G$3)*('GMW - $100 oil'!$MB$2:$MB$200=G$4),0),$E307-1973)</f>
        <v>NA</v>
      </c>
      <c r="H307" t="str" cm="1">
        <f t="array" ref="H307">INDEX('GMW - $100 oil'!$A$2:$MC$200,MATCH(1,('GMW - $100 oil'!$MC$2:$MC$200=H$3)*('GMW - $100 oil'!$MB$2:$MB$200=H$4),0),$E307-1973)</f>
        <v>NA</v>
      </c>
      <c r="I307" t="str" cm="1">
        <f t="array" ref="I307">INDEX('GMW - $100 oil'!$A$2:$MC$200,MATCH(1,('GMW - $100 oil'!$MC$2:$MC$200=I$3)*('GMW - $100 oil'!$MB$2:$MB$200=I$4),0),$E307-1973)</f>
        <v>NA</v>
      </c>
      <c r="J307" t="e" cm="1">
        <f t="array" ref="J307">INDEX('GMW - $100 oil'!$A$2:$MC$200,MATCH(1,('GMW - $100 oil'!$MC$2:$MC$200=J$3)*('GMW - $100 oil'!$MB$2:$MB$200=J$4),0),$E307-1973)</f>
        <v>#N/A</v>
      </c>
      <c r="K307" t="e" cm="1">
        <f t="array" ref="K307">INDEX('GMW - $100 oil'!$A$2:$MC$200,MATCH(1,('GMW - $100 oil'!$MC$2:$MC$200=K$3)*('GMW - $100 oil'!$MB$2:$MB$200=K$4),0),$E307-1973)</f>
        <v>#N/A</v>
      </c>
      <c r="L307" t="e" cm="1">
        <f t="array" ref="L307">INDEX('GMW - $100 oil'!$A$2:$MC$200,MATCH(1,('GMW - $100 oil'!$MC$2:$MC$200=L$3)*('GMW - $100 oil'!$MB$2:$MB$200=L$4),0),$E307-1973)</f>
        <v>#N/A</v>
      </c>
      <c r="M307" t="e" cm="1">
        <f t="array" ref="M307">INDEX('GMW - $100 oil'!$A$2:$MC$200,MATCH(1,('GMW - $100 oil'!$MC$2:$MC$200=M$3)*('GMW - $100 oil'!$MB$2:$MB$200=M$4),0),$E307-1973)</f>
        <v>#N/A</v>
      </c>
      <c r="N307" t="e" cm="1">
        <f t="array" ref="N307">INDEX('GMW - $100 oil'!$A$2:$MC$200,MATCH(1,('GMW - $100 oil'!$MC$2:$MC$200=N$3)*('GMW - $100 oil'!$MB$2:$MB$200=N$4),0),$E307-1973)</f>
        <v>#N/A</v>
      </c>
      <c r="O307" t="e" cm="1">
        <f t="array" ref="O307">INDEX('GMW - $100 oil'!$A$2:$MC$200,MATCH(1,('GMW - $100 oil'!$MC$2:$MC$200=O$3)*('GMW - $100 oil'!$MB$2:$MB$200=O$4),0),$E307-1973)</f>
        <v>#N/A</v>
      </c>
      <c r="P307" t="e" cm="1">
        <f t="array" ref="P307">INDEX('GMW - $100 oil'!$A$2:$MC$200,MATCH(1,('GMW - $100 oil'!$MC$2:$MC$200=P$3)*('GMW - $100 oil'!$MB$2:$MB$200=P$4),0),$E307-1973)</f>
        <v>#N/A</v>
      </c>
      <c r="Q307" t="e" cm="1">
        <f t="array" ref="Q307">INDEX('GMW - $100 oil'!$A$2:$MC$200,MATCH(1,('GMW - $100 oil'!$MC$2:$MC$200=Q$3)*('GMW - $100 oil'!$MB$2:$MB$200=Q$4),0),$E307-1973)</f>
        <v>#N/A</v>
      </c>
      <c r="R307" t="e" cm="1">
        <f t="array" ref="R307">INDEX('GMW - $100 oil'!$A$2:$MC$200,MATCH(1,('GMW - $100 oil'!$MC$2:$MC$200=R$3)*('GMW - $100 oil'!$MB$2:$MB$200=R$4),0),$E307-1973)</f>
        <v>#N/A</v>
      </c>
      <c r="S307" t="e" cm="1">
        <f t="array" ref="S307">INDEX('GMW - $100 oil'!$A$2:$MC$200,MATCH(1,('GMW - $100 oil'!$MC$2:$MC$200=S$3)*('GMW - $100 oil'!$MB$2:$MB$200=S$4),0),$E307-1973)</f>
        <v>#N/A</v>
      </c>
      <c r="T307" t="e" cm="1">
        <f t="array" ref="T307">INDEX('GMW - $100 oil'!$A$2:$MC$200,MATCH(1,('GMW - $100 oil'!$MC$2:$MC$200=T$3)*('GMW - $100 oil'!$MB$2:$MB$200=T$4),0),$E307-1973)</f>
        <v>#N/A</v>
      </c>
    </row>
    <row r="308" spans="1:20" x14ac:dyDescent="0.25">
      <c r="B308">
        <f t="shared" si="24"/>
        <v>2055</v>
      </c>
      <c r="C308">
        <f t="shared" si="24"/>
        <v>2055</v>
      </c>
      <c r="E308">
        <f t="shared" si="21"/>
        <v>2281</v>
      </c>
      <c r="F308" t="str" cm="1">
        <f t="array" ref="F308">INDEX('GMW - $100 oil'!$A$2:$MC$200,MATCH(1,('GMW - $100 oil'!$MC$2:$MC$200=F$3)*('GMW - $100 oil'!$MB$2:$MB$200=F$4),0),$E308-1973)</f>
        <v>NA</v>
      </c>
      <c r="G308" t="str" cm="1">
        <f t="array" ref="G308">INDEX('GMW - $100 oil'!$A$2:$MC$200,MATCH(1,('GMW - $100 oil'!$MC$2:$MC$200=G$3)*('GMW - $100 oil'!$MB$2:$MB$200=G$4),0),$E308-1973)</f>
        <v>NA</v>
      </c>
      <c r="H308" t="str" cm="1">
        <f t="array" ref="H308">INDEX('GMW - $100 oil'!$A$2:$MC$200,MATCH(1,('GMW - $100 oil'!$MC$2:$MC$200=H$3)*('GMW - $100 oil'!$MB$2:$MB$200=H$4),0),$E308-1973)</f>
        <v>NA</v>
      </c>
      <c r="I308" t="str" cm="1">
        <f t="array" ref="I308">INDEX('GMW - $100 oil'!$A$2:$MC$200,MATCH(1,('GMW - $100 oil'!$MC$2:$MC$200=I$3)*('GMW - $100 oil'!$MB$2:$MB$200=I$4),0),$E308-1973)</f>
        <v>NA</v>
      </c>
      <c r="J308" t="e" cm="1">
        <f t="array" ref="J308">INDEX('GMW - $100 oil'!$A$2:$MC$200,MATCH(1,('GMW - $100 oil'!$MC$2:$MC$200=J$3)*('GMW - $100 oil'!$MB$2:$MB$200=J$4),0),$E308-1973)</f>
        <v>#N/A</v>
      </c>
      <c r="K308" t="e" cm="1">
        <f t="array" ref="K308">INDEX('GMW - $100 oil'!$A$2:$MC$200,MATCH(1,('GMW - $100 oil'!$MC$2:$MC$200=K$3)*('GMW - $100 oil'!$MB$2:$MB$200=K$4),0),$E308-1973)</f>
        <v>#N/A</v>
      </c>
      <c r="L308" t="e" cm="1">
        <f t="array" ref="L308">INDEX('GMW - $100 oil'!$A$2:$MC$200,MATCH(1,('GMW - $100 oil'!$MC$2:$MC$200=L$3)*('GMW - $100 oil'!$MB$2:$MB$200=L$4),0),$E308-1973)</f>
        <v>#N/A</v>
      </c>
      <c r="M308" t="e" cm="1">
        <f t="array" ref="M308">INDEX('GMW - $100 oil'!$A$2:$MC$200,MATCH(1,('GMW - $100 oil'!$MC$2:$MC$200=M$3)*('GMW - $100 oil'!$MB$2:$MB$200=M$4),0),$E308-1973)</f>
        <v>#N/A</v>
      </c>
      <c r="N308" t="e" cm="1">
        <f t="array" ref="N308">INDEX('GMW - $100 oil'!$A$2:$MC$200,MATCH(1,('GMW - $100 oil'!$MC$2:$MC$200=N$3)*('GMW - $100 oil'!$MB$2:$MB$200=N$4),0),$E308-1973)</f>
        <v>#N/A</v>
      </c>
      <c r="O308" t="e" cm="1">
        <f t="array" ref="O308">INDEX('GMW - $100 oil'!$A$2:$MC$200,MATCH(1,('GMW - $100 oil'!$MC$2:$MC$200=O$3)*('GMW - $100 oil'!$MB$2:$MB$200=O$4),0),$E308-1973)</f>
        <v>#N/A</v>
      </c>
      <c r="P308" t="e" cm="1">
        <f t="array" ref="P308">INDEX('GMW - $100 oil'!$A$2:$MC$200,MATCH(1,('GMW - $100 oil'!$MC$2:$MC$200=P$3)*('GMW - $100 oil'!$MB$2:$MB$200=P$4),0),$E308-1973)</f>
        <v>#N/A</v>
      </c>
      <c r="Q308" t="e" cm="1">
        <f t="array" ref="Q308">INDEX('GMW - $100 oil'!$A$2:$MC$200,MATCH(1,('GMW - $100 oil'!$MC$2:$MC$200=Q$3)*('GMW - $100 oil'!$MB$2:$MB$200=Q$4),0),$E308-1973)</f>
        <v>#N/A</v>
      </c>
      <c r="R308" t="e" cm="1">
        <f t="array" ref="R308">INDEX('GMW - $100 oil'!$A$2:$MC$200,MATCH(1,('GMW - $100 oil'!$MC$2:$MC$200=R$3)*('GMW - $100 oil'!$MB$2:$MB$200=R$4),0),$E308-1973)</f>
        <v>#N/A</v>
      </c>
      <c r="S308" t="e" cm="1">
        <f t="array" ref="S308">INDEX('GMW - $100 oil'!$A$2:$MC$200,MATCH(1,('GMW - $100 oil'!$MC$2:$MC$200=S$3)*('GMW - $100 oil'!$MB$2:$MB$200=S$4),0),$E308-1973)</f>
        <v>#N/A</v>
      </c>
      <c r="T308" t="e" cm="1">
        <f t="array" ref="T308">INDEX('GMW - $100 oil'!$A$2:$MC$200,MATCH(1,('GMW - $100 oil'!$MC$2:$MC$200=T$3)*('GMW - $100 oil'!$MB$2:$MB$200=T$4),0),$E308-1973)</f>
        <v>#N/A</v>
      </c>
    </row>
    <row r="309" spans="1:20" x14ac:dyDescent="0.25">
      <c r="B309">
        <f t="shared" si="24"/>
        <v>2055</v>
      </c>
      <c r="C309">
        <f t="shared" si="24"/>
        <v>2055</v>
      </c>
      <c r="E309">
        <f t="shared" si="21"/>
        <v>2282</v>
      </c>
      <c r="F309" t="str" cm="1">
        <f t="array" ref="F309">INDEX('GMW - $100 oil'!$A$2:$MC$200,MATCH(1,('GMW - $100 oil'!$MC$2:$MC$200=F$3)*('GMW - $100 oil'!$MB$2:$MB$200=F$4),0),$E309-1973)</f>
        <v>NA</v>
      </c>
      <c r="G309" t="str" cm="1">
        <f t="array" ref="G309">INDEX('GMW - $100 oil'!$A$2:$MC$200,MATCH(1,('GMW - $100 oil'!$MC$2:$MC$200=G$3)*('GMW - $100 oil'!$MB$2:$MB$200=G$4),0),$E309-1973)</f>
        <v>NA</v>
      </c>
      <c r="H309" t="str" cm="1">
        <f t="array" ref="H309">INDEX('GMW - $100 oil'!$A$2:$MC$200,MATCH(1,('GMW - $100 oil'!$MC$2:$MC$200=H$3)*('GMW - $100 oil'!$MB$2:$MB$200=H$4),0),$E309-1973)</f>
        <v>NA</v>
      </c>
      <c r="I309" t="str" cm="1">
        <f t="array" ref="I309">INDEX('GMW - $100 oil'!$A$2:$MC$200,MATCH(1,('GMW - $100 oil'!$MC$2:$MC$200=I$3)*('GMW - $100 oil'!$MB$2:$MB$200=I$4),0),$E309-1973)</f>
        <v>NA</v>
      </c>
      <c r="J309" t="e" cm="1">
        <f t="array" ref="J309">INDEX('GMW - $100 oil'!$A$2:$MC$200,MATCH(1,('GMW - $100 oil'!$MC$2:$MC$200=J$3)*('GMW - $100 oil'!$MB$2:$MB$200=J$4),0),$E309-1973)</f>
        <v>#N/A</v>
      </c>
      <c r="K309" t="e" cm="1">
        <f t="array" ref="K309">INDEX('GMW - $100 oil'!$A$2:$MC$200,MATCH(1,('GMW - $100 oil'!$MC$2:$MC$200=K$3)*('GMW - $100 oil'!$MB$2:$MB$200=K$4),0),$E309-1973)</f>
        <v>#N/A</v>
      </c>
      <c r="L309" t="e" cm="1">
        <f t="array" ref="L309">INDEX('GMW - $100 oil'!$A$2:$MC$200,MATCH(1,('GMW - $100 oil'!$MC$2:$MC$200=L$3)*('GMW - $100 oil'!$MB$2:$MB$200=L$4),0),$E309-1973)</f>
        <v>#N/A</v>
      </c>
      <c r="M309" t="e" cm="1">
        <f t="array" ref="M309">INDEX('GMW - $100 oil'!$A$2:$MC$200,MATCH(1,('GMW - $100 oil'!$MC$2:$MC$200=M$3)*('GMW - $100 oil'!$MB$2:$MB$200=M$4),0),$E309-1973)</f>
        <v>#N/A</v>
      </c>
      <c r="N309" t="e" cm="1">
        <f t="array" ref="N309">INDEX('GMW - $100 oil'!$A$2:$MC$200,MATCH(1,('GMW - $100 oil'!$MC$2:$MC$200=N$3)*('GMW - $100 oil'!$MB$2:$MB$200=N$4),0),$E309-1973)</f>
        <v>#N/A</v>
      </c>
      <c r="O309" t="e" cm="1">
        <f t="array" ref="O309">INDEX('GMW - $100 oil'!$A$2:$MC$200,MATCH(1,('GMW - $100 oil'!$MC$2:$MC$200=O$3)*('GMW - $100 oil'!$MB$2:$MB$200=O$4),0),$E309-1973)</f>
        <v>#N/A</v>
      </c>
      <c r="P309" t="e" cm="1">
        <f t="array" ref="P309">INDEX('GMW - $100 oil'!$A$2:$MC$200,MATCH(1,('GMW - $100 oil'!$MC$2:$MC$200=P$3)*('GMW - $100 oil'!$MB$2:$MB$200=P$4),0),$E309-1973)</f>
        <v>#N/A</v>
      </c>
      <c r="Q309" t="e" cm="1">
        <f t="array" ref="Q309">INDEX('GMW - $100 oil'!$A$2:$MC$200,MATCH(1,('GMW - $100 oil'!$MC$2:$MC$200=Q$3)*('GMW - $100 oil'!$MB$2:$MB$200=Q$4),0),$E309-1973)</f>
        <v>#N/A</v>
      </c>
      <c r="R309" t="e" cm="1">
        <f t="array" ref="R309">INDEX('GMW - $100 oil'!$A$2:$MC$200,MATCH(1,('GMW - $100 oil'!$MC$2:$MC$200=R$3)*('GMW - $100 oil'!$MB$2:$MB$200=R$4),0),$E309-1973)</f>
        <v>#N/A</v>
      </c>
      <c r="S309" t="e" cm="1">
        <f t="array" ref="S309">INDEX('GMW - $100 oil'!$A$2:$MC$200,MATCH(1,('GMW - $100 oil'!$MC$2:$MC$200=S$3)*('GMW - $100 oil'!$MB$2:$MB$200=S$4),0),$E309-1973)</f>
        <v>#N/A</v>
      </c>
      <c r="T309" t="e" cm="1">
        <f t="array" ref="T309">INDEX('GMW - $100 oil'!$A$2:$MC$200,MATCH(1,('GMW - $100 oil'!$MC$2:$MC$200=T$3)*('GMW - $100 oil'!$MB$2:$MB$200=T$4),0),$E309-1973)</f>
        <v>#N/A</v>
      </c>
    </row>
    <row r="310" spans="1:20" x14ac:dyDescent="0.25">
      <c r="B310">
        <f t="shared" si="24"/>
        <v>2055</v>
      </c>
      <c r="C310">
        <f t="shared" si="24"/>
        <v>2055</v>
      </c>
      <c r="E310">
        <f t="shared" si="21"/>
        <v>2283</v>
      </c>
      <c r="F310" t="str" cm="1">
        <f t="array" ref="F310">INDEX('GMW - $100 oil'!$A$2:$MC$200,MATCH(1,('GMW - $100 oil'!$MC$2:$MC$200=F$3)*('GMW - $100 oil'!$MB$2:$MB$200=F$4),0),$E310-1973)</f>
        <v>NA</v>
      </c>
      <c r="G310" t="str" cm="1">
        <f t="array" ref="G310">INDEX('GMW - $100 oil'!$A$2:$MC$200,MATCH(1,('GMW - $100 oil'!$MC$2:$MC$200=G$3)*('GMW - $100 oil'!$MB$2:$MB$200=G$4),0),$E310-1973)</f>
        <v>NA</v>
      </c>
      <c r="H310" t="str" cm="1">
        <f t="array" ref="H310">INDEX('GMW - $100 oil'!$A$2:$MC$200,MATCH(1,('GMW - $100 oil'!$MC$2:$MC$200=H$3)*('GMW - $100 oil'!$MB$2:$MB$200=H$4),0),$E310-1973)</f>
        <v>NA</v>
      </c>
      <c r="I310" t="str" cm="1">
        <f t="array" ref="I310">INDEX('GMW - $100 oil'!$A$2:$MC$200,MATCH(1,('GMW - $100 oil'!$MC$2:$MC$200=I$3)*('GMW - $100 oil'!$MB$2:$MB$200=I$4),0),$E310-1973)</f>
        <v>NA</v>
      </c>
      <c r="J310" t="e" cm="1">
        <f t="array" ref="J310">INDEX('GMW - $100 oil'!$A$2:$MC$200,MATCH(1,('GMW - $100 oil'!$MC$2:$MC$200=J$3)*('GMW - $100 oil'!$MB$2:$MB$200=J$4),0),$E310-1973)</f>
        <v>#N/A</v>
      </c>
      <c r="K310" t="e" cm="1">
        <f t="array" ref="K310">INDEX('GMW - $100 oil'!$A$2:$MC$200,MATCH(1,('GMW - $100 oil'!$MC$2:$MC$200=K$3)*('GMW - $100 oil'!$MB$2:$MB$200=K$4),0),$E310-1973)</f>
        <v>#N/A</v>
      </c>
      <c r="L310" t="e" cm="1">
        <f t="array" ref="L310">INDEX('GMW - $100 oil'!$A$2:$MC$200,MATCH(1,('GMW - $100 oil'!$MC$2:$MC$200=L$3)*('GMW - $100 oil'!$MB$2:$MB$200=L$4),0),$E310-1973)</f>
        <v>#N/A</v>
      </c>
      <c r="M310" t="e" cm="1">
        <f t="array" ref="M310">INDEX('GMW - $100 oil'!$A$2:$MC$200,MATCH(1,('GMW - $100 oil'!$MC$2:$MC$200=M$3)*('GMW - $100 oil'!$MB$2:$MB$200=M$4),0),$E310-1973)</f>
        <v>#N/A</v>
      </c>
      <c r="N310" t="e" cm="1">
        <f t="array" ref="N310">INDEX('GMW - $100 oil'!$A$2:$MC$200,MATCH(1,('GMW - $100 oil'!$MC$2:$MC$200=N$3)*('GMW - $100 oil'!$MB$2:$MB$200=N$4),0),$E310-1973)</f>
        <v>#N/A</v>
      </c>
      <c r="O310" t="e" cm="1">
        <f t="array" ref="O310">INDEX('GMW - $100 oil'!$A$2:$MC$200,MATCH(1,('GMW - $100 oil'!$MC$2:$MC$200=O$3)*('GMW - $100 oil'!$MB$2:$MB$200=O$4),0),$E310-1973)</f>
        <v>#N/A</v>
      </c>
      <c r="P310" t="e" cm="1">
        <f t="array" ref="P310">INDEX('GMW - $100 oil'!$A$2:$MC$200,MATCH(1,('GMW - $100 oil'!$MC$2:$MC$200=P$3)*('GMW - $100 oil'!$MB$2:$MB$200=P$4),0),$E310-1973)</f>
        <v>#N/A</v>
      </c>
      <c r="Q310" t="e" cm="1">
        <f t="array" ref="Q310">INDEX('GMW - $100 oil'!$A$2:$MC$200,MATCH(1,('GMW - $100 oil'!$MC$2:$MC$200=Q$3)*('GMW - $100 oil'!$MB$2:$MB$200=Q$4),0),$E310-1973)</f>
        <v>#N/A</v>
      </c>
      <c r="R310" t="e" cm="1">
        <f t="array" ref="R310">INDEX('GMW - $100 oil'!$A$2:$MC$200,MATCH(1,('GMW - $100 oil'!$MC$2:$MC$200=R$3)*('GMW - $100 oil'!$MB$2:$MB$200=R$4),0),$E310-1973)</f>
        <v>#N/A</v>
      </c>
      <c r="S310" t="e" cm="1">
        <f t="array" ref="S310">INDEX('GMW - $100 oil'!$A$2:$MC$200,MATCH(1,('GMW - $100 oil'!$MC$2:$MC$200=S$3)*('GMW - $100 oil'!$MB$2:$MB$200=S$4),0),$E310-1973)</f>
        <v>#N/A</v>
      </c>
      <c r="T310" t="e" cm="1">
        <f t="array" ref="T310">INDEX('GMW - $100 oil'!$A$2:$MC$200,MATCH(1,('GMW - $100 oil'!$MC$2:$MC$200=T$3)*('GMW - $100 oil'!$MB$2:$MB$200=T$4),0),$E310-1973)</f>
        <v>#N/A</v>
      </c>
    </row>
    <row r="311" spans="1:20" x14ac:dyDescent="0.25">
      <c r="A311">
        <v>2056</v>
      </c>
      <c r="B311">
        <f t="shared" si="24"/>
        <v>2056</v>
      </c>
      <c r="C311">
        <f t="shared" si="24"/>
        <v>2055</v>
      </c>
      <c r="D311">
        <f t="shared" si="24"/>
        <v>2055</v>
      </c>
      <c r="E311">
        <f t="shared" si="21"/>
        <v>2284</v>
      </c>
      <c r="F311" t="str" cm="1">
        <f t="array" ref="F311">INDEX('GMW - $100 oil'!$A$2:$MC$200,MATCH(1,('GMW - $100 oil'!$MC$2:$MC$200=F$3)*('GMW - $100 oil'!$MB$2:$MB$200=F$4),0),$E311-1973)</f>
        <v>NA</v>
      </c>
      <c r="G311" t="str" cm="1">
        <f t="array" ref="G311">INDEX('GMW - $100 oil'!$A$2:$MC$200,MATCH(1,('GMW - $100 oil'!$MC$2:$MC$200=G$3)*('GMW - $100 oil'!$MB$2:$MB$200=G$4),0),$E311-1973)</f>
        <v>NA</v>
      </c>
      <c r="H311" t="str" cm="1">
        <f t="array" ref="H311">INDEX('GMW - $100 oil'!$A$2:$MC$200,MATCH(1,('GMW - $100 oil'!$MC$2:$MC$200=H$3)*('GMW - $100 oil'!$MB$2:$MB$200=H$4),0),$E311-1973)</f>
        <v>NA</v>
      </c>
      <c r="I311" t="str" cm="1">
        <f t="array" ref="I311">INDEX('GMW - $100 oil'!$A$2:$MC$200,MATCH(1,('GMW - $100 oil'!$MC$2:$MC$200=I$3)*('GMW - $100 oil'!$MB$2:$MB$200=I$4),0),$E311-1973)</f>
        <v>NA</v>
      </c>
      <c r="J311" t="e" cm="1">
        <f t="array" ref="J311">INDEX('GMW - $100 oil'!$A$2:$MC$200,MATCH(1,('GMW - $100 oil'!$MC$2:$MC$200=J$3)*('GMW - $100 oil'!$MB$2:$MB$200=J$4),0),$E311-1973)</f>
        <v>#N/A</v>
      </c>
      <c r="K311" t="e" cm="1">
        <f t="array" ref="K311">INDEX('GMW - $100 oil'!$A$2:$MC$200,MATCH(1,('GMW - $100 oil'!$MC$2:$MC$200=K$3)*('GMW - $100 oil'!$MB$2:$MB$200=K$4),0),$E311-1973)</f>
        <v>#N/A</v>
      </c>
      <c r="L311" t="e" cm="1">
        <f t="array" ref="L311">INDEX('GMW - $100 oil'!$A$2:$MC$200,MATCH(1,('GMW - $100 oil'!$MC$2:$MC$200=L$3)*('GMW - $100 oil'!$MB$2:$MB$200=L$4),0),$E311-1973)</f>
        <v>#N/A</v>
      </c>
      <c r="M311" t="e" cm="1">
        <f t="array" ref="M311">INDEX('GMW - $100 oil'!$A$2:$MC$200,MATCH(1,('GMW - $100 oil'!$MC$2:$MC$200=M$3)*('GMW - $100 oil'!$MB$2:$MB$200=M$4),0),$E311-1973)</f>
        <v>#N/A</v>
      </c>
      <c r="N311" t="e" cm="1">
        <f t="array" ref="N311">INDEX('GMW - $100 oil'!$A$2:$MC$200,MATCH(1,('GMW - $100 oil'!$MC$2:$MC$200=N$3)*('GMW - $100 oil'!$MB$2:$MB$200=N$4),0),$E311-1973)</f>
        <v>#N/A</v>
      </c>
      <c r="O311" t="e" cm="1">
        <f t="array" ref="O311">INDEX('GMW - $100 oil'!$A$2:$MC$200,MATCH(1,('GMW - $100 oil'!$MC$2:$MC$200=O$3)*('GMW - $100 oil'!$MB$2:$MB$200=O$4),0),$E311-1973)</f>
        <v>#N/A</v>
      </c>
      <c r="P311" t="e" cm="1">
        <f t="array" ref="P311">INDEX('GMW - $100 oil'!$A$2:$MC$200,MATCH(1,('GMW - $100 oil'!$MC$2:$MC$200=P$3)*('GMW - $100 oil'!$MB$2:$MB$200=P$4),0),$E311-1973)</f>
        <v>#N/A</v>
      </c>
      <c r="Q311" t="e" cm="1">
        <f t="array" ref="Q311">INDEX('GMW - $100 oil'!$A$2:$MC$200,MATCH(1,('GMW - $100 oil'!$MC$2:$MC$200=Q$3)*('GMW - $100 oil'!$MB$2:$MB$200=Q$4),0),$E311-1973)</f>
        <v>#N/A</v>
      </c>
      <c r="R311" t="e" cm="1">
        <f t="array" ref="R311">INDEX('GMW - $100 oil'!$A$2:$MC$200,MATCH(1,('GMW - $100 oil'!$MC$2:$MC$200=R$3)*('GMW - $100 oil'!$MB$2:$MB$200=R$4),0),$E311-1973)</f>
        <v>#N/A</v>
      </c>
      <c r="S311" t="e" cm="1">
        <f t="array" ref="S311">INDEX('GMW - $100 oil'!$A$2:$MC$200,MATCH(1,('GMW - $100 oil'!$MC$2:$MC$200=S$3)*('GMW - $100 oil'!$MB$2:$MB$200=S$4),0),$E311-1973)</f>
        <v>#N/A</v>
      </c>
      <c r="T311" t="e" cm="1">
        <f t="array" ref="T311">INDEX('GMW - $100 oil'!$A$2:$MC$200,MATCH(1,('GMW - $100 oil'!$MC$2:$MC$200=T$3)*('GMW - $100 oil'!$MB$2:$MB$200=T$4),0),$E311-1973)</f>
        <v>#N/A</v>
      </c>
    </row>
    <row r="312" spans="1:20" x14ac:dyDescent="0.25">
      <c r="B312">
        <f t="shared" si="24"/>
        <v>2056</v>
      </c>
      <c r="C312">
        <f t="shared" si="24"/>
        <v>2056</v>
      </c>
      <c r="E312">
        <f t="shared" si="21"/>
        <v>2285</v>
      </c>
      <c r="F312" t="str" cm="1">
        <f t="array" ref="F312">INDEX('GMW - $100 oil'!$A$2:$MC$200,MATCH(1,('GMW - $100 oil'!$MC$2:$MC$200=F$3)*('GMW - $100 oil'!$MB$2:$MB$200=F$4),0),$E312-1973)</f>
        <v>NA</v>
      </c>
      <c r="G312" t="str" cm="1">
        <f t="array" ref="G312">INDEX('GMW - $100 oil'!$A$2:$MC$200,MATCH(1,('GMW - $100 oil'!$MC$2:$MC$200=G$3)*('GMW - $100 oil'!$MB$2:$MB$200=G$4),0),$E312-1973)</f>
        <v>NA</v>
      </c>
      <c r="H312" t="str" cm="1">
        <f t="array" ref="H312">INDEX('GMW - $100 oil'!$A$2:$MC$200,MATCH(1,('GMW - $100 oil'!$MC$2:$MC$200=H$3)*('GMW - $100 oil'!$MB$2:$MB$200=H$4),0),$E312-1973)</f>
        <v>NA</v>
      </c>
      <c r="I312" t="str" cm="1">
        <f t="array" ref="I312">INDEX('GMW - $100 oil'!$A$2:$MC$200,MATCH(1,('GMW - $100 oil'!$MC$2:$MC$200=I$3)*('GMW - $100 oil'!$MB$2:$MB$200=I$4),0),$E312-1973)</f>
        <v>NA</v>
      </c>
      <c r="J312" t="e" cm="1">
        <f t="array" ref="J312">INDEX('GMW - $100 oil'!$A$2:$MC$200,MATCH(1,('GMW - $100 oil'!$MC$2:$MC$200=J$3)*('GMW - $100 oil'!$MB$2:$MB$200=J$4),0),$E312-1973)</f>
        <v>#N/A</v>
      </c>
      <c r="K312" t="e" cm="1">
        <f t="array" ref="K312">INDEX('GMW - $100 oil'!$A$2:$MC$200,MATCH(1,('GMW - $100 oil'!$MC$2:$MC$200=K$3)*('GMW - $100 oil'!$MB$2:$MB$200=K$4),0),$E312-1973)</f>
        <v>#N/A</v>
      </c>
      <c r="L312" t="e" cm="1">
        <f t="array" ref="L312">INDEX('GMW - $100 oil'!$A$2:$MC$200,MATCH(1,('GMW - $100 oil'!$MC$2:$MC$200=L$3)*('GMW - $100 oil'!$MB$2:$MB$200=L$4),0),$E312-1973)</f>
        <v>#N/A</v>
      </c>
      <c r="M312" t="e" cm="1">
        <f t="array" ref="M312">INDEX('GMW - $100 oil'!$A$2:$MC$200,MATCH(1,('GMW - $100 oil'!$MC$2:$MC$200=M$3)*('GMW - $100 oil'!$MB$2:$MB$200=M$4),0),$E312-1973)</f>
        <v>#N/A</v>
      </c>
      <c r="N312" t="e" cm="1">
        <f t="array" ref="N312">INDEX('GMW - $100 oil'!$A$2:$MC$200,MATCH(1,('GMW - $100 oil'!$MC$2:$MC$200=N$3)*('GMW - $100 oil'!$MB$2:$MB$200=N$4),0),$E312-1973)</f>
        <v>#N/A</v>
      </c>
      <c r="O312" t="e" cm="1">
        <f t="array" ref="O312">INDEX('GMW - $100 oil'!$A$2:$MC$200,MATCH(1,('GMW - $100 oil'!$MC$2:$MC$200=O$3)*('GMW - $100 oil'!$MB$2:$MB$200=O$4),0),$E312-1973)</f>
        <v>#N/A</v>
      </c>
      <c r="P312" t="e" cm="1">
        <f t="array" ref="P312">INDEX('GMW - $100 oil'!$A$2:$MC$200,MATCH(1,('GMW - $100 oil'!$MC$2:$MC$200=P$3)*('GMW - $100 oil'!$MB$2:$MB$200=P$4),0),$E312-1973)</f>
        <v>#N/A</v>
      </c>
      <c r="Q312" t="e" cm="1">
        <f t="array" ref="Q312">INDEX('GMW - $100 oil'!$A$2:$MC$200,MATCH(1,('GMW - $100 oil'!$MC$2:$MC$200=Q$3)*('GMW - $100 oil'!$MB$2:$MB$200=Q$4),0),$E312-1973)</f>
        <v>#N/A</v>
      </c>
      <c r="R312" t="e" cm="1">
        <f t="array" ref="R312">INDEX('GMW - $100 oil'!$A$2:$MC$200,MATCH(1,('GMW - $100 oil'!$MC$2:$MC$200=R$3)*('GMW - $100 oil'!$MB$2:$MB$200=R$4),0),$E312-1973)</f>
        <v>#N/A</v>
      </c>
      <c r="S312" t="e" cm="1">
        <f t="array" ref="S312">INDEX('GMW - $100 oil'!$A$2:$MC$200,MATCH(1,('GMW - $100 oil'!$MC$2:$MC$200=S$3)*('GMW - $100 oil'!$MB$2:$MB$200=S$4),0),$E312-1973)</f>
        <v>#N/A</v>
      </c>
      <c r="T312" t="e" cm="1">
        <f t="array" ref="T312">INDEX('GMW - $100 oil'!$A$2:$MC$200,MATCH(1,('GMW - $100 oil'!$MC$2:$MC$200=T$3)*('GMW - $100 oil'!$MB$2:$MB$200=T$4),0),$E312-1973)</f>
        <v>#N/A</v>
      </c>
    </row>
    <row r="313" spans="1:20" x14ac:dyDescent="0.25">
      <c r="B313">
        <f t="shared" si="24"/>
        <v>2056</v>
      </c>
      <c r="C313">
        <f t="shared" si="24"/>
        <v>2056</v>
      </c>
      <c r="E313">
        <f t="shared" si="21"/>
        <v>2286</v>
      </c>
      <c r="F313" t="str" cm="1">
        <f t="array" ref="F313">INDEX('GMW - $100 oil'!$A$2:$MC$200,MATCH(1,('GMW - $100 oil'!$MC$2:$MC$200=F$3)*('GMW - $100 oil'!$MB$2:$MB$200=F$4),0),$E313-1973)</f>
        <v>NA</v>
      </c>
      <c r="G313" t="str" cm="1">
        <f t="array" ref="G313">INDEX('GMW - $100 oil'!$A$2:$MC$200,MATCH(1,('GMW - $100 oil'!$MC$2:$MC$200=G$3)*('GMW - $100 oil'!$MB$2:$MB$200=G$4),0),$E313-1973)</f>
        <v>NA</v>
      </c>
      <c r="H313" t="str" cm="1">
        <f t="array" ref="H313">INDEX('GMW - $100 oil'!$A$2:$MC$200,MATCH(1,('GMW - $100 oil'!$MC$2:$MC$200=H$3)*('GMW - $100 oil'!$MB$2:$MB$200=H$4),0),$E313-1973)</f>
        <v>NA</v>
      </c>
      <c r="I313" t="str" cm="1">
        <f t="array" ref="I313">INDEX('GMW - $100 oil'!$A$2:$MC$200,MATCH(1,('GMW - $100 oil'!$MC$2:$MC$200=I$3)*('GMW - $100 oil'!$MB$2:$MB$200=I$4),0),$E313-1973)</f>
        <v>NA</v>
      </c>
      <c r="J313" t="e" cm="1">
        <f t="array" ref="J313">INDEX('GMW - $100 oil'!$A$2:$MC$200,MATCH(1,('GMW - $100 oil'!$MC$2:$MC$200=J$3)*('GMW - $100 oil'!$MB$2:$MB$200=J$4),0),$E313-1973)</f>
        <v>#N/A</v>
      </c>
      <c r="K313" t="e" cm="1">
        <f t="array" ref="K313">INDEX('GMW - $100 oil'!$A$2:$MC$200,MATCH(1,('GMW - $100 oil'!$MC$2:$MC$200=K$3)*('GMW - $100 oil'!$MB$2:$MB$200=K$4),0),$E313-1973)</f>
        <v>#N/A</v>
      </c>
      <c r="L313" t="e" cm="1">
        <f t="array" ref="L313">INDEX('GMW - $100 oil'!$A$2:$MC$200,MATCH(1,('GMW - $100 oil'!$MC$2:$MC$200=L$3)*('GMW - $100 oil'!$MB$2:$MB$200=L$4),0),$E313-1973)</f>
        <v>#N/A</v>
      </c>
      <c r="M313" t="e" cm="1">
        <f t="array" ref="M313">INDEX('GMW - $100 oil'!$A$2:$MC$200,MATCH(1,('GMW - $100 oil'!$MC$2:$MC$200=M$3)*('GMW - $100 oil'!$MB$2:$MB$200=M$4),0),$E313-1973)</f>
        <v>#N/A</v>
      </c>
      <c r="N313" t="e" cm="1">
        <f t="array" ref="N313">INDEX('GMW - $100 oil'!$A$2:$MC$200,MATCH(1,('GMW - $100 oil'!$MC$2:$MC$200=N$3)*('GMW - $100 oil'!$MB$2:$MB$200=N$4),0),$E313-1973)</f>
        <v>#N/A</v>
      </c>
      <c r="O313" t="e" cm="1">
        <f t="array" ref="O313">INDEX('GMW - $100 oil'!$A$2:$MC$200,MATCH(1,('GMW - $100 oil'!$MC$2:$MC$200=O$3)*('GMW - $100 oil'!$MB$2:$MB$200=O$4),0),$E313-1973)</f>
        <v>#N/A</v>
      </c>
      <c r="P313" t="e" cm="1">
        <f t="array" ref="P313">INDEX('GMW - $100 oil'!$A$2:$MC$200,MATCH(1,('GMW - $100 oil'!$MC$2:$MC$200=P$3)*('GMW - $100 oil'!$MB$2:$MB$200=P$4),0),$E313-1973)</f>
        <v>#N/A</v>
      </c>
      <c r="Q313" t="e" cm="1">
        <f t="array" ref="Q313">INDEX('GMW - $100 oil'!$A$2:$MC$200,MATCH(1,('GMW - $100 oil'!$MC$2:$MC$200=Q$3)*('GMW - $100 oil'!$MB$2:$MB$200=Q$4),0),$E313-1973)</f>
        <v>#N/A</v>
      </c>
      <c r="R313" t="e" cm="1">
        <f t="array" ref="R313">INDEX('GMW - $100 oil'!$A$2:$MC$200,MATCH(1,('GMW - $100 oil'!$MC$2:$MC$200=R$3)*('GMW - $100 oil'!$MB$2:$MB$200=R$4),0),$E313-1973)</f>
        <v>#N/A</v>
      </c>
      <c r="S313" t="e" cm="1">
        <f t="array" ref="S313">INDEX('GMW - $100 oil'!$A$2:$MC$200,MATCH(1,('GMW - $100 oil'!$MC$2:$MC$200=S$3)*('GMW - $100 oil'!$MB$2:$MB$200=S$4),0),$E313-1973)</f>
        <v>#N/A</v>
      </c>
      <c r="T313" t="e" cm="1">
        <f t="array" ref="T313">INDEX('GMW - $100 oil'!$A$2:$MC$200,MATCH(1,('GMW - $100 oil'!$MC$2:$MC$200=T$3)*('GMW - $100 oil'!$MB$2:$MB$200=T$4),0),$E313-1973)</f>
        <v>#N/A</v>
      </c>
    </row>
    <row r="314" spans="1:20" x14ac:dyDescent="0.25">
      <c r="B314">
        <f t="shared" si="24"/>
        <v>2056</v>
      </c>
      <c r="C314">
        <f t="shared" si="24"/>
        <v>2056</v>
      </c>
      <c r="E314">
        <f t="shared" si="21"/>
        <v>2287</v>
      </c>
      <c r="F314" t="str" cm="1">
        <f t="array" ref="F314">INDEX('GMW - $100 oil'!$A$2:$MC$200,MATCH(1,('GMW - $100 oil'!$MC$2:$MC$200=F$3)*('GMW - $100 oil'!$MB$2:$MB$200=F$4),0),$E314-1973)</f>
        <v>NA</v>
      </c>
      <c r="G314" t="str" cm="1">
        <f t="array" ref="G314">INDEX('GMW - $100 oil'!$A$2:$MC$200,MATCH(1,('GMW - $100 oil'!$MC$2:$MC$200=G$3)*('GMW - $100 oil'!$MB$2:$MB$200=G$4),0),$E314-1973)</f>
        <v>NA</v>
      </c>
      <c r="H314" t="str" cm="1">
        <f t="array" ref="H314">INDEX('GMW - $100 oil'!$A$2:$MC$200,MATCH(1,('GMW - $100 oil'!$MC$2:$MC$200=H$3)*('GMW - $100 oil'!$MB$2:$MB$200=H$4),0),$E314-1973)</f>
        <v>NA</v>
      </c>
      <c r="I314" t="str" cm="1">
        <f t="array" ref="I314">INDEX('GMW - $100 oil'!$A$2:$MC$200,MATCH(1,('GMW - $100 oil'!$MC$2:$MC$200=I$3)*('GMW - $100 oil'!$MB$2:$MB$200=I$4),0),$E314-1973)</f>
        <v>NA</v>
      </c>
      <c r="J314" t="e" cm="1">
        <f t="array" ref="J314">INDEX('GMW - $100 oil'!$A$2:$MC$200,MATCH(1,('GMW - $100 oil'!$MC$2:$MC$200=J$3)*('GMW - $100 oil'!$MB$2:$MB$200=J$4),0),$E314-1973)</f>
        <v>#N/A</v>
      </c>
      <c r="K314" t="e" cm="1">
        <f t="array" ref="K314">INDEX('GMW - $100 oil'!$A$2:$MC$200,MATCH(1,('GMW - $100 oil'!$MC$2:$MC$200=K$3)*('GMW - $100 oil'!$MB$2:$MB$200=K$4),0),$E314-1973)</f>
        <v>#N/A</v>
      </c>
      <c r="L314" t="e" cm="1">
        <f t="array" ref="L314">INDEX('GMW - $100 oil'!$A$2:$MC$200,MATCH(1,('GMW - $100 oil'!$MC$2:$MC$200=L$3)*('GMW - $100 oil'!$MB$2:$MB$200=L$4),0),$E314-1973)</f>
        <v>#N/A</v>
      </c>
      <c r="M314" t="e" cm="1">
        <f t="array" ref="M314">INDEX('GMW - $100 oil'!$A$2:$MC$200,MATCH(1,('GMW - $100 oil'!$MC$2:$MC$200=M$3)*('GMW - $100 oil'!$MB$2:$MB$200=M$4),0),$E314-1973)</f>
        <v>#N/A</v>
      </c>
      <c r="N314" t="e" cm="1">
        <f t="array" ref="N314">INDEX('GMW - $100 oil'!$A$2:$MC$200,MATCH(1,('GMW - $100 oil'!$MC$2:$MC$200=N$3)*('GMW - $100 oil'!$MB$2:$MB$200=N$4),0),$E314-1973)</f>
        <v>#N/A</v>
      </c>
      <c r="O314" t="e" cm="1">
        <f t="array" ref="O314">INDEX('GMW - $100 oil'!$A$2:$MC$200,MATCH(1,('GMW - $100 oil'!$MC$2:$MC$200=O$3)*('GMW - $100 oil'!$MB$2:$MB$200=O$4),0),$E314-1973)</f>
        <v>#N/A</v>
      </c>
      <c r="P314" t="e" cm="1">
        <f t="array" ref="P314">INDEX('GMW - $100 oil'!$A$2:$MC$200,MATCH(1,('GMW - $100 oil'!$MC$2:$MC$200=P$3)*('GMW - $100 oil'!$MB$2:$MB$200=P$4),0),$E314-1973)</f>
        <v>#N/A</v>
      </c>
      <c r="Q314" t="e" cm="1">
        <f t="array" ref="Q314">INDEX('GMW - $100 oil'!$A$2:$MC$200,MATCH(1,('GMW - $100 oil'!$MC$2:$MC$200=Q$3)*('GMW - $100 oil'!$MB$2:$MB$200=Q$4),0),$E314-1973)</f>
        <v>#N/A</v>
      </c>
      <c r="R314" t="e" cm="1">
        <f t="array" ref="R314">INDEX('GMW - $100 oil'!$A$2:$MC$200,MATCH(1,('GMW - $100 oil'!$MC$2:$MC$200=R$3)*('GMW - $100 oil'!$MB$2:$MB$200=R$4),0),$E314-1973)</f>
        <v>#N/A</v>
      </c>
      <c r="S314" t="e" cm="1">
        <f t="array" ref="S314">INDEX('GMW - $100 oil'!$A$2:$MC$200,MATCH(1,('GMW - $100 oil'!$MC$2:$MC$200=S$3)*('GMW - $100 oil'!$MB$2:$MB$200=S$4),0),$E314-1973)</f>
        <v>#N/A</v>
      </c>
      <c r="T314" t="e" cm="1">
        <f t="array" ref="T314">INDEX('GMW - $100 oil'!$A$2:$MC$200,MATCH(1,('GMW - $100 oil'!$MC$2:$MC$200=T$3)*('GMW - $100 oil'!$MB$2:$MB$200=T$4),0),$E314-1973)</f>
        <v>#N/A</v>
      </c>
    </row>
    <row r="315" spans="1:20" x14ac:dyDescent="0.25">
      <c r="A315">
        <v>2057</v>
      </c>
      <c r="B315">
        <f t="shared" si="24"/>
        <v>2057</v>
      </c>
      <c r="C315">
        <f t="shared" si="24"/>
        <v>2056</v>
      </c>
      <c r="D315">
        <f t="shared" si="24"/>
        <v>2056</v>
      </c>
      <c r="E315">
        <f t="shared" si="21"/>
        <v>2288</v>
      </c>
      <c r="F315" t="str" cm="1">
        <f t="array" ref="F315">INDEX('GMW - $100 oil'!$A$2:$MC$200,MATCH(1,('GMW - $100 oil'!$MC$2:$MC$200=F$3)*('GMW - $100 oil'!$MB$2:$MB$200=F$4),0),$E315-1973)</f>
        <v>NA</v>
      </c>
      <c r="G315" t="str" cm="1">
        <f t="array" ref="G315">INDEX('GMW - $100 oil'!$A$2:$MC$200,MATCH(1,('GMW - $100 oil'!$MC$2:$MC$200=G$3)*('GMW - $100 oil'!$MB$2:$MB$200=G$4),0),$E315-1973)</f>
        <v>NA</v>
      </c>
      <c r="H315" t="str" cm="1">
        <f t="array" ref="H315">INDEX('GMW - $100 oil'!$A$2:$MC$200,MATCH(1,('GMW - $100 oil'!$MC$2:$MC$200=H$3)*('GMW - $100 oil'!$MB$2:$MB$200=H$4),0),$E315-1973)</f>
        <v>NA</v>
      </c>
      <c r="I315" t="str" cm="1">
        <f t="array" ref="I315">INDEX('GMW - $100 oil'!$A$2:$MC$200,MATCH(1,('GMW - $100 oil'!$MC$2:$MC$200=I$3)*('GMW - $100 oil'!$MB$2:$MB$200=I$4),0),$E315-1973)</f>
        <v>NA</v>
      </c>
      <c r="J315" t="e" cm="1">
        <f t="array" ref="J315">INDEX('GMW - $100 oil'!$A$2:$MC$200,MATCH(1,('GMW - $100 oil'!$MC$2:$MC$200=J$3)*('GMW - $100 oil'!$MB$2:$MB$200=J$4),0),$E315-1973)</f>
        <v>#N/A</v>
      </c>
      <c r="K315" t="e" cm="1">
        <f t="array" ref="K315">INDEX('GMW - $100 oil'!$A$2:$MC$200,MATCH(1,('GMW - $100 oil'!$MC$2:$MC$200=K$3)*('GMW - $100 oil'!$MB$2:$MB$200=K$4),0),$E315-1973)</f>
        <v>#N/A</v>
      </c>
      <c r="L315" t="e" cm="1">
        <f t="array" ref="L315">INDEX('GMW - $100 oil'!$A$2:$MC$200,MATCH(1,('GMW - $100 oil'!$MC$2:$MC$200=L$3)*('GMW - $100 oil'!$MB$2:$MB$200=L$4),0),$E315-1973)</f>
        <v>#N/A</v>
      </c>
      <c r="M315" t="e" cm="1">
        <f t="array" ref="M315">INDEX('GMW - $100 oil'!$A$2:$MC$200,MATCH(1,('GMW - $100 oil'!$MC$2:$MC$200=M$3)*('GMW - $100 oil'!$MB$2:$MB$200=M$4),0),$E315-1973)</f>
        <v>#N/A</v>
      </c>
      <c r="N315" t="e" cm="1">
        <f t="array" ref="N315">INDEX('GMW - $100 oil'!$A$2:$MC$200,MATCH(1,('GMW - $100 oil'!$MC$2:$MC$200=N$3)*('GMW - $100 oil'!$MB$2:$MB$200=N$4),0),$E315-1973)</f>
        <v>#N/A</v>
      </c>
      <c r="O315" t="e" cm="1">
        <f t="array" ref="O315">INDEX('GMW - $100 oil'!$A$2:$MC$200,MATCH(1,('GMW - $100 oil'!$MC$2:$MC$200=O$3)*('GMW - $100 oil'!$MB$2:$MB$200=O$4),0),$E315-1973)</f>
        <v>#N/A</v>
      </c>
      <c r="P315" t="e" cm="1">
        <f t="array" ref="P315">INDEX('GMW - $100 oil'!$A$2:$MC$200,MATCH(1,('GMW - $100 oil'!$MC$2:$MC$200=P$3)*('GMW - $100 oil'!$MB$2:$MB$200=P$4),0),$E315-1973)</f>
        <v>#N/A</v>
      </c>
      <c r="Q315" t="e" cm="1">
        <f t="array" ref="Q315">INDEX('GMW - $100 oil'!$A$2:$MC$200,MATCH(1,('GMW - $100 oil'!$MC$2:$MC$200=Q$3)*('GMW - $100 oil'!$MB$2:$MB$200=Q$4),0),$E315-1973)</f>
        <v>#N/A</v>
      </c>
      <c r="R315" t="e" cm="1">
        <f t="array" ref="R315">INDEX('GMW - $100 oil'!$A$2:$MC$200,MATCH(1,('GMW - $100 oil'!$MC$2:$MC$200=R$3)*('GMW - $100 oil'!$MB$2:$MB$200=R$4),0),$E315-1973)</f>
        <v>#N/A</v>
      </c>
      <c r="S315" t="e" cm="1">
        <f t="array" ref="S315">INDEX('GMW - $100 oil'!$A$2:$MC$200,MATCH(1,('GMW - $100 oil'!$MC$2:$MC$200=S$3)*('GMW - $100 oil'!$MB$2:$MB$200=S$4),0),$E315-1973)</f>
        <v>#N/A</v>
      </c>
      <c r="T315" t="e" cm="1">
        <f t="array" ref="T315">INDEX('GMW - $100 oil'!$A$2:$MC$200,MATCH(1,('GMW - $100 oil'!$MC$2:$MC$200=T$3)*('GMW - $100 oil'!$MB$2:$MB$200=T$4),0),$E315-1973)</f>
        <v>#N/A</v>
      </c>
    </row>
    <row r="316" spans="1:20" x14ac:dyDescent="0.25">
      <c r="B316">
        <f t="shared" ref="B316:D330" si="25">+B312+1</f>
        <v>2057</v>
      </c>
      <c r="C316">
        <f t="shared" si="25"/>
        <v>2057</v>
      </c>
      <c r="E316">
        <f t="shared" si="21"/>
        <v>2289</v>
      </c>
      <c r="F316" t="str" cm="1">
        <f t="array" ref="F316">INDEX('GMW - $100 oil'!$A$2:$MC$200,MATCH(1,('GMW - $100 oil'!$MC$2:$MC$200=F$3)*('GMW - $100 oil'!$MB$2:$MB$200=F$4),0),$E316-1973)</f>
        <v>NA</v>
      </c>
      <c r="G316" t="str" cm="1">
        <f t="array" ref="G316">INDEX('GMW - $100 oil'!$A$2:$MC$200,MATCH(1,('GMW - $100 oil'!$MC$2:$MC$200=G$3)*('GMW - $100 oil'!$MB$2:$MB$200=G$4),0),$E316-1973)</f>
        <v>NA</v>
      </c>
      <c r="H316" t="str" cm="1">
        <f t="array" ref="H316">INDEX('GMW - $100 oil'!$A$2:$MC$200,MATCH(1,('GMW - $100 oil'!$MC$2:$MC$200=H$3)*('GMW - $100 oil'!$MB$2:$MB$200=H$4),0),$E316-1973)</f>
        <v>NA</v>
      </c>
      <c r="I316" t="str" cm="1">
        <f t="array" ref="I316">INDEX('GMW - $100 oil'!$A$2:$MC$200,MATCH(1,('GMW - $100 oil'!$MC$2:$MC$200=I$3)*('GMW - $100 oil'!$MB$2:$MB$200=I$4),0),$E316-1973)</f>
        <v>NA</v>
      </c>
      <c r="J316" t="e" cm="1">
        <f t="array" ref="J316">INDEX('GMW - $100 oil'!$A$2:$MC$200,MATCH(1,('GMW - $100 oil'!$MC$2:$MC$200=J$3)*('GMW - $100 oil'!$MB$2:$MB$200=J$4),0),$E316-1973)</f>
        <v>#N/A</v>
      </c>
      <c r="K316" t="e" cm="1">
        <f t="array" ref="K316">INDEX('GMW - $100 oil'!$A$2:$MC$200,MATCH(1,('GMW - $100 oil'!$MC$2:$MC$200=K$3)*('GMW - $100 oil'!$MB$2:$MB$200=K$4),0),$E316-1973)</f>
        <v>#N/A</v>
      </c>
      <c r="L316" t="e" cm="1">
        <f t="array" ref="L316">INDEX('GMW - $100 oil'!$A$2:$MC$200,MATCH(1,('GMW - $100 oil'!$MC$2:$MC$200=L$3)*('GMW - $100 oil'!$MB$2:$MB$200=L$4),0),$E316-1973)</f>
        <v>#N/A</v>
      </c>
      <c r="M316" t="e" cm="1">
        <f t="array" ref="M316">INDEX('GMW - $100 oil'!$A$2:$MC$200,MATCH(1,('GMW - $100 oil'!$MC$2:$MC$200=M$3)*('GMW - $100 oil'!$MB$2:$MB$200=M$4),0),$E316-1973)</f>
        <v>#N/A</v>
      </c>
      <c r="N316" t="e" cm="1">
        <f t="array" ref="N316">INDEX('GMW - $100 oil'!$A$2:$MC$200,MATCH(1,('GMW - $100 oil'!$MC$2:$MC$200=N$3)*('GMW - $100 oil'!$MB$2:$MB$200=N$4),0),$E316-1973)</f>
        <v>#N/A</v>
      </c>
      <c r="O316" t="e" cm="1">
        <f t="array" ref="O316">INDEX('GMW - $100 oil'!$A$2:$MC$200,MATCH(1,('GMW - $100 oil'!$MC$2:$MC$200=O$3)*('GMW - $100 oil'!$MB$2:$MB$200=O$4),0),$E316-1973)</f>
        <v>#N/A</v>
      </c>
      <c r="P316" t="e" cm="1">
        <f t="array" ref="P316">INDEX('GMW - $100 oil'!$A$2:$MC$200,MATCH(1,('GMW - $100 oil'!$MC$2:$MC$200=P$3)*('GMW - $100 oil'!$MB$2:$MB$200=P$4),0),$E316-1973)</f>
        <v>#N/A</v>
      </c>
      <c r="Q316" t="e" cm="1">
        <f t="array" ref="Q316">INDEX('GMW - $100 oil'!$A$2:$MC$200,MATCH(1,('GMW - $100 oil'!$MC$2:$MC$200=Q$3)*('GMW - $100 oil'!$MB$2:$MB$200=Q$4),0),$E316-1973)</f>
        <v>#N/A</v>
      </c>
      <c r="R316" t="e" cm="1">
        <f t="array" ref="R316">INDEX('GMW - $100 oil'!$A$2:$MC$200,MATCH(1,('GMW - $100 oil'!$MC$2:$MC$200=R$3)*('GMW - $100 oil'!$MB$2:$MB$200=R$4),0),$E316-1973)</f>
        <v>#N/A</v>
      </c>
      <c r="S316" t="e" cm="1">
        <f t="array" ref="S316">INDEX('GMW - $100 oil'!$A$2:$MC$200,MATCH(1,('GMW - $100 oil'!$MC$2:$MC$200=S$3)*('GMW - $100 oil'!$MB$2:$MB$200=S$4),0),$E316-1973)</f>
        <v>#N/A</v>
      </c>
      <c r="T316" t="e" cm="1">
        <f t="array" ref="T316">INDEX('GMW - $100 oil'!$A$2:$MC$200,MATCH(1,('GMW - $100 oil'!$MC$2:$MC$200=T$3)*('GMW - $100 oil'!$MB$2:$MB$200=T$4),0),$E316-1973)</f>
        <v>#N/A</v>
      </c>
    </row>
    <row r="317" spans="1:20" x14ac:dyDescent="0.25">
      <c r="B317">
        <f t="shared" si="25"/>
        <v>2057</v>
      </c>
      <c r="C317">
        <f t="shared" si="25"/>
        <v>2057</v>
      </c>
      <c r="E317">
        <f t="shared" si="21"/>
        <v>2290</v>
      </c>
      <c r="F317" t="str" cm="1">
        <f t="array" ref="F317">INDEX('GMW - $100 oil'!$A$2:$MC$200,MATCH(1,('GMW - $100 oil'!$MC$2:$MC$200=F$3)*('GMW - $100 oil'!$MB$2:$MB$200=F$4),0),$E317-1973)</f>
        <v>NA</v>
      </c>
      <c r="G317" t="str" cm="1">
        <f t="array" ref="G317">INDEX('GMW - $100 oil'!$A$2:$MC$200,MATCH(1,('GMW - $100 oil'!$MC$2:$MC$200=G$3)*('GMW - $100 oil'!$MB$2:$MB$200=G$4),0),$E317-1973)</f>
        <v>NA</v>
      </c>
      <c r="H317" t="str" cm="1">
        <f t="array" ref="H317">INDEX('GMW - $100 oil'!$A$2:$MC$200,MATCH(1,('GMW - $100 oil'!$MC$2:$MC$200=H$3)*('GMW - $100 oil'!$MB$2:$MB$200=H$4),0),$E317-1973)</f>
        <v>NA</v>
      </c>
      <c r="I317" t="str" cm="1">
        <f t="array" ref="I317">INDEX('GMW - $100 oil'!$A$2:$MC$200,MATCH(1,('GMW - $100 oil'!$MC$2:$MC$200=I$3)*('GMW - $100 oil'!$MB$2:$MB$200=I$4),0),$E317-1973)</f>
        <v>NA</v>
      </c>
      <c r="J317" t="e" cm="1">
        <f t="array" ref="J317">INDEX('GMW - $100 oil'!$A$2:$MC$200,MATCH(1,('GMW - $100 oil'!$MC$2:$MC$200=J$3)*('GMW - $100 oil'!$MB$2:$MB$200=J$4),0),$E317-1973)</f>
        <v>#N/A</v>
      </c>
      <c r="K317" t="e" cm="1">
        <f t="array" ref="K317">INDEX('GMW - $100 oil'!$A$2:$MC$200,MATCH(1,('GMW - $100 oil'!$MC$2:$MC$200=K$3)*('GMW - $100 oil'!$MB$2:$MB$200=K$4),0),$E317-1973)</f>
        <v>#N/A</v>
      </c>
      <c r="L317" t="e" cm="1">
        <f t="array" ref="L317">INDEX('GMW - $100 oil'!$A$2:$MC$200,MATCH(1,('GMW - $100 oil'!$MC$2:$MC$200=L$3)*('GMW - $100 oil'!$MB$2:$MB$200=L$4),0),$E317-1973)</f>
        <v>#N/A</v>
      </c>
      <c r="M317" t="e" cm="1">
        <f t="array" ref="M317">INDEX('GMW - $100 oil'!$A$2:$MC$200,MATCH(1,('GMW - $100 oil'!$MC$2:$MC$200=M$3)*('GMW - $100 oil'!$MB$2:$MB$200=M$4),0),$E317-1973)</f>
        <v>#N/A</v>
      </c>
      <c r="N317" t="e" cm="1">
        <f t="array" ref="N317">INDEX('GMW - $100 oil'!$A$2:$MC$200,MATCH(1,('GMW - $100 oil'!$MC$2:$MC$200=N$3)*('GMW - $100 oil'!$MB$2:$MB$200=N$4),0),$E317-1973)</f>
        <v>#N/A</v>
      </c>
      <c r="O317" t="e" cm="1">
        <f t="array" ref="O317">INDEX('GMW - $100 oil'!$A$2:$MC$200,MATCH(1,('GMW - $100 oil'!$MC$2:$MC$200=O$3)*('GMW - $100 oil'!$MB$2:$MB$200=O$4),0),$E317-1973)</f>
        <v>#N/A</v>
      </c>
      <c r="P317" t="e" cm="1">
        <f t="array" ref="P317">INDEX('GMW - $100 oil'!$A$2:$MC$200,MATCH(1,('GMW - $100 oil'!$MC$2:$MC$200=P$3)*('GMW - $100 oil'!$MB$2:$MB$200=P$4),0),$E317-1973)</f>
        <v>#N/A</v>
      </c>
      <c r="Q317" t="e" cm="1">
        <f t="array" ref="Q317">INDEX('GMW - $100 oil'!$A$2:$MC$200,MATCH(1,('GMW - $100 oil'!$MC$2:$MC$200=Q$3)*('GMW - $100 oil'!$MB$2:$MB$200=Q$4),0),$E317-1973)</f>
        <v>#N/A</v>
      </c>
      <c r="R317" t="e" cm="1">
        <f t="array" ref="R317">INDEX('GMW - $100 oil'!$A$2:$MC$200,MATCH(1,('GMW - $100 oil'!$MC$2:$MC$200=R$3)*('GMW - $100 oil'!$MB$2:$MB$200=R$4),0),$E317-1973)</f>
        <v>#N/A</v>
      </c>
      <c r="S317" t="e" cm="1">
        <f t="array" ref="S317">INDEX('GMW - $100 oil'!$A$2:$MC$200,MATCH(1,('GMW - $100 oil'!$MC$2:$MC$200=S$3)*('GMW - $100 oil'!$MB$2:$MB$200=S$4),0),$E317-1973)</f>
        <v>#N/A</v>
      </c>
      <c r="T317" t="e" cm="1">
        <f t="array" ref="T317">INDEX('GMW - $100 oil'!$A$2:$MC$200,MATCH(1,('GMW - $100 oil'!$MC$2:$MC$200=T$3)*('GMW - $100 oil'!$MB$2:$MB$200=T$4),0),$E317-1973)</f>
        <v>#N/A</v>
      </c>
    </row>
    <row r="318" spans="1:20" x14ac:dyDescent="0.25">
      <c r="B318">
        <f t="shared" si="25"/>
        <v>2057</v>
      </c>
      <c r="C318">
        <f t="shared" si="25"/>
        <v>2057</v>
      </c>
      <c r="E318">
        <f t="shared" si="21"/>
        <v>2291</v>
      </c>
      <c r="F318" t="str" cm="1">
        <f t="array" ref="F318">INDEX('GMW - $100 oil'!$A$2:$MC$200,MATCH(1,('GMW - $100 oil'!$MC$2:$MC$200=F$3)*('GMW - $100 oil'!$MB$2:$MB$200=F$4),0),$E318-1973)</f>
        <v>NA</v>
      </c>
      <c r="G318" t="str" cm="1">
        <f t="array" ref="G318">INDEX('GMW - $100 oil'!$A$2:$MC$200,MATCH(1,('GMW - $100 oil'!$MC$2:$MC$200=G$3)*('GMW - $100 oil'!$MB$2:$MB$200=G$4),0),$E318-1973)</f>
        <v>NA</v>
      </c>
      <c r="H318" t="str" cm="1">
        <f t="array" ref="H318">INDEX('GMW - $100 oil'!$A$2:$MC$200,MATCH(1,('GMW - $100 oil'!$MC$2:$MC$200=H$3)*('GMW - $100 oil'!$MB$2:$MB$200=H$4),0),$E318-1973)</f>
        <v>NA</v>
      </c>
      <c r="I318" t="str" cm="1">
        <f t="array" ref="I318">INDEX('GMW - $100 oil'!$A$2:$MC$200,MATCH(1,('GMW - $100 oil'!$MC$2:$MC$200=I$3)*('GMW - $100 oil'!$MB$2:$MB$200=I$4),0),$E318-1973)</f>
        <v>NA</v>
      </c>
      <c r="J318" t="e" cm="1">
        <f t="array" ref="J318">INDEX('GMW - $100 oil'!$A$2:$MC$200,MATCH(1,('GMW - $100 oil'!$MC$2:$MC$200=J$3)*('GMW - $100 oil'!$MB$2:$MB$200=J$4),0),$E318-1973)</f>
        <v>#N/A</v>
      </c>
      <c r="K318" t="e" cm="1">
        <f t="array" ref="K318">INDEX('GMW - $100 oil'!$A$2:$MC$200,MATCH(1,('GMW - $100 oil'!$MC$2:$MC$200=K$3)*('GMW - $100 oil'!$MB$2:$MB$200=K$4),0),$E318-1973)</f>
        <v>#N/A</v>
      </c>
      <c r="L318" t="e" cm="1">
        <f t="array" ref="L318">INDEX('GMW - $100 oil'!$A$2:$MC$200,MATCH(1,('GMW - $100 oil'!$MC$2:$MC$200=L$3)*('GMW - $100 oil'!$MB$2:$MB$200=L$4),0),$E318-1973)</f>
        <v>#N/A</v>
      </c>
      <c r="M318" t="e" cm="1">
        <f t="array" ref="M318">INDEX('GMW - $100 oil'!$A$2:$MC$200,MATCH(1,('GMW - $100 oil'!$MC$2:$MC$200=M$3)*('GMW - $100 oil'!$MB$2:$MB$200=M$4),0),$E318-1973)</f>
        <v>#N/A</v>
      </c>
      <c r="N318" t="e" cm="1">
        <f t="array" ref="N318">INDEX('GMW - $100 oil'!$A$2:$MC$200,MATCH(1,('GMW - $100 oil'!$MC$2:$MC$200=N$3)*('GMW - $100 oil'!$MB$2:$MB$200=N$4),0),$E318-1973)</f>
        <v>#N/A</v>
      </c>
      <c r="O318" t="e" cm="1">
        <f t="array" ref="O318">INDEX('GMW - $100 oil'!$A$2:$MC$200,MATCH(1,('GMW - $100 oil'!$MC$2:$MC$200=O$3)*('GMW - $100 oil'!$MB$2:$MB$200=O$4),0),$E318-1973)</f>
        <v>#N/A</v>
      </c>
      <c r="P318" t="e" cm="1">
        <f t="array" ref="P318">INDEX('GMW - $100 oil'!$A$2:$MC$200,MATCH(1,('GMW - $100 oil'!$MC$2:$MC$200=P$3)*('GMW - $100 oil'!$MB$2:$MB$200=P$4),0),$E318-1973)</f>
        <v>#N/A</v>
      </c>
      <c r="Q318" t="e" cm="1">
        <f t="array" ref="Q318">INDEX('GMW - $100 oil'!$A$2:$MC$200,MATCH(1,('GMW - $100 oil'!$MC$2:$MC$200=Q$3)*('GMW - $100 oil'!$MB$2:$MB$200=Q$4),0),$E318-1973)</f>
        <v>#N/A</v>
      </c>
      <c r="R318" t="e" cm="1">
        <f t="array" ref="R318">INDEX('GMW - $100 oil'!$A$2:$MC$200,MATCH(1,('GMW - $100 oil'!$MC$2:$MC$200=R$3)*('GMW - $100 oil'!$MB$2:$MB$200=R$4),0),$E318-1973)</f>
        <v>#N/A</v>
      </c>
      <c r="S318" t="e" cm="1">
        <f t="array" ref="S318">INDEX('GMW - $100 oil'!$A$2:$MC$200,MATCH(1,('GMW - $100 oil'!$MC$2:$MC$200=S$3)*('GMW - $100 oil'!$MB$2:$MB$200=S$4),0),$E318-1973)</f>
        <v>#N/A</v>
      </c>
      <c r="T318" t="e" cm="1">
        <f t="array" ref="T318">INDEX('GMW - $100 oil'!$A$2:$MC$200,MATCH(1,('GMW - $100 oil'!$MC$2:$MC$200=T$3)*('GMW - $100 oil'!$MB$2:$MB$200=T$4),0),$E318-1973)</f>
        <v>#N/A</v>
      </c>
    </row>
    <row r="319" spans="1:20" x14ac:dyDescent="0.25">
      <c r="A319">
        <v>2058</v>
      </c>
      <c r="B319">
        <f t="shared" si="25"/>
        <v>2058</v>
      </c>
      <c r="C319">
        <f t="shared" si="25"/>
        <v>2057</v>
      </c>
      <c r="D319">
        <f t="shared" si="25"/>
        <v>2057</v>
      </c>
      <c r="E319">
        <f t="shared" si="21"/>
        <v>2292</v>
      </c>
      <c r="F319" t="str" cm="1">
        <f t="array" ref="F319">INDEX('GMW - $100 oil'!$A$2:$MC$200,MATCH(1,('GMW - $100 oil'!$MC$2:$MC$200=F$3)*('GMW - $100 oil'!$MB$2:$MB$200=F$4),0),$E319-1973)</f>
        <v>NA</v>
      </c>
      <c r="G319" t="str" cm="1">
        <f t="array" ref="G319">INDEX('GMW - $100 oil'!$A$2:$MC$200,MATCH(1,('GMW - $100 oil'!$MC$2:$MC$200=G$3)*('GMW - $100 oil'!$MB$2:$MB$200=G$4),0),$E319-1973)</f>
        <v>NA</v>
      </c>
      <c r="H319" t="str" cm="1">
        <f t="array" ref="H319">INDEX('GMW - $100 oil'!$A$2:$MC$200,MATCH(1,('GMW - $100 oil'!$MC$2:$MC$200=H$3)*('GMW - $100 oil'!$MB$2:$MB$200=H$4),0),$E319-1973)</f>
        <v>NA</v>
      </c>
      <c r="I319" t="str" cm="1">
        <f t="array" ref="I319">INDEX('GMW - $100 oil'!$A$2:$MC$200,MATCH(1,('GMW - $100 oil'!$MC$2:$MC$200=I$3)*('GMW - $100 oil'!$MB$2:$MB$200=I$4),0),$E319-1973)</f>
        <v>NA</v>
      </c>
      <c r="J319" t="e" cm="1">
        <f t="array" ref="J319">INDEX('GMW - $100 oil'!$A$2:$MC$200,MATCH(1,('GMW - $100 oil'!$MC$2:$MC$200=J$3)*('GMW - $100 oil'!$MB$2:$MB$200=J$4),0),$E319-1973)</f>
        <v>#N/A</v>
      </c>
      <c r="K319" t="e" cm="1">
        <f t="array" ref="K319">INDEX('GMW - $100 oil'!$A$2:$MC$200,MATCH(1,('GMW - $100 oil'!$MC$2:$MC$200=K$3)*('GMW - $100 oil'!$MB$2:$MB$200=K$4),0),$E319-1973)</f>
        <v>#N/A</v>
      </c>
      <c r="L319" t="e" cm="1">
        <f t="array" ref="L319">INDEX('GMW - $100 oil'!$A$2:$MC$200,MATCH(1,('GMW - $100 oil'!$MC$2:$MC$200=L$3)*('GMW - $100 oil'!$MB$2:$MB$200=L$4),0),$E319-1973)</f>
        <v>#N/A</v>
      </c>
      <c r="M319" t="e" cm="1">
        <f t="array" ref="M319">INDEX('GMW - $100 oil'!$A$2:$MC$200,MATCH(1,('GMW - $100 oil'!$MC$2:$MC$200=M$3)*('GMW - $100 oil'!$MB$2:$MB$200=M$4),0),$E319-1973)</f>
        <v>#N/A</v>
      </c>
      <c r="N319" t="e" cm="1">
        <f t="array" ref="N319">INDEX('GMW - $100 oil'!$A$2:$MC$200,MATCH(1,('GMW - $100 oil'!$MC$2:$MC$200=N$3)*('GMW - $100 oil'!$MB$2:$MB$200=N$4),0),$E319-1973)</f>
        <v>#N/A</v>
      </c>
      <c r="O319" t="e" cm="1">
        <f t="array" ref="O319">INDEX('GMW - $100 oil'!$A$2:$MC$200,MATCH(1,('GMW - $100 oil'!$MC$2:$MC$200=O$3)*('GMW - $100 oil'!$MB$2:$MB$200=O$4),0),$E319-1973)</f>
        <v>#N/A</v>
      </c>
      <c r="P319" t="e" cm="1">
        <f t="array" ref="P319">INDEX('GMW - $100 oil'!$A$2:$MC$200,MATCH(1,('GMW - $100 oil'!$MC$2:$MC$200=P$3)*('GMW - $100 oil'!$MB$2:$MB$200=P$4),0),$E319-1973)</f>
        <v>#N/A</v>
      </c>
      <c r="Q319" t="e" cm="1">
        <f t="array" ref="Q319">INDEX('GMW - $100 oil'!$A$2:$MC$200,MATCH(1,('GMW - $100 oil'!$MC$2:$MC$200=Q$3)*('GMW - $100 oil'!$MB$2:$MB$200=Q$4),0),$E319-1973)</f>
        <v>#N/A</v>
      </c>
      <c r="R319" t="e" cm="1">
        <f t="array" ref="R319">INDEX('GMW - $100 oil'!$A$2:$MC$200,MATCH(1,('GMW - $100 oil'!$MC$2:$MC$200=R$3)*('GMW - $100 oil'!$MB$2:$MB$200=R$4),0),$E319-1973)</f>
        <v>#N/A</v>
      </c>
      <c r="S319" t="e" cm="1">
        <f t="array" ref="S319">INDEX('GMW - $100 oil'!$A$2:$MC$200,MATCH(1,('GMW - $100 oil'!$MC$2:$MC$200=S$3)*('GMW - $100 oil'!$MB$2:$MB$200=S$4),0),$E319-1973)</f>
        <v>#N/A</v>
      </c>
      <c r="T319" t="e" cm="1">
        <f t="array" ref="T319">INDEX('GMW - $100 oil'!$A$2:$MC$200,MATCH(1,('GMW - $100 oil'!$MC$2:$MC$200=T$3)*('GMW - $100 oil'!$MB$2:$MB$200=T$4),0),$E319-1973)</f>
        <v>#N/A</v>
      </c>
    </row>
    <row r="320" spans="1:20" x14ac:dyDescent="0.25">
      <c r="B320">
        <f t="shared" si="25"/>
        <v>2058</v>
      </c>
      <c r="C320">
        <f t="shared" si="25"/>
        <v>2058</v>
      </c>
      <c r="E320">
        <f t="shared" si="21"/>
        <v>2293</v>
      </c>
      <c r="F320" t="str" cm="1">
        <f t="array" ref="F320">INDEX('GMW - $100 oil'!$A$2:$MC$200,MATCH(1,('GMW - $100 oil'!$MC$2:$MC$200=F$3)*('GMW - $100 oil'!$MB$2:$MB$200=F$4),0),$E320-1973)</f>
        <v>NA</v>
      </c>
      <c r="G320" t="str" cm="1">
        <f t="array" ref="G320">INDEX('GMW - $100 oil'!$A$2:$MC$200,MATCH(1,('GMW - $100 oil'!$MC$2:$MC$200=G$3)*('GMW - $100 oil'!$MB$2:$MB$200=G$4),0),$E320-1973)</f>
        <v>NA</v>
      </c>
      <c r="H320" t="str" cm="1">
        <f t="array" ref="H320">INDEX('GMW - $100 oil'!$A$2:$MC$200,MATCH(1,('GMW - $100 oil'!$MC$2:$MC$200=H$3)*('GMW - $100 oil'!$MB$2:$MB$200=H$4),0),$E320-1973)</f>
        <v>NA</v>
      </c>
      <c r="I320" t="str" cm="1">
        <f t="array" ref="I320">INDEX('GMW - $100 oil'!$A$2:$MC$200,MATCH(1,('GMW - $100 oil'!$MC$2:$MC$200=I$3)*('GMW - $100 oil'!$MB$2:$MB$200=I$4),0),$E320-1973)</f>
        <v>NA</v>
      </c>
      <c r="J320" t="e" cm="1">
        <f t="array" ref="J320">INDEX('GMW - $100 oil'!$A$2:$MC$200,MATCH(1,('GMW - $100 oil'!$MC$2:$MC$200=J$3)*('GMW - $100 oil'!$MB$2:$MB$200=J$4),0),$E320-1973)</f>
        <v>#N/A</v>
      </c>
      <c r="K320" t="e" cm="1">
        <f t="array" ref="K320">INDEX('GMW - $100 oil'!$A$2:$MC$200,MATCH(1,('GMW - $100 oil'!$MC$2:$MC$200=K$3)*('GMW - $100 oil'!$MB$2:$MB$200=K$4),0),$E320-1973)</f>
        <v>#N/A</v>
      </c>
      <c r="L320" t="e" cm="1">
        <f t="array" ref="L320">INDEX('GMW - $100 oil'!$A$2:$MC$200,MATCH(1,('GMW - $100 oil'!$MC$2:$MC$200=L$3)*('GMW - $100 oil'!$MB$2:$MB$200=L$4),0),$E320-1973)</f>
        <v>#N/A</v>
      </c>
      <c r="M320" t="e" cm="1">
        <f t="array" ref="M320">INDEX('GMW - $100 oil'!$A$2:$MC$200,MATCH(1,('GMW - $100 oil'!$MC$2:$MC$200=M$3)*('GMW - $100 oil'!$MB$2:$MB$200=M$4),0),$E320-1973)</f>
        <v>#N/A</v>
      </c>
      <c r="N320" t="e" cm="1">
        <f t="array" ref="N320">INDEX('GMW - $100 oil'!$A$2:$MC$200,MATCH(1,('GMW - $100 oil'!$MC$2:$MC$200=N$3)*('GMW - $100 oil'!$MB$2:$MB$200=N$4),0),$E320-1973)</f>
        <v>#N/A</v>
      </c>
      <c r="O320" t="e" cm="1">
        <f t="array" ref="O320">INDEX('GMW - $100 oil'!$A$2:$MC$200,MATCH(1,('GMW - $100 oil'!$MC$2:$MC$200=O$3)*('GMW - $100 oil'!$MB$2:$MB$200=O$4),0),$E320-1973)</f>
        <v>#N/A</v>
      </c>
      <c r="P320" t="e" cm="1">
        <f t="array" ref="P320">INDEX('GMW - $100 oil'!$A$2:$MC$200,MATCH(1,('GMW - $100 oil'!$MC$2:$MC$200=P$3)*('GMW - $100 oil'!$MB$2:$MB$200=P$4),0),$E320-1973)</f>
        <v>#N/A</v>
      </c>
      <c r="Q320" t="e" cm="1">
        <f t="array" ref="Q320">INDEX('GMW - $100 oil'!$A$2:$MC$200,MATCH(1,('GMW - $100 oil'!$MC$2:$MC$200=Q$3)*('GMW - $100 oil'!$MB$2:$MB$200=Q$4),0),$E320-1973)</f>
        <v>#N/A</v>
      </c>
      <c r="R320" t="e" cm="1">
        <f t="array" ref="R320">INDEX('GMW - $100 oil'!$A$2:$MC$200,MATCH(1,('GMW - $100 oil'!$MC$2:$MC$200=R$3)*('GMW - $100 oil'!$MB$2:$MB$200=R$4),0),$E320-1973)</f>
        <v>#N/A</v>
      </c>
      <c r="S320" t="e" cm="1">
        <f t="array" ref="S320">INDEX('GMW - $100 oil'!$A$2:$MC$200,MATCH(1,('GMW - $100 oil'!$MC$2:$MC$200=S$3)*('GMW - $100 oil'!$MB$2:$MB$200=S$4),0),$E320-1973)</f>
        <v>#N/A</v>
      </c>
      <c r="T320" t="e" cm="1">
        <f t="array" ref="T320">INDEX('GMW - $100 oil'!$A$2:$MC$200,MATCH(1,('GMW - $100 oil'!$MC$2:$MC$200=T$3)*('GMW - $100 oil'!$MB$2:$MB$200=T$4),0),$E320-1973)</f>
        <v>#N/A</v>
      </c>
    </row>
    <row r="321" spans="1:20" x14ac:dyDescent="0.25">
      <c r="B321">
        <f t="shared" si="25"/>
        <v>2058</v>
      </c>
      <c r="C321">
        <f t="shared" si="25"/>
        <v>2058</v>
      </c>
      <c r="E321">
        <f t="shared" si="21"/>
        <v>2294</v>
      </c>
      <c r="F321" t="str" cm="1">
        <f t="array" ref="F321">INDEX('GMW - $100 oil'!$A$2:$MC$200,MATCH(1,('GMW - $100 oil'!$MC$2:$MC$200=F$3)*('GMW - $100 oil'!$MB$2:$MB$200=F$4),0),$E321-1973)</f>
        <v>NA</v>
      </c>
      <c r="G321" t="str" cm="1">
        <f t="array" ref="G321">INDEX('GMW - $100 oil'!$A$2:$MC$200,MATCH(1,('GMW - $100 oil'!$MC$2:$MC$200=G$3)*('GMW - $100 oil'!$MB$2:$MB$200=G$4),0),$E321-1973)</f>
        <v>NA</v>
      </c>
      <c r="H321" t="str" cm="1">
        <f t="array" ref="H321">INDEX('GMW - $100 oil'!$A$2:$MC$200,MATCH(1,('GMW - $100 oil'!$MC$2:$MC$200=H$3)*('GMW - $100 oil'!$MB$2:$MB$200=H$4),0),$E321-1973)</f>
        <v>NA</v>
      </c>
      <c r="I321" t="str" cm="1">
        <f t="array" ref="I321">INDEX('GMW - $100 oil'!$A$2:$MC$200,MATCH(1,('GMW - $100 oil'!$MC$2:$MC$200=I$3)*('GMW - $100 oil'!$MB$2:$MB$200=I$4),0),$E321-1973)</f>
        <v>NA</v>
      </c>
      <c r="J321" t="e" cm="1">
        <f t="array" ref="J321">INDEX('GMW - $100 oil'!$A$2:$MC$200,MATCH(1,('GMW - $100 oil'!$MC$2:$MC$200=J$3)*('GMW - $100 oil'!$MB$2:$MB$200=J$4),0),$E321-1973)</f>
        <v>#N/A</v>
      </c>
      <c r="K321" t="e" cm="1">
        <f t="array" ref="K321">INDEX('GMW - $100 oil'!$A$2:$MC$200,MATCH(1,('GMW - $100 oil'!$MC$2:$MC$200=K$3)*('GMW - $100 oil'!$MB$2:$MB$200=K$4),0),$E321-1973)</f>
        <v>#N/A</v>
      </c>
      <c r="L321" t="e" cm="1">
        <f t="array" ref="L321">INDEX('GMW - $100 oil'!$A$2:$MC$200,MATCH(1,('GMW - $100 oil'!$MC$2:$MC$200=L$3)*('GMW - $100 oil'!$MB$2:$MB$200=L$4),0),$E321-1973)</f>
        <v>#N/A</v>
      </c>
      <c r="M321" t="e" cm="1">
        <f t="array" ref="M321">INDEX('GMW - $100 oil'!$A$2:$MC$200,MATCH(1,('GMW - $100 oil'!$MC$2:$MC$200=M$3)*('GMW - $100 oil'!$MB$2:$MB$200=M$4),0),$E321-1973)</f>
        <v>#N/A</v>
      </c>
      <c r="N321" t="e" cm="1">
        <f t="array" ref="N321">INDEX('GMW - $100 oil'!$A$2:$MC$200,MATCH(1,('GMW - $100 oil'!$MC$2:$MC$200=N$3)*('GMW - $100 oil'!$MB$2:$MB$200=N$4),0),$E321-1973)</f>
        <v>#N/A</v>
      </c>
      <c r="O321" t="e" cm="1">
        <f t="array" ref="O321">INDEX('GMW - $100 oil'!$A$2:$MC$200,MATCH(1,('GMW - $100 oil'!$MC$2:$MC$200=O$3)*('GMW - $100 oil'!$MB$2:$MB$200=O$4),0),$E321-1973)</f>
        <v>#N/A</v>
      </c>
      <c r="P321" t="e" cm="1">
        <f t="array" ref="P321">INDEX('GMW - $100 oil'!$A$2:$MC$200,MATCH(1,('GMW - $100 oil'!$MC$2:$MC$200=P$3)*('GMW - $100 oil'!$MB$2:$MB$200=P$4),0),$E321-1973)</f>
        <v>#N/A</v>
      </c>
      <c r="Q321" t="e" cm="1">
        <f t="array" ref="Q321">INDEX('GMW - $100 oil'!$A$2:$MC$200,MATCH(1,('GMW - $100 oil'!$MC$2:$MC$200=Q$3)*('GMW - $100 oil'!$MB$2:$MB$200=Q$4),0),$E321-1973)</f>
        <v>#N/A</v>
      </c>
      <c r="R321" t="e" cm="1">
        <f t="array" ref="R321">INDEX('GMW - $100 oil'!$A$2:$MC$200,MATCH(1,('GMW - $100 oil'!$MC$2:$MC$200=R$3)*('GMW - $100 oil'!$MB$2:$MB$200=R$4),0),$E321-1973)</f>
        <v>#N/A</v>
      </c>
      <c r="S321" t="e" cm="1">
        <f t="array" ref="S321">INDEX('GMW - $100 oil'!$A$2:$MC$200,MATCH(1,('GMW - $100 oil'!$MC$2:$MC$200=S$3)*('GMW - $100 oil'!$MB$2:$MB$200=S$4),0),$E321-1973)</f>
        <v>#N/A</v>
      </c>
      <c r="T321" t="e" cm="1">
        <f t="array" ref="T321">INDEX('GMW - $100 oil'!$A$2:$MC$200,MATCH(1,('GMW - $100 oil'!$MC$2:$MC$200=T$3)*('GMW - $100 oil'!$MB$2:$MB$200=T$4),0),$E321-1973)</f>
        <v>#N/A</v>
      </c>
    </row>
    <row r="322" spans="1:20" x14ac:dyDescent="0.25">
      <c r="B322">
        <f t="shared" si="25"/>
        <v>2058</v>
      </c>
      <c r="C322">
        <f t="shared" si="25"/>
        <v>2058</v>
      </c>
      <c r="E322">
        <f t="shared" si="21"/>
        <v>2295</v>
      </c>
      <c r="F322" t="str" cm="1">
        <f t="array" ref="F322">INDEX('GMW - $100 oil'!$A$2:$MC$200,MATCH(1,('GMW - $100 oil'!$MC$2:$MC$200=F$3)*('GMW - $100 oil'!$MB$2:$MB$200=F$4),0),$E322-1973)</f>
        <v>NA</v>
      </c>
      <c r="G322" t="str" cm="1">
        <f t="array" ref="G322">INDEX('GMW - $100 oil'!$A$2:$MC$200,MATCH(1,('GMW - $100 oil'!$MC$2:$MC$200=G$3)*('GMW - $100 oil'!$MB$2:$MB$200=G$4),0),$E322-1973)</f>
        <v>NA</v>
      </c>
      <c r="H322" t="str" cm="1">
        <f t="array" ref="H322">INDEX('GMW - $100 oil'!$A$2:$MC$200,MATCH(1,('GMW - $100 oil'!$MC$2:$MC$200=H$3)*('GMW - $100 oil'!$MB$2:$MB$200=H$4),0),$E322-1973)</f>
        <v>NA</v>
      </c>
      <c r="I322" t="str" cm="1">
        <f t="array" ref="I322">INDEX('GMW - $100 oil'!$A$2:$MC$200,MATCH(1,('GMW - $100 oil'!$MC$2:$MC$200=I$3)*('GMW - $100 oil'!$MB$2:$MB$200=I$4),0),$E322-1973)</f>
        <v>NA</v>
      </c>
      <c r="J322" t="e" cm="1">
        <f t="array" ref="J322">INDEX('GMW - $100 oil'!$A$2:$MC$200,MATCH(1,('GMW - $100 oil'!$MC$2:$MC$200=J$3)*('GMW - $100 oil'!$MB$2:$MB$200=J$4),0),$E322-1973)</f>
        <v>#N/A</v>
      </c>
      <c r="K322" t="e" cm="1">
        <f t="array" ref="K322">INDEX('GMW - $100 oil'!$A$2:$MC$200,MATCH(1,('GMW - $100 oil'!$MC$2:$MC$200=K$3)*('GMW - $100 oil'!$MB$2:$MB$200=K$4),0),$E322-1973)</f>
        <v>#N/A</v>
      </c>
      <c r="L322" t="e" cm="1">
        <f t="array" ref="L322">INDEX('GMW - $100 oil'!$A$2:$MC$200,MATCH(1,('GMW - $100 oil'!$MC$2:$MC$200=L$3)*('GMW - $100 oil'!$MB$2:$MB$200=L$4),0),$E322-1973)</f>
        <v>#N/A</v>
      </c>
      <c r="M322" t="e" cm="1">
        <f t="array" ref="M322">INDEX('GMW - $100 oil'!$A$2:$MC$200,MATCH(1,('GMW - $100 oil'!$MC$2:$MC$200=M$3)*('GMW - $100 oil'!$MB$2:$MB$200=M$4),0),$E322-1973)</f>
        <v>#N/A</v>
      </c>
      <c r="N322" t="e" cm="1">
        <f t="array" ref="N322">INDEX('GMW - $100 oil'!$A$2:$MC$200,MATCH(1,('GMW - $100 oil'!$MC$2:$MC$200=N$3)*('GMW - $100 oil'!$MB$2:$MB$200=N$4),0),$E322-1973)</f>
        <v>#N/A</v>
      </c>
      <c r="O322" t="e" cm="1">
        <f t="array" ref="O322">INDEX('GMW - $100 oil'!$A$2:$MC$200,MATCH(1,('GMW - $100 oil'!$MC$2:$MC$200=O$3)*('GMW - $100 oil'!$MB$2:$MB$200=O$4),0),$E322-1973)</f>
        <v>#N/A</v>
      </c>
      <c r="P322" t="e" cm="1">
        <f t="array" ref="P322">INDEX('GMW - $100 oil'!$A$2:$MC$200,MATCH(1,('GMW - $100 oil'!$MC$2:$MC$200=P$3)*('GMW - $100 oil'!$MB$2:$MB$200=P$4),0),$E322-1973)</f>
        <v>#N/A</v>
      </c>
      <c r="Q322" t="e" cm="1">
        <f t="array" ref="Q322">INDEX('GMW - $100 oil'!$A$2:$MC$200,MATCH(1,('GMW - $100 oil'!$MC$2:$MC$200=Q$3)*('GMW - $100 oil'!$MB$2:$MB$200=Q$4),0),$E322-1973)</f>
        <v>#N/A</v>
      </c>
      <c r="R322" t="e" cm="1">
        <f t="array" ref="R322">INDEX('GMW - $100 oil'!$A$2:$MC$200,MATCH(1,('GMW - $100 oil'!$MC$2:$MC$200=R$3)*('GMW - $100 oil'!$MB$2:$MB$200=R$4),0),$E322-1973)</f>
        <v>#N/A</v>
      </c>
      <c r="S322" t="e" cm="1">
        <f t="array" ref="S322">INDEX('GMW - $100 oil'!$A$2:$MC$200,MATCH(1,('GMW - $100 oil'!$MC$2:$MC$200=S$3)*('GMW - $100 oil'!$MB$2:$MB$200=S$4),0),$E322-1973)</f>
        <v>#N/A</v>
      </c>
      <c r="T322" t="e" cm="1">
        <f t="array" ref="T322">INDEX('GMW - $100 oil'!$A$2:$MC$200,MATCH(1,('GMW - $100 oil'!$MC$2:$MC$200=T$3)*('GMW - $100 oil'!$MB$2:$MB$200=T$4),0),$E322-1973)</f>
        <v>#N/A</v>
      </c>
    </row>
    <row r="323" spans="1:20" x14ac:dyDescent="0.25">
      <c r="A323">
        <v>2059</v>
      </c>
      <c r="B323">
        <f t="shared" si="25"/>
        <v>2059</v>
      </c>
      <c r="C323">
        <f t="shared" si="25"/>
        <v>2058</v>
      </c>
      <c r="D323">
        <f t="shared" si="25"/>
        <v>2058</v>
      </c>
      <c r="E323">
        <f t="shared" si="21"/>
        <v>2296</v>
      </c>
      <c r="F323" t="str" cm="1">
        <f t="array" ref="F323">INDEX('GMW - $100 oil'!$A$2:$MC$200,MATCH(1,('GMW - $100 oil'!$MC$2:$MC$200=F$3)*('GMW - $100 oil'!$MB$2:$MB$200=F$4),0),$E323-1973)</f>
        <v>NA</v>
      </c>
      <c r="G323" t="str" cm="1">
        <f t="array" ref="G323">INDEX('GMW - $100 oil'!$A$2:$MC$200,MATCH(1,('GMW - $100 oil'!$MC$2:$MC$200=G$3)*('GMW - $100 oil'!$MB$2:$MB$200=G$4),0),$E323-1973)</f>
        <v>NA</v>
      </c>
      <c r="H323" t="str" cm="1">
        <f t="array" ref="H323">INDEX('GMW - $100 oil'!$A$2:$MC$200,MATCH(1,('GMW - $100 oil'!$MC$2:$MC$200=H$3)*('GMW - $100 oil'!$MB$2:$MB$200=H$4),0),$E323-1973)</f>
        <v>NA</v>
      </c>
      <c r="I323" t="str" cm="1">
        <f t="array" ref="I323">INDEX('GMW - $100 oil'!$A$2:$MC$200,MATCH(1,('GMW - $100 oil'!$MC$2:$MC$200=I$3)*('GMW - $100 oil'!$MB$2:$MB$200=I$4),0),$E323-1973)</f>
        <v>NA</v>
      </c>
      <c r="J323" t="e" cm="1">
        <f t="array" ref="J323">INDEX('GMW - $100 oil'!$A$2:$MC$200,MATCH(1,('GMW - $100 oil'!$MC$2:$MC$200=J$3)*('GMW - $100 oil'!$MB$2:$MB$200=J$4),0),$E323-1973)</f>
        <v>#N/A</v>
      </c>
      <c r="K323" t="e" cm="1">
        <f t="array" ref="K323">INDEX('GMW - $100 oil'!$A$2:$MC$200,MATCH(1,('GMW - $100 oil'!$MC$2:$MC$200=K$3)*('GMW - $100 oil'!$MB$2:$MB$200=K$4),0),$E323-1973)</f>
        <v>#N/A</v>
      </c>
      <c r="L323" t="e" cm="1">
        <f t="array" ref="L323">INDEX('GMW - $100 oil'!$A$2:$MC$200,MATCH(1,('GMW - $100 oil'!$MC$2:$MC$200=L$3)*('GMW - $100 oil'!$MB$2:$MB$200=L$4),0),$E323-1973)</f>
        <v>#N/A</v>
      </c>
      <c r="M323" t="e" cm="1">
        <f t="array" ref="M323">INDEX('GMW - $100 oil'!$A$2:$MC$200,MATCH(1,('GMW - $100 oil'!$MC$2:$MC$200=M$3)*('GMW - $100 oil'!$MB$2:$MB$200=M$4),0),$E323-1973)</f>
        <v>#N/A</v>
      </c>
      <c r="N323" t="e" cm="1">
        <f t="array" ref="N323">INDEX('GMW - $100 oil'!$A$2:$MC$200,MATCH(1,('GMW - $100 oil'!$MC$2:$MC$200=N$3)*('GMW - $100 oil'!$MB$2:$MB$200=N$4),0),$E323-1973)</f>
        <v>#N/A</v>
      </c>
      <c r="O323" t="e" cm="1">
        <f t="array" ref="O323">INDEX('GMW - $100 oil'!$A$2:$MC$200,MATCH(1,('GMW - $100 oil'!$MC$2:$MC$200=O$3)*('GMW - $100 oil'!$MB$2:$MB$200=O$4),0),$E323-1973)</f>
        <v>#N/A</v>
      </c>
      <c r="P323" t="e" cm="1">
        <f t="array" ref="P323">INDEX('GMW - $100 oil'!$A$2:$MC$200,MATCH(1,('GMW - $100 oil'!$MC$2:$MC$200=P$3)*('GMW - $100 oil'!$MB$2:$MB$200=P$4),0),$E323-1973)</f>
        <v>#N/A</v>
      </c>
      <c r="Q323" t="e" cm="1">
        <f t="array" ref="Q323">INDEX('GMW - $100 oil'!$A$2:$MC$200,MATCH(1,('GMW - $100 oil'!$MC$2:$MC$200=Q$3)*('GMW - $100 oil'!$MB$2:$MB$200=Q$4),0),$E323-1973)</f>
        <v>#N/A</v>
      </c>
      <c r="R323" t="e" cm="1">
        <f t="array" ref="R323">INDEX('GMW - $100 oil'!$A$2:$MC$200,MATCH(1,('GMW - $100 oil'!$MC$2:$MC$200=R$3)*('GMW - $100 oil'!$MB$2:$MB$200=R$4),0),$E323-1973)</f>
        <v>#N/A</v>
      </c>
      <c r="S323" t="e" cm="1">
        <f t="array" ref="S323">INDEX('GMW - $100 oil'!$A$2:$MC$200,MATCH(1,('GMW - $100 oil'!$MC$2:$MC$200=S$3)*('GMW - $100 oil'!$MB$2:$MB$200=S$4),0),$E323-1973)</f>
        <v>#N/A</v>
      </c>
      <c r="T323" t="e" cm="1">
        <f t="array" ref="T323">INDEX('GMW - $100 oil'!$A$2:$MC$200,MATCH(1,('GMW - $100 oil'!$MC$2:$MC$200=T$3)*('GMW - $100 oil'!$MB$2:$MB$200=T$4),0),$E323-1973)</f>
        <v>#N/A</v>
      </c>
    </row>
    <row r="324" spans="1:20" x14ac:dyDescent="0.25">
      <c r="B324">
        <f t="shared" si="25"/>
        <v>2059</v>
      </c>
      <c r="C324">
        <f t="shared" si="25"/>
        <v>2059</v>
      </c>
      <c r="E324">
        <f t="shared" si="21"/>
        <v>2297</v>
      </c>
      <c r="F324" t="str" cm="1">
        <f t="array" ref="F324">INDEX('GMW - $100 oil'!$A$2:$MC$200,MATCH(1,('GMW - $100 oil'!$MC$2:$MC$200=F$3)*('GMW - $100 oil'!$MB$2:$MB$200=F$4),0),$E324-1973)</f>
        <v>NA</v>
      </c>
      <c r="G324" t="str" cm="1">
        <f t="array" ref="G324">INDEX('GMW - $100 oil'!$A$2:$MC$200,MATCH(1,('GMW - $100 oil'!$MC$2:$MC$200=G$3)*('GMW - $100 oil'!$MB$2:$MB$200=G$4),0),$E324-1973)</f>
        <v>NA</v>
      </c>
      <c r="H324" t="str" cm="1">
        <f t="array" ref="H324">INDEX('GMW - $100 oil'!$A$2:$MC$200,MATCH(1,('GMW - $100 oil'!$MC$2:$MC$200=H$3)*('GMW - $100 oil'!$MB$2:$MB$200=H$4),0),$E324-1973)</f>
        <v>NA</v>
      </c>
      <c r="I324" t="str" cm="1">
        <f t="array" ref="I324">INDEX('GMW - $100 oil'!$A$2:$MC$200,MATCH(1,('GMW - $100 oil'!$MC$2:$MC$200=I$3)*('GMW - $100 oil'!$MB$2:$MB$200=I$4),0),$E324-1973)</f>
        <v>NA</v>
      </c>
      <c r="J324" t="e" cm="1">
        <f t="array" ref="J324">INDEX('GMW - $100 oil'!$A$2:$MC$200,MATCH(1,('GMW - $100 oil'!$MC$2:$MC$200=J$3)*('GMW - $100 oil'!$MB$2:$MB$200=J$4),0),$E324-1973)</f>
        <v>#N/A</v>
      </c>
      <c r="K324" t="e" cm="1">
        <f t="array" ref="K324">INDEX('GMW - $100 oil'!$A$2:$MC$200,MATCH(1,('GMW - $100 oil'!$MC$2:$MC$200=K$3)*('GMW - $100 oil'!$MB$2:$MB$200=K$4),0),$E324-1973)</f>
        <v>#N/A</v>
      </c>
      <c r="L324" t="e" cm="1">
        <f t="array" ref="L324">INDEX('GMW - $100 oil'!$A$2:$MC$200,MATCH(1,('GMW - $100 oil'!$MC$2:$MC$200=L$3)*('GMW - $100 oil'!$MB$2:$MB$200=L$4),0),$E324-1973)</f>
        <v>#N/A</v>
      </c>
      <c r="M324" t="e" cm="1">
        <f t="array" ref="M324">INDEX('GMW - $100 oil'!$A$2:$MC$200,MATCH(1,('GMW - $100 oil'!$MC$2:$MC$200=M$3)*('GMW - $100 oil'!$MB$2:$MB$200=M$4),0),$E324-1973)</f>
        <v>#N/A</v>
      </c>
      <c r="N324" t="e" cm="1">
        <f t="array" ref="N324">INDEX('GMW - $100 oil'!$A$2:$MC$200,MATCH(1,('GMW - $100 oil'!$MC$2:$MC$200=N$3)*('GMW - $100 oil'!$MB$2:$MB$200=N$4),0),$E324-1973)</f>
        <v>#N/A</v>
      </c>
      <c r="O324" t="e" cm="1">
        <f t="array" ref="O324">INDEX('GMW - $100 oil'!$A$2:$MC$200,MATCH(1,('GMW - $100 oil'!$MC$2:$MC$200=O$3)*('GMW - $100 oil'!$MB$2:$MB$200=O$4),0),$E324-1973)</f>
        <v>#N/A</v>
      </c>
      <c r="P324" t="e" cm="1">
        <f t="array" ref="P324">INDEX('GMW - $100 oil'!$A$2:$MC$200,MATCH(1,('GMW - $100 oil'!$MC$2:$MC$200=P$3)*('GMW - $100 oil'!$MB$2:$MB$200=P$4),0),$E324-1973)</f>
        <v>#N/A</v>
      </c>
      <c r="Q324" t="e" cm="1">
        <f t="array" ref="Q324">INDEX('GMW - $100 oil'!$A$2:$MC$200,MATCH(1,('GMW - $100 oil'!$MC$2:$MC$200=Q$3)*('GMW - $100 oil'!$MB$2:$MB$200=Q$4),0),$E324-1973)</f>
        <v>#N/A</v>
      </c>
      <c r="R324" t="e" cm="1">
        <f t="array" ref="R324">INDEX('GMW - $100 oil'!$A$2:$MC$200,MATCH(1,('GMW - $100 oil'!$MC$2:$MC$200=R$3)*('GMW - $100 oil'!$MB$2:$MB$200=R$4),0),$E324-1973)</f>
        <v>#N/A</v>
      </c>
      <c r="S324" t="e" cm="1">
        <f t="array" ref="S324">INDEX('GMW - $100 oil'!$A$2:$MC$200,MATCH(1,('GMW - $100 oil'!$MC$2:$MC$200=S$3)*('GMW - $100 oil'!$MB$2:$MB$200=S$4),0),$E324-1973)</f>
        <v>#N/A</v>
      </c>
      <c r="T324" t="e" cm="1">
        <f t="array" ref="T324">INDEX('GMW - $100 oil'!$A$2:$MC$200,MATCH(1,('GMW - $100 oil'!$MC$2:$MC$200=T$3)*('GMW - $100 oil'!$MB$2:$MB$200=T$4),0),$E324-1973)</f>
        <v>#N/A</v>
      </c>
    </row>
    <row r="325" spans="1:20" x14ac:dyDescent="0.25">
      <c r="B325">
        <f t="shared" si="25"/>
        <v>2059</v>
      </c>
      <c r="C325">
        <f t="shared" si="25"/>
        <v>2059</v>
      </c>
      <c r="E325">
        <f t="shared" si="21"/>
        <v>2298</v>
      </c>
      <c r="F325" t="str" cm="1">
        <f t="array" ref="F325">INDEX('GMW - $100 oil'!$A$2:$MC$200,MATCH(1,('GMW - $100 oil'!$MC$2:$MC$200=F$3)*('GMW - $100 oil'!$MB$2:$MB$200=F$4),0),$E325-1973)</f>
        <v>NA</v>
      </c>
      <c r="G325" t="str" cm="1">
        <f t="array" ref="G325">INDEX('GMW - $100 oil'!$A$2:$MC$200,MATCH(1,('GMW - $100 oil'!$MC$2:$MC$200=G$3)*('GMW - $100 oil'!$MB$2:$MB$200=G$4),0),$E325-1973)</f>
        <v>NA</v>
      </c>
      <c r="H325" t="str" cm="1">
        <f t="array" ref="H325">INDEX('GMW - $100 oil'!$A$2:$MC$200,MATCH(1,('GMW - $100 oil'!$MC$2:$MC$200=H$3)*('GMW - $100 oil'!$MB$2:$MB$200=H$4),0),$E325-1973)</f>
        <v>NA</v>
      </c>
      <c r="I325" t="str" cm="1">
        <f t="array" ref="I325">INDEX('GMW - $100 oil'!$A$2:$MC$200,MATCH(1,('GMW - $100 oil'!$MC$2:$MC$200=I$3)*('GMW - $100 oil'!$MB$2:$MB$200=I$4),0),$E325-1973)</f>
        <v>NA</v>
      </c>
      <c r="J325" t="e" cm="1">
        <f t="array" ref="J325">INDEX('GMW - $100 oil'!$A$2:$MC$200,MATCH(1,('GMW - $100 oil'!$MC$2:$MC$200=J$3)*('GMW - $100 oil'!$MB$2:$MB$200=J$4),0),$E325-1973)</f>
        <v>#N/A</v>
      </c>
      <c r="K325" t="e" cm="1">
        <f t="array" ref="K325">INDEX('GMW - $100 oil'!$A$2:$MC$200,MATCH(1,('GMW - $100 oil'!$MC$2:$MC$200=K$3)*('GMW - $100 oil'!$MB$2:$MB$200=K$4),0),$E325-1973)</f>
        <v>#N/A</v>
      </c>
      <c r="L325" t="e" cm="1">
        <f t="array" ref="L325">INDEX('GMW - $100 oil'!$A$2:$MC$200,MATCH(1,('GMW - $100 oil'!$MC$2:$MC$200=L$3)*('GMW - $100 oil'!$MB$2:$MB$200=L$4),0),$E325-1973)</f>
        <v>#N/A</v>
      </c>
      <c r="M325" t="e" cm="1">
        <f t="array" ref="M325">INDEX('GMW - $100 oil'!$A$2:$MC$200,MATCH(1,('GMW - $100 oil'!$MC$2:$MC$200=M$3)*('GMW - $100 oil'!$MB$2:$MB$200=M$4),0),$E325-1973)</f>
        <v>#N/A</v>
      </c>
      <c r="N325" t="e" cm="1">
        <f t="array" ref="N325">INDEX('GMW - $100 oil'!$A$2:$MC$200,MATCH(1,('GMW - $100 oil'!$MC$2:$MC$200=N$3)*('GMW - $100 oil'!$MB$2:$MB$200=N$4),0),$E325-1973)</f>
        <v>#N/A</v>
      </c>
      <c r="O325" t="e" cm="1">
        <f t="array" ref="O325">INDEX('GMW - $100 oil'!$A$2:$MC$200,MATCH(1,('GMW - $100 oil'!$MC$2:$MC$200=O$3)*('GMW - $100 oil'!$MB$2:$MB$200=O$4),0),$E325-1973)</f>
        <v>#N/A</v>
      </c>
      <c r="P325" t="e" cm="1">
        <f t="array" ref="P325">INDEX('GMW - $100 oil'!$A$2:$MC$200,MATCH(1,('GMW - $100 oil'!$MC$2:$MC$200=P$3)*('GMW - $100 oil'!$MB$2:$MB$200=P$4),0),$E325-1973)</f>
        <v>#N/A</v>
      </c>
      <c r="Q325" t="e" cm="1">
        <f t="array" ref="Q325">INDEX('GMW - $100 oil'!$A$2:$MC$200,MATCH(1,('GMW - $100 oil'!$MC$2:$MC$200=Q$3)*('GMW - $100 oil'!$MB$2:$MB$200=Q$4),0),$E325-1973)</f>
        <v>#N/A</v>
      </c>
      <c r="R325" t="e" cm="1">
        <f t="array" ref="R325">INDEX('GMW - $100 oil'!$A$2:$MC$200,MATCH(1,('GMW - $100 oil'!$MC$2:$MC$200=R$3)*('GMW - $100 oil'!$MB$2:$MB$200=R$4),0),$E325-1973)</f>
        <v>#N/A</v>
      </c>
      <c r="S325" t="e" cm="1">
        <f t="array" ref="S325">INDEX('GMW - $100 oil'!$A$2:$MC$200,MATCH(1,('GMW - $100 oil'!$MC$2:$MC$200=S$3)*('GMW - $100 oil'!$MB$2:$MB$200=S$4),0),$E325-1973)</f>
        <v>#N/A</v>
      </c>
      <c r="T325" t="e" cm="1">
        <f t="array" ref="T325">INDEX('GMW - $100 oil'!$A$2:$MC$200,MATCH(1,('GMW - $100 oil'!$MC$2:$MC$200=T$3)*('GMW - $100 oil'!$MB$2:$MB$200=T$4),0),$E325-1973)</f>
        <v>#N/A</v>
      </c>
    </row>
    <row r="326" spans="1:20" x14ac:dyDescent="0.25">
      <c r="B326">
        <f t="shared" si="25"/>
        <v>2059</v>
      </c>
      <c r="C326">
        <f t="shared" si="25"/>
        <v>2059</v>
      </c>
      <c r="E326">
        <f t="shared" si="21"/>
        <v>2299</v>
      </c>
      <c r="F326" t="str" cm="1">
        <f t="array" ref="F326">INDEX('GMW - $100 oil'!$A$2:$MC$200,MATCH(1,('GMW - $100 oil'!$MC$2:$MC$200=F$3)*('GMW - $100 oil'!$MB$2:$MB$200=F$4),0),$E326-1973)</f>
        <v>NA</v>
      </c>
      <c r="G326" t="str" cm="1">
        <f t="array" ref="G326">INDEX('GMW - $100 oil'!$A$2:$MC$200,MATCH(1,('GMW - $100 oil'!$MC$2:$MC$200=G$3)*('GMW - $100 oil'!$MB$2:$MB$200=G$4),0),$E326-1973)</f>
        <v>NA</v>
      </c>
      <c r="H326" t="str" cm="1">
        <f t="array" ref="H326">INDEX('GMW - $100 oil'!$A$2:$MC$200,MATCH(1,('GMW - $100 oil'!$MC$2:$MC$200=H$3)*('GMW - $100 oil'!$MB$2:$MB$200=H$4),0),$E326-1973)</f>
        <v>NA</v>
      </c>
      <c r="I326" t="str" cm="1">
        <f t="array" ref="I326">INDEX('GMW - $100 oil'!$A$2:$MC$200,MATCH(1,('GMW - $100 oil'!$MC$2:$MC$200=I$3)*('GMW - $100 oil'!$MB$2:$MB$200=I$4),0),$E326-1973)</f>
        <v>NA</v>
      </c>
      <c r="J326" t="e" cm="1">
        <f t="array" ref="J326">INDEX('GMW - $100 oil'!$A$2:$MC$200,MATCH(1,('GMW - $100 oil'!$MC$2:$MC$200=J$3)*('GMW - $100 oil'!$MB$2:$MB$200=J$4),0),$E326-1973)</f>
        <v>#N/A</v>
      </c>
      <c r="K326" t="e" cm="1">
        <f t="array" ref="K326">INDEX('GMW - $100 oil'!$A$2:$MC$200,MATCH(1,('GMW - $100 oil'!$MC$2:$MC$200=K$3)*('GMW - $100 oil'!$MB$2:$MB$200=K$4),0),$E326-1973)</f>
        <v>#N/A</v>
      </c>
      <c r="L326" t="e" cm="1">
        <f t="array" ref="L326">INDEX('GMW - $100 oil'!$A$2:$MC$200,MATCH(1,('GMW - $100 oil'!$MC$2:$MC$200=L$3)*('GMW - $100 oil'!$MB$2:$MB$200=L$4),0),$E326-1973)</f>
        <v>#N/A</v>
      </c>
      <c r="M326" t="e" cm="1">
        <f t="array" ref="M326">INDEX('GMW - $100 oil'!$A$2:$MC$200,MATCH(1,('GMW - $100 oil'!$MC$2:$MC$200=M$3)*('GMW - $100 oil'!$MB$2:$MB$200=M$4),0),$E326-1973)</f>
        <v>#N/A</v>
      </c>
      <c r="N326" t="e" cm="1">
        <f t="array" ref="N326">INDEX('GMW - $100 oil'!$A$2:$MC$200,MATCH(1,('GMW - $100 oil'!$MC$2:$MC$200=N$3)*('GMW - $100 oil'!$MB$2:$MB$200=N$4),0),$E326-1973)</f>
        <v>#N/A</v>
      </c>
      <c r="O326" t="e" cm="1">
        <f t="array" ref="O326">INDEX('GMW - $100 oil'!$A$2:$MC$200,MATCH(1,('GMW - $100 oil'!$MC$2:$MC$200=O$3)*('GMW - $100 oil'!$MB$2:$MB$200=O$4),0),$E326-1973)</f>
        <v>#N/A</v>
      </c>
      <c r="P326" t="e" cm="1">
        <f t="array" ref="P326">INDEX('GMW - $100 oil'!$A$2:$MC$200,MATCH(1,('GMW - $100 oil'!$MC$2:$MC$200=P$3)*('GMW - $100 oil'!$MB$2:$MB$200=P$4),0),$E326-1973)</f>
        <v>#N/A</v>
      </c>
      <c r="Q326" t="e" cm="1">
        <f t="array" ref="Q326">INDEX('GMW - $100 oil'!$A$2:$MC$200,MATCH(1,('GMW - $100 oil'!$MC$2:$MC$200=Q$3)*('GMW - $100 oil'!$MB$2:$MB$200=Q$4),0),$E326-1973)</f>
        <v>#N/A</v>
      </c>
      <c r="R326" t="e" cm="1">
        <f t="array" ref="R326">INDEX('GMW - $100 oil'!$A$2:$MC$200,MATCH(1,('GMW - $100 oil'!$MC$2:$MC$200=R$3)*('GMW - $100 oil'!$MB$2:$MB$200=R$4),0),$E326-1973)</f>
        <v>#N/A</v>
      </c>
      <c r="S326" t="e" cm="1">
        <f t="array" ref="S326">INDEX('GMW - $100 oil'!$A$2:$MC$200,MATCH(1,('GMW - $100 oil'!$MC$2:$MC$200=S$3)*('GMW - $100 oil'!$MB$2:$MB$200=S$4),0),$E326-1973)</f>
        <v>#N/A</v>
      </c>
      <c r="T326" t="e" cm="1">
        <f t="array" ref="T326">INDEX('GMW - $100 oil'!$A$2:$MC$200,MATCH(1,('GMW - $100 oil'!$MC$2:$MC$200=T$3)*('GMW - $100 oil'!$MB$2:$MB$200=T$4),0),$E326-1973)</f>
        <v>#N/A</v>
      </c>
    </row>
    <row r="327" spans="1:20" x14ac:dyDescent="0.25">
      <c r="A327">
        <v>2060</v>
      </c>
      <c r="B327">
        <f t="shared" si="25"/>
        <v>2060</v>
      </c>
      <c r="C327">
        <f t="shared" si="25"/>
        <v>2059</v>
      </c>
      <c r="D327">
        <f t="shared" si="25"/>
        <v>2059</v>
      </c>
      <c r="E327">
        <f t="shared" si="21"/>
        <v>2300</v>
      </c>
      <c r="F327" t="str" cm="1">
        <f t="array" ref="F327">INDEX('GMW - $100 oil'!$A$2:$MC$200,MATCH(1,('GMW - $100 oil'!$MC$2:$MC$200=F$3)*('GMW - $100 oil'!$MB$2:$MB$200=F$4),0),$E327-1973)</f>
        <v>NA</v>
      </c>
      <c r="G327" t="str" cm="1">
        <f t="array" ref="G327">INDEX('GMW - $100 oil'!$A$2:$MC$200,MATCH(1,('GMW - $100 oil'!$MC$2:$MC$200=G$3)*('GMW - $100 oil'!$MB$2:$MB$200=G$4),0),$E327-1973)</f>
        <v>NA</v>
      </c>
      <c r="H327" t="str" cm="1">
        <f t="array" ref="H327">INDEX('GMW - $100 oil'!$A$2:$MC$200,MATCH(1,('GMW - $100 oil'!$MC$2:$MC$200=H$3)*('GMW - $100 oil'!$MB$2:$MB$200=H$4),0),$E327-1973)</f>
        <v>NA</v>
      </c>
      <c r="I327" t="str" cm="1">
        <f t="array" ref="I327">INDEX('GMW - $100 oil'!$A$2:$MC$200,MATCH(1,('GMW - $100 oil'!$MC$2:$MC$200=I$3)*('GMW - $100 oil'!$MB$2:$MB$200=I$4),0),$E327-1973)</f>
        <v>NA</v>
      </c>
      <c r="J327" t="e" cm="1">
        <f t="array" ref="J327">INDEX('GMW - $100 oil'!$A$2:$MC$200,MATCH(1,('GMW - $100 oil'!$MC$2:$MC$200=J$3)*('GMW - $100 oil'!$MB$2:$MB$200=J$4),0),$E327-1973)</f>
        <v>#N/A</v>
      </c>
      <c r="K327" t="e" cm="1">
        <f t="array" ref="K327">INDEX('GMW - $100 oil'!$A$2:$MC$200,MATCH(1,('GMW - $100 oil'!$MC$2:$MC$200=K$3)*('GMW - $100 oil'!$MB$2:$MB$200=K$4),0),$E327-1973)</f>
        <v>#N/A</v>
      </c>
      <c r="L327" t="e" cm="1">
        <f t="array" ref="L327">INDEX('GMW - $100 oil'!$A$2:$MC$200,MATCH(1,('GMW - $100 oil'!$MC$2:$MC$200=L$3)*('GMW - $100 oil'!$MB$2:$MB$200=L$4),0),$E327-1973)</f>
        <v>#N/A</v>
      </c>
      <c r="M327" t="e" cm="1">
        <f t="array" ref="M327">INDEX('GMW - $100 oil'!$A$2:$MC$200,MATCH(1,('GMW - $100 oil'!$MC$2:$MC$200=M$3)*('GMW - $100 oil'!$MB$2:$MB$200=M$4),0),$E327-1973)</f>
        <v>#N/A</v>
      </c>
      <c r="N327" t="e" cm="1">
        <f t="array" ref="N327">INDEX('GMW - $100 oil'!$A$2:$MC$200,MATCH(1,('GMW - $100 oil'!$MC$2:$MC$200=N$3)*('GMW - $100 oil'!$MB$2:$MB$200=N$4),0),$E327-1973)</f>
        <v>#N/A</v>
      </c>
      <c r="O327" t="e" cm="1">
        <f t="array" ref="O327">INDEX('GMW - $100 oil'!$A$2:$MC$200,MATCH(1,('GMW - $100 oil'!$MC$2:$MC$200=O$3)*('GMW - $100 oil'!$MB$2:$MB$200=O$4),0),$E327-1973)</f>
        <v>#N/A</v>
      </c>
      <c r="P327" t="e" cm="1">
        <f t="array" ref="P327">INDEX('GMW - $100 oil'!$A$2:$MC$200,MATCH(1,('GMW - $100 oil'!$MC$2:$MC$200=P$3)*('GMW - $100 oil'!$MB$2:$MB$200=P$4),0),$E327-1973)</f>
        <v>#N/A</v>
      </c>
      <c r="Q327" t="e" cm="1">
        <f t="array" ref="Q327">INDEX('GMW - $100 oil'!$A$2:$MC$200,MATCH(1,('GMW - $100 oil'!$MC$2:$MC$200=Q$3)*('GMW - $100 oil'!$MB$2:$MB$200=Q$4),0),$E327-1973)</f>
        <v>#N/A</v>
      </c>
      <c r="R327" t="e" cm="1">
        <f t="array" ref="R327">INDEX('GMW - $100 oil'!$A$2:$MC$200,MATCH(1,('GMW - $100 oil'!$MC$2:$MC$200=R$3)*('GMW - $100 oil'!$MB$2:$MB$200=R$4),0),$E327-1973)</f>
        <v>#N/A</v>
      </c>
      <c r="S327" t="e" cm="1">
        <f t="array" ref="S327">INDEX('GMW - $100 oil'!$A$2:$MC$200,MATCH(1,('GMW - $100 oil'!$MC$2:$MC$200=S$3)*('GMW - $100 oil'!$MB$2:$MB$200=S$4),0),$E327-1973)</f>
        <v>#N/A</v>
      </c>
      <c r="T327" t="e" cm="1">
        <f t="array" ref="T327">INDEX('GMW - $100 oil'!$A$2:$MC$200,MATCH(1,('GMW - $100 oil'!$MC$2:$MC$200=T$3)*('GMW - $100 oil'!$MB$2:$MB$200=T$4),0),$E327-1973)</f>
        <v>#N/A</v>
      </c>
    </row>
    <row r="328" spans="1:20" x14ac:dyDescent="0.25">
      <c r="B328">
        <f t="shared" si="25"/>
        <v>2060</v>
      </c>
      <c r="C328">
        <f t="shared" si="25"/>
        <v>2060</v>
      </c>
      <c r="E328">
        <f t="shared" si="21"/>
        <v>2301</v>
      </c>
      <c r="F328" t="str" cm="1">
        <f t="array" ref="F328">INDEX('GMW - $100 oil'!$A$2:$MC$200,MATCH(1,('GMW - $100 oil'!$MC$2:$MC$200=F$3)*('GMW - $100 oil'!$MB$2:$MB$200=F$4),0),$E328-1973)</f>
        <v>NA</v>
      </c>
      <c r="G328" t="str" cm="1">
        <f t="array" ref="G328">INDEX('GMW - $100 oil'!$A$2:$MC$200,MATCH(1,('GMW - $100 oil'!$MC$2:$MC$200=G$3)*('GMW - $100 oil'!$MB$2:$MB$200=G$4),0),$E328-1973)</f>
        <v>NA</v>
      </c>
      <c r="H328" t="str" cm="1">
        <f t="array" ref="H328">INDEX('GMW - $100 oil'!$A$2:$MC$200,MATCH(1,('GMW - $100 oil'!$MC$2:$MC$200=H$3)*('GMW - $100 oil'!$MB$2:$MB$200=H$4),0),$E328-1973)</f>
        <v>NA</v>
      </c>
      <c r="I328" t="str" cm="1">
        <f t="array" ref="I328">INDEX('GMW - $100 oil'!$A$2:$MC$200,MATCH(1,('GMW - $100 oil'!$MC$2:$MC$200=I$3)*('GMW - $100 oil'!$MB$2:$MB$200=I$4),0),$E328-1973)</f>
        <v>NA</v>
      </c>
      <c r="J328" t="e" cm="1">
        <f t="array" ref="J328">INDEX('GMW - $100 oil'!$A$2:$MC$200,MATCH(1,('GMW - $100 oil'!$MC$2:$MC$200=J$3)*('GMW - $100 oil'!$MB$2:$MB$200=J$4),0),$E328-1973)</f>
        <v>#N/A</v>
      </c>
      <c r="K328" t="e" cm="1">
        <f t="array" ref="K328">INDEX('GMW - $100 oil'!$A$2:$MC$200,MATCH(1,('GMW - $100 oil'!$MC$2:$MC$200=K$3)*('GMW - $100 oil'!$MB$2:$MB$200=K$4),0),$E328-1973)</f>
        <v>#N/A</v>
      </c>
      <c r="L328" t="e" cm="1">
        <f t="array" ref="L328">INDEX('GMW - $100 oil'!$A$2:$MC$200,MATCH(1,('GMW - $100 oil'!$MC$2:$MC$200=L$3)*('GMW - $100 oil'!$MB$2:$MB$200=L$4),0),$E328-1973)</f>
        <v>#N/A</v>
      </c>
      <c r="M328" t="e" cm="1">
        <f t="array" ref="M328">INDEX('GMW - $100 oil'!$A$2:$MC$200,MATCH(1,('GMW - $100 oil'!$MC$2:$MC$200=M$3)*('GMW - $100 oil'!$MB$2:$MB$200=M$4),0),$E328-1973)</f>
        <v>#N/A</v>
      </c>
      <c r="N328" t="e" cm="1">
        <f t="array" ref="N328">INDEX('GMW - $100 oil'!$A$2:$MC$200,MATCH(1,('GMW - $100 oil'!$MC$2:$MC$200=N$3)*('GMW - $100 oil'!$MB$2:$MB$200=N$4),0),$E328-1973)</f>
        <v>#N/A</v>
      </c>
      <c r="O328" t="e" cm="1">
        <f t="array" ref="O328">INDEX('GMW - $100 oil'!$A$2:$MC$200,MATCH(1,('GMW - $100 oil'!$MC$2:$MC$200=O$3)*('GMW - $100 oil'!$MB$2:$MB$200=O$4),0),$E328-1973)</f>
        <v>#N/A</v>
      </c>
      <c r="P328" t="e" cm="1">
        <f t="array" ref="P328">INDEX('GMW - $100 oil'!$A$2:$MC$200,MATCH(1,('GMW - $100 oil'!$MC$2:$MC$200=P$3)*('GMW - $100 oil'!$MB$2:$MB$200=P$4),0),$E328-1973)</f>
        <v>#N/A</v>
      </c>
      <c r="Q328" t="e" cm="1">
        <f t="array" ref="Q328">INDEX('GMW - $100 oil'!$A$2:$MC$200,MATCH(1,('GMW - $100 oil'!$MC$2:$MC$200=Q$3)*('GMW - $100 oil'!$MB$2:$MB$200=Q$4),0),$E328-1973)</f>
        <v>#N/A</v>
      </c>
      <c r="R328" t="e" cm="1">
        <f t="array" ref="R328">INDEX('GMW - $100 oil'!$A$2:$MC$200,MATCH(1,('GMW - $100 oil'!$MC$2:$MC$200=R$3)*('GMW - $100 oil'!$MB$2:$MB$200=R$4),0),$E328-1973)</f>
        <v>#N/A</v>
      </c>
      <c r="S328" t="e" cm="1">
        <f t="array" ref="S328">INDEX('GMW - $100 oil'!$A$2:$MC$200,MATCH(1,('GMW - $100 oil'!$MC$2:$MC$200=S$3)*('GMW - $100 oil'!$MB$2:$MB$200=S$4),0),$E328-1973)</f>
        <v>#N/A</v>
      </c>
      <c r="T328" t="e" cm="1">
        <f t="array" ref="T328">INDEX('GMW - $100 oil'!$A$2:$MC$200,MATCH(1,('GMW - $100 oil'!$MC$2:$MC$200=T$3)*('GMW - $100 oil'!$MB$2:$MB$200=T$4),0),$E328-1973)</f>
        <v>#N/A</v>
      </c>
    </row>
    <row r="329" spans="1:20" x14ac:dyDescent="0.25">
      <c r="B329">
        <f t="shared" si="25"/>
        <v>2060</v>
      </c>
      <c r="C329">
        <f t="shared" si="25"/>
        <v>2060</v>
      </c>
      <c r="E329">
        <f t="shared" ref="E329:E330" si="26">+E328+1</f>
        <v>2302</v>
      </c>
      <c r="F329" t="str" cm="1">
        <f t="array" ref="F329">INDEX('GMW - $100 oil'!$A$2:$MC$200,MATCH(1,('GMW - $100 oil'!$MC$2:$MC$200=F$3)*('GMW - $100 oil'!$MB$2:$MB$200=F$4),0),$E329-1973)</f>
        <v>NA</v>
      </c>
      <c r="G329" t="str" cm="1">
        <f t="array" ref="G329">INDEX('GMW - $100 oil'!$A$2:$MC$200,MATCH(1,('GMW - $100 oil'!$MC$2:$MC$200=G$3)*('GMW - $100 oil'!$MB$2:$MB$200=G$4),0),$E329-1973)</f>
        <v>NA</v>
      </c>
      <c r="H329" t="str" cm="1">
        <f t="array" ref="H329">INDEX('GMW - $100 oil'!$A$2:$MC$200,MATCH(1,('GMW - $100 oil'!$MC$2:$MC$200=H$3)*('GMW - $100 oil'!$MB$2:$MB$200=H$4),0),$E329-1973)</f>
        <v>NA</v>
      </c>
      <c r="I329" t="str" cm="1">
        <f t="array" ref="I329">INDEX('GMW - $100 oil'!$A$2:$MC$200,MATCH(1,('GMW - $100 oil'!$MC$2:$MC$200=I$3)*('GMW - $100 oil'!$MB$2:$MB$200=I$4),0),$E329-1973)</f>
        <v>NA</v>
      </c>
      <c r="J329" t="e" cm="1">
        <f t="array" ref="J329">INDEX('GMW - $100 oil'!$A$2:$MC$200,MATCH(1,('GMW - $100 oil'!$MC$2:$MC$200=J$3)*('GMW - $100 oil'!$MB$2:$MB$200=J$4),0),$E329-1973)</f>
        <v>#N/A</v>
      </c>
      <c r="K329" t="e" cm="1">
        <f t="array" ref="K329">INDEX('GMW - $100 oil'!$A$2:$MC$200,MATCH(1,('GMW - $100 oil'!$MC$2:$MC$200=K$3)*('GMW - $100 oil'!$MB$2:$MB$200=K$4),0),$E329-1973)</f>
        <v>#N/A</v>
      </c>
      <c r="L329" t="e" cm="1">
        <f t="array" ref="L329">INDEX('GMW - $100 oil'!$A$2:$MC$200,MATCH(1,('GMW - $100 oil'!$MC$2:$MC$200=L$3)*('GMW - $100 oil'!$MB$2:$MB$200=L$4),0),$E329-1973)</f>
        <v>#N/A</v>
      </c>
      <c r="M329" t="e" cm="1">
        <f t="array" ref="M329">INDEX('GMW - $100 oil'!$A$2:$MC$200,MATCH(1,('GMW - $100 oil'!$MC$2:$MC$200=M$3)*('GMW - $100 oil'!$MB$2:$MB$200=M$4),0),$E329-1973)</f>
        <v>#N/A</v>
      </c>
      <c r="N329" t="e" cm="1">
        <f t="array" ref="N329">INDEX('GMW - $100 oil'!$A$2:$MC$200,MATCH(1,('GMW - $100 oil'!$MC$2:$MC$200=N$3)*('GMW - $100 oil'!$MB$2:$MB$200=N$4),0),$E329-1973)</f>
        <v>#N/A</v>
      </c>
      <c r="O329" t="e" cm="1">
        <f t="array" ref="O329">INDEX('GMW - $100 oil'!$A$2:$MC$200,MATCH(1,('GMW - $100 oil'!$MC$2:$MC$200=O$3)*('GMW - $100 oil'!$MB$2:$MB$200=O$4),0),$E329-1973)</f>
        <v>#N/A</v>
      </c>
      <c r="P329" t="e" cm="1">
        <f t="array" ref="P329">INDEX('GMW - $100 oil'!$A$2:$MC$200,MATCH(1,('GMW - $100 oil'!$MC$2:$MC$200=P$3)*('GMW - $100 oil'!$MB$2:$MB$200=P$4),0),$E329-1973)</f>
        <v>#N/A</v>
      </c>
      <c r="Q329" t="e" cm="1">
        <f t="array" ref="Q329">INDEX('GMW - $100 oil'!$A$2:$MC$200,MATCH(1,('GMW - $100 oil'!$MC$2:$MC$200=Q$3)*('GMW - $100 oil'!$MB$2:$MB$200=Q$4),0),$E329-1973)</f>
        <v>#N/A</v>
      </c>
      <c r="R329" t="e" cm="1">
        <f t="array" ref="R329">INDEX('GMW - $100 oil'!$A$2:$MC$200,MATCH(1,('GMW - $100 oil'!$MC$2:$MC$200=R$3)*('GMW - $100 oil'!$MB$2:$MB$200=R$4),0),$E329-1973)</f>
        <v>#N/A</v>
      </c>
      <c r="S329" t="e" cm="1">
        <f t="array" ref="S329">INDEX('GMW - $100 oil'!$A$2:$MC$200,MATCH(1,('GMW - $100 oil'!$MC$2:$MC$200=S$3)*('GMW - $100 oil'!$MB$2:$MB$200=S$4),0),$E329-1973)</f>
        <v>#N/A</v>
      </c>
      <c r="T329" t="e" cm="1">
        <f t="array" ref="T329">INDEX('GMW - $100 oil'!$A$2:$MC$200,MATCH(1,('GMW - $100 oil'!$MC$2:$MC$200=T$3)*('GMW - $100 oil'!$MB$2:$MB$200=T$4),0),$E329-1973)</f>
        <v>#N/A</v>
      </c>
    </row>
    <row r="330" spans="1:20" x14ac:dyDescent="0.25">
      <c r="B330">
        <f t="shared" si="25"/>
        <v>2060</v>
      </c>
      <c r="C330">
        <f t="shared" si="25"/>
        <v>2060</v>
      </c>
      <c r="E330">
        <f t="shared" si="26"/>
        <v>2303</v>
      </c>
      <c r="F330" t="str" cm="1">
        <f t="array" ref="F330">INDEX('GMW - $100 oil'!$A$2:$MC$200,MATCH(1,('GMW - $100 oil'!$MC$2:$MC$200=F$3)*('GMW - $100 oil'!$MB$2:$MB$200=F$4),0),$E330-1973)</f>
        <v>NA</v>
      </c>
      <c r="G330" t="str" cm="1">
        <f t="array" ref="G330">INDEX('GMW - $100 oil'!$A$2:$MC$200,MATCH(1,('GMW - $100 oil'!$MC$2:$MC$200=G$3)*('GMW - $100 oil'!$MB$2:$MB$200=G$4),0),$E330-1973)</f>
        <v>NA</v>
      </c>
      <c r="H330" t="str" cm="1">
        <f t="array" ref="H330">INDEX('GMW - $100 oil'!$A$2:$MC$200,MATCH(1,('GMW - $100 oil'!$MC$2:$MC$200=H$3)*('GMW - $100 oil'!$MB$2:$MB$200=H$4),0),$E330-1973)</f>
        <v>NA</v>
      </c>
      <c r="I330" t="str" cm="1">
        <f t="array" ref="I330">INDEX('GMW - $100 oil'!$A$2:$MC$200,MATCH(1,('GMW - $100 oil'!$MC$2:$MC$200=I$3)*('GMW - $100 oil'!$MB$2:$MB$200=I$4),0),$E330-1973)</f>
        <v>NA</v>
      </c>
      <c r="J330" t="e" cm="1">
        <f t="array" ref="J330">INDEX('GMW - $100 oil'!$A$2:$MC$200,MATCH(1,('GMW - $100 oil'!$MC$2:$MC$200=J$3)*('GMW - $100 oil'!$MB$2:$MB$200=J$4),0),$E330-1973)</f>
        <v>#N/A</v>
      </c>
      <c r="K330" t="e" cm="1">
        <f t="array" ref="K330">INDEX('GMW - $100 oil'!$A$2:$MC$200,MATCH(1,('GMW - $100 oil'!$MC$2:$MC$200=K$3)*('GMW - $100 oil'!$MB$2:$MB$200=K$4),0),$E330-1973)</f>
        <v>#N/A</v>
      </c>
      <c r="L330" t="e" cm="1">
        <f t="array" ref="L330">INDEX('GMW - $100 oil'!$A$2:$MC$200,MATCH(1,('GMW - $100 oil'!$MC$2:$MC$200=L$3)*('GMW - $100 oil'!$MB$2:$MB$200=L$4),0),$E330-1973)</f>
        <v>#N/A</v>
      </c>
      <c r="M330" t="e" cm="1">
        <f t="array" ref="M330">INDEX('GMW - $100 oil'!$A$2:$MC$200,MATCH(1,('GMW - $100 oil'!$MC$2:$MC$200=M$3)*('GMW - $100 oil'!$MB$2:$MB$200=M$4),0),$E330-1973)</f>
        <v>#N/A</v>
      </c>
      <c r="N330" t="e" cm="1">
        <f t="array" ref="N330">INDEX('GMW - $100 oil'!$A$2:$MC$200,MATCH(1,('GMW - $100 oil'!$MC$2:$MC$200=N$3)*('GMW - $100 oil'!$MB$2:$MB$200=N$4),0),$E330-1973)</f>
        <v>#N/A</v>
      </c>
      <c r="O330" t="e" cm="1">
        <f t="array" ref="O330">INDEX('GMW - $100 oil'!$A$2:$MC$200,MATCH(1,('GMW - $100 oil'!$MC$2:$MC$200=O$3)*('GMW - $100 oil'!$MB$2:$MB$200=O$4),0),$E330-1973)</f>
        <v>#N/A</v>
      </c>
      <c r="P330" t="e" cm="1">
        <f t="array" ref="P330">INDEX('GMW - $100 oil'!$A$2:$MC$200,MATCH(1,('GMW - $100 oil'!$MC$2:$MC$200=P$3)*('GMW - $100 oil'!$MB$2:$MB$200=P$4),0),$E330-1973)</f>
        <v>#N/A</v>
      </c>
      <c r="Q330" t="e" cm="1">
        <f t="array" ref="Q330">INDEX('GMW - $100 oil'!$A$2:$MC$200,MATCH(1,('GMW - $100 oil'!$MC$2:$MC$200=Q$3)*('GMW - $100 oil'!$MB$2:$MB$200=Q$4),0),$E330-1973)</f>
        <v>#N/A</v>
      </c>
      <c r="R330" t="e" cm="1">
        <f t="array" ref="R330">INDEX('GMW - $100 oil'!$A$2:$MC$200,MATCH(1,('GMW - $100 oil'!$MC$2:$MC$200=R$3)*('GMW - $100 oil'!$MB$2:$MB$200=R$4),0),$E330-1973)</f>
        <v>#N/A</v>
      </c>
      <c r="S330" t="e" cm="1">
        <f t="array" ref="S330">INDEX('GMW - $100 oil'!$A$2:$MC$200,MATCH(1,('GMW - $100 oil'!$MC$2:$MC$200=S$3)*('GMW - $100 oil'!$MB$2:$MB$200=S$4),0),$E330-1973)</f>
        <v>#N/A</v>
      </c>
      <c r="T330" t="e" cm="1">
        <f t="array" ref="T330">INDEX('GMW - $100 oil'!$A$2:$MC$200,MATCH(1,('GMW - $100 oil'!$MC$2:$MC$200=T$3)*('GMW - $100 oil'!$MB$2:$MB$200=T$4),0),$E330-1973)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CE387-522A-4819-B82E-9A5A14739A79}">
  <dimension ref="A1:S330"/>
  <sheetViews>
    <sheetView workbookViewId="0">
      <pane xSplit="5" ySplit="6" topLeftCell="F7" activePane="bottomRight" state="frozen"/>
      <selection activeCell="T4" sqref="T4"/>
      <selection pane="topRight" activeCell="T4" sqref="T4"/>
      <selection pane="bottomLeft" activeCell="T4" sqref="T4"/>
      <selection pane="bottomRight" activeCell="J29" sqref="J29"/>
    </sheetView>
  </sheetViews>
  <sheetFormatPr defaultRowHeight="15" x14ac:dyDescent="0.25"/>
  <sheetData>
    <row r="1" spans="1:19" x14ac:dyDescent="0.25">
      <c r="B1" t="s">
        <v>374</v>
      </c>
      <c r="C1" t="s">
        <v>374</v>
      </c>
      <c r="D1" t="s">
        <v>374</v>
      </c>
      <c r="F1" s="6" t="str">
        <f>'GMW - worst case'!C2</f>
        <v>Iran_worst_case</v>
      </c>
      <c r="G1" s="6" t="str">
        <f>$F$1</f>
        <v>Iran_worst_case</v>
      </c>
      <c r="H1" s="6" t="str">
        <f t="shared" ref="H1:S1" si="0">$F$1</f>
        <v>Iran_worst_case</v>
      </c>
      <c r="I1" s="6" t="str">
        <f t="shared" si="0"/>
        <v>Iran_worst_case</v>
      </c>
      <c r="J1" s="6" t="str">
        <f t="shared" si="0"/>
        <v>Iran_worst_case</v>
      </c>
      <c r="K1" s="6" t="str">
        <f t="shared" si="0"/>
        <v>Iran_worst_case</v>
      </c>
      <c r="L1" s="6" t="str">
        <f t="shared" si="0"/>
        <v>Iran_worst_case</v>
      </c>
      <c r="M1" s="6" t="str">
        <f t="shared" si="0"/>
        <v>Iran_worst_case</v>
      </c>
      <c r="N1" s="6" t="str">
        <f t="shared" si="0"/>
        <v>Iran_worst_case</v>
      </c>
      <c r="O1" s="6" t="str">
        <f t="shared" si="0"/>
        <v>Iran_worst_case</v>
      </c>
      <c r="P1" s="6" t="str">
        <f t="shared" si="0"/>
        <v>Iran_worst_case</v>
      </c>
      <c r="Q1" s="6" t="str">
        <f t="shared" si="0"/>
        <v>Iran_worst_case</v>
      </c>
      <c r="R1" s="6" t="str">
        <f t="shared" si="0"/>
        <v>Iran_worst_case</v>
      </c>
      <c r="S1" s="6" t="str">
        <f t="shared" si="0"/>
        <v>Iran_worst_case</v>
      </c>
    </row>
    <row r="2" spans="1:19" x14ac:dyDescent="0.25">
      <c r="F2" t="s">
        <v>375</v>
      </c>
      <c r="G2" t="s">
        <v>375</v>
      </c>
      <c r="H2" t="s">
        <v>375</v>
      </c>
      <c r="I2" t="s">
        <v>375</v>
      </c>
      <c r="J2" t="s">
        <v>375</v>
      </c>
      <c r="K2" t="s">
        <v>375</v>
      </c>
      <c r="L2" t="s">
        <v>375</v>
      </c>
      <c r="M2" t="s">
        <v>375</v>
      </c>
      <c r="N2" t="s">
        <v>375</v>
      </c>
      <c r="O2" t="s">
        <v>375</v>
      </c>
      <c r="P2" t="s">
        <v>375</v>
      </c>
      <c r="Q2" t="s">
        <v>375</v>
      </c>
      <c r="R2" t="s">
        <v>375</v>
      </c>
      <c r="S2" t="s">
        <v>375</v>
      </c>
    </row>
    <row r="3" spans="1:19" x14ac:dyDescent="0.25">
      <c r="F3" t="s">
        <v>365</v>
      </c>
      <c r="G3" t="s">
        <v>361</v>
      </c>
      <c r="H3" t="s">
        <v>353</v>
      </c>
      <c r="I3" t="s">
        <v>371</v>
      </c>
    </row>
    <row r="4" spans="1:19" x14ac:dyDescent="0.25">
      <c r="F4" t="s">
        <v>352</v>
      </c>
      <c r="G4" t="s">
        <v>352</v>
      </c>
      <c r="H4" t="s">
        <v>352</v>
      </c>
      <c r="I4" t="s">
        <v>352</v>
      </c>
      <c r="J4" t="s">
        <v>352</v>
      </c>
      <c r="K4" t="s">
        <v>352</v>
      </c>
      <c r="L4" t="s">
        <v>352</v>
      </c>
      <c r="M4" t="s">
        <v>352</v>
      </c>
      <c r="N4" t="s">
        <v>352</v>
      </c>
      <c r="O4" t="s">
        <v>352</v>
      </c>
      <c r="P4" t="s">
        <v>352</v>
      </c>
      <c r="Q4" t="s">
        <v>352</v>
      </c>
      <c r="R4" t="s">
        <v>352</v>
      </c>
      <c r="S4" t="s">
        <v>352</v>
      </c>
    </row>
    <row r="5" spans="1:19" x14ac:dyDescent="0.25">
      <c r="F5" t="s">
        <v>376</v>
      </c>
      <c r="G5" t="s">
        <v>376</v>
      </c>
      <c r="H5" t="s">
        <v>376</v>
      </c>
      <c r="I5" t="s">
        <v>376</v>
      </c>
      <c r="J5" t="s">
        <v>376</v>
      </c>
      <c r="K5" t="s">
        <v>376</v>
      </c>
      <c r="L5" t="s">
        <v>376</v>
      </c>
      <c r="M5" t="s">
        <v>376</v>
      </c>
      <c r="N5" t="s">
        <v>376</v>
      </c>
      <c r="O5" t="s">
        <v>376</v>
      </c>
      <c r="P5" t="s">
        <v>376</v>
      </c>
      <c r="Q5" t="s">
        <v>376</v>
      </c>
      <c r="R5" t="s">
        <v>376</v>
      </c>
      <c r="S5" t="s">
        <v>376</v>
      </c>
    </row>
    <row r="6" spans="1:19" x14ac:dyDescent="0.25">
      <c r="B6" t="s">
        <v>377</v>
      </c>
      <c r="C6" t="s">
        <v>378</v>
      </c>
      <c r="D6" t="s">
        <v>379</v>
      </c>
      <c r="E6">
        <f>E330+5</f>
        <v>2308</v>
      </c>
      <c r="F6" s="7" t="str" cm="1">
        <f t="array" ref="F6">_xlfn.CONCAT(INDEX('GMW - worst case'!$A$2:$MC$200,MATCH(1,('GMW - worst case'!$MC$2:$MC$200=F$3)*('GMW - worst case'!$MB$2:$MB$200=F$4),0),$E6-1973),"0",(INDEX('GMW - worst case'!$A$2:$MC$200,MATCH(1,('GMW - worst case'!$MC$2:$MC$200=F$3)*('GMW - worst case'!$MB$2:$MB$200=F$4),0),$E6-1972)))</f>
        <v>202504</v>
      </c>
      <c r="G6" s="7" t="str" cm="1">
        <f t="array" ref="G6">_xlfn.CONCAT(INDEX('GMW - worst case'!$A$2:$MC$200,MATCH(1,('GMW - worst case'!$MC$2:$MC$200=G$3)*('GMW - worst case'!$MB$2:$MB$200=G$4),0),$E6-1973),"0",(INDEX('GMW - worst case'!$A$2:$MC$200,MATCH(1,('GMW - worst case'!$MC$2:$MC$200=G$3)*('GMW - worst case'!$MB$2:$MB$200=G$4),0),$E6-1972)))</f>
        <v>202504</v>
      </c>
      <c r="H6" s="7" t="str" cm="1">
        <f t="array" ref="H6">_xlfn.CONCAT(INDEX('GMW - worst case'!$A$2:$MC$200,MATCH(1,('GMW - worst case'!$MC$2:$MC$200=H$3)*('GMW - worst case'!$MB$2:$MB$200=H$4),0),$E6-1973),"0",(INDEX('GMW - worst case'!$A$2:$MC$200,MATCH(1,('GMW - worst case'!$MC$2:$MC$200=H$3)*('GMW - worst case'!$MB$2:$MB$200=H$4),0),$E6-1972)))</f>
        <v>202504</v>
      </c>
      <c r="I6" s="7" t="str" cm="1">
        <f t="array" ref="I6">_xlfn.CONCAT(INDEX('GMW - worst case'!$A$2:$MC$200,MATCH(1,('GMW - worst case'!$MC$2:$MC$200=I$3)*('GMW - worst case'!$MB$2:$MB$200=I$4),0),$E6-1973),"0",(INDEX('GMW - worst case'!$A$2:$MC$200,MATCH(1,('GMW - worst case'!$MC$2:$MC$200=I$3)*('GMW - worst case'!$MB$2:$MB$200=I$4),0),$E6-1972)))</f>
        <v>202504</v>
      </c>
      <c r="J6" s="7" t="e" cm="1">
        <f t="array" ref="J6">_xlfn.CONCAT(INDEX('GMW - worst case'!$A$2:$MC$200,MATCH(1,('GMW - worst case'!$MC$2:$MC$200=J$3)*('GMW - worst case'!$MB$2:$MB$200=J$4),0),$E6-1973),"0",(INDEX('GMW - worst case'!$A$2:$MC$200,MATCH(1,('GMW - worst case'!$MC$2:$MC$200=J$3)*('GMW - worst case'!$MB$2:$MB$200=J$4),0),$E6-1972)))</f>
        <v>#N/A</v>
      </c>
      <c r="K6" s="7" t="e" cm="1">
        <f t="array" ref="K6">_xlfn.CONCAT(INDEX('GMW - worst case'!$A$2:$MC$200,MATCH(1,('GMW - worst case'!$MC$2:$MC$200=K$3)*('GMW - worst case'!$MB$2:$MB$200=K$4),0),$E6-1973),"0",(INDEX('GMW - worst case'!$A$2:$MC$200,MATCH(1,('GMW - worst case'!$MC$2:$MC$200=K$3)*('GMW - worst case'!$MB$2:$MB$200=K$4),0),$E6-1972)))</f>
        <v>#N/A</v>
      </c>
      <c r="L6" s="7" t="e" cm="1">
        <f t="array" ref="L6">_xlfn.CONCAT(INDEX('GMW - worst case'!$A$2:$MC$200,MATCH(1,('GMW - worst case'!$MC$2:$MC$200=L$3)*('GMW - worst case'!$MB$2:$MB$200=L$4),0),$E6-1973),"0",(INDEX('GMW - worst case'!$A$2:$MC$200,MATCH(1,('GMW - worst case'!$MC$2:$MC$200=L$3)*('GMW - worst case'!$MB$2:$MB$200=L$4),0),$E6-1972)))</f>
        <v>#N/A</v>
      </c>
      <c r="M6" s="7" t="e" cm="1">
        <f t="array" ref="M6">_xlfn.CONCAT(INDEX('GMW - worst case'!$A$2:$MC$200,MATCH(1,('GMW - worst case'!$MC$2:$MC$200=M$3)*('GMW - worst case'!$MB$2:$MB$200=M$4),0),$E6-1973),"0",(INDEX('GMW - worst case'!$A$2:$MC$200,MATCH(1,('GMW - worst case'!$MC$2:$MC$200=M$3)*('GMW - worst case'!$MB$2:$MB$200=M$4),0),$E6-1972)))</f>
        <v>#N/A</v>
      </c>
      <c r="N6" s="7" t="e" cm="1">
        <f t="array" ref="N6">_xlfn.CONCAT(INDEX('GMW - worst case'!$A$2:$MC$200,MATCH(1,('GMW - worst case'!$MC$2:$MC$200=N$3)*('GMW - worst case'!$MB$2:$MB$200=N$4),0),$E6-1973),"0",(INDEX('GMW - worst case'!$A$2:$MC$200,MATCH(1,('GMW - worst case'!$MC$2:$MC$200=N$3)*('GMW - worst case'!$MB$2:$MB$200=N$4),0),$E6-1972)))</f>
        <v>#N/A</v>
      </c>
      <c r="O6" s="7" t="e" cm="1">
        <f t="array" ref="O6">_xlfn.CONCAT(INDEX('GMW - worst case'!$A$2:$MC$200,MATCH(1,('GMW - worst case'!$MC$2:$MC$200=O$3)*('GMW - worst case'!$MB$2:$MB$200=O$4),0),$E6-1973),"0",(INDEX('GMW - worst case'!$A$2:$MC$200,MATCH(1,('GMW - worst case'!$MC$2:$MC$200=O$3)*('GMW - worst case'!$MB$2:$MB$200=O$4),0),$E6-1972)))</f>
        <v>#N/A</v>
      </c>
      <c r="P6" s="7" t="e" cm="1">
        <f t="array" ref="P6">_xlfn.CONCAT(INDEX('GMW - worst case'!$A$2:$MC$200,MATCH(1,('GMW - worst case'!$MC$2:$MC$200=P$3)*('GMW - worst case'!$MB$2:$MB$200=P$4),0),$E6-1973),"0",(INDEX('GMW - worst case'!$A$2:$MC$200,MATCH(1,('GMW - worst case'!$MC$2:$MC$200=P$3)*('GMW - worst case'!$MB$2:$MB$200=P$4),0),$E6-1972)))</f>
        <v>#N/A</v>
      </c>
      <c r="Q6" s="7" t="e" cm="1">
        <f t="array" ref="Q6">_xlfn.CONCAT(INDEX('GMW - worst case'!$A$2:$MC$200,MATCH(1,('GMW - worst case'!$MC$2:$MC$200=Q$3)*('GMW - worst case'!$MB$2:$MB$200=Q$4),0),$E6-1973),"0",(INDEX('GMW - worst case'!$A$2:$MC$200,MATCH(1,('GMW - worst case'!$MC$2:$MC$200=Q$3)*('GMW - worst case'!$MB$2:$MB$200=Q$4),0),$E6-1972)))</f>
        <v>#N/A</v>
      </c>
      <c r="R6" s="7" t="e" cm="1">
        <f t="array" ref="R6">_xlfn.CONCAT(INDEX('GMW - worst case'!$A$2:$MC$200,MATCH(1,('GMW - worst case'!$MC$2:$MC$200=R$3)*('GMW - worst case'!$MB$2:$MB$200=R$4),0),$E6-1973),"0",(INDEX('GMW - worst case'!$A$2:$MC$200,MATCH(1,('GMW - worst case'!$MC$2:$MC$200=R$3)*('GMW - worst case'!$MB$2:$MB$200=R$4),0),$E6-1972)))</f>
        <v>#N/A</v>
      </c>
      <c r="S6" s="7" t="e" cm="1">
        <f t="array" ref="S6">_xlfn.CONCAT(INDEX('GMW - worst case'!$A$2:$MC$200,MATCH(1,('GMW - worst case'!$MC$2:$MC$200=S$3)*('GMW - worst case'!$MB$2:$MB$200=S$4),0),$E6-1973),"0",(INDEX('GMW - worst case'!$A$2:$MC$200,MATCH(1,('GMW - worst case'!$MC$2:$MC$200=S$3)*('GMW - worst case'!$MB$2:$MB$200=S$4),0),$E6-1972)))</f>
        <v>#N/A</v>
      </c>
    </row>
    <row r="7" spans="1:19" x14ac:dyDescent="0.25">
      <c r="A7">
        <v>1980</v>
      </c>
      <c r="B7">
        <v>1980</v>
      </c>
      <c r="E7">
        <v>1980</v>
      </c>
      <c r="F7" cm="1">
        <f t="array" ref="F7">INDEX('GMW - worst case'!$A$2:$MC$200,MATCH(1,('GMW - worst case'!$MC$2:$MC$200=F$3)*('GMW - worst case'!$MB$2:$MB$200=F$4),0),$E7-1973)</f>
        <v>290378</v>
      </c>
      <c r="G7" cm="1">
        <f t="array" ref="G7">INDEX('GMW - worst case'!$A$2:$MC$200,MATCH(1,('GMW - worst case'!$MC$2:$MC$200=G$3)*('GMW - worst case'!$MB$2:$MB$200=G$4),0),$E7-1973)</f>
        <v>153439</v>
      </c>
      <c r="H7" cm="1">
        <f t="array" ref="H7">INDEX('GMW - worst case'!$A$2:$MC$200,MATCH(1,('GMW - worst case'!$MC$2:$MC$200=H$3)*('GMW - worst case'!$MB$2:$MB$200=H$4),0),$E7-1973)</f>
        <v>30.605080000000001</v>
      </c>
      <c r="I7" cm="1">
        <f t="array" ref="I7">INDEX('GMW - worst case'!$A$2:$MC$200,MATCH(1,('GMW - worst case'!$MC$2:$MC$200=I$3)*('GMW - worst case'!$MB$2:$MB$200=I$4),0),$E7-1973)</f>
        <v>17</v>
      </c>
      <c r="J7" t="e" cm="1">
        <f t="array" ref="J7">INDEX('GMW - worst case'!$A$2:$MC$200,MATCH(1,('GMW - worst case'!$MC$2:$MC$200=J$3)*('GMW - worst case'!$MB$2:$MB$200=J$4),0),$E7-1973)</f>
        <v>#N/A</v>
      </c>
      <c r="K7" t="e" cm="1">
        <f t="array" ref="K7">INDEX('GMW - worst case'!$A$2:$MC$200,MATCH(1,('GMW - worst case'!$MC$2:$MC$200=K$3)*('GMW - worst case'!$MB$2:$MB$200=K$4),0),$E7-1973)</f>
        <v>#N/A</v>
      </c>
      <c r="L7" t="e" cm="1">
        <f t="array" ref="L7">INDEX('GMW - worst case'!$A$2:$MC$200,MATCH(1,('GMW - worst case'!$MC$2:$MC$200=L$3)*('GMW - worst case'!$MB$2:$MB$200=L$4),0),$E7-1973)</f>
        <v>#N/A</v>
      </c>
      <c r="M7" t="e" cm="1">
        <f t="array" ref="M7">INDEX('GMW - worst case'!$A$2:$MC$200,MATCH(1,('GMW - worst case'!$MC$2:$MC$200=M$3)*('GMW - worst case'!$MB$2:$MB$200=M$4),0),$E7-1973)</f>
        <v>#N/A</v>
      </c>
      <c r="N7" t="e" cm="1">
        <f t="array" ref="N7">INDEX('GMW - worst case'!$A$2:$MC$200,MATCH(1,('GMW - worst case'!$MC$2:$MC$200=N$3)*('GMW - worst case'!$MB$2:$MB$200=N$4),0),$E7-1973)</f>
        <v>#N/A</v>
      </c>
      <c r="O7" t="e" cm="1">
        <f t="array" ref="O7">INDEX('GMW - worst case'!$A$2:$MC$200,MATCH(1,('GMW - worst case'!$MC$2:$MC$200=O$3)*('GMW - worst case'!$MB$2:$MB$200=O$4),0),$E7-1973)</f>
        <v>#N/A</v>
      </c>
      <c r="P7" t="e" cm="1">
        <f t="array" ref="P7">INDEX('GMW - worst case'!$A$2:$MC$200,MATCH(1,('GMW - worst case'!$MC$2:$MC$200=P$3)*('GMW - worst case'!$MB$2:$MB$200=P$4),0),$E7-1973)</f>
        <v>#N/A</v>
      </c>
      <c r="Q7" t="e" cm="1">
        <f t="array" ref="Q7">INDEX('GMW - worst case'!$A$2:$MC$200,MATCH(1,('GMW - worst case'!$MC$2:$MC$200=Q$3)*('GMW - worst case'!$MB$2:$MB$200=Q$4),0),$E7-1973)</f>
        <v>#N/A</v>
      </c>
      <c r="R7" t="e" cm="1">
        <f t="array" ref="R7">INDEX('GMW - worst case'!$A$2:$MC$200,MATCH(1,('GMW - worst case'!$MC$2:$MC$200=R$3)*('GMW - worst case'!$MB$2:$MB$200=R$4),0),$E7-1973)</f>
        <v>#N/A</v>
      </c>
      <c r="S7" t="e" cm="1">
        <f t="array" ref="S7">INDEX('GMW - worst case'!$A$2:$MC$200,MATCH(1,('GMW - worst case'!$MC$2:$MC$200=S$3)*('GMW - worst case'!$MB$2:$MB$200=S$4),0),$E7-1973)</f>
        <v>#N/A</v>
      </c>
    </row>
    <row r="8" spans="1:19" x14ac:dyDescent="0.25">
      <c r="B8">
        <v>1980</v>
      </c>
      <c r="C8">
        <v>1980</v>
      </c>
      <c r="E8">
        <f>+E7+1</f>
        <v>1981</v>
      </c>
      <c r="F8" cm="1">
        <f t="array" ref="F8">INDEX('GMW - worst case'!$A$2:$MC$200,MATCH(1,('GMW - worst case'!$MC$2:$MC$200=F$3)*('GMW - worst case'!$MB$2:$MB$200=F$4),0),$E8-1973)</f>
        <v>284713</v>
      </c>
      <c r="G8" cm="1">
        <f t="array" ref="G8">INDEX('GMW - worst case'!$A$2:$MC$200,MATCH(1,('GMW - worst case'!$MC$2:$MC$200=G$3)*('GMW - worst case'!$MB$2:$MB$200=G$4),0),$E8-1973)</f>
        <v>149443</v>
      </c>
      <c r="H8" cm="1">
        <f t="array" ref="H8">INDEX('GMW - worst case'!$A$2:$MC$200,MATCH(1,('GMW - worst case'!$MC$2:$MC$200=H$3)*('GMW - worst case'!$MB$2:$MB$200=H$4),0),$E8-1973)</f>
        <v>32.247430000000001</v>
      </c>
      <c r="I8" cm="1">
        <f t="array" ref="I8">INDEX('GMW - worst case'!$A$2:$MC$200,MATCH(1,('GMW - worst case'!$MC$2:$MC$200=I$3)*('GMW - worst case'!$MB$2:$MB$200=I$4),0),$E8-1973)</f>
        <v>17</v>
      </c>
      <c r="J8" t="e" cm="1">
        <f t="array" ref="J8">INDEX('GMW - worst case'!$A$2:$MC$200,MATCH(1,('GMW - worst case'!$MC$2:$MC$200=J$3)*('GMW - worst case'!$MB$2:$MB$200=J$4),0),$E8-1973)</f>
        <v>#N/A</v>
      </c>
      <c r="K8" t="e" cm="1">
        <f t="array" ref="K8">INDEX('GMW - worst case'!$A$2:$MC$200,MATCH(1,('GMW - worst case'!$MC$2:$MC$200=K$3)*('GMW - worst case'!$MB$2:$MB$200=K$4),0),$E8-1973)</f>
        <v>#N/A</v>
      </c>
      <c r="L8" t="e" cm="1">
        <f t="array" ref="L8">INDEX('GMW - worst case'!$A$2:$MC$200,MATCH(1,('GMW - worst case'!$MC$2:$MC$200=L$3)*('GMW - worst case'!$MB$2:$MB$200=L$4),0),$E8-1973)</f>
        <v>#N/A</v>
      </c>
      <c r="M8" t="e" cm="1">
        <f t="array" ref="M8">INDEX('GMW - worst case'!$A$2:$MC$200,MATCH(1,('GMW - worst case'!$MC$2:$MC$200=M$3)*('GMW - worst case'!$MB$2:$MB$200=M$4),0),$E8-1973)</f>
        <v>#N/A</v>
      </c>
      <c r="N8" t="e" cm="1">
        <f t="array" ref="N8">INDEX('GMW - worst case'!$A$2:$MC$200,MATCH(1,('GMW - worst case'!$MC$2:$MC$200=N$3)*('GMW - worst case'!$MB$2:$MB$200=N$4),0),$E8-1973)</f>
        <v>#N/A</v>
      </c>
      <c r="O8" t="e" cm="1">
        <f t="array" ref="O8">INDEX('GMW - worst case'!$A$2:$MC$200,MATCH(1,('GMW - worst case'!$MC$2:$MC$200=O$3)*('GMW - worst case'!$MB$2:$MB$200=O$4),0),$E8-1973)</f>
        <v>#N/A</v>
      </c>
      <c r="P8" t="e" cm="1">
        <f t="array" ref="P8">INDEX('GMW - worst case'!$A$2:$MC$200,MATCH(1,('GMW - worst case'!$MC$2:$MC$200=P$3)*('GMW - worst case'!$MB$2:$MB$200=P$4),0),$E8-1973)</f>
        <v>#N/A</v>
      </c>
      <c r="Q8" t="e" cm="1">
        <f t="array" ref="Q8">INDEX('GMW - worst case'!$A$2:$MC$200,MATCH(1,('GMW - worst case'!$MC$2:$MC$200=Q$3)*('GMW - worst case'!$MB$2:$MB$200=Q$4),0),$E8-1973)</f>
        <v>#N/A</v>
      </c>
      <c r="R8" t="e" cm="1">
        <f t="array" ref="R8">INDEX('GMW - worst case'!$A$2:$MC$200,MATCH(1,('GMW - worst case'!$MC$2:$MC$200=R$3)*('GMW - worst case'!$MB$2:$MB$200=R$4),0),$E8-1973)</f>
        <v>#N/A</v>
      </c>
      <c r="S8" t="e" cm="1">
        <f t="array" ref="S8">INDEX('GMW - worst case'!$A$2:$MC$200,MATCH(1,('GMW - worst case'!$MC$2:$MC$200=S$3)*('GMW - worst case'!$MB$2:$MB$200=S$4),0),$E8-1973)</f>
        <v>#N/A</v>
      </c>
    </row>
    <row r="9" spans="1:19" x14ac:dyDescent="0.25">
      <c r="B9">
        <v>1980</v>
      </c>
      <c r="C9">
        <v>1980</v>
      </c>
      <c r="E9">
        <f t="shared" ref="E9:E72" si="1">+E8+1</f>
        <v>1982</v>
      </c>
      <c r="F9" cm="1">
        <f t="array" ref="F9">INDEX('GMW - worst case'!$A$2:$MC$200,MATCH(1,('GMW - worst case'!$MC$2:$MC$200=F$3)*('GMW - worst case'!$MB$2:$MB$200=F$4),0),$E9-1973)</f>
        <v>284402</v>
      </c>
      <c r="G9" cm="1">
        <f t="array" ref="G9">INDEX('GMW - worst case'!$A$2:$MC$200,MATCH(1,('GMW - worst case'!$MC$2:$MC$200=G$3)*('GMW - worst case'!$MB$2:$MB$200=G$4),0),$E9-1973)</f>
        <v>151403</v>
      </c>
      <c r="H9" cm="1">
        <f t="array" ref="H9">INDEX('GMW - worst case'!$A$2:$MC$200,MATCH(1,('GMW - worst case'!$MC$2:$MC$200=H$3)*('GMW - worst case'!$MB$2:$MB$200=H$4),0),$E9-1973)</f>
        <v>32.951300000000003</v>
      </c>
      <c r="I9" cm="1">
        <f t="array" ref="I9">INDEX('GMW - worst case'!$A$2:$MC$200,MATCH(1,('GMW - worst case'!$MC$2:$MC$200=I$3)*('GMW - worst case'!$MB$2:$MB$200=I$4),0),$E9-1973)</f>
        <v>16.0303</v>
      </c>
      <c r="J9" t="e" cm="1">
        <f t="array" ref="J9">INDEX('GMW - worst case'!$A$2:$MC$200,MATCH(1,('GMW - worst case'!$MC$2:$MC$200=J$3)*('GMW - worst case'!$MB$2:$MB$200=J$4),0),$E9-1973)</f>
        <v>#N/A</v>
      </c>
      <c r="K9" t="e" cm="1">
        <f t="array" ref="K9">INDEX('GMW - worst case'!$A$2:$MC$200,MATCH(1,('GMW - worst case'!$MC$2:$MC$200=K$3)*('GMW - worst case'!$MB$2:$MB$200=K$4),0),$E9-1973)</f>
        <v>#N/A</v>
      </c>
      <c r="L9" t="e" cm="1">
        <f t="array" ref="L9">INDEX('GMW - worst case'!$A$2:$MC$200,MATCH(1,('GMW - worst case'!$MC$2:$MC$200=L$3)*('GMW - worst case'!$MB$2:$MB$200=L$4),0),$E9-1973)</f>
        <v>#N/A</v>
      </c>
      <c r="M9" t="e" cm="1">
        <f t="array" ref="M9">INDEX('GMW - worst case'!$A$2:$MC$200,MATCH(1,('GMW - worst case'!$MC$2:$MC$200=M$3)*('GMW - worst case'!$MB$2:$MB$200=M$4),0),$E9-1973)</f>
        <v>#N/A</v>
      </c>
      <c r="N9" t="e" cm="1">
        <f t="array" ref="N9">INDEX('GMW - worst case'!$A$2:$MC$200,MATCH(1,('GMW - worst case'!$MC$2:$MC$200=N$3)*('GMW - worst case'!$MB$2:$MB$200=N$4),0),$E9-1973)</f>
        <v>#N/A</v>
      </c>
      <c r="O9" t="e" cm="1">
        <f t="array" ref="O9">INDEX('GMW - worst case'!$A$2:$MC$200,MATCH(1,('GMW - worst case'!$MC$2:$MC$200=O$3)*('GMW - worst case'!$MB$2:$MB$200=O$4),0),$E9-1973)</f>
        <v>#N/A</v>
      </c>
      <c r="P9" t="e" cm="1">
        <f t="array" ref="P9">INDEX('GMW - worst case'!$A$2:$MC$200,MATCH(1,('GMW - worst case'!$MC$2:$MC$200=P$3)*('GMW - worst case'!$MB$2:$MB$200=P$4),0),$E9-1973)</f>
        <v>#N/A</v>
      </c>
      <c r="Q9" t="e" cm="1">
        <f t="array" ref="Q9">INDEX('GMW - worst case'!$A$2:$MC$200,MATCH(1,('GMW - worst case'!$MC$2:$MC$200=Q$3)*('GMW - worst case'!$MB$2:$MB$200=Q$4),0),$E9-1973)</f>
        <v>#N/A</v>
      </c>
      <c r="R9" t="e" cm="1">
        <f t="array" ref="R9">INDEX('GMW - worst case'!$A$2:$MC$200,MATCH(1,('GMW - worst case'!$MC$2:$MC$200=R$3)*('GMW - worst case'!$MB$2:$MB$200=R$4),0),$E9-1973)</f>
        <v>#N/A</v>
      </c>
      <c r="S9" t="e" cm="1">
        <f t="array" ref="S9">INDEX('GMW - worst case'!$A$2:$MC$200,MATCH(1,('GMW - worst case'!$MC$2:$MC$200=S$3)*('GMW - worst case'!$MB$2:$MB$200=S$4),0),$E9-1973)</f>
        <v>#N/A</v>
      </c>
    </row>
    <row r="10" spans="1:19" x14ac:dyDescent="0.25">
      <c r="B10">
        <v>1980</v>
      </c>
      <c r="C10">
        <v>1980</v>
      </c>
      <c r="E10">
        <f t="shared" si="1"/>
        <v>1983</v>
      </c>
      <c r="F10" cm="1">
        <f t="array" ref="F10">INDEX('GMW - worst case'!$A$2:$MC$200,MATCH(1,('GMW - worst case'!$MC$2:$MC$200=F$3)*('GMW - worst case'!$MB$2:$MB$200=F$4),0),$E10-1973)</f>
        <v>281496</v>
      </c>
      <c r="G10" cm="1">
        <f t="array" ref="G10">INDEX('GMW - worst case'!$A$2:$MC$200,MATCH(1,('GMW - worst case'!$MC$2:$MC$200=G$3)*('GMW - worst case'!$MB$2:$MB$200=G$4),0),$E10-1973)</f>
        <v>148523</v>
      </c>
      <c r="H10" cm="1">
        <f t="array" ref="H10">INDEX('GMW - worst case'!$A$2:$MC$200,MATCH(1,('GMW - worst case'!$MC$2:$MC$200=H$3)*('GMW - worst case'!$MB$2:$MB$200=H$4),0),$E10-1973)</f>
        <v>33.550879999999999</v>
      </c>
      <c r="I10" cm="1">
        <f t="array" ref="I10">INDEX('GMW - worst case'!$A$2:$MC$200,MATCH(1,('GMW - worst case'!$MC$2:$MC$200=I$3)*('GMW - worst case'!$MB$2:$MB$200=I$4),0),$E10-1973)</f>
        <v>15.18182</v>
      </c>
      <c r="J10" t="e" cm="1">
        <f t="array" ref="J10">INDEX('GMW - worst case'!$A$2:$MC$200,MATCH(1,('GMW - worst case'!$MC$2:$MC$200=J$3)*('GMW - worst case'!$MB$2:$MB$200=J$4),0),$E10-1973)</f>
        <v>#N/A</v>
      </c>
      <c r="K10" t="e" cm="1">
        <f t="array" ref="K10">INDEX('GMW - worst case'!$A$2:$MC$200,MATCH(1,('GMW - worst case'!$MC$2:$MC$200=K$3)*('GMW - worst case'!$MB$2:$MB$200=K$4),0),$E10-1973)</f>
        <v>#N/A</v>
      </c>
      <c r="L10" t="e" cm="1">
        <f t="array" ref="L10">INDEX('GMW - worst case'!$A$2:$MC$200,MATCH(1,('GMW - worst case'!$MC$2:$MC$200=L$3)*('GMW - worst case'!$MB$2:$MB$200=L$4),0),$E10-1973)</f>
        <v>#N/A</v>
      </c>
      <c r="M10" t="e" cm="1">
        <f t="array" ref="M10">INDEX('GMW - worst case'!$A$2:$MC$200,MATCH(1,('GMW - worst case'!$MC$2:$MC$200=M$3)*('GMW - worst case'!$MB$2:$MB$200=M$4),0),$E10-1973)</f>
        <v>#N/A</v>
      </c>
      <c r="N10" t="e" cm="1">
        <f t="array" ref="N10">INDEX('GMW - worst case'!$A$2:$MC$200,MATCH(1,('GMW - worst case'!$MC$2:$MC$200=N$3)*('GMW - worst case'!$MB$2:$MB$200=N$4),0),$E10-1973)</f>
        <v>#N/A</v>
      </c>
      <c r="O10" t="e" cm="1">
        <f t="array" ref="O10">INDEX('GMW - worst case'!$A$2:$MC$200,MATCH(1,('GMW - worst case'!$MC$2:$MC$200=O$3)*('GMW - worst case'!$MB$2:$MB$200=O$4),0),$E10-1973)</f>
        <v>#N/A</v>
      </c>
      <c r="P10" t="e" cm="1">
        <f t="array" ref="P10">INDEX('GMW - worst case'!$A$2:$MC$200,MATCH(1,('GMW - worst case'!$MC$2:$MC$200=P$3)*('GMW - worst case'!$MB$2:$MB$200=P$4),0),$E10-1973)</f>
        <v>#N/A</v>
      </c>
      <c r="Q10" t="e" cm="1">
        <f t="array" ref="Q10">INDEX('GMW - worst case'!$A$2:$MC$200,MATCH(1,('GMW - worst case'!$MC$2:$MC$200=Q$3)*('GMW - worst case'!$MB$2:$MB$200=Q$4),0),$E10-1973)</f>
        <v>#N/A</v>
      </c>
      <c r="R10" t="e" cm="1">
        <f t="array" ref="R10">INDEX('GMW - worst case'!$A$2:$MC$200,MATCH(1,('GMW - worst case'!$MC$2:$MC$200=R$3)*('GMW - worst case'!$MB$2:$MB$200=R$4),0),$E10-1973)</f>
        <v>#N/A</v>
      </c>
      <c r="S10" t="e" cm="1">
        <f t="array" ref="S10">INDEX('GMW - worst case'!$A$2:$MC$200,MATCH(1,('GMW - worst case'!$MC$2:$MC$200=S$3)*('GMW - worst case'!$MB$2:$MB$200=S$4),0),$E10-1973)</f>
        <v>#N/A</v>
      </c>
    </row>
    <row r="11" spans="1:19" x14ac:dyDescent="0.25">
      <c r="A11">
        <v>1981</v>
      </c>
      <c r="B11">
        <f>+B7+1</f>
        <v>1981</v>
      </c>
      <c r="C11">
        <v>1980</v>
      </c>
      <c r="D11">
        <v>1980</v>
      </c>
      <c r="E11">
        <f t="shared" si="1"/>
        <v>1984</v>
      </c>
      <c r="F11" cm="1">
        <f t="array" ref="F11">INDEX('GMW - worst case'!$A$2:$MC$200,MATCH(1,('GMW - worst case'!$MC$2:$MC$200=F$3)*('GMW - worst case'!$MB$2:$MB$200=F$4),0),$E11-1973)</f>
        <v>281257</v>
      </c>
      <c r="G11" cm="1">
        <f t="array" ref="G11">INDEX('GMW - worst case'!$A$2:$MC$200,MATCH(1,('GMW - worst case'!$MC$2:$MC$200=G$3)*('GMW - worst case'!$MB$2:$MB$200=G$4),0),$E11-1973)</f>
        <v>151234</v>
      </c>
      <c r="H11" cm="1">
        <f t="array" ref="H11">INDEX('GMW - worst case'!$A$2:$MC$200,MATCH(1,('GMW - worst case'!$MC$2:$MC$200=H$3)*('GMW - worst case'!$MB$2:$MB$200=H$4),0),$E11-1973)</f>
        <v>34.385100000000001</v>
      </c>
      <c r="I11" cm="1">
        <f t="array" ref="I11">INDEX('GMW - worst case'!$A$2:$MC$200,MATCH(1,('GMW - worst case'!$MC$2:$MC$200=I$3)*('GMW - worst case'!$MB$2:$MB$200=I$4),0),$E11-1973)</f>
        <v>13.53125</v>
      </c>
      <c r="J11" t="e" cm="1">
        <f t="array" ref="J11">INDEX('GMW - worst case'!$A$2:$MC$200,MATCH(1,('GMW - worst case'!$MC$2:$MC$200=J$3)*('GMW - worst case'!$MB$2:$MB$200=J$4),0),$E11-1973)</f>
        <v>#N/A</v>
      </c>
      <c r="K11" t="e" cm="1">
        <f t="array" ref="K11">INDEX('GMW - worst case'!$A$2:$MC$200,MATCH(1,('GMW - worst case'!$MC$2:$MC$200=K$3)*('GMW - worst case'!$MB$2:$MB$200=K$4),0),$E11-1973)</f>
        <v>#N/A</v>
      </c>
      <c r="L11" t="e" cm="1">
        <f t="array" ref="L11">INDEX('GMW - worst case'!$A$2:$MC$200,MATCH(1,('GMW - worst case'!$MC$2:$MC$200=L$3)*('GMW - worst case'!$MB$2:$MB$200=L$4),0),$E11-1973)</f>
        <v>#N/A</v>
      </c>
      <c r="M11" t="e" cm="1">
        <f t="array" ref="M11">INDEX('GMW - worst case'!$A$2:$MC$200,MATCH(1,('GMW - worst case'!$MC$2:$MC$200=M$3)*('GMW - worst case'!$MB$2:$MB$200=M$4),0),$E11-1973)</f>
        <v>#N/A</v>
      </c>
      <c r="N11" t="e" cm="1">
        <f t="array" ref="N11">INDEX('GMW - worst case'!$A$2:$MC$200,MATCH(1,('GMW - worst case'!$MC$2:$MC$200=N$3)*('GMW - worst case'!$MB$2:$MB$200=N$4),0),$E11-1973)</f>
        <v>#N/A</v>
      </c>
      <c r="O11" t="e" cm="1">
        <f t="array" ref="O11">INDEX('GMW - worst case'!$A$2:$MC$200,MATCH(1,('GMW - worst case'!$MC$2:$MC$200=O$3)*('GMW - worst case'!$MB$2:$MB$200=O$4),0),$E11-1973)</f>
        <v>#N/A</v>
      </c>
      <c r="P11" t="e" cm="1">
        <f t="array" ref="P11">INDEX('GMW - worst case'!$A$2:$MC$200,MATCH(1,('GMW - worst case'!$MC$2:$MC$200=P$3)*('GMW - worst case'!$MB$2:$MB$200=P$4),0),$E11-1973)</f>
        <v>#N/A</v>
      </c>
      <c r="Q11" t="e" cm="1">
        <f t="array" ref="Q11">INDEX('GMW - worst case'!$A$2:$MC$200,MATCH(1,('GMW - worst case'!$MC$2:$MC$200=Q$3)*('GMW - worst case'!$MB$2:$MB$200=Q$4),0),$E11-1973)</f>
        <v>#N/A</v>
      </c>
      <c r="R11" t="e" cm="1">
        <f t="array" ref="R11">INDEX('GMW - worst case'!$A$2:$MC$200,MATCH(1,('GMW - worst case'!$MC$2:$MC$200=R$3)*('GMW - worst case'!$MB$2:$MB$200=R$4),0),$E11-1973)</f>
        <v>#N/A</v>
      </c>
      <c r="S11" t="e" cm="1">
        <f t="array" ref="S11">INDEX('GMW - worst case'!$A$2:$MC$200,MATCH(1,('GMW - worst case'!$MC$2:$MC$200=S$3)*('GMW - worst case'!$MB$2:$MB$200=S$4),0),$E11-1973)</f>
        <v>#N/A</v>
      </c>
    </row>
    <row r="12" spans="1:19" x14ac:dyDescent="0.25">
      <c r="B12">
        <f t="shared" ref="B12:D27" si="2">+B8+1</f>
        <v>1981</v>
      </c>
      <c r="C12">
        <f t="shared" si="2"/>
        <v>1981</v>
      </c>
      <c r="E12">
        <f t="shared" si="1"/>
        <v>1985</v>
      </c>
      <c r="F12" cm="1">
        <f t="array" ref="F12">INDEX('GMW - worst case'!$A$2:$MC$200,MATCH(1,('GMW - worst case'!$MC$2:$MC$200=F$3)*('GMW - worst case'!$MB$2:$MB$200=F$4),0),$E12-1973)</f>
        <v>282155</v>
      </c>
      <c r="G12" cm="1">
        <f t="array" ref="G12">INDEX('GMW - worst case'!$A$2:$MC$200,MATCH(1,('GMW - worst case'!$MC$2:$MC$200=G$3)*('GMW - worst case'!$MB$2:$MB$200=G$4),0),$E12-1973)</f>
        <v>151164</v>
      </c>
      <c r="H12" cm="1">
        <f t="array" ref="H12">INDEX('GMW - worst case'!$A$2:$MC$200,MATCH(1,('GMW - worst case'!$MC$2:$MC$200=H$3)*('GMW - worst case'!$MB$2:$MB$200=H$4),0),$E12-1973)</f>
        <v>36.079590000000003</v>
      </c>
      <c r="I12" cm="1">
        <f t="array" ref="I12">INDEX('GMW - worst case'!$A$2:$MC$200,MATCH(1,('GMW - worst case'!$MC$2:$MC$200=I$3)*('GMW - worst case'!$MB$2:$MB$200=I$4),0),$E12-1973)</f>
        <v>12</v>
      </c>
      <c r="J12" t="e" cm="1">
        <f t="array" ref="J12">INDEX('GMW - worst case'!$A$2:$MC$200,MATCH(1,('GMW - worst case'!$MC$2:$MC$200=J$3)*('GMW - worst case'!$MB$2:$MB$200=J$4),0),$E12-1973)</f>
        <v>#N/A</v>
      </c>
      <c r="K12" t="e" cm="1">
        <f t="array" ref="K12">INDEX('GMW - worst case'!$A$2:$MC$200,MATCH(1,('GMW - worst case'!$MC$2:$MC$200=K$3)*('GMW - worst case'!$MB$2:$MB$200=K$4),0),$E12-1973)</f>
        <v>#N/A</v>
      </c>
      <c r="L12" t="e" cm="1">
        <f t="array" ref="L12">INDEX('GMW - worst case'!$A$2:$MC$200,MATCH(1,('GMW - worst case'!$MC$2:$MC$200=L$3)*('GMW - worst case'!$MB$2:$MB$200=L$4),0),$E12-1973)</f>
        <v>#N/A</v>
      </c>
      <c r="M12" t="e" cm="1">
        <f t="array" ref="M12">INDEX('GMW - worst case'!$A$2:$MC$200,MATCH(1,('GMW - worst case'!$MC$2:$MC$200=M$3)*('GMW - worst case'!$MB$2:$MB$200=M$4),0),$E12-1973)</f>
        <v>#N/A</v>
      </c>
      <c r="N12" t="e" cm="1">
        <f t="array" ref="N12">INDEX('GMW - worst case'!$A$2:$MC$200,MATCH(1,('GMW - worst case'!$MC$2:$MC$200=N$3)*('GMW - worst case'!$MB$2:$MB$200=N$4),0),$E12-1973)</f>
        <v>#N/A</v>
      </c>
      <c r="O12" t="e" cm="1">
        <f t="array" ref="O12">INDEX('GMW - worst case'!$A$2:$MC$200,MATCH(1,('GMW - worst case'!$MC$2:$MC$200=O$3)*('GMW - worst case'!$MB$2:$MB$200=O$4),0),$E12-1973)</f>
        <v>#N/A</v>
      </c>
      <c r="P12" t="e" cm="1">
        <f t="array" ref="P12">INDEX('GMW - worst case'!$A$2:$MC$200,MATCH(1,('GMW - worst case'!$MC$2:$MC$200=P$3)*('GMW - worst case'!$MB$2:$MB$200=P$4),0),$E12-1973)</f>
        <v>#N/A</v>
      </c>
      <c r="Q12" t="e" cm="1">
        <f t="array" ref="Q12">INDEX('GMW - worst case'!$A$2:$MC$200,MATCH(1,('GMW - worst case'!$MC$2:$MC$200=Q$3)*('GMW - worst case'!$MB$2:$MB$200=Q$4),0),$E12-1973)</f>
        <v>#N/A</v>
      </c>
      <c r="R12" t="e" cm="1">
        <f t="array" ref="R12">INDEX('GMW - worst case'!$A$2:$MC$200,MATCH(1,('GMW - worst case'!$MC$2:$MC$200=R$3)*('GMW - worst case'!$MB$2:$MB$200=R$4),0),$E12-1973)</f>
        <v>#N/A</v>
      </c>
      <c r="S12" t="e" cm="1">
        <f t="array" ref="S12">INDEX('GMW - worst case'!$A$2:$MC$200,MATCH(1,('GMW - worst case'!$MC$2:$MC$200=S$3)*('GMW - worst case'!$MB$2:$MB$200=S$4),0),$E12-1973)</f>
        <v>#N/A</v>
      </c>
    </row>
    <row r="13" spans="1:19" x14ac:dyDescent="0.25">
      <c r="B13">
        <f t="shared" si="2"/>
        <v>1981</v>
      </c>
      <c r="C13">
        <f t="shared" si="2"/>
        <v>1981</v>
      </c>
      <c r="E13">
        <f t="shared" si="1"/>
        <v>1986</v>
      </c>
      <c r="F13" cm="1">
        <f t="array" ref="F13">INDEX('GMW - worst case'!$A$2:$MC$200,MATCH(1,('GMW - worst case'!$MC$2:$MC$200=F$3)*('GMW - worst case'!$MB$2:$MB$200=F$4),0),$E13-1973)</f>
        <v>285437</v>
      </c>
      <c r="G13" cm="1">
        <f t="array" ref="G13">INDEX('GMW - worst case'!$A$2:$MC$200,MATCH(1,('GMW - worst case'!$MC$2:$MC$200=G$3)*('GMW - worst case'!$MB$2:$MB$200=G$4),0),$E13-1973)</f>
        <v>151269</v>
      </c>
      <c r="H13" cm="1">
        <f t="array" ref="H13">INDEX('GMW - worst case'!$A$2:$MC$200,MATCH(1,('GMW - worst case'!$MC$2:$MC$200=H$3)*('GMW - worst case'!$MB$2:$MB$200=H$4),0),$E13-1973)</f>
        <v>36.731310000000001</v>
      </c>
      <c r="I13" cm="1">
        <f t="array" ref="I13">INDEX('GMW - worst case'!$A$2:$MC$200,MATCH(1,('GMW - worst case'!$MC$2:$MC$200=I$3)*('GMW - worst case'!$MB$2:$MB$200=I$4),0),$E13-1973)</f>
        <v>12.51989</v>
      </c>
      <c r="J13" t="e" cm="1">
        <f t="array" ref="J13">INDEX('GMW - worst case'!$A$2:$MC$200,MATCH(1,('GMW - worst case'!$MC$2:$MC$200=J$3)*('GMW - worst case'!$MB$2:$MB$200=J$4),0),$E13-1973)</f>
        <v>#N/A</v>
      </c>
      <c r="K13" t="e" cm="1">
        <f t="array" ref="K13">INDEX('GMW - worst case'!$A$2:$MC$200,MATCH(1,('GMW - worst case'!$MC$2:$MC$200=K$3)*('GMW - worst case'!$MB$2:$MB$200=K$4),0),$E13-1973)</f>
        <v>#N/A</v>
      </c>
      <c r="L13" t="e" cm="1">
        <f t="array" ref="L13">INDEX('GMW - worst case'!$A$2:$MC$200,MATCH(1,('GMW - worst case'!$MC$2:$MC$200=L$3)*('GMW - worst case'!$MB$2:$MB$200=L$4),0),$E13-1973)</f>
        <v>#N/A</v>
      </c>
      <c r="M13" t="e" cm="1">
        <f t="array" ref="M13">INDEX('GMW - worst case'!$A$2:$MC$200,MATCH(1,('GMW - worst case'!$MC$2:$MC$200=M$3)*('GMW - worst case'!$MB$2:$MB$200=M$4),0),$E13-1973)</f>
        <v>#N/A</v>
      </c>
      <c r="N13" t="e" cm="1">
        <f t="array" ref="N13">INDEX('GMW - worst case'!$A$2:$MC$200,MATCH(1,('GMW - worst case'!$MC$2:$MC$200=N$3)*('GMW - worst case'!$MB$2:$MB$200=N$4),0),$E13-1973)</f>
        <v>#N/A</v>
      </c>
      <c r="O13" t="e" cm="1">
        <f t="array" ref="O13">INDEX('GMW - worst case'!$A$2:$MC$200,MATCH(1,('GMW - worst case'!$MC$2:$MC$200=O$3)*('GMW - worst case'!$MB$2:$MB$200=O$4),0),$E13-1973)</f>
        <v>#N/A</v>
      </c>
      <c r="P13" t="e" cm="1">
        <f t="array" ref="P13">INDEX('GMW - worst case'!$A$2:$MC$200,MATCH(1,('GMW - worst case'!$MC$2:$MC$200=P$3)*('GMW - worst case'!$MB$2:$MB$200=P$4),0),$E13-1973)</f>
        <v>#N/A</v>
      </c>
      <c r="Q13" t="e" cm="1">
        <f t="array" ref="Q13">INDEX('GMW - worst case'!$A$2:$MC$200,MATCH(1,('GMW - worst case'!$MC$2:$MC$200=Q$3)*('GMW - worst case'!$MB$2:$MB$200=Q$4),0),$E13-1973)</f>
        <v>#N/A</v>
      </c>
      <c r="R13" t="e" cm="1">
        <f t="array" ref="R13">INDEX('GMW - worst case'!$A$2:$MC$200,MATCH(1,('GMW - worst case'!$MC$2:$MC$200=R$3)*('GMW - worst case'!$MB$2:$MB$200=R$4),0),$E13-1973)</f>
        <v>#N/A</v>
      </c>
      <c r="S13" t="e" cm="1">
        <f t="array" ref="S13">INDEX('GMW - worst case'!$A$2:$MC$200,MATCH(1,('GMW - worst case'!$MC$2:$MC$200=S$3)*('GMW - worst case'!$MB$2:$MB$200=S$4),0),$E13-1973)</f>
        <v>#N/A</v>
      </c>
    </row>
    <row r="14" spans="1:19" x14ac:dyDescent="0.25">
      <c r="B14">
        <f t="shared" si="2"/>
        <v>1981</v>
      </c>
      <c r="C14">
        <f t="shared" si="2"/>
        <v>1981</v>
      </c>
      <c r="E14">
        <f t="shared" si="1"/>
        <v>1987</v>
      </c>
      <c r="F14" cm="1">
        <f t="array" ref="F14">INDEX('GMW - worst case'!$A$2:$MC$200,MATCH(1,('GMW - worst case'!$MC$2:$MC$200=F$3)*('GMW - worst case'!$MB$2:$MB$200=F$4),0),$E14-1973)</f>
        <v>285814</v>
      </c>
      <c r="G14" cm="1">
        <f t="array" ref="G14">INDEX('GMW - worst case'!$A$2:$MC$200,MATCH(1,('GMW - worst case'!$MC$2:$MC$200=G$3)*('GMW - worst case'!$MB$2:$MB$200=G$4),0),$E14-1973)</f>
        <v>150853</v>
      </c>
      <c r="H14" cm="1">
        <f t="array" ref="H14">INDEX('GMW - worst case'!$A$2:$MC$200,MATCH(1,('GMW - worst case'!$MC$2:$MC$200=H$3)*('GMW - worst case'!$MB$2:$MB$200=H$4),0),$E14-1973)</f>
        <v>37.435180000000003</v>
      </c>
      <c r="I14" cm="1">
        <f t="array" ref="I14">INDEX('GMW - worst case'!$A$2:$MC$200,MATCH(1,('GMW - worst case'!$MC$2:$MC$200=I$3)*('GMW - worst case'!$MB$2:$MB$200=I$4),0),$E14-1973)</f>
        <v>14.60417</v>
      </c>
      <c r="J14" t="e" cm="1">
        <f t="array" ref="J14">INDEX('GMW - worst case'!$A$2:$MC$200,MATCH(1,('GMW - worst case'!$MC$2:$MC$200=J$3)*('GMW - worst case'!$MB$2:$MB$200=J$4),0),$E14-1973)</f>
        <v>#N/A</v>
      </c>
      <c r="K14" t="e" cm="1">
        <f t="array" ref="K14">INDEX('GMW - worst case'!$A$2:$MC$200,MATCH(1,('GMW - worst case'!$MC$2:$MC$200=K$3)*('GMW - worst case'!$MB$2:$MB$200=K$4),0),$E14-1973)</f>
        <v>#N/A</v>
      </c>
      <c r="L14" t="e" cm="1">
        <f t="array" ref="L14">INDEX('GMW - worst case'!$A$2:$MC$200,MATCH(1,('GMW - worst case'!$MC$2:$MC$200=L$3)*('GMW - worst case'!$MB$2:$MB$200=L$4),0),$E14-1973)</f>
        <v>#N/A</v>
      </c>
      <c r="M14" t="e" cm="1">
        <f t="array" ref="M14">INDEX('GMW - worst case'!$A$2:$MC$200,MATCH(1,('GMW - worst case'!$MC$2:$MC$200=M$3)*('GMW - worst case'!$MB$2:$MB$200=M$4),0),$E14-1973)</f>
        <v>#N/A</v>
      </c>
      <c r="N14" t="e" cm="1">
        <f t="array" ref="N14">INDEX('GMW - worst case'!$A$2:$MC$200,MATCH(1,('GMW - worst case'!$MC$2:$MC$200=N$3)*('GMW - worst case'!$MB$2:$MB$200=N$4),0),$E14-1973)</f>
        <v>#N/A</v>
      </c>
      <c r="O14" t="e" cm="1">
        <f t="array" ref="O14">INDEX('GMW - worst case'!$A$2:$MC$200,MATCH(1,('GMW - worst case'!$MC$2:$MC$200=O$3)*('GMW - worst case'!$MB$2:$MB$200=O$4),0),$E14-1973)</f>
        <v>#N/A</v>
      </c>
      <c r="P14" t="e" cm="1">
        <f t="array" ref="P14">INDEX('GMW - worst case'!$A$2:$MC$200,MATCH(1,('GMW - worst case'!$MC$2:$MC$200=P$3)*('GMW - worst case'!$MB$2:$MB$200=P$4),0),$E14-1973)</f>
        <v>#N/A</v>
      </c>
      <c r="Q14" t="e" cm="1">
        <f t="array" ref="Q14">INDEX('GMW - worst case'!$A$2:$MC$200,MATCH(1,('GMW - worst case'!$MC$2:$MC$200=Q$3)*('GMW - worst case'!$MB$2:$MB$200=Q$4),0),$E14-1973)</f>
        <v>#N/A</v>
      </c>
      <c r="R14" t="e" cm="1">
        <f t="array" ref="R14">INDEX('GMW - worst case'!$A$2:$MC$200,MATCH(1,('GMW - worst case'!$MC$2:$MC$200=R$3)*('GMW - worst case'!$MB$2:$MB$200=R$4),0),$E14-1973)</f>
        <v>#N/A</v>
      </c>
      <c r="S14" t="e" cm="1">
        <f t="array" ref="S14">INDEX('GMW - worst case'!$A$2:$MC$200,MATCH(1,('GMW - worst case'!$MC$2:$MC$200=S$3)*('GMW - worst case'!$MB$2:$MB$200=S$4),0),$E14-1973)</f>
        <v>#N/A</v>
      </c>
    </row>
    <row r="15" spans="1:19" x14ac:dyDescent="0.25">
      <c r="A15">
        <v>1982</v>
      </c>
      <c r="B15">
        <f t="shared" si="2"/>
        <v>1982</v>
      </c>
      <c r="C15">
        <f t="shared" si="2"/>
        <v>1981</v>
      </c>
      <c r="D15">
        <f t="shared" si="2"/>
        <v>1981</v>
      </c>
      <c r="E15">
        <f t="shared" si="1"/>
        <v>1988</v>
      </c>
      <c r="F15" cm="1">
        <f t="array" ref="F15">INDEX('GMW - worst case'!$A$2:$MC$200,MATCH(1,('GMW - worst case'!$MC$2:$MC$200=F$3)*('GMW - worst case'!$MB$2:$MB$200=F$4),0),$E15-1973)</f>
        <v>286275</v>
      </c>
      <c r="G15" cm="1">
        <f t="array" ref="G15">INDEX('GMW - worst case'!$A$2:$MC$200,MATCH(1,('GMW - worst case'!$MC$2:$MC$200=G$3)*('GMW - worst case'!$MB$2:$MB$200=G$4),0),$E15-1973)</f>
        <v>151361</v>
      </c>
      <c r="H15" cm="1">
        <f t="array" ref="H15">INDEX('GMW - worst case'!$A$2:$MC$200,MATCH(1,('GMW - worst case'!$MC$2:$MC$200=H$3)*('GMW - worst case'!$MB$2:$MB$200=H$4),0),$E15-1973)</f>
        <v>37.878349999999998</v>
      </c>
      <c r="I15" cm="1">
        <f t="array" ref="I15">INDEX('GMW - worst case'!$A$2:$MC$200,MATCH(1,('GMW - worst case'!$MC$2:$MC$200=I$3)*('GMW - worst case'!$MB$2:$MB$200=I$4),0),$E15-1973)</f>
        <v>13.785159999999999</v>
      </c>
      <c r="J15" t="e" cm="1">
        <f t="array" ref="J15">INDEX('GMW - worst case'!$A$2:$MC$200,MATCH(1,('GMW - worst case'!$MC$2:$MC$200=J$3)*('GMW - worst case'!$MB$2:$MB$200=J$4),0),$E15-1973)</f>
        <v>#N/A</v>
      </c>
      <c r="K15" t="e" cm="1">
        <f t="array" ref="K15">INDEX('GMW - worst case'!$A$2:$MC$200,MATCH(1,('GMW - worst case'!$MC$2:$MC$200=K$3)*('GMW - worst case'!$MB$2:$MB$200=K$4),0),$E15-1973)</f>
        <v>#N/A</v>
      </c>
      <c r="L15" t="e" cm="1">
        <f t="array" ref="L15">INDEX('GMW - worst case'!$A$2:$MC$200,MATCH(1,('GMW - worst case'!$MC$2:$MC$200=L$3)*('GMW - worst case'!$MB$2:$MB$200=L$4),0),$E15-1973)</f>
        <v>#N/A</v>
      </c>
      <c r="M15" t="e" cm="1">
        <f t="array" ref="M15">INDEX('GMW - worst case'!$A$2:$MC$200,MATCH(1,('GMW - worst case'!$MC$2:$MC$200=M$3)*('GMW - worst case'!$MB$2:$MB$200=M$4),0),$E15-1973)</f>
        <v>#N/A</v>
      </c>
      <c r="N15" t="e" cm="1">
        <f t="array" ref="N15">INDEX('GMW - worst case'!$A$2:$MC$200,MATCH(1,('GMW - worst case'!$MC$2:$MC$200=N$3)*('GMW - worst case'!$MB$2:$MB$200=N$4),0),$E15-1973)</f>
        <v>#N/A</v>
      </c>
      <c r="O15" t="e" cm="1">
        <f t="array" ref="O15">INDEX('GMW - worst case'!$A$2:$MC$200,MATCH(1,('GMW - worst case'!$MC$2:$MC$200=O$3)*('GMW - worst case'!$MB$2:$MB$200=O$4),0),$E15-1973)</f>
        <v>#N/A</v>
      </c>
      <c r="P15" t="e" cm="1">
        <f t="array" ref="P15">INDEX('GMW - worst case'!$A$2:$MC$200,MATCH(1,('GMW - worst case'!$MC$2:$MC$200=P$3)*('GMW - worst case'!$MB$2:$MB$200=P$4),0),$E15-1973)</f>
        <v>#N/A</v>
      </c>
      <c r="Q15" t="e" cm="1">
        <f t="array" ref="Q15">INDEX('GMW - worst case'!$A$2:$MC$200,MATCH(1,('GMW - worst case'!$MC$2:$MC$200=Q$3)*('GMW - worst case'!$MB$2:$MB$200=Q$4),0),$E15-1973)</f>
        <v>#N/A</v>
      </c>
      <c r="R15" t="e" cm="1">
        <f t="array" ref="R15">INDEX('GMW - worst case'!$A$2:$MC$200,MATCH(1,('GMW - worst case'!$MC$2:$MC$200=R$3)*('GMW - worst case'!$MB$2:$MB$200=R$4),0),$E15-1973)</f>
        <v>#N/A</v>
      </c>
      <c r="S15" t="e" cm="1">
        <f t="array" ref="S15">INDEX('GMW - worst case'!$A$2:$MC$200,MATCH(1,('GMW - worst case'!$MC$2:$MC$200=S$3)*('GMW - worst case'!$MB$2:$MB$200=S$4),0),$E15-1973)</f>
        <v>#N/A</v>
      </c>
    </row>
    <row r="16" spans="1:19" x14ac:dyDescent="0.25">
      <c r="B16">
        <f t="shared" si="2"/>
        <v>1982</v>
      </c>
      <c r="C16">
        <f t="shared" si="2"/>
        <v>1982</v>
      </c>
      <c r="E16">
        <f t="shared" si="1"/>
        <v>1989</v>
      </c>
      <c r="F16" cm="1">
        <f t="array" ref="F16">INDEX('GMW - worst case'!$A$2:$MC$200,MATCH(1,('GMW - worst case'!$MC$2:$MC$200=F$3)*('GMW - worst case'!$MB$2:$MB$200=F$4),0),$E16-1973)</f>
        <v>289232</v>
      </c>
      <c r="G16" cm="1">
        <f t="array" ref="G16">INDEX('GMW - worst case'!$A$2:$MC$200,MATCH(1,('GMW - worst case'!$MC$2:$MC$200=G$3)*('GMW - worst case'!$MB$2:$MB$200=G$4),0),$E16-1973)</f>
        <v>151251</v>
      </c>
      <c r="H16" cm="1">
        <f t="array" ref="H16">INDEX('GMW - worst case'!$A$2:$MC$200,MATCH(1,('GMW - worst case'!$MC$2:$MC$200=H$3)*('GMW - worst case'!$MB$2:$MB$200=H$4),0),$E16-1973)</f>
        <v>39.181800000000003</v>
      </c>
      <c r="I16" cm="1">
        <f t="array" ref="I16">INDEX('GMW - worst case'!$A$2:$MC$200,MATCH(1,('GMW - worst case'!$MC$2:$MC$200=I$3)*('GMW - worst case'!$MB$2:$MB$200=I$4),0),$E16-1973)</f>
        <v>13.01346</v>
      </c>
      <c r="J16" t="e" cm="1">
        <f t="array" ref="J16">INDEX('GMW - worst case'!$A$2:$MC$200,MATCH(1,('GMW - worst case'!$MC$2:$MC$200=J$3)*('GMW - worst case'!$MB$2:$MB$200=J$4),0),$E16-1973)</f>
        <v>#N/A</v>
      </c>
      <c r="K16" t="e" cm="1">
        <f t="array" ref="K16">INDEX('GMW - worst case'!$A$2:$MC$200,MATCH(1,('GMW - worst case'!$MC$2:$MC$200=K$3)*('GMW - worst case'!$MB$2:$MB$200=K$4),0),$E16-1973)</f>
        <v>#N/A</v>
      </c>
      <c r="L16" t="e" cm="1">
        <f t="array" ref="L16">INDEX('GMW - worst case'!$A$2:$MC$200,MATCH(1,('GMW - worst case'!$MC$2:$MC$200=L$3)*('GMW - worst case'!$MB$2:$MB$200=L$4),0),$E16-1973)</f>
        <v>#N/A</v>
      </c>
      <c r="M16" t="e" cm="1">
        <f t="array" ref="M16">INDEX('GMW - worst case'!$A$2:$MC$200,MATCH(1,('GMW - worst case'!$MC$2:$MC$200=M$3)*('GMW - worst case'!$MB$2:$MB$200=M$4),0),$E16-1973)</f>
        <v>#N/A</v>
      </c>
      <c r="N16" t="e" cm="1">
        <f t="array" ref="N16">INDEX('GMW - worst case'!$A$2:$MC$200,MATCH(1,('GMW - worst case'!$MC$2:$MC$200=N$3)*('GMW - worst case'!$MB$2:$MB$200=N$4),0),$E16-1973)</f>
        <v>#N/A</v>
      </c>
      <c r="O16" t="e" cm="1">
        <f t="array" ref="O16">INDEX('GMW - worst case'!$A$2:$MC$200,MATCH(1,('GMW - worst case'!$MC$2:$MC$200=O$3)*('GMW - worst case'!$MB$2:$MB$200=O$4),0),$E16-1973)</f>
        <v>#N/A</v>
      </c>
      <c r="P16" t="e" cm="1">
        <f t="array" ref="P16">INDEX('GMW - worst case'!$A$2:$MC$200,MATCH(1,('GMW - worst case'!$MC$2:$MC$200=P$3)*('GMW - worst case'!$MB$2:$MB$200=P$4),0),$E16-1973)</f>
        <v>#N/A</v>
      </c>
      <c r="Q16" t="e" cm="1">
        <f t="array" ref="Q16">INDEX('GMW - worst case'!$A$2:$MC$200,MATCH(1,('GMW - worst case'!$MC$2:$MC$200=Q$3)*('GMW - worst case'!$MB$2:$MB$200=Q$4),0),$E16-1973)</f>
        <v>#N/A</v>
      </c>
      <c r="R16" t="e" cm="1">
        <f t="array" ref="R16">INDEX('GMW - worst case'!$A$2:$MC$200,MATCH(1,('GMW - worst case'!$MC$2:$MC$200=R$3)*('GMW - worst case'!$MB$2:$MB$200=R$4),0),$E16-1973)</f>
        <v>#N/A</v>
      </c>
      <c r="S16" t="e" cm="1">
        <f t="array" ref="S16">INDEX('GMW - worst case'!$A$2:$MC$200,MATCH(1,('GMW - worst case'!$MC$2:$MC$200=S$3)*('GMW - worst case'!$MB$2:$MB$200=S$4),0),$E16-1973)</f>
        <v>#N/A</v>
      </c>
    </row>
    <row r="17" spans="1:19" x14ac:dyDescent="0.25">
      <c r="B17">
        <f t="shared" si="2"/>
        <v>1982</v>
      </c>
      <c r="C17">
        <f t="shared" si="2"/>
        <v>1982</v>
      </c>
      <c r="E17">
        <f t="shared" si="1"/>
        <v>1990</v>
      </c>
      <c r="F17" cm="1">
        <f t="array" ref="F17">INDEX('GMW - worst case'!$A$2:$MC$200,MATCH(1,('GMW - worst case'!$MC$2:$MC$200=F$3)*('GMW - worst case'!$MB$2:$MB$200=F$4),0),$E17-1973)</f>
        <v>289852</v>
      </c>
      <c r="G17" cm="1">
        <f t="array" ref="G17">INDEX('GMW - worst case'!$A$2:$MC$200,MATCH(1,('GMW - worst case'!$MC$2:$MC$200=G$3)*('GMW - worst case'!$MB$2:$MB$200=G$4),0),$E17-1973)</f>
        <v>153796</v>
      </c>
      <c r="H17" cm="1">
        <f t="array" ref="H17">INDEX('GMW - worst case'!$A$2:$MC$200,MATCH(1,('GMW - worst case'!$MC$2:$MC$200=H$3)*('GMW - worst case'!$MB$2:$MB$200=H$4),0),$E17-1973)</f>
        <v>39.416420000000002</v>
      </c>
      <c r="I17" cm="1">
        <f t="array" ref="I17">INDEX('GMW - worst case'!$A$2:$MC$200,MATCH(1,('GMW - worst case'!$MC$2:$MC$200=I$3)*('GMW - worst case'!$MB$2:$MB$200=I$4),0),$E17-1973)</f>
        <v>11.3428</v>
      </c>
      <c r="J17" t="e" cm="1">
        <f t="array" ref="J17">INDEX('GMW - worst case'!$A$2:$MC$200,MATCH(1,('GMW - worst case'!$MC$2:$MC$200=J$3)*('GMW - worst case'!$MB$2:$MB$200=J$4),0),$E17-1973)</f>
        <v>#N/A</v>
      </c>
      <c r="K17" t="e" cm="1">
        <f t="array" ref="K17">INDEX('GMW - worst case'!$A$2:$MC$200,MATCH(1,('GMW - worst case'!$MC$2:$MC$200=K$3)*('GMW - worst case'!$MB$2:$MB$200=K$4),0),$E17-1973)</f>
        <v>#N/A</v>
      </c>
      <c r="L17" t="e" cm="1">
        <f t="array" ref="L17">INDEX('GMW - worst case'!$A$2:$MC$200,MATCH(1,('GMW - worst case'!$MC$2:$MC$200=L$3)*('GMW - worst case'!$MB$2:$MB$200=L$4),0),$E17-1973)</f>
        <v>#N/A</v>
      </c>
      <c r="M17" t="e" cm="1">
        <f t="array" ref="M17">INDEX('GMW - worst case'!$A$2:$MC$200,MATCH(1,('GMW - worst case'!$MC$2:$MC$200=M$3)*('GMW - worst case'!$MB$2:$MB$200=M$4),0),$E17-1973)</f>
        <v>#N/A</v>
      </c>
      <c r="N17" t="e" cm="1">
        <f t="array" ref="N17">INDEX('GMW - worst case'!$A$2:$MC$200,MATCH(1,('GMW - worst case'!$MC$2:$MC$200=N$3)*('GMW - worst case'!$MB$2:$MB$200=N$4),0),$E17-1973)</f>
        <v>#N/A</v>
      </c>
      <c r="O17" t="e" cm="1">
        <f t="array" ref="O17">INDEX('GMW - worst case'!$A$2:$MC$200,MATCH(1,('GMW - worst case'!$MC$2:$MC$200=O$3)*('GMW - worst case'!$MB$2:$MB$200=O$4),0),$E17-1973)</f>
        <v>#N/A</v>
      </c>
      <c r="P17" t="e" cm="1">
        <f t="array" ref="P17">INDEX('GMW - worst case'!$A$2:$MC$200,MATCH(1,('GMW - worst case'!$MC$2:$MC$200=P$3)*('GMW - worst case'!$MB$2:$MB$200=P$4),0),$E17-1973)</f>
        <v>#N/A</v>
      </c>
      <c r="Q17" t="e" cm="1">
        <f t="array" ref="Q17">INDEX('GMW - worst case'!$A$2:$MC$200,MATCH(1,('GMW - worst case'!$MC$2:$MC$200=Q$3)*('GMW - worst case'!$MB$2:$MB$200=Q$4),0),$E17-1973)</f>
        <v>#N/A</v>
      </c>
      <c r="R17" t="e" cm="1">
        <f t="array" ref="R17">INDEX('GMW - worst case'!$A$2:$MC$200,MATCH(1,('GMW - worst case'!$MC$2:$MC$200=R$3)*('GMW - worst case'!$MB$2:$MB$200=R$4),0),$E17-1973)</f>
        <v>#N/A</v>
      </c>
      <c r="S17" t="e" cm="1">
        <f t="array" ref="S17">INDEX('GMW - worst case'!$A$2:$MC$200,MATCH(1,('GMW - worst case'!$MC$2:$MC$200=S$3)*('GMW - worst case'!$MB$2:$MB$200=S$4),0),$E17-1973)</f>
        <v>#N/A</v>
      </c>
    </row>
    <row r="18" spans="1:19" x14ac:dyDescent="0.25">
      <c r="B18">
        <f t="shared" si="2"/>
        <v>1982</v>
      </c>
      <c r="C18">
        <f t="shared" si="2"/>
        <v>1982</v>
      </c>
      <c r="E18">
        <f t="shared" si="1"/>
        <v>1991</v>
      </c>
      <c r="F18" cm="1">
        <f t="array" ref="F18">INDEX('GMW - worst case'!$A$2:$MC$200,MATCH(1,('GMW - worst case'!$MC$2:$MC$200=F$3)*('GMW - worst case'!$MB$2:$MB$200=F$4),0),$E18-1973)</f>
        <v>291832</v>
      </c>
      <c r="G18" cm="1">
        <f t="array" ref="G18">INDEX('GMW - worst case'!$A$2:$MC$200,MATCH(1,('GMW - worst case'!$MC$2:$MC$200=G$3)*('GMW - worst case'!$MB$2:$MB$200=G$4),0),$E18-1973)</f>
        <v>155106</v>
      </c>
      <c r="H18" cm="1">
        <f t="array" ref="H18">INDEX('GMW - worst case'!$A$2:$MC$200,MATCH(1,('GMW - worst case'!$MC$2:$MC$200=H$3)*('GMW - worst case'!$MB$2:$MB$200=H$4),0),$E18-1973)</f>
        <v>39.885669999999998</v>
      </c>
      <c r="I18" cm="1">
        <f t="array" ref="I18">INDEX('GMW - worst case'!$A$2:$MC$200,MATCH(1,('GMW - worst case'!$MC$2:$MC$200=I$3)*('GMW - worst case'!$MB$2:$MB$200=I$4),0),$E18-1973)</f>
        <v>9.6856059999999999</v>
      </c>
      <c r="J18" t="e" cm="1">
        <f t="array" ref="J18">INDEX('GMW - worst case'!$A$2:$MC$200,MATCH(1,('GMW - worst case'!$MC$2:$MC$200=J$3)*('GMW - worst case'!$MB$2:$MB$200=J$4),0),$E18-1973)</f>
        <v>#N/A</v>
      </c>
      <c r="K18" t="e" cm="1">
        <f t="array" ref="K18">INDEX('GMW - worst case'!$A$2:$MC$200,MATCH(1,('GMW - worst case'!$MC$2:$MC$200=K$3)*('GMW - worst case'!$MB$2:$MB$200=K$4),0),$E18-1973)</f>
        <v>#N/A</v>
      </c>
      <c r="L18" t="e" cm="1">
        <f t="array" ref="L18">INDEX('GMW - worst case'!$A$2:$MC$200,MATCH(1,('GMW - worst case'!$MC$2:$MC$200=L$3)*('GMW - worst case'!$MB$2:$MB$200=L$4),0),$E18-1973)</f>
        <v>#N/A</v>
      </c>
      <c r="M18" t="e" cm="1">
        <f t="array" ref="M18">INDEX('GMW - worst case'!$A$2:$MC$200,MATCH(1,('GMW - worst case'!$MC$2:$MC$200=M$3)*('GMW - worst case'!$MB$2:$MB$200=M$4),0),$E18-1973)</f>
        <v>#N/A</v>
      </c>
      <c r="N18" t="e" cm="1">
        <f t="array" ref="N18">INDEX('GMW - worst case'!$A$2:$MC$200,MATCH(1,('GMW - worst case'!$MC$2:$MC$200=N$3)*('GMW - worst case'!$MB$2:$MB$200=N$4),0),$E18-1973)</f>
        <v>#N/A</v>
      </c>
      <c r="O18" t="e" cm="1">
        <f t="array" ref="O18">INDEX('GMW - worst case'!$A$2:$MC$200,MATCH(1,('GMW - worst case'!$MC$2:$MC$200=O$3)*('GMW - worst case'!$MB$2:$MB$200=O$4),0),$E18-1973)</f>
        <v>#N/A</v>
      </c>
      <c r="P18" t="e" cm="1">
        <f t="array" ref="P18">INDEX('GMW - worst case'!$A$2:$MC$200,MATCH(1,('GMW - worst case'!$MC$2:$MC$200=P$3)*('GMW - worst case'!$MB$2:$MB$200=P$4),0),$E18-1973)</f>
        <v>#N/A</v>
      </c>
      <c r="Q18" t="e" cm="1">
        <f t="array" ref="Q18">INDEX('GMW - worst case'!$A$2:$MC$200,MATCH(1,('GMW - worst case'!$MC$2:$MC$200=Q$3)*('GMW - worst case'!$MB$2:$MB$200=Q$4),0),$E18-1973)</f>
        <v>#N/A</v>
      </c>
      <c r="R18" t="e" cm="1">
        <f t="array" ref="R18">INDEX('GMW - worst case'!$A$2:$MC$200,MATCH(1,('GMW - worst case'!$MC$2:$MC$200=R$3)*('GMW - worst case'!$MB$2:$MB$200=R$4),0),$E18-1973)</f>
        <v>#N/A</v>
      </c>
      <c r="S18" t="e" cm="1">
        <f t="array" ref="S18">INDEX('GMW - worst case'!$A$2:$MC$200,MATCH(1,('GMW - worst case'!$MC$2:$MC$200=S$3)*('GMW - worst case'!$MB$2:$MB$200=S$4),0),$E18-1973)</f>
        <v>#N/A</v>
      </c>
    </row>
    <row r="19" spans="1:19" x14ac:dyDescent="0.25">
      <c r="A19">
        <v>1983</v>
      </c>
      <c r="B19">
        <f t="shared" si="2"/>
        <v>1983</v>
      </c>
      <c r="C19">
        <f t="shared" si="2"/>
        <v>1982</v>
      </c>
      <c r="D19">
        <f t="shared" si="2"/>
        <v>1982</v>
      </c>
      <c r="E19">
        <f t="shared" si="1"/>
        <v>1992</v>
      </c>
      <c r="F19" cm="1">
        <f t="array" ref="F19">INDEX('GMW - worst case'!$A$2:$MC$200,MATCH(1,('GMW - worst case'!$MC$2:$MC$200=F$3)*('GMW - worst case'!$MB$2:$MB$200=F$4),0),$E19-1973)</f>
        <v>297563</v>
      </c>
      <c r="G19" cm="1">
        <f t="array" ref="G19">INDEX('GMW - worst case'!$A$2:$MC$200,MATCH(1,('GMW - worst case'!$MC$2:$MC$200=G$3)*('GMW - worst case'!$MB$2:$MB$200=G$4),0),$E19-1973)</f>
        <v>157443</v>
      </c>
      <c r="H19" cm="1">
        <f t="array" ref="H19">INDEX('GMW - worst case'!$A$2:$MC$200,MATCH(1,('GMW - worst case'!$MC$2:$MC$200=H$3)*('GMW - worst case'!$MB$2:$MB$200=H$4),0),$E19-1973)</f>
        <v>40.172429999999999</v>
      </c>
      <c r="I19" cm="1">
        <f t="array" ref="I19">INDEX('GMW - worst case'!$A$2:$MC$200,MATCH(1,('GMW - worst case'!$MC$2:$MC$200=I$3)*('GMW - worst case'!$MB$2:$MB$200=I$4),0),$E19-1973)</f>
        <v>10.80176</v>
      </c>
      <c r="J19" t="e" cm="1">
        <f t="array" ref="J19">INDEX('GMW - worst case'!$A$2:$MC$200,MATCH(1,('GMW - worst case'!$MC$2:$MC$200=J$3)*('GMW - worst case'!$MB$2:$MB$200=J$4),0),$E19-1973)</f>
        <v>#N/A</v>
      </c>
      <c r="K19" t="e" cm="1">
        <f t="array" ref="K19">INDEX('GMW - worst case'!$A$2:$MC$200,MATCH(1,('GMW - worst case'!$MC$2:$MC$200=K$3)*('GMW - worst case'!$MB$2:$MB$200=K$4),0),$E19-1973)</f>
        <v>#N/A</v>
      </c>
      <c r="L19" t="e" cm="1">
        <f t="array" ref="L19">INDEX('GMW - worst case'!$A$2:$MC$200,MATCH(1,('GMW - worst case'!$MC$2:$MC$200=L$3)*('GMW - worst case'!$MB$2:$MB$200=L$4),0),$E19-1973)</f>
        <v>#N/A</v>
      </c>
      <c r="M19" t="e" cm="1">
        <f t="array" ref="M19">INDEX('GMW - worst case'!$A$2:$MC$200,MATCH(1,('GMW - worst case'!$MC$2:$MC$200=M$3)*('GMW - worst case'!$MB$2:$MB$200=M$4),0),$E19-1973)</f>
        <v>#N/A</v>
      </c>
      <c r="N19" t="e" cm="1">
        <f t="array" ref="N19">INDEX('GMW - worst case'!$A$2:$MC$200,MATCH(1,('GMW - worst case'!$MC$2:$MC$200=N$3)*('GMW - worst case'!$MB$2:$MB$200=N$4),0),$E19-1973)</f>
        <v>#N/A</v>
      </c>
      <c r="O19" t="e" cm="1">
        <f t="array" ref="O19">INDEX('GMW - worst case'!$A$2:$MC$200,MATCH(1,('GMW - worst case'!$MC$2:$MC$200=O$3)*('GMW - worst case'!$MB$2:$MB$200=O$4),0),$E19-1973)</f>
        <v>#N/A</v>
      </c>
      <c r="P19" t="e" cm="1">
        <f t="array" ref="P19">INDEX('GMW - worst case'!$A$2:$MC$200,MATCH(1,('GMW - worst case'!$MC$2:$MC$200=P$3)*('GMW - worst case'!$MB$2:$MB$200=P$4),0),$E19-1973)</f>
        <v>#N/A</v>
      </c>
      <c r="Q19" t="e" cm="1">
        <f t="array" ref="Q19">INDEX('GMW - worst case'!$A$2:$MC$200,MATCH(1,('GMW - worst case'!$MC$2:$MC$200=Q$3)*('GMW - worst case'!$MB$2:$MB$200=Q$4),0),$E19-1973)</f>
        <v>#N/A</v>
      </c>
      <c r="R19" t="e" cm="1">
        <f t="array" ref="R19">INDEX('GMW - worst case'!$A$2:$MC$200,MATCH(1,('GMW - worst case'!$MC$2:$MC$200=R$3)*('GMW - worst case'!$MB$2:$MB$200=R$4),0),$E19-1973)</f>
        <v>#N/A</v>
      </c>
      <c r="S19" t="e" cm="1">
        <f t="array" ref="S19">INDEX('GMW - worst case'!$A$2:$MC$200,MATCH(1,('GMW - worst case'!$MC$2:$MC$200=S$3)*('GMW - worst case'!$MB$2:$MB$200=S$4),0),$E19-1973)</f>
        <v>#N/A</v>
      </c>
    </row>
    <row r="20" spans="1:19" x14ac:dyDescent="0.25">
      <c r="B20">
        <f t="shared" si="2"/>
        <v>1983</v>
      </c>
      <c r="C20">
        <f t="shared" si="2"/>
        <v>1983</v>
      </c>
      <c r="E20">
        <f t="shared" si="1"/>
        <v>1993</v>
      </c>
      <c r="F20" cm="1">
        <f t="array" ref="F20">INDEX('GMW - worst case'!$A$2:$MC$200,MATCH(1,('GMW - worst case'!$MC$2:$MC$200=F$3)*('GMW - worst case'!$MB$2:$MB$200=F$4),0),$E20-1973)</f>
        <v>299623</v>
      </c>
      <c r="G20" cm="1">
        <f t="array" ref="G20">INDEX('GMW - worst case'!$A$2:$MC$200,MATCH(1,('GMW - worst case'!$MC$2:$MC$200=G$3)*('GMW - worst case'!$MB$2:$MB$200=G$4),0),$E20-1973)</f>
        <v>158445</v>
      </c>
      <c r="H20" cm="1">
        <f t="array" ref="H20">INDEX('GMW - worst case'!$A$2:$MC$200,MATCH(1,('GMW - worst case'!$MC$2:$MC$200=H$3)*('GMW - worst case'!$MB$2:$MB$200=H$4),0),$E20-1973)</f>
        <v>40.85022</v>
      </c>
      <c r="I20" cm="1">
        <f t="array" ref="I20">INDEX('GMW - worst case'!$A$2:$MC$200,MATCH(1,('GMW - worst case'!$MC$2:$MC$200=I$3)*('GMW - worst case'!$MB$2:$MB$200=I$4),0),$E20-1973)</f>
        <v>10.024039999999999</v>
      </c>
      <c r="J20" t="e" cm="1">
        <f t="array" ref="J20">INDEX('GMW - worst case'!$A$2:$MC$200,MATCH(1,('GMW - worst case'!$MC$2:$MC$200=J$3)*('GMW - worst case'!$MB$2:$MB$200=J$4),0),$E20-1973)</f>
        <v>#N/A</v>
      </c>
      <c r="K20" t="e" cm="1">
        <f t="array" ref="K20">INDEX('GMW - worst case'!$A$2:$MC$200,MATCH(1,('GMW - worst case'!$MC$2:$MC$200=K$3)*('GMW - worst case'!$MB$2:$MB$200=K$4),0),$E20-1973)</f>
        <v>#N/A</v>
      </c>
      <c r="L20" t="e" cm="1">
        <f t="array" ref="L20">INDEX('GMW - worst case'!$A$2:$MC$200,MATCH(1,('GMW - worst case'!$MC$2:$MC$200=L$3)*('GMW - worst case'!$MB$2:$MB$200=L$4),0),$E20-1973)</f>
        <v>#N/A</v>
      </c>
      <c r="M20" t="e" cm="1">
        <f t="array" ref="M20">INDEX('GMW - worst case'!$A$2:$MC$200,MATCH(1,('GMW - worst case'!$MC$2:$MC$200=M$3)*('GMW - worst case'!$MB$2:$MB$200=M$4),0),$E20-1973)</f>
        <v>#N/A</v>
      </c>
      <c r="N20" t="e" cm="1">
        <f t="array" ref="N20">INDEX('GMW - worst case'!$A$2:$MC$200,MATCH(1,('GMW - worst case'!$MC$2:$MC$200=N$3)*('GMW - worst case'!$MB$2:$MB$200=N$4),0),$E20-1973)</f>
        <v>#N/A</v>
      </c>
      <c r="O20" t="e" cm="1">
        <f t="array" ref="O20">INDEX('GMW - worst case'!$A$2:$MC$200,MATCH(1,('GMW - worst case'!$MC$2:$MC$200=O$3)*('GMW - worst case'!$MB$2:$MB$200=O$4),0),$E20-1973)</f>
        <v>#N/A</v>
      </c>
      <c r="P20" t="e" cm="1">
        <f t="array" ref="P20">INDEX('GMW - worst case'!$A$2:$MC$200,MATCH(1,('GMW - worst case'!$MC$2:$MC$200=P$3)*('GMW - worst case'!$MB$2:$MB$200=P$4),0),$E20-1973)</f>
        <v>#N/A</v>
      </c>
      <c r="Q20" t="e" cm="1">
        <f t="array" ref="Q20">INDEX('GMW - worst case'!$A$2:$MC$200,MATCH(1,('GMW - worst case'!$MC$2:$MC$200=Q$3)*('GMW - worst case'!$MB$2:$MB$200=Q$4),0),$E20-1973)</f>
        <v>#N/A</v>
      </c>
      <c r="R20" t="e" cm="1">
        <f t="array" ref="R20">INDEX('GMW - worst case'!$A$2:$MC$200,MATCH(1,('GMW - worst case'!$MC$2:$MC$200=R$3)*('GMW - worst case'!$MB$2:$MB$200=R$4),0),$E20-1973)</f>
        <v>#N/A</v>
      </c>
      <c r="S20" t="e" cm="1">
        <f t="array" ref="S20">INDEX('GMW - worst case'!$A$2:$MC$200,MATCH(1,('GMW - worst case'!$MC$2:$MC$200=S$3)*('GMW - worst case'!$MB$2:$MB$200=S$4),0),$E20-1973)</f>
        <v>#N/A</v>
      </c>
    </row>
    <row r="21" spans="1:19" x14ac:dyDescent="0.25">
      <c r="B21">
        <f t="shared" si="2"/>
        <v>1983</v>
      </c>
      <c r="C21">
        <f t="shared" si="2"/>
        <v>1983</v>
      </c>
      <c r="E21">
        <f t="shared" si="1"/>
        <v>1994</v>
      </c>
      <c r="F21" cm="1">
        <f t="array" ref="F21">INDEX('GMW - worst case'!$A$2:$MC$200,MATCH(1,('GMW - worst case'!$MC$2:$MC$200=F$3)*('GMW - worst case'!$MB$2:$MB$200=F$4),0),$E21-1973)</f>
        <v>303085</v>
      </c>
      <c r="G21" cm="1">
        <f t="array" ref="G21">INDEX('GMW - worst case'!$A$2:$MC$200,MATCH(1,('GMW - worst case'!$MC$2:$MC$200=G$3)*('GMW - worst case'!$MB$2:$MB$200=G$4),0),$E21-1973)</f>
        <v>161027</v>
      </c>
      <c r="H21" cm="1">
        <f t="array" ref="H21">INDEX('GMW - worst case'!$A$2:$MC$200,MATCH(1,('GMW - worst case'!$MC$2:$MC$200=H$3)*('GMW - worst case'!$MB$2:$MB$200=H$4),0),$E21-1973)</f>
        <v>41.293399999999998</v>
      </c>
      <c r="I21" cm="1">
        <f t="array" ref="I21">INDEX('GMW - worst case'!$A$2:$MC$200,MATCH(1,('GMW - worst case'!$MC$2:$MC$200=I$3)*('GMW - worst case'!$MB$2:$MB$200=I$4),0),$E21-1973)</f>
        <v>9.5606059999999999</v>
      </c>
      <c r="J21" t="e" cm="1">
        <f t="array" ref="J21">INDEX('GMW - worst case'!$A$2:$MC$200,MATCH(1,('GMW - worst case'!$MC$2:$MC$200=J$3)*('GMW - worst case'!$MB$2:$MB$200=J$4),0),$E21-1973)</f>
        <v>#N/A</v>
      </c>
      <c r="K21" t="e" cm="1">
        <f t="array" ref="K21">INDEX('GMW - worst case'!$A$2:$MC$200,MATCH(1,('GMW - worst case'!$MC$2:$MC$200=K$3)*('GMW - worst case'!$MB$2:$MB$200=K$4),0),$E21-1973)</f>
        <v>#N/A</v>
      </c>
      <c r="L21" t="e" cm="1">
        <f t="array" ref="L21">INDEX('GMW - worst case'!$A$2:$MC$200,MATCH(1,('GMW - worst case'!$MC$2:$MC$200=L$3)*('GMW - worst case'!$MB$2:$MB$200=L$4),0),$E21-1973)</f>
        <v>#N/A</v>
      </c>
      <c r="M21" t="e" cm="1">
        <f t="array" ref="M21">INDEX('GMW - worst case'!$A$2:$MC$200,MATCH(1,('GMW - worst case'!$MC$2:$MC$200=M$3)*('GMW - worst case'!$MB$2:$MB$200=M$4),0),$E21-1973)</f>
        <v>#N/A</v>
      </c>
      <c r="N21" t="e" cm="1">
        <f t="array" ref="N21">INDEX('GMW - worst case'!$A$2:$MC$200,MATCH(1,('GMW - worst case'!$MC$2:$MC$200=N$3)*('GMW - worst case'!$MB$2:$MB$200=N$4),0),$E21-1973)</f>
        <v>#N/A</v>
      </c>
      <c r="O21" t="e" cm="1">
        <f t="array" ref="O21">INDEX('GMW - worst case'!$A$2:$MC$200,MATCH(1,('GMW - worst case'!$MC$2:$MC$200=O$3)*('GMW - worst case'!$MB$2:$MB$200=O$4),0),$E21-1973)</f>
        <v>#N/A</v>
      </c>
      <c r="P21" t="e" cm="1">
        <f t="array" ref="P21">INDEX('GMW - worst case'!$A$2:$MC$200,MATCH(1,('GMW - worst case'!$MC$2:$MC$200=P$3)*('GMW - worst case'!$MB$2:$MB$200=P$4),0),$E21-1973)</f>
        <v>#N/A</v>
      </c>
      <c r="Q21" t="e" cm="1">
        <f t="array" ref="Q21">INDEX('GMW - worst case'!$A$2:$MC$200,MATCH(1,('GMW - worst case'!$MC$2:$MC$200=Q$3)*('GMW - worst case'!$MB$2:$MB$200=Q$4),0),$E21-1973)</f>
        <v>#N/A</v>
      </c>
      <c r="R21" t="e" cm="1">
        <f t="array" ref="R21">INDEX('GMW - worst case'!$A$2:$MC$200,MATCH(1,('GMW - worst case'!$MC$2:$MC$200=R$3)*('GMW - worst case'!$MB$2:$MB$200=R$4),0),$E21-1973)</f>
        <v>#N/A</v>
      </c>
      <c r="S21" t="e" cm="1">
        <f t="array" ref="S21">INDEX('GMW - worst case'!$A$2:$MC$200,MATCH(1,('GMW - worst case'!$MC$2:$MC$200=S$3)*('GMW - worst case'!$MB$2:$MB$200=S$4),0),$E21-1973)</f>
        <v>#N/A</v>
      </c>
    </row>
    <row r="22" spans="1:19" x14ac:dyDescent="0.25">
      <c r="B22">
        <f t="shared" si="2"/>
        <v>1983</v>
      </c>
      <c r="C22">
        <f t="shared" si="2"/>
        <v>1983</v>
      </c>
      <c r="E22">
        <f t="shared" si="1"/>
        <v>1995</v>
      </c>
      <c r="F22" cm="1">
        <f t="array" ref="F22">INDEX('GMW - worst case'!$A$2:$MC$200,MATCH(1,('GMW - worst case'!$MC$2:$MC$200=F$3)*('GMW - worst case'!$MB$2:$MB$200=F$4),0),$E22-1973)</f>
        <v>305361</v>
      </c>
      <c r="G22" cm="1">
        <f t="array" ref="G22">INDEX('GMW - worst case'!$A$2:$MC$200,MATCH(1,('GMW - worst case'!$MC$2:$MC$200=G$3)*('GMW - worst case'!$MB$2:$MB$200=G$4),0),$E22-1973)</f>
        <v>161090</v>
      </c>
      <c r="H22" cm="1">
        <f t="array" ref="H22">INDEX('GMW - worst case'!$A$2:$MC$200,MATCH(1,('GMW - worst case'!$MC$2:$MC$200=H$3)*('GMW - worst case'!$MB$2:$MB$200=H$4),0),$E22-1973)</f>
        <v>41.762639999999998</v>
      </c>
      <c r="I22" cm="1">
        <f t="array" ref="I22">INDEX('GMW - worst case'!$A$2:$MC$200,MATCH(1,('GMW - worst case'!$MC$2:$MC$200=I$3)*('GMW - worst case'!$MB$2:$MB$200=I$4),0),$E22-1973)</f>
        <v>9.0625</v>
      </c>
      <c r="J22" t="e" cm="1">
        <f t="array" ref="J22">INDEX('GMW - worst case'!$A$2:$MC$200,MATCH(1,('GMW - worst case'!$MC$2:$MC$200=J$3)*('GMW - worst case'!$MB$2:$MB$200=J$4),0),$E22-1973)</f>
        <v>#N/A</v>
      </c>
      <c r="K22" t="e" cm="1">
        <f t="array" ref="K22">INDEX('GMW - worst case'!$A$2:$MC$200,MATCH(1,('GMW - worst case'!$MC$2:$MC$200=K$3)*('GMW - worst case'!$MB$2:$MB$200=K$4),0),$E22-1973)</f>
        <v>#N/A</v>
      </c>
      <c r="L22" t="e" cm="1">
        <f t="array" ref="L22">INDEX('GMW - worst case'!$A$2:$MC$200,MATCH(1,('GMW - worst case'!$MC$2:$MC$200=L$3)*('GMW - worst case'!$MB$2:$MB$200=L$4),0),$E22-1973)</f>
        <v>#N/A</v>
      </c>
      <c r="M22" t="e" cm="1">
        <f t="array" ref="M22">INDEX('GMW - worst case'!$A$2:$MC$200,MATCH(1,('GMW - worst case'!$MC$2:$MC$200=M$3)*('GMW - worst case'!$MB$2:$MB$200=M$4),0),$E22-1973)</f>
        <v>#N/A</v>
      </c>
      <c r="N22" t="e" cm="1">
        <f t="array" ref="N22">INDEX('GMW - worst case'!$A$2:$MC$200,MATCH(1,('GMW - worst case'!$MC$2:$MC$200=N$3)*('GMW - worst case'!$MB$2:$MB$200=N$4),0),$E22-1973)</f>
        <v>#N/A</v>
      </c>
      <c r="O22" t="e" cm="1">
        <f t="array" ref="O22">INDEX('GMW - worst case'!$A$2:$MC$200,MATCH(1,('GMW - worst case'!$MC$2:$MC$200=O$3)*('GMW - worst case'!$MB$2:$MB$200=O$4),0),$E22-1973)</f>
        <v>#N/A</v>
      </c>
      <c r="P22" t="e" cm="1">
        <f t="array" ref="P22">INDEX('GMW - worst case'!$A$2:$MC$200,MATCH(1,('GMW - worst case'!$MC$2:$MC$200=P$3)*('GMW - worst case'!$MB$2:$MB$200=P$4),0),$E22-1973)</f>
        <v>#N/A</v>
      </c>
      <c r="Q22" t="e" cm="1">
        <f t="array" ref="Q22">INDEX('GMW - worst case'!$A$2:$MC$200,MATCH(1,('GMW - worst case'!$MC$2:$MC$200=Q$3)*('GMW - worst case'!$MB$2:$MB$200=Q$4),0),$E22-1973)</f>
        <v>#N/A</v>
      </c>
      <c r="R22" t="e" cm="1">
        <f t="array" ref="R22">INDEX('GMW - worst case'!$A$2:$MC$200,MATCH(1,('GMW - worst case'!$MC$2:$MC$200=R$3)*('GMW - worst case'!$MB$2:$MB$200=R$4),0),$E22-1973)</f>
        <v>#N/A</v>
      </c>
      <c r="S22" t="e" cm="1">
        <f t="array" ref="S22">INDEX('GMW - worst case'!$A$2:$MC$200,MATCH(1,('GMW - worst case'!$MC$2:$MC$200=S$3)*('GMW - worst case'!$MB$2:$MB$200=S$4),0),$E22-1973)</f>
        <v>#N/A</v>
      </c>
    </row>
    <row r="23" spans="1:19" x14ac:dyDescent="0.25">
      <c r="A23">
        <v>1984</v>
      </c>
      <c r="B23">
        <f t="shared" si="2"/>
        <v>1984</v>
      </c>
      <c r="C23">
        <f t="shared" si="2"/>
        <v>1983</v>
      </c>
      <c r="D23">
        <f t="shared" si="2"/>
        <v>1983</v>
      </c>
      <c r="E23">
        <f t="shared" si="1"/>
        <v>1996</v>
      </c>
      <c r="F23" cm="1">
        <f t="array" ref="F23">INDEX('GMW - worst case'!$A$2:$MC$200,MATCH(1,('GMW - worst case'!$MC$2:$MC$200=F$3)*('GMW - worst case'!$MB$2:$MB$200=F$4),0),$E23-1973)</f>
        <v>307964</v>
      </c>
      <c r="G23" cm="1">
        <f t="array" ref="G23">INDEX('GMW - worst case'!$A$2:$MC$200,MATCH(1,('GMW - worst case'!$MC$2:$MC$200=G$3)*('GMW - worst case'!$MB$2:$MB$200=G$4),0),$E23-1973)</f>
        <v>162074</v>
      </c>
      <c r="H23" cm="1">
        <f t="array" ref="H23">INDEX('GMW - worst case'!$A$2:$MC$200,MATCH(1,('GMW - worst case'!$MC$2:$MC$200=H$3)*('GMW - worst case'!$MB$2:$MB$200=H$4),0),$E23-1973)</f>
        <v>41.86692</v>
      </c>
      <c r="I23" cm="1">
        <f t="array" ref="I23">INDEX('GMW - worst case'!$A$2:$MC$200,MATCH(1,('GMW - worst case'!$MC$2:$MC$200=I$3)*('GMW - worst case'!$MB$2:$MB$200=I$4),0),$E23-1973)</f>
        <v>8.9432690000000008</v>
      </c>
      <c r="J23" t="e" cm="1">
        <f t="array" ref="J23">INDEX('GMW - worst case'!$A$2:$MC$200,MATCH(1,('GMW - worst case'!$MC$2:$MC$200=J$3)*('GMW - worst case'!$MB$2:$MB$200=J$4),0),$E23-1973)</f>
        <v>#N/A</v>
      </c>
      <c r="K23" t="e" cm="1">
        <f t="array" ref="K23">INDEX('GMW - worst case'!$A$2:$MC$200,MATCH(1,('GMW - worst case'!$MC$2:$MC$200=K$3)*('GMW - worst case'!$MB$2:$MB$200=K$4),0),$E23-1973)</f>
        <v>#N/A</v>
      </c>
      <c r="L23" t="e" cm="1">
        <f t="array" ref="L23">INDEX('GMW - worst case'!$A$2:$MC$200,MATCH(1,('GMW - worst case'!$MC$2:$MC$200=L$3)*('GMW - worst case'!$MB$2:$MB$200=L$4),0),$E23-1973)</f>
        <v>#N/A</v>
      </c>
      <c r="M23" t="e" cm="1">
        <f t="array" ref="M23">INDEX('GMW - worst case'!$A$2:$MC$200,MATCH(1,('GMW - worst case'!$MC$2:$MC$200=M$3)*('GMW - worst case'!$MB$2:$MB$200=M$4),0),$E23-1973)</f>
        <v>#N/A</v>
      </c>
      <c r="N23" t="e" cm="1">
        <f t="array" ref="N23">INDEX('GMW - worst case'!$A$2:$MC$200,MATCH(1,('GMW - worst case'!$MC$2:$MC$200=N$3)*('GMW - worst case'!$MB$2:$MB$200=N$4),0),$E23-1973)</f>
        <v>#N/A</v>
      </c>
      <c r="O23" t="e" cm="1">
        <f t="array" ref="O23">INDEX('GMW - worst case'!$A$2:$MC$200,MATCH(1,('GMW - worst case'!$MC$2:$MC$200=O$3)*('GMW - worst case'!$MB$2:$MB$200=O$4),0),$E23-1973)</f>
        <v>#N/A</v>
      </c>
      <c r="P23" t="e" cm="1">
        <f t="array" ref="P23">INDEX('GMW - worst case'!$A$2:$MC$200,MATCH(1,('GMW - worst case'!$MC$2:$MC$200=P$3)*('GMW - worst case'!$MB$2:$MB$200=P$4),0),$E23-1973)</f>
        <v>#N/A</v>
      </c>
      <c r="Q23" t="e" cm="1">
        <f t="array" ref="Q23">INDEX('GMW - worst case'!$A$2:$MC$200,MATCH(1,('GMW - worst case'!$MC$2:$MC$200=Q$3)*('GMW - worst case'!$MB$2:$MB$200=Q$4),0),$E23-1973)</f>
        <v>#N/A</v>
      </c>
      <c r="R23" t="e" cm="1">
        <f t="array" ref="R23">INDEX('GMW - worst case'!$A$2:$MC$200,MATCH(1,('GMW - worst case'!$MC$2:$MC$200=R$3)*('GMW - worst case'!$MB$2:$MB$200=R$4),0),$E23-1973)</f>
        <v>#N/A</v>
      </c>
      <c r="S23" t="e" cm="1">
        <f t="array" ref="S23">INDEX('GMW - worst case'!$A$2:$MC$200,MATCH(1,('GMW - worst case'!$MC$2:$MC$200=S$3)*('GMW - worst case'!$MB$2:$MB$200=S$4),0),$E23-1973)</f>
        <v>#N/A</v>
      </c>
    </row>
    <row r="24" spans="1:19" x14ac:dyDescent="0.25">
      <c r="B24">
        <f t="shared" si="2"/>
        <v>1984</v>
      </c>
      <c r="C24">
        <f t="shared" si="2"/>
        <v>1984</v>
      </c>
      <c r="E24">
        <f t="shared" si="1"/>
        <v>1997</v>
      </c>
      <c r="F24" cm="1">
        <f t="array" ref="F24">INDEX('GMW - worst case'!$A$2:$MC$200,MATCH(1,('GMW - worst case'!$MC$2:$MC$200=F$3)*('GMW - worst case'!$MB$2:$MB$200=F$4),0),$E24-1973)</f>
        <v>304892</v>
      </c>
      <c r="G24" cm="1">
        <f t="array" ref="G24">INDEX('GMW - worst case'!$A$2:$MC$200,MATCH(1,('GMW - worst case'!$MC$2:$MC$200=G$3)*('GMW - worst case'!$MB$2:$MB$200=G$4),0),$E24-1973)</f>
        <v>163369</v>
      </c>
      <c r="H24" cm="1">
        <f t="array" ref="H24">INDEX('GMW - worst case'!$A$2:$MC$200,MATCH(1,('GMW - worst case'!$MC$2:$MC$200=H$3)*('GMW - worst case'!$MB$2:$MB$200=H$4),0),$E24-1973)</f>
        <v>42.779339999999998</v>
      </c>
      <c r="I24" cm="1">
        <f t="array" ref="I24">INDEX('GMW - worst case'!$A$2:$MC$200,MATCH(1,('GMW - worst case'!$MC$2:$MC$200=I$3)*('GMW - worst case'!$MB$2:$MB$200=I$4),0),$E24-1973)</f>
        <v>8.8442310000000006</v>
      </c>
      <c r="J24" t="e" cm="1">
        <f t="array" ref="J24">INDEX('GMW - worst case'!$A$2:$MC$200,MATCH(1,('GMW - worst case'!$MC$2:$MC$200=J$3)*('GMW - worst case'!$MB$2:$MB$200=J$4),0),$E24-1973)</f>
        <v>#N/A</v>
      </c>
      <c r="K24" t="e" cm="1">
        <f t="array" ref="K24">INDEX('GMW - worst case'!$A$2:$MC$200,MATCH(1,('GMW - worst case'!$MC$2:$MC$200=K$3)*('GMW - worst case'!$MB$2:$MB$200=K$4),0),$E24-1973)</f>
        <v>#N/A</v>
      </c>
      <c r="L24" t="e" cm="1">
        <f t="array" ref="L24">INDEX('GMW - worst case'!$A$2:$MC$200,MATCH(1,('GMW - worst case'!$MC$2:$MC$200=L$3)*('GMW - worst case'!$MB$2:$MB$200=L$4),0),$E24-1973)</f>
        <v>#N/A</v>
      </c>
      <c r="M24" t="e" cm="1">
        <f t="array" ref="M24">INDEX('GMW - worst case'!$A$2:$MC$200,MATCH(1,('GMW - worst case'!$MC$2:$MC$200=M$3)*('GMW - worst case'!$MB$2:$MB$200=M$4),0),$E24-1973)</f>
        <v>#N/A</v>
      </c>
      <c r="N24" t="e" cm="1">
        <f t="array" ref="N24">INDEX('GMW - worst case'!$A$2:$MC$200,MATCH(1,('GMW - worst case'!$MC$2:$MC$200=N$3)*('GMW - worst case'!$MB$2:$MB$200=N$4),0),$E24-1973)</f>
        <v>#N/A</v>
      </c>
      <c r="O24" t="e" cm="1">
        <f t="array" ref="O24">INDEX('GMW - worst case'!$A$2:$MC$200,MATCH(1,('GMW - worst case'!$MC$2:$MC$200=O$3)*('GMW - worst case'!$MB$2:$MB$200=O$4),0),$E24-1973)</f>
        <v>#N/A</v>
      </c>
      <c r="P24" t="e" cm="1">
        <f t="array" ref="P24">INDEX('GMW - worst case'!$A$2:$MC$200,MATCH(1,('GMW - worst case'!$MC$2:$MC$200=P$3)*('GMW - worst case'!$MB$2:$MB$200=P$4),0),$E24-1973)</f>
        <v>#N/A</v>
      </c>
      <c r="Q24" t="e" cm="1">
        <f t="array" ref="Q24">INDEX('GMW - worst case'!$A$2:$MC$200,MATCH(1,('GMW - worst case'!$MC$2:$MC$200=Q$3)*('GMW - worst case'!$MB$2:$MB$200=Q$4),0),$E24-1973)</f>
        <v>#N/A</v>
      </c>
      <c r="R24" t="e" cm="1">
        <f t="array" ref="R24">INDEX('GMW - worst case'!$A$2:$MC$200,MATCH(1,('GMW - worst case'!$MC$2:$MC$200=R$3)*('GMW - worst case'!$MB$2:$MB$200=R$4),0),$E24-1973)</f>
        <v>#N/A</v>
      </c>
      <c r="S24" t="e" cm="1">
        <f t="array" ref="S24">INDEX('GMW - worst case'!$A$2:$MC$200,MATCH(1,('GMW - worst case'!$MC$2:$MC$200=S$3)*('GMW - worst case'!$MB$2:$MB$200=S$4),0),$E24-1973)</f>
        <v>#N/A</v>
      </c>
    </row>
    <row r="25" spans="1:19" x14ac:dyDescent="0.25">
      <c r="B25">
        <f t="shared" si="2"/>
        <v>1984</v>
      </c>
      <c r="C25">
        <f t="shared" si="2"/>
        <v>1984</v>
      </c>
      <c r="E25">
        <f t="shared" si="1"/>
        <v>1998</v>
      </c>
      <c r="F25" cm="1">
        <f t="array" ref="F25">INDEX('GMW - worst case'!$A$2:$MC$200,MATCH(1,('GMW - worst case'!$MC$2:$MC$200=F$3)*('GMW - worst case'!$MB$2:$MB$200=F$4),0),$E25-1973)</f>
        <v>307122</v>
      </c>
      <c r="G25" cm="1">
        <f t="array" ref="G25">INDEX('GMW - worst case'!$A$2:$MC$200,MATCH(1,('GMW - worst case'!$MC$2:$MC$200=G$3)*('GMW - worst case'!$MB$2:$MB$200=G$4),0),$E25-1973)</f>
        <v>162507</v>
      </c>
      <c r="H25" cm="1">
        <f t="array" ref="H25">INDEX('GMW - worst case'!$A$2:$MC$200,MATCH(1,('GMW - worst case'!$MC$2:$MC$200=H$3)*('GMW - worst case'!$MB$2:$MB$200=H$4),0),$E25-1973)</f>
        <v>42.98789</v>
      </c>
      <c r="I25" cm="1">
        <f t="array" ref="I25">INDEX('GMW - worst case'!$A$2:$MC$200,MATCH(1,('GMW - worst case'!$MC$2:$MC$200=I$3)*('GMW - worst case'!$MB$2:$MB$200=I$4),0),$E25-1973)</f>
        <v>10.89615</v>
      </c>
      <c r="J25" t="e" cm="1">
        <f t="array" ref="J25">INDEX('GMW - worst case'!$A$2:$MC$200,MATCH(1,('GMW - worst case'!$MC$2:$MC$200=J$3)*('GMW - worst case'!$MB$2:$MB$200=J$4),0),$E25-1973)</f>
        <v>#N/A</v>
      </c>
      <c r="K25" t="e" cm="1">
        <f t="array" ref="K25">INDEX('GMW - worst case'!$A$2:$MC$200,MATCH(1,('GMW - worst case'!$MC$2:$MC$200=K$3)*('GMW - worst case'!$MB$2:$MB$200=K$4),0),$E25-1973)</f>
        <v>#N/A</v>
      </c>
      <c r="L25" t="e" cm="1">
        <f t="array" ref="L25">INDEX('GMW - worst case'!$A$2:$MC$200,MATCH(1,('GMW - worst case'!$MC$2:$MC$200=L$3)*('GMW - worst case'!$MB$2:$MB$200=L$4),0),$E25-1973)</f>
        <v>#N/A</v>
      </c>
      <c r="M25" t="e" cm="1">
        <f t="array" ref="M25">INDEX('GMW - worst case'!$A$2:$MC$200,MATCH(1,('GMW - worst case'!$MC$2:$MC$200=M$3)*('GMW - worst case'!$MB$2:$MB$200=M$4),0),$E25-1973)</f>
        <v>#N/A</v>
      </c>
      <c r="N25" t="e" cm="1">
        <f t="array" ref="N25">INDEX('GMW - worst case'!$A$2:$MC$200,MATCH(1,('GMW - worst case'!$MC$2:$MC$200=N$3)*('GMW - worst case'!$MB$2:$MB$200=N$4),0),$E25-1973)</f>
        <v>#N/A</v>
      </c>
      <c r="O25" t="e" cm="1">
        <f t="array" ref="O25">INDEX('GMW - worst case'!$A$2:$MC$200,MATCH(1,('GMW - worst case'!$MC$2:$MC$200=O$3)*('GMW - worst case'!$MB$2:$MB$200=O$4),0),$E25-1973)</f>
        <v>#N/A</v>
      </c>
      <c r="P25" t="e" cm="1">
        <f t="array" ref="P25">INDEX('GMW - worst case'!$A$2:$MC$200,MATCH(1,('GMW - worst case'!$MC$2:$MC$200=P$3)*('GMW - worst case'!$MB$2:$MB$200=P$4),0),$E25-1973)</f>
        <v>#N/A</v>
      </c>
      <c r="Q25" t="e" cm="1">
        <f t="array" ref="Q25">INDEX('GMW - worst case'!$A$2:$MC$200,MATCH(1,('GMW - worst case'!$MC$2:$MC$200=Q$3)*('GMW - worst case'!$MB$2:$MB$200=Q$4),0),$E25-1973)</f>
        <v>#N/A</v>
      </c>
      <c r="R25" t="e" cm="1">
        <f t="array" ref="R25">INDEX('GMW - worst case'!$A$2:$MC$200,MATCH(1,('GMW - worst case'!$MC$2:$MC$200=R$3)*('GMW - worst case'!$MB$2:$MB$200=R$4),0),$E25-1973)</f>
        <v>#N/A</v>
      </c>
      <c r="S25" t="e" cm="1">
        <f t="array" ref="S25">INDEX('GMW - worst case'!$A$2:$MC$200,MATCH(1,('GMW - worst case'!$MC$2:$MC$200=S$3)*('GMW - worst case'!$MB$2:$MB$200=S$4),0),$E25-1973)</f>
        <v>#N/A</v>
      </c>
    </row>
    <row r="26" spans="1:19" x14ac:dyDescent="0.25">
      <c r="B26">
        <f t="shared" si="2"/>
        <v>1984</v>
      </c>
      <c r="C26">
        <f t="shared" si="2"/>
        <v>1984</v>
      </c>
      <c r="E26">
        <f t="shared" si="1"/>
        <v>1999</v>
      </c>
      <c r="F26" cm="1">
        <f t="array" ref="F26">INDEX('GMW - worst case'!$A$2:$MC$200,MATCH(1,('GMW - worst case'!$MC$2:$MC$200=F$3)*('GMW - worst case'!$MB$2:$MB$200=F$4),0),$E26-1973)</f>
        <v>312697</v>
      </c>
      <c r="G26" cm="1">
        <f t="array" ref="G26">INDEX('GMW - worst case'!$A$2:$MC$200,MATCH(1,('GMW - worst case'!$MC$2:$MC$200=G$3)*('GMW - worst case'!$MB$2:$MB$200=G$4),0),$E26-1973)</f>
        <v>165575</v>
      </c>
      <c r="H26" cm="1">
        <f t="array" ref="H26">INDEX('GMW - worst case'!$A$2:$MC$200,MATCH(1,('GMW - worst case'!$MC$2:$MC$200=H$3)*('GMW - worst case'!$MB$2:$MB$200=H$4),0),$E26-1973)</f>
        <v>43.431060000000002</v>
      </c>
      <c r="I26" cm="1">
        <f t="array" ref="I26">INDEX('GMW - worst case'!$A$2:$MC$200,MATCH(1,('GMW - worst case'!$MC$2:$MC$200=I$3)*('GMW - worst case'!$MB$2:$MB$200=I$4),0),$E26-1973)</f>
        <v>9.969697</v>
      </c>
      <c r="J26" t="e" cm="1">
        <f t="array" ref="J26">INDEX('GMW - worst case'!$A$2:$MC$200,MATCH(1,('GMW - worst case'!$MC$2:$MC$200=J$3)*('GMW - worst case'!$MB$2:$MB$200=J$4),0),$E26-1973)</f>
        <v>#N/A</v>
      </c>
      <c r="K26" t="e" cm="1">
        <f t="array" ref="K26">INDEX('GMW - worst case'!$A$2:$MC$200,MATCH(1,('GMW - worst case'!$MC$2:$MC$200=K$3)*('GMW - worst case'!$MB$2:$MB$200=K$4),0),$E26-1973)</f>
        <v>#N/A</v>
      </c>
      <c r="L26" t="e" cm="1">
        <f t="array" ref="L26">INDEX('GMW - worst case'!$A$2:$MC$200,MATCH(1,('GMW - worst case'!$MC$2:$MC$200=L$3)*('GMW - worst case'!$MB$2:$MB$200=L$4),0),$E26-1973)</f>
        <v>#N/A</v>
      </c>
      <c r="M26" t="e" cm="1">
        <f t="array" ref="M26">INDEX('GMW - worst case'!$A$2:$MC$200,MATCH(1,('GMW - worst case'!$MC$2:$MC$200=M$3)*('GMW - worst case'!$MB$2:$MB$200=M$4),0),$E26-1973)</f>
        <v>#N/A</v>
      </c>
      <c r="N26" t="e" cm="1">
        <f t="array" ref="N26">INDEX('GMW - worst case'!$A$2:$MC$200,MATCH(1,('GMW - worst case'!$MC$2:$MC$200=N$3)*('GMW - worst case'!$MB$2:$MB$200=N$4),0),$E26-1973)</f>
        <v>#N/A</v>
      </c>
      <c r="O26" t="e" cm="1">
        <f t="array" ref="O26">INDEX('GMW - worst case'!$A$2:$MC$200,MATCH(1,('GMW - worst case'!$MC$2:$MC$200=O$3)*('GMW - worst case'!$MB$2:$MB$200=O$4),0),$E26-1973)</f>
        <v>#N/A</v>
      </c>
      <c r="P26" t="e" cm="1">
        <f t="array" ref="P26">INDEX('GMW - worst case'!$A$2:$MC$200,MATCH(1,('GMW - worst case'!$MC$2:$MC$200=P$3)*('GMW - worst case'!$MB$2:$MB$200=P$4),0),$E26-1973)</f>
        <v>#N/A</v>
      </c>
      <c r="Q26" t="e" cm="1">
        <f t="array" ref="Q26">INDEX('GMW - worst case'!$A$2:$MC$200,MATCH(1,('GMW - worst case'!$MC$2:$MC$200=Q$3)*('GMW - worst case'!$MB$2:$MB$200=Q$4),0),$E26-1973)</f>
        <v>#N/A</v>
      </c>
      <c r="R26" t="e" cm="1">
        <f t="array" ref="R26">INDEX('GMW - worst case'!$A$2:$MC$200,MATCH(1,('GMW - worst case'!$MC$2:$MC$200=R$3)*('GMW - worst case'!$MB$2:$MB$200=R$4),0),$E26-1973)</f>
        <v>#N/A</v>
      </c>
      <c r="S26" t="e" cm="1">
        <f t="array" ref="S26">INDEX('GMW - worst case'!$A$2:$MC$200,MATCH(1,('GMW - worst case'!$MC$2:$MC$200=S$3)*('GMW - worst case'!$MB$2:$MB$200=S$4),0),$E26-1973)</f>
        <v>#N/A</v>
      </c>
    </row>
    <row r="27" spans="1:19" x14ac:dyDescent="0.25">
      <c r="A27">
        <v>1985</v>
      </c>
      <c r="B27">
        <f t="shared" si="2"/>
        <v>1985</v>
      </c>
      <c r="C27">
        <f t="shared" si="2"/>
        <v>1984</v>
      </c>
      <c r="D27">
        <f t="shared" si="2"/>
        <v>1984</v>
      </c>
      <c r="E27">
        <f t="shared" si="1"/>
        <v>2000</v>
      </c>
      <c r="F27" cm="1">
        <f t="array" ref="F27">INDEX('GMW - worst case'!$A$2:$MC$200,MATCH(1,('GMW - worst case'!$MC$2:$MC$200=F$3)*('GMW - worst case'!$MB$2:$MB$200=F$4),0),$E27-1973)</f>
        <v>315753</v>
      </c>
      <c r="G27" cm="1">
        <f t="array" ref="G27">INDEX('GMW - worst case'!$A$2:$MC$200,MATCH(1,('GMW - worst case'!$MC$2:$MC$200=G$3)*('GMW - worst case'!$MB$2:$MB$200=G$4),0),$E27-1973)</f>
        <v>169390</v>
      </c>
      <c r="H27" cm="1">
        <f t="array" ref="H27">INDEX('GMW - worst case'!$A$2:$MC$200,MATCH(1,('GMW - worst case'!$MC$2:$MC$200=H$3)*('GMW - worst case'!$MB$2:$MB$200=H$4),0),$E27-1973)</f>
        <v>43.874229999999997</v>
      </c>
      <c r="I27" cm="1">
        <f t="array" ref="I27">INDEX('GMW - worst case'!$A$2:$MC$200,MATCH(1,('GMW - worst case'!$MC$2:$MC$200=I$3)*('GMW - worst case'!$MB$2:$MB$200=I$4),0),$E27-1973)</f>
        <v>12.86914</v>
      </c>
      <c r="J27" t="e" cm="1">
        <f t="array" ref="J27">INDEX('GMW - worst case'!$A$2:$MC$200,MATCH(1,('GMW - worst case'!$MC$2:$MC$200=J$3)*('GMW - worst case'!$MB$2:$MB$200=J$4),0),$E27-1973)</f>
        <v>#N/A</v>
      </c>
      <c r="K27" t="e" cm="1">
        <f t="array" ref="K27">INDEX('GMW - worst case'!$A$2:$MC$200,MATCH(1,('GMW - worst case'!$MC$2:$MC$200=K$3)*('GMW - worst case'!$MB$2:$MB$200=K$4),0),$E27-1973)</f>
        <v>#N/A</v>
      </c>
      <c r="L27" t="e" cm="1">
        <f t="array" ref="L27">INDEX('GMW - worst case'!$A$2:$MC$200,MATCH(1,('GMW - worst case'!$MC$2:$MC$200=L$3)*('GMW - worst case'!$MB$2:$MB$200=L$4),0),$E27-1973)</f>
        <v>#N/A</v>
      </c>
      <c r="M27" t="e" cm="1">
        <f t="array" ref="M27">INDEX('GMW - worst case'!$A$2:$MC$200,MATCH(1,('GMW - worst case'!$MC$2:$MC$200=M$3)*('GMW - worst case'!$MB$2:$MB$200=M$4),0),$E27-1973)</f>
        <v>#N/A</v>
      </c>
      <c r="N27" t="e" cm="1">
        <f t="array" ref="N27">INDEX('GMW - worst case'!$A$2:$MC$200,MATCH(1,('GMW - worst case'!$MC$2:$MC$200=N$3)*('GMW - worst case'!$MB$2:$MB$200=N$4),0),$E27-1973)</f>
        <v>#N/A</v>
      </c>
      <c r="O27" t="e" cm="1">
        <f t="array" ref="O27">INDEX('GMW - worst case'!$A$2:$MC$200,MATCH(1,('GMW - worst case'!$MC$2:$MC$200=O$3)*('GMW - worst case'!$MB$2:$MB$200=O$4),0),$E27-1973)</f>
        <v>#N/A</v>
      </c>
      <c r="P27" t="e" cm="1">
        <f t="array" ref="P27">INDEX('GMW - worst case'!$A$2:$MC$200,MATCH(1,('GMW - worst case'!$MC$2:$MC$200=P$3)*('GMW - worst case'!$MB$2:$MB$200=P$4),0),$E27-1973)</f>
        <v>#N/A</v>
      </c>
      <c r="Q27" t="e" cm="1">
        <f t="array" ref="Q27">INDEX('GMW - worst case'!$A$2:$MC$200,MATCH(1,('GMW - worst case'!$MC$2:$MC$200=Q$3)*('GMW - worst case'!$MB$2:$MB$200=Q$4),0),$E27-1973)</f>
        <v>#N/A</v>
      </c>
      <c r="R27" t="e" cm="1">
        <f t="array" ref="R27">INDEX('GMW - worst case'!$A$2:$MC$200,MATCH(1,('GMW - worst case'!$MC$2:$MC$200=R$3)*('GMW - worst case'!$MB$2:$MB$200=R$4),0),$E27-1973)</f>
        <v>#N/A</v>
      </c>
      <c r="S27" t="e" cm="1">
        <f t="array" ref="S27">INDEX('GMW - worst case'!$A$2:$MC$200,MATCH(1,('GMW - worst case'!$MC$2:$MC$200=S$3)*('GMW - worst case'!$MB$2:$MB$200=S$4),0),$E27-1973)</f>
        <v>#N/A</v>
      </c>
    </row>
    <row r="28" spans="1:19" x14ac:dyDescent="0.25">
      <c r="B28">
        <f t="shared" ref="B28:D43" si="3">+B24+1</f>
        <v>1985</v>
      </c>
      <c r="C28">
        <f t="shared" si="3"/>
        <v>1985</v>
      </c>
      <c r="E28">
        <f t="shared" si="1"/>
        <v>2001</v>
      </c>
      <c r="F28" cm="1">
        <f t="array" ref="F28">INDEX('GMW - worst case'!$A$2:$MC$200,MATCH(1,('GMW - worst case'!$MC$2:$MC$200=F$3)*('GMW - worst case'!$MB$2:$MB$200=F$4),0),$E28-1973)</f>
        <v>322451</v>
      </c>
      <c r="G28" cm="1">
        <f t="array" ref="G28">INDEX('GMW - worst case'!$A$2:$MC$200,MATCH(1,('GMW - worst case'!$MC$2:$MC$200=G$3)*('GMW - worst case'!$MB$2:$MB$200=G$4),0),$E28-1973)</f>
        <v>170284</v>
      </c>
      <c r="H28" cm="1">
        <f t="array" ref="H28">INDEX('GMW - worst case'!$A$2:$MC$200,MATCH(1,('GMW - worst case'!$MC$2:$MC$200=H$3)*('GMW - worst case'!$MB$2:$MB$200=H$4),0),$E28-1973)</f>
        <v>44.995199999999997</v>
      </c>
      <c r="I28" cm="1">
        <f t="array" ref="I28">INDEX('GMW - worst case'!$A$2:$MC$200,MATCH(1,('GMW - worst case'!$MC$2:$MC$200=I$3)*('GMW - worst case'!$MB$2:$MB$200=I$4),0),$E28-1973)</f>
        <v>12.48269</v>
      </c>
      <c r="J28" t="e" cm="1">
        <f t="array" ref="J28">INDEX('GMW - worst case'!$A$2:$MC$200,MATCH(1,('GMW - worst case'!$MC$2:$MC$200=J$3)*('GMW - worst case'!$MB$2:$MB$200=J$4),0),$E28-1973)</f>
        <v>#N/A</v>
      </c>
      <c r="K28" t="e" cm="1">
        <f t="array" ref="K28">INDEX('GMW - worst case'!$A$2:$MC$200,MATCH(1,('GMW - worst case'!$MC$2:$MC$200=K$3)*('GMW - worst case'!$MB$2:$MB$200=K$4),0),$E28-1973)</f>
        <v>#N/A</v>
      </c>
      <c r="L28" t="e" cm="1">
        <f t="array" ref="L28">INDEX('GMW - worst case'!$A$2:$MC$200,MATCH(1,('GMW - worst case'!$MC$2:$MC$200=L$3)*('GMW - worst case'!$MB$2:$MB$200=L$4),0),$E28-1973)</f>
        <v>#N/A</v>
      </c>
      <c r="M28" t="e" cm="1">
        <f t="array" ref="M28">INDEX('GMW - worst case'!$A$2:$MC$200,MATCH(1,('GMW - worst case'!$MC$2:$MC$200=M$3)*('GMW - worst case'!$MB$2:$MB$200=M$4),0),$E28-1973)</f>
        <v>#N/A</v>
      </c>
      <c r="N28" t="e" cm="1">
        <f t="array" ref="N28">INDEX('GMW - worst case'!$A$2:$MC$200,MATCH(1,('GMW - worst case'!$MC$2:$MC$200=N$3)*('GMW - worst case'!$MB$2:$MB$200=N$4),0),$E28-1973)</f>
        <v>#N/A</v>
      </c>
      <c r="O28" t="e" cm="1">
        <f t="array" ref="O28">INDEX('GMW - worst case'!$A$2:$MC$200,MATCH(1,('GMW - worst case'!$MC$2:$MC$200=O$3)*('GMW - worst case'!$MB$2:$MB$200=O$4),0),$E28-1973)</f>
        <v>#N/A</v>
      </c>
      <c r="P28" t="e" cm="1">
        <f t="array" ref="P28">INDEX('GMW - worst case'!$A$2:$MC$200,MATCH(1,('GMW - worst case'!$MC$2:$MC$200=P$3)*('GMW - worst case'!$MB$2:$MB$200=P$4),0),$E28-1973)</f>
        <v>#N/A</v>
      </c>
      <c r="Q28" t="e" cm="1">
        <f t="array" ref="Q28">INDEX('GMW - worst case'!$A$2:$MC$200,MATCH(1,('GMW - worst case'!$MC$2:$MC$200=Q$3)*('GMW - worst case'!$MB$2:$MB$200=Q$4),0),$E28-1973)</f>
        <v>#N/A</v>
      </c>
      <c r="R28" t="e" cm="1">
        <f t="array" ref="R28">INDEX('GMW - worst case'!$A$2:$MC$200,MATCH(1,('GMW - worst case'!$MC$2:$MC$200=R$3)*('GMW - worst case'!$MB$2:$MB$200=R$4),0),$E28-1973)</f>
        <v>#N/A</v>
      </c>
      <c r="S28" t="e" cm="1">
        <f t="array" ref="S28">INDEX('GMW - worst case'!$A$2:$MC$200,MATCH(1,('GMW - worst case'!$MC$2:$MC$200=S$3)*('GMW - worst case'!$MB$2:$MB$200=S$4),0),$E28-1973)</f>
        <v>#N/A</v>
      </c>
    </row>
    <row r="29" spans="1:19" x14ac:dyDescent="0.25">
      <c r="B29">
        <f t="shared" si="3"/>
        <v>1985</v>
      </c>
      <c r="C29">
        <f t="shared" si="3"/>
        <v>1985</v>
      </c>
      <c r="E29">
        <f t="shared" si="1"/>
        <v>2002</v>
      </c>
      <c r="F29" cm="1">
        <f t="array" ref="F29">INDEX('GMW - worst case'!$A$2:$MC$200,MATCH(1,('GMW - worst case'!$MC$2:$MC$200=F$3)*('GMW - worst case'!$MB$2:$MB$200=F$4),0),$E29-1973)</f>
        <v>322392</v>
      </c>
      <c r="G29" cm="1">
        <f t="array" ref="G29">INDEX('GMW - worst case'!$A$2:$MC$200,MATCH(1,('GMW - worst case'!$MC$2:$MC$200=G$3)*('GMW - worst case'!$MB$2:$MB$200=G$4),0),$E29-1973)</f>
        <v>172709</v>
      </c>
      <c r="H29" cm="1">
        <f t="array" ref="H29">INDEX('GMW - worst case'!$A$2:$MC$200,MATCH(1,('GMW - worst case'!$MC$2:$MC$200=H$3)*('GMW - worst case'!$MB$2:$MB$200=H$4),0),$E29-1973)</f>
        <v>45.125549999999997</v>
      </c>
      <c r="I29" cm="1">
        <f t="array" ref="I29">INDEX('GMW - worst case'!$A$2:$MC$200,MATCH(1,('GMW - worst case'!$MC$2:$MC$200=I$3)*('GMW - worst case'!$MB$2:$MB$200=I$4),0),$E29-1973)</f>
        <v>11.579549999999999</v>
      </c>
      <c r="J29" t="e" cm="1">
        <f t="array" ref="J29">INDEX('GMW - worst case'!$A$2:$MC$200,MATCH(1,('GMW - worst case'!$MC$2:$MC$200=J$3)*('GMW - worst case'!$MB$2:$MB$200=J$4),0),$E29-1973)</f>
        <v>#N/A</v>
      </c>
      <c r="K29" t="e" cm="1">
        <f t="array" ref="K29">INDEX('GMW - worst case'!$A$2:$MC$200,MATCH(1,('GMW - worst case'!$MC$2:$MC$200=K$3)*('GMW - worst case'!$MB$2:$MB$200=K$4),0),$E29-1973)</f>
        <v>#N/A</v>
      </c>
      <c r="L29" t="e" cm="1">
        <f t="array" ref="L29">INDEX('GMW - worst case'!$A$2:$MC$200,MATCH(1,('GMW - worst case'!$MC$2:$MC$200=L$3)*('GMW - worst case'!$MB$2:$MB$200=L$4),0),$E29-1973)</f>
        <v>#N/A</v>
      </c>
      <c r="M29" t="e" cm="1">
        <f t="array" ref="M29">INDEX('GMW - worst case'!$A$2:$MC$200,MATCH(1,('GMW - worst case'!$MC$2:$MC$200=M$3)*('GMW - worst case'!$MB$2:$MB$200=M$4),0),$E29-1973)</f>
        <v>#N/A</v>
      </c>
      <c r="N29" t="e" cm="1">
        <f t="array" ref="N29">INDEX('GMW - worst case'!$A$2:$MC$200,MATCH(1,('GMW - worst case'!$MC$2:$MC$200=N$3)*('GMW - worst case'!$MB$2:$MB$200=N$4),0),$E29-1973)</f>
        <v>#N/A</v>
      </c>
      <c r="O29" t="e" cm="1">
        <f t="array" ref="O29">INDEX('GMW - worst case'!$A$2:$MC$200,MATCH(1,('GMW - worst case'!$MC$2:$MC$200=O$3)*('GMW - worst case'!$MB$2:$MB$200=O$4),0),$E29-1973)</f>
        <v>#N/A</v>
      </c>
      <c r="P29" t="e" cm="1">
        <f t="array" ref="P29">INDEX('GMW - worst case'!$A$2:$MC$200,MATCH(1,('GMW - worst case'!$MC$2:$MC$200=P$3)*('GMW - worst case'!$MB$2:$MB$200=P$4),0),$E29-1973)</f>
        <v>#N/A</v>
      </c>
      <c r="Q29" t="e" cm="1">
        <f t="array" ref="Q29">INDEX('GMW - worst case'!$A$2:$MC$200,MATCH(1,('GMW - worst case'!$MC$2:$MC$200=Q$3)*('GMW - worst case'!$MB$2:$MB$200=Q$4),0),$E29-1973)</f>
        <v>#N/A</v>
      </c>
      <c r="R29" t="e" cm="1">
        <f t="array" ref="R29">INDEX('GMW - worst case'!$A$2:$MC$200,MATCH(1,('GMW - worst case'!$MC$2:$MC$200=R$3)*('GMW - worst case'!$MB$2:$MB$200=R$4),0),$E29-1973)</f>
        <v>#N/A</v>
      </c>
      <c r="S29" t="e" cm="1">
        <f t="array" ref="S29">INDEX('GMW - worst case'!$A$2:$MC$200,MATCH(1,('GMW - worst case'!$MC$2:$MC$200=S$3)*('GMW - worst case'!$MB$2:$MB$200=S$4),0),$E29-1973)</f>
        <v>#N/A</v>
      </c>
    </row>
    <row r="30" spans="1:19" x14ac:dyDescent="0.25">
      <c r="B30">
        <f t="shared" si="3"/>
        <v>1985</v>
      </c>
      <c r="C30">
        <f t="shared" si="3"/>
        <v>1985</v>
      </c>
      <c r="E30">
        <f t="shared" si="1"/>
        <v>2003</v>
      </c>
      <c r="F30" cm="1">
        <f t="array" ref="F30">INDEX('GMW - worst case'!$A$2:$MC$200,MATCH(1,('GMW - worst case'!$MC$2:$MC$200=F$3)*('GMW - worst case'!$MB$2:$MB$200=F$4),0),$E30-1973)</f>
        <v>322604</v>
      </c>
      <c r="G30" cm="1">
        <f t="array" ref="G30">INDEX('GMW - worst case'!$A$2:$MC$200,MATCH(1,('GMW - worst case'!$MC$2:$MC$200=G$3)*('GMW - worst case'!$MB$2:$MB$200=G$4),0),$E30-1973)</f>
        <v>174066</v>
      </c>
      <c r="H30" cm="1">
        <f t="array" ref="H30">INDEX('GMW - worst case'!$A$2:$MC$200,MATCH(1,('GMW - worst case'!$MC$2:$MC$200=H$3)*('GMW - worst case'!$MB$2:$MB$200=H$4),0),$E30-1973)</f>
        <v>45.490519999999997</v>
      </c>
      <c r="I30" cm="1">
        <f t="array" ref="I30">INDEX('GMW - worst case'!$A$2:$MC$200,MATCH(1,('GMW - worst case'!$MC$2:$MC$200=I$3)*('GMW - worst case'!$MB$2:$MB$200=I$4),0),$E30-1973)</f>
        <v>11.375</v>
      </c>
      <c r="J30" t="e" cm="1">
        <f t="array" ref="J30">INDEX('GMW - worst case'!$A$2:$MC$200,MATCH(1,('GMW - worst case'!$MC$2:$MC$200=J$3)*('GMW - worst case'!$MB$2:$MB$200=J$4),0),$E30-1973)</f>
        <v>#N/A</v>
      </c>
      <c r="K30" t="e" cm="1">
        <f t="array" ref="K30">INDEX('GMW - worst case'!$A$2:$MC$200,MATCH(1,('GMW - worst case'!$MC$2:$MC$200=K$3)*('GMW - worst case'!$MB$2:$MB$200=K$4),0),$E30-1973)</f>
        <v>#N/A</v>
      </c>
      <c r="L30" t="e" cm="1">
        <f t="array" ref="L30">INDEX('GMW - worst case'!$A$2:$MC$200,MATCH(1,('GMW - worst case'!$MC$2:$MC$200=L$3)*('GMW - worst case'!$MB$2:$MB$200=L$4),0),$E30-1973)</f>
        <v>#N/A</v>
      </c>
      <c r="M30" t="e" cm="1">
        <f t="array" ref="M30">INDEX('GMW - worst case'!$A$2:$MC$200,MATCH(1,('GMW - worst case'!$MC$2:$MC$200=M$3)*('GMW - worst case'!$MB$2:$MB$200=M$4),0),$E30-1973)</f>
        <v>#N/A</v>
      </c>
      <c r="N30" t="e" cm="1">
        <f t="array" ref="N30">INDEX('GMW - worst case'!$A$2:$MC$200,MATCH(1,('GMW - worst case'!$MC$2:$MC$200=N$3)*('GMW - worst case'!$MB$2:$MB$200=N$4),0),$E30-1973)</f>
        <v>#N/A</v>
      </c>
      <c r="O30" t="e" cm="1">
        <f t="array" ref="O30">INDEX('GMW - worst case'!$A$2:$MC$200,MATCH(1,('GMW - worst case'!$MC$2:$MC$200=O$3)*('GMW - worst case'!$MB$2:$MB$200=O$4),0),$E30-1973)</f>
        <v>#N/A</v>
      </c>
      <c r="P30" t="e" cm="1">
        <f t="array" ref="P30">INDEX('GMW - worst case'!$A$2:$MC$200,MATCH(1,('GMW - worst case'!$MC$2:$MC$200=P$3)*('GMW - worst case'!$MB$2:$MB$200=P$4),0),$E30-1973)</f>
        <v>#N/A</v>
      </c>
      <c r="Q30" t="e" cm="1">
        <f t="array" ref="Q30">INDEX('GMW - worst case'!$A$2:$MC$200,MATCH(1,('GMW - worst case'!$MC$2:$MC$200=Q$3)*('GMW - worst case'!$MB$2:$MB$200=Q$4),0),$E30-1973)</f>
        <v>#N/A</v>
      </c>
      <c r="R30" t="e" cm="1">
        <f t="array" ref="R30">INDEX('GMW - worst case'!$A$2:$MC$200,MATCH(1,('GMW - worst case'!$MC$2:$MC$200=R$3)*('GMW - worst case'!$MB$2:$MB$200=R$4),0),$E30-1973)</f>
        <v>#N/A</v>
      </c>
      <c r="S30" t="e" cm="1">
        <f t="array" ref="S30">INDEX('GMW - worst case'!$A$2:$MC$200,MATCH(1,('GMW - worst case'!$MC$2:$MC$200=S$3)*('GMW - worst case'!$MB$2:$MB$200=S$4),0),$E30-1973)</f>
        <v>#N/A</v>
      </c>
    </row>
    <row r="31" spans="1:19" x14ac:dyDescent="0.25">
      <c r="A31">
        <v>1986</v>
      </c>
      <c r="B31">
        <f t="shared" si="3"/>
        <v>1986</v>
      </c>
      <c r="C31">
        <f t="shared" si="3"/>
        <v>1985</v>
      </c>
      <c r="D31">
        <f t="shared" si="3"/>
        <v>1985</v>
      </c>
      <c r="E31">
        <f t="shared" si="1"/>
        <v>2004</v>
      </c>
      <c r="F31" cm="1">
        <f t="array" ref="F31">INDEX('GMW - worst case'!$A$2:$MC$200,MATCH(1,('GMW - worst case'!$MC$2:$MC$200=F$3)*('GMW - worst case'!$MB$2:$MB$200=F$4),0),$E31-1973)</f>
        <v>325968</v>
      </c>
      <c r="G31" cm="1">
        <f t="array" ref="G31">INDEX('GMW - worst case'!$A$2:$MC$200,MATCH(1,('GMW - worst case'!$MC$2:$MC$200=G$3)*('GMW - worst case'!$MB$2:$MB$200=G$4),0),$E31-1973)</f>
        <v>178852</v>
      </c>
      <c r="H31" cm="1">
        <f t="array" ref="H31">INDEX('GMW - worst case'!$A$2:$MC$200,MATCH(1,('GMW - worst case'!$MC$2:$MC$200=H$3)*('GMW - worst case'!$MB$2:$MB$200=H$4),0),$E31-1973)</f>
        <v>45.646929999999998</v>
      </c>
      <c r="I31" cm="1">
        <f t="array" ref="I31">INDEX('GMW - worst case'!$A$2:$MC$200,MATCH(1,('GMW - worst case'!$MC$2:$MC$200=I$3)*('GMW - worst case'!$MB$2:$MB$200=I$4),0),$E31-1973)</f>
        <v>12.07813</v>
      </c>
      <c r="J31" t="e" cm="1">
        <f t="array" ref="J31">INDEX('GMW - worst case'!$A$2:$MC$200,MATCH(1,('GMW - worst case'!$MC$2:$MC$200=J$3)*('GMW - worst case'!$MB$2:$MB$200=J$4),0),$E31-1973)</f>
        <v>#N/A</v>
      </c>
      <c r="K31" t="e" cm="1">
        <f t="array" ref="K31">INDEX('GMW - worst case'!$A$2:$MC$200,MATCH(1,('GMW - worst case'!$MC$2:$MC$200=K$3)*('GMW - worst case'!$MB$2:$MB$200=K$4),0),$E31-1973)</f>
        <v>#N/A</v>
      </c>
      <c r="L31" t="e" cm="1">
        <f t="array" ref="L31">INDEX('GMW - worst case'!$A$2:$MC$200,MATCH(1,('GMW - worst case'!$MC$2:$MC$200=L$3)*('GMW - worst case'!$MB$2:$MB$200=L$4),0),$E31-1973)</f>
        <v>#N/A</v>
      </c>
      <c r="M31" t="e" cm="1">
        <f t="array" ref="M31">INDEX('GMW - worst case'!$A$2:$MC$200,MATCH(1,('GMW - worst case'!$MC$2:$MC$200=M$3)*('GMW - worst case'!$MB$2:$MB$200=M$4),0),$E31-1973)</f>
        <v>#N/A</v>
      </c>
      <c r="N31" t="e" cm="1">
        <f t="array" ref="N31">INDEX('GMW - worst case'!$A$2:$MC$200,MATCH(1,('GMW - worst case'!$MC$2:$MC$200=N$3)*('GMW - worst case'!$MB$2:$MB$200=N$4),0),$E31-1973)</f>
        <v>#N/A</v>
      </c>
      <c r="O31" t="e" cm="1">
        <f t="array" ref="O31">INDEX('GMW - worst case'!$A$2:$MC$200,MATCH(1,('GMW - worst case'!$MC$2:$MC$200=O$3)*('GMW - worst case'!$MB$2:$MB$200=O$4),0),$E31-1973)</f>
        <v>#N/A</v>
      </c>
      <c r="P31" t="e" cm="1">
        <f t="array" ref="P31">INDEX('GMW - worst case'!$A$2:$MC$200,MATCH(1,('GMW - worst case'!$MC$2:$MC$200=P$3)*('GMW - worst case'!$MB$2:$MB$200=P$4),0),$E31-1973)</f>
        <v>#N/A</v>
      </c>
      <c r="Q31" t="e" cm="1">
        <f t="array" ref="Q31">INDEX('GMW - worst case'!$A$2:$MC$200,MATCH(1,('GMW - worst case'!$MC$2:$MC$200=Q$3)*('GMW - worst case'!$MB$2:$MB$200=Q$4),0),$E31-1973)</f>
        <v>#N/A</v>
      </c>
      <c r="R31" t="e" cm="1">
        <f t="array" ref="R31">INDEX('GMW - worst case'!$A$2:$MC$200,MATCH(1,('GMW - worst case'!$MC$2:$MC$200=R$3)*('GMW - worst case'!$MB$2:$MB$200=R$4),0),$E31-1973)</f>
        <v>#N/A</v>
      </c>
      <c r="S31" t="e" cm="1">
        <f t="array" ref="S31">INDEX('GMW - worst case'!$A$2:$MC$200,MATCH(1,('GMW - worst case'!$MC$2:$MC$200=S$3)*('GMW - worst case'!$MB$2:$MB$200=S$4),0),$E31-1973)</f>
        <v>#N/A</v>
      </c>
    </row>
    <row r="32" spans="1:19" x14ac:dyDescent="0.25">
      <c r="B32">
        <f t="shared" si="3"/>
        <v>1986</v>
      </c>
      <c r="C32">
        <f t="shared" si="3"/>
        <v>1986</v>
      </c>
      <c r="E32">
        <f t="shared" si="1"/>
        <v>2005</v>
      </c>
      <c r="F32" cm="1">
        <f t="array" ref="F32">INDEX('GMW - worst case'!$A$2:$MC$200,MATCH(1,('GMW - worst case'!$MC$2:$MC$200=F$3)*('GMW - worst case'!$MB$2:$MB$200=F$4),0),$E32-1973)</f>
        <v>328872</v>
      </c>
      <c r="G32" cm="1">
        <f t="array" ref="G32">INDEX('GMW - worst case'!$A$2:$MC$200,MATCH(1,('GMW - worst case'!$MC$2:$MC$200=G$3)*('GMW - worst case'!$MB$2:$MB$200=G$4),0),$E32-1973)</f>
        <v>181672</v>
      </c>
      <c r="H32" cm="1">
        <f t="array" ref="H32">INDEX('GMW - worst case'!$A$2:$MC$200,MATCH(1,('GMW - worst case'!$MC$2:$MC$200=H$3)*('GMW - worst case'!$MB$2:$MB$200=H$4),0),$E32-1973)</f>
        <v>46.3508</v>
      </c>
      <c r="I32" cm="1">
        <f t="array" ref="I32">INDEX('GMW - worst case'!$A$2:$MC$200,MATCH(1,('GMW - worst case'!$MC$2:$MC$200=I$3)*('GMW - worst case'!$MB$2:$MB$200=I$4),0),$E32-1973)</f>
        <v>10.328849999999999</v>
      </c>
      <c r="J32" t="e" cm="1">
        <f t="array" ref="J32">INDEX('GMW - worst case'!$A$2:$MC$200,MATCH(1,('GMW - worst case'!$MC$2:$MC$200=J$3)*('GMW - worst case'!$MB$2:$MB$200=J$4),0),$E32-1973)</f>
        <v>#N/A</v>
      </c>
      <c r="K32" t="e" cm="1">
        <f t="array" ref="K32">INDEX('GMW - worst case'!$A$2:$MC$200,MATCH(1,('GMW - worst case'!$MC$2:$MC$200=K$3)*('GMW - worst case'!$MB$2:$MB$200=K$4),0),$E32-1973)</f>
        <v>#N/A</v>
      </c>
      <c r="L32" t="e" cm="1">
        <f t="array" ref="L32">INDEX('GMW - worst case'!$A$2:$MC$200,MATCH(1,('GMW - worst case'!$MC$2:$MC$200=L$3)*('GMW - worst case'!$MB$2:$MB$200=L$4),0),$E32-1973)</f>
        <v>#N/A</v>
      </c>
      <c r="M32" t="e" cm="1">
        <f t="array" ref="M32">INDEX('GMW - worst case'!$A$2:$MC$200,MATCH(1,('GMW - worst case'!$MC$2:$MC$200=M$3)*('GMW - worst case'!$MB$2:$MB$200=M$4),0),$E32-1973)</f>
        <v>#N/A</v>
      </c>
      <c r="N32" t="e" cm="1">
        <f t="array" ref="N32">INDEX('GMW - worst case'!$A$2:$MC$200,MATCH(1,('GMW - worst case'!$MC$2:$MC$200=N$3)*('GMW - worst case'!$MB$2:$MB$200=N$4),0),$E32-1973)</f>
        <v>#N/A</v>
      </c>
      <c r="O32" t="e" cm="1">
        <f t="array" ref="O32">INDEX('GMW - worst case'!$A$2:$MC$200,MATCH(1,('GMW - worst case'!$MC$2:$MC$200=O$3)*('GMW - worst case'!$MB$2:$MB$200=O$4),0),$E32-1973)</f>
        <v>#N/A</v>
      </c>
      <c r="P32" t="e" cm="1">
        <f t="array" ref="P32">INDEX('GMW - worst case'!$A$2:$MC$200,MATCH(1,('GMW - worst case'!$MC$2:$MC$200=P$3)*('GMW - worst case'!$MB$2:$MB$200=P$4),0),$E32-1973)</f>
        <v>#N/A</v>
      </c>
      <c r="Q32" t="e" cm="1">
        <f t="array" ref="Q32">INDEX('GMW - worst case'!$A$2:$MC$200,MATCH(1,('GMW - worst case'!$MC$2:$MC$200=Q$3)*('GMW - worst case'!$MB$2:$MB$200=Q$4),0),$E32-1973)</f>
        <v>#N/A</v>
      </c>
      <c r="R32" t="e" cm="1">
        <f t="array" ref="R32">INDEX('GMW - worst case'!$A$2:$MC$200,MATCH(1,('GMW - worst case'!$MC$2:$MC$200=R$3)*('GMW - worst case'!$MB$2:$MB$200=R$4),0),$E32-1973)</f>
        <v>#N/A</v>
      </c>
      <c r="S32" t="e" cm="1">
        <f t="array" ref="S32">INDEX('GMW - worst case'!$A$2:$MC$200,MATCH(1,('GMW - worst case'!$MC$2:$MC$200=S$3)*('GMW - worst case'!$MB$2:$MB$200=S$4),0),$E32-1973)</f>
        <v>#N/A</v>
      </c>
    </row>
    <row r="33" spans="1:19" x14ac:dyDescent="0.25">
      <c r="B33">
        <f t="shared" si="3"/>
        <v>1986</v>
      </c>
      <c r="C33">
        <f t="shared" si="3"/>
        <v>1986</v>
      </c>
      <c r="E33">
        <f t="shared" si="1"/>
        <v>2006</v>
      </c>
      <c r="F33" cm="1">
        <f t="array" ref="F33">INDEX('GMW - worst case'!$A$2:$MC$200,MATCH(1,('GMW - worst case'!$MC$2:$MC$200=F$3)*('GMW - worst case'!$MB$2:$MB$200=F$4),0),$E33-1973)</f>
        <v>330966</v>
      </c>
      <c r="G33" cm="1">
        <f t="array" ref="G33">INDEX('GMW - worst case'!$A$2:$MC$200,MATCH(1,('GMW - worst case'!$MC$2:$MC$200=G$3)*('GMW - worst case'!$MB$2:$MB$200=G$4),0),$E33-1973)</f>
        <v>182857</v>
      </c>
      <c r="H33" cm="1">
        <f t="array" ref="H33">INDEX('GMW - worst case'!$A$2:$MC$200,MATCH(1,('GMW - worst case'!$MC$2:$MC$200=H$3)*('GMW - worst case'!$MB$2:$MB$200=H$4),0),$E33-1973)</f>
        <v>46.533279999999998</v>
      </c>
      <c r="I33" cm="1">
        <f t="array" ref="I33">INDEX('GMW - worst case'!$A$2:$MC$200,MATCH(1,('GMW - worst case'!$MC$2:$MC$200=I$3)*('GMW - worst case'!$MB$2:$MB$200=I$4),0),$E33-1973)</f>
        <v>9.875</v>
      </c>
      <c r="J33" t="e" cm="1">
        <f t="array" ref="J33">INDEX('GMW - worst case'!$A$2:$MC$200,MATCH(1,('GMW - worst case'!$MC$2:$MC$200=J$3)*('GMW - worst case'!$MB$2:$MB$200=J$4),0),$E33-1973)</f>
        <v>#N/A</v>
      </c>
      <c r="K33" t="e" cm="1">
        <f t="array" ref="K33">INDEX('GMW - worst case'!$A$2:$MC$200,MATCH(1,('GMW - worst case'!$MC$2:$MC$200=K$3)*('GMW - worst case'!$MB$2:$MB$200=K$4),0),$E33-1973)</f>
        <v>#N/A</v>
      </c>
      <c r="L33" t="e" cm="1">
        <f t="array" ref="L33">INDEX('GMW - worst case'!$A$2:$MC$200,MATCH(1,('GMW - worst case'!$MC$2:$MC$200=L$3)*('GMW - worst case'!$MB$2:$MB$200=L$4),0),$E33-1973)</f>
        <v>#N/A</v>
      </c>
      <c r="M33" t="e" cm="1">
        <f t="array" ref="M33">INDEX('GMW - worst case'!$A$2:$MC$200,MATCH(1,('GMW - worst case'!$MC$2:$MC$200=M$3)*('GMW - worst case'!$MB$2:$MB$200=M$4),0),$E33-1973)</f>
        <v>#N/A</v>
      </c>
      <c r="N33" t="e" cm="1">
        <f t="array" ref="N33">INDEX('GMW - worst case'!$A$2:$MC$200,MATCH(1,('GMW - worst case'!$MC$2:$MC$200=N$3)*('GMW - worst case'!$MB$2:$MB$200=N$4),0),$E33-1973)</f>
        <v>#N/A</v>
      </c>
      <c r="O33" t="e" cm="1">
        <f t="array" ref="O33">INDEX('GMW - worst case'!$A$2:$MC$200,MATCH(1,('GMW - worst case'!$MC$2:$MC$200=O$3)*('GMW - worst case'!$MB$2:$MB$200=O$4),0),$E33-1973)</f>
        <v>#N/A</v>
      </c>
      <c r="P33" t="e" cm="1">
        <f t="array" ref="P33">INDEX('GMW - worst case'!$A$2:$MC$200,MATCH(1,('GMW - worst case'!$MC$2:$MC$200=P$3)*('GMW - worst case'!$MB$2:$MB$200=P$4),0),$E33-1973)</f>
        <v>#N/A</v>
      </c>
      <c r="Q33" t="e" cm="1">
        <f t="array" ref="Q33">INDEX('GMW - worst case'!$A$2:$MC$200,MATCH(1,('GMW - worst case'!$MC$2:$MC$200=Q$3)*('GMW - worst case'!$MB$2:$MB$200=Q$4),0),$E33-1973)</f>
        <v>#N/A</v>
      </c>
      <c r="R33" t="e" cm="1">
        <f t="array" ref="R33">INDEX('GMW - worst case'!$A$2:$MC$200,MATCH(1,('GMW - worst case'!$MC$2:$MC$200=R$3)*('GMW - worst case'!$MB$2:$MB$200=R$4),0),$E33-1973)</f>
        <v>#N/A</v>
      </c>
      <c r="S33" t="e" cm="1">
        <f t="array" ref="S33">INDEX('GMW - worst case'!$A$2:$MC$200,MATCH(1,('GMW - worst case'!$MC$2:$MC$200=S$3)*('GMW - worst case'!$MB$2:$MB$200=S$4),0),$E33-1973)</f>
        <v>#N/A</v>
      </c>
    </row>
    <row r="34" spans="1:19" x14ac:dyDescent="0.25">
      <c r="B34">
        <f t="shared" si="3"/>
        <v>1986</v>
      </c>
      <c r="C34">
        <f t="shared" si="3"/>
        <v>1986</v>
      </c>
      <c r="E34">
        <f t="shared" si="1"/>
        <v>2007</v>
      </c>
      <c r="F34" cm="1">
        <f t="array" ref="F34">INDEX('GMW - worst case'!$A$2:$MC$200,MATCH(1,('GMW - worst case'!$MC$2:$MC$200=F$3)*('GMW - worst case'!$MB$2:$MB$200=F$4),0),$E34-1973)</f>
        <v>337367</v>
      </c>
      <c r="G34" cm="1">
        <f t="array" ref="G34">INDEX('GMW - worst case'!$A$2:$MC$200,MATCH(1,('GMW - worst case'!$MC$2:$MC$200=G$3)*('GMW - worst case'!$MB$2:$MB$200=G$4),0),$E34-1973)</f>
        <v>183752</v>
      </c>
      <c r="H34" cm="1">
        <f t="array" ref="H34">INDEX('GMW - worst case'!$A$2:$MC$200,MATCH(1,('GMW - worst case'!$MC$2:$MC$200=H$3)*('GMW - worst case'!$MB$2:$MB$200=H$4),0),$E34-1973)</f>
        <v>46.924320000000002</v>
      </c>
      <c r="I34" cm="1">
        <f t="array" ref="I34">INDEX('GMW - worst case'!$A$2:$MC$200,MATCH(1,('GMW - worst case'!$MC$2:$MC$200=I$3)*('GMW - worst case'!$MB$2:$MB$200=I$4),0),$E34-1973)</f>
        <v>10.72348</v>
      </c>
      <c r="J34" t="e" cm="1">
        <f t="array" ref="J34">INDEX('GMW - worst case'!$A$2:$MC$200,MATCH(1,('GMW - worst case'!$MC$2:$MC$200=J$3)*('GMW - worst case'!$MB$2:$MB$200=J$4),0),$E34-1973)</f>
        <v>#N/A</v>
      </c>
      <c r="K34" t="e" cm="1">
        <f t="array" ref="K34">INDEX('GMW - worst case'!$A$2:$MC$200,MATCH(1,('GMW - worst case'!$MC$2:$MC$200=K$3)*('GMW - worst case'!$MB$2:$MB$200=K$4),0),$E34-1973)</f>
        <v>#N/A</v>
      </c>
      <c r="L34" t="e" cm="1">
        <f t="array" ref="L34">INDEX('GMW - worst case'!$A$2:$MC$200,MATCH(1,('GMW - worst case'!$MC$2:$MC$200=L$3)*('GMW - worst case'!$MB$2:$MB$200=L$4),0),$E34-1973)</f>
        <v>#N/A</v>
      </c>
      <c r="M34" t="e" cm="1">
        <f t="array" ref="M34">INDEX('GMW - worst case'!$A$2:$MC$200,MATCH(1,('GMW - worst case'!$MC$2:$MC$200=M$3)*('GMW - worst case'!$MB$2:$MB$200=M$4),0),$E34-1973)</f>
        <v>#N/A</v>
      </c>
      <c r="N34" t="e" cm="1">
        <f t="array" ref="N34">INDEX('GMW - worst case'!$A$2:$MC$200,MATCH(1,('GMW - worst case'!$MC$2:$MC$200=N$3)*('GMW - worst case'!$MB$2:$MB$200=N$4),0),$E34-1973)</f>
        <v>#N/A</v>
      </c>
      <c r="O34" t="e" cm="1">
        <f t="array" ref="O34">INDEX('GMW - worst case'!$A$2:$MC$200,MATCH(1,('GMW - worst case'!$MC$2:$MC$200=O$3)*('GMW - worst case'!$MB$2:$MB$200=O$4),0),$E34-1973)</f>
        <v>#N/A</v>
      </c>
      <c r="P34" t="e" cm="1">
        <f t="array" ref="P34">INDEX('GMW - worst case'!$A$2:$MC$200,MATCH(1,('GMW - worst case'!$MC$2:$MC$200=P$3)*('GMW - worst case'!$MB$2:$MB$200=P$4),0),$E34-1973)</f>
        <v>#N/A</v>
      </c>
      <c r="Q34" t="e" cm="1">
        <f t="array" ref="Q34">INDEX('GMW - worst case'!$A$2:$MC$200,MATCH(1,('GMW - worst case'!$MC$2:$MC$200=Q$3)*('GMW - worst case'!$MB$2:$MB$200=Q$4),0),$E34-1973)</f>
        <v>#N/A</v>
      </c>
      <c r="R34" t="e" cm="1">
        <f t="array" ref="R34">INDEX('GMW - worst case'!$A$2:$MC$200,MATCH(1,('GMW - worst case'!$MC$2:$MC$200=R$3)*('GMW - worst case'!$MB$2:$MB$200=R$4),0),$E34-1973)</f>
        <v>#N/A</v>
      </c>
      <c r="S34" t="e" cm="1">
        <f t="array" ref="S34">INDEX('GMW - worst case'!$A$2:$MC$200,MATCH(1,('GMW - worst case'!$MC$2:$MC$200=S$3)*('GMW - worst case'!$MB$2:$MB$200=S$4),0),$E34-1973)</f>
        <v>#N/A</v>
      </c>
    </row>
    <row r="35" spans="1:19" x14ac:dyDescent="0.25">
      <c r="A35">
        <v>1987</v>
      </c>
      <c r="B35">
        <f t="shared" si="3"/>
        <v>1987</v>
      </c>
      <c r="C35">
        <f t="shared" si="3"/>
        <v>1986</v>
      </c>
      <c r="D35">
        <f t="shared" si="3"/>
        <v>1986</v>
      </c>
      <c r="E35">
        <f t="shared" si="1"/>
        <v>2008</v>
      </c>
      <c r="F35" cm="1">
        <f t="array" ref="F35">INDEX('GMW - worst case'!$A$2:$MC$200,MATCH(1,('GMW - worst case'!$MC$2:$MC$200=F$3)*('GMW - worst case'!$MB$2:$MB$200=F$4),0),$E35-1973)</f>
        <v>339754</v>
      </c>
      <c r="G35" cm="1">
        <f t="array" ref="G35">INDEX('GMW - worst case'!$A$2:$MC$200,MATCH(1,('GMW - worst case'!$MC$2:$MC$200=G$3)*('GMW - worst case'!$MB$2:$MB$200=G$4),0),$E35-1973)</f>
        <v>185943</v>
      </c>
      <c r="H35" cm="1">
        <f t="array" ref="H35">INDEX('GMW - worst case'!$A$2:$MC$200,MATCH(1,('GMW - worst case'!$MC$2:$MC$200=H$3)*('GMW - worst case'!$MB$2:$MB$200=H$4),0),$E35-1973)</f>
        <v>47.237139999999997</v>
      </c>
      <c r="I35" cm="1">
        <f t="array" ref="I35">INDEX('GMW - worst case'!$A$2:$MC$200,MATCH(1,('GMW - worst case'!$MC$2:$MC$200=I$3)*('GMW - worst case'!$MB$2:$MB$200=I$4),0),$E35-1973)</f>
        <v>10.664059999999999</v>
      </c>
      <c r="J35" t="e" cm="1">
        <f t="array" ref="J35">INDEX('GMW - worst case'!$A$2:$MC$200,MATCH(1,('GMW - worst case'!$MC$2:$MC$200=J$3)*('GMW - worst case'!$MB$2:$MB$200=J$4),0),$E35-1973)</f>
        <v>#N/A</v>
      </c>
      <c r="K35" t="e" cm="1">
        <f t="array" ref="K35">INDEX('GMW - worst case'!$A$2:$MC$200,MATCH(1,('GMW - worst case'!$MC$2:$MC$200=K$3)*('GMW - worst case'!$MB$2:$MB$200=K$4),0),$E35-1973)</f>
        <v>#N/A</v>
      </c>
      <c r="L35" t="e" cm="1">
        <f t="array" ref="L35">INDEX('GMW - worst case'!$A$2:$MC$200,MATCH(1,('GMW - worst case'!$MC$2:$MC$200=L$3)*('GMW - worst case'!$MB$2:$MB$200=L$4),0),$E35-1973)</f>
        <v>#N/A</v>
      </c>
      <c r="M35" t="e" cm="1">
        <f t="array" ref="M35">INDEX('GMW - worst case'!$A$2:$MC$200,MATCH(1,('GMW - worst case'!$MC$2:$MC$200=M$3)*('GMW - worst case'!$MB$2:$MB$200=M$4),0),$E35-1973)</f>
        <v>#N/A</v>
      </c>
      <c r="N35" t="e" cm="1">
        <f t="array" ref="N35">INDEX('GMW - worst case'!$A$2:$MC$200,MATCH(1,('GMW - worst case'!$MC$2:$MC$200=N$3)*('GMW - worst case'!$MB$2:$MB$200=N$4),0),$E35-1973)</f>
        <v>#N/A</v>
      </c>
      <c r="O35" t="e" cm="1">
        <f t="array" ref="O35">INDEX('GMW - worst case'!$A$2:$MC$200,MATCH(1,('GMW - worst case'!$MC$2:$MC$200=O$3)*('GMW - worst case'!$MB$2:$MB$200=O$4),0),$E35-1973)</f>
        <v>#N/A</v>
      </c>
      <c r="P35" t="e" cm="1">
        <f t="array" ref="P35">INDEX('GMW - worst case'!$A$2:$MC$200,MATCH(1,('GMW - worst case'!$MC$2:$MC$200=P$3)*('GMW - worst case'!$MB$2:$MB$200=P$4),0),$E35-1973)</f>
        <v>#N/A</v>
      </c>
      <c r="Q35" t="e" cm="1">
        <f t="array" ref="Q35">INDEX('GMW - worst case'!$A$2:$MC$200,MATCH(1,('GMW - worst case'!$MC$2:$MC$200=Q$3)*('GMW - worst case'!$MB$2:$MB$200=Q$4),0),$E35-1973)</f>
        <v>#N/A</v>
      </c>
      <c r="R35" t="e" cm="1">
        <f t="array" ref="R35">INDEX('GMW - worst case'!$A$2:$MC$200,MATCH(1,('GMW - worst case'!$MC$2:$MC$200=R$3)*('GMW - worst case'!$MB$2:$MB$200=R$4),0),$E35-1973)</f>
        <v>#N/A</v>
      </c>
      <c r="S35" t="e" cm="1">
        <f t="array" ref="S35">INDEX('GMW - worst case'!$A$2:$MC$200,MATCH(1,('GMW - worst case'!$MC$2:$MC$200=S$3)*('GMW - worst case'!$MB$2:$MB$200=S$4),0),$E35-1973)</f>
        <v>#N/A</v>
      </c>
    </row>
    <row r="36" spans="1:19" x14ac:dyDescent="0.25">
      <c r="B36">
        <f t="shared" si="3"/>
        <v>1987</v>
      </c>
      <c r="C36">
        <f t="shared" si="3"/>
        <v>1987</v>
      </c>
      <c r="E36">
        <f t="shared" si="1"/>
        <v>2009</v>
      </c>
      <c r="F36" cm="1">
        <f t="array" ref="F36">INDEX('GMW - worst case'!$A$2:$MC$200,MATCH(1,('GMW - worst case'!$MC$2:$MC$200=F$3)*('GMW - worst case'!$MB$2:$MB$200=F$4),0),$E36-1973)</f>
        <v>344795</v>
      </c>
      <c r="G36" cm="1">
        <f t="array" ref="G36">INDEX('GMW - worst case'!$A$2:$MC$200,MATCH(1,('GMW - worst case'!$MC$2:$MC$200=G$3)*('GMW - worst case'!$MB$2:$MB$200=G$4),0),$E36-1973)</f>
        <v>189091</v>
      </c>
      <c r="H36" cm="1">
        <f t="array" ref="H36">INDEX('GMW - worst case'!$A$2:$MC$200,MATCH(1,('GMW - worst case'!$MC$2:$MC$200=H$3)*('GMW - worst case'!$MB$2:$MB$200=H$4),0),$E36-1973)</f>
        <v>47.836730000000003</v>
      </c>
      <c r="I36" cm="1">
        <f t="array" ref="I36">INDEX('GMW - worst case'!$A$2:$MC$200,MATCH(1,('GMW - worst case'!$MC$2:$MC$200=I$3)*('GMW - worst case'!$MB$2:$MB$200=I$4),0),$E36-1973)</f>
        <v>9.228847</v>
      </c>
      <c r="J36" t="e" cm="1">
        <f t="array" ref="J36">INDEX('GMW - worst case'!$A$2:$MC$200,MATCH(1,('GMW - worst case'!$MC$2:$MC$200=J$3)*('GMW - worst case'!$MB$2:$MB$200=J$4),0),$E36-1973)</f>
        <v>#N/A</v>
      </c>
      <c r="K36" t="e" cm="1">
        <f t="array" ref="K36">INDEX('GMW - worst case'!$A$2:$MC$200,MATCH(1,('GMW - worst case'!$MC$2:$MC$200=K$3)*('GMW - worst case'!$MB$2:$MB$200=K$4),0),$E36-1973)</f>
        <v>#N/A</v>
      </c>
      <c r="L36" t="e" cm="1">
        <f t="array" ref="L36">INDEX('GMW - worst case'!$A$2:$MC$200,MATCH(1,('GMW - worst case'!$MC$2:$MC$200=L$3)*('GMW - worst case'!$MB$2:$MB$200=L$4),0),$E36-1973)</f>
        <v>#N/A</v>
      </c>
      <c r="M36" t="e" cm="1">
        <f t="array" ref="M36">INDEX('GMW - worst case'!$A$2:$MC$200,MATCH(1,('GMW - worst case'!$MC$2:$MC$200=M$3)*('GMW - worst case'!$MB$2:$MB$200=M$4),0),$E36-1973)</f>
        <v>#N/A</v>
      </c>
      <c r="N36" t="e" cm="1">
        <f t="array" ref="N36">INDEX('GMW - worst case'!$A$2:$MC$200,MATCH(1,('GMW - worst case'!$MC$2:$MC$200=N$3)*('GMW - worst case'!$MB$2:$MB$200=N$4),0),$E36-1973)</f>
        <v>#N/A</v>
      </c>
      <c r="O36" t="e" cm="1">
        <f t="array" ref="O36">INDEX('GMW - worst case'!$A$2:$MC$200,MATCH(1,('GMW - worst case'!$MC$2:$MC$200=O$3)*('GMW - worst case'!$MB$2:$MB$200=O$4),0),$E36-1973)</f>
        <v>#N/A</v>
      </c>
      <c r="P36" t="e" cm="1">
        <f t="array" ref="P36">INDEX('GMW - worst case'!$A$2:$MC$200,MATCH(1,('GMW - worst case'!$MC$2:$MC$200=P$3)*('GMW - worst case'!$MB$2:$MB$200=P$4),0),$E36-1973)</f>
        <v>#N/A</v>
      </c>
      <c r="Q36" t="e" cm="1">
        <f t="array" ref="Q36">INDEX('GMW - worst case'!$A$2:$MC$200,MATCH(1,('GMW - worst case'!$MC$2:$MC$200=Q$3)*('GMW - worst case'!$MB$2:$MB$200=Q$4),0),$E36-1973)</f>
        <v>#N/A</v>
      </c>
      <c r="R36" t="e" cm="1">
        <f t="array" ref="R36">INDEX('GMW - worst case'!$A$2:$MC$200,MATCH(1,('GMW - worst case'!$MC$2:$MC$200=R$3)*('GMW - worst case'!$MB$2:$MB$200=R$4),0),$E36-1973)</f>
        <v>#N/A</v>
      </c>
      <c r="S36" t="e" cm="1">
        <f t="array" ref="S36">INDEX('GMW - worst case'!$A$2:$MC$200,MATCH(1,('GMW - worst case'!$MC$2:$MC$200=S$3)*('GMW - worst case'!$MB$2:$MB$200=S$4),0),$E36-1973)</f>
        <v>#N/A</v>
      </c>
    </row>
    <row r="37" spans="1:19" x14ac:dyDescent="0.25">
      <c r="B37">
        <f t="shared" si="3"/>
        <v>1987</v>
      </c>
      <c r="C37">
        <f t="shared" si="3"/>
        <v>1987</v>
      </c>
      <c r="E37">
        <f t="shared" si="1"/>
        <v>2010</v>
      </c>
      <c r="F37" cm="1">
        <f t="array" ref="F37">INDEX('GMW - worst case'!$A$2:$MC$200,MATCH(1,('GMW - worst case'!$MC$2:$MC$200=F$3)*('GMW - worst case'!$MB$2:$MB$200=F$4),0),$E37-1973)</f>
        <v>353365</v>
      </c>
      <c r="G37" cm="1">
        <f t="array" ref="G37">INDEX('GMW - worst case'!$A$2:$MC$200,MATCH(1,('GMW - worst case'!$MC$2:$MC$200=G$3)*('GMW - worst case'!$MB$2:$MB$200=G$4),0),$E37-1973)</f>
        <v>193017</v>
      </c>
      <c r="H37" cm="1">
        <f t="array" ref="H37">INDEX('GMW - worst case'!$A$2:$MC$200,MATCH(1,('GMW - worst case'!$MC$2:$MC$200=H$3)*('GMW - worst case'!$MB$2:$MB$200=H$4),0),$E37-1973)</f>
        <v>47.888869999999997</v>
      </c>
      <c r="I37" cm="1">
        <f t="array" ref="I37">INDEX('GMW - worst case'!$A$2:$MC$200,MATCH(1,('GMW - worst case'!$MC$2:$MC$200=I$3)*('GMW - worst case'!$MB$2:$MB$200=I$4),0),$E37-1973)</f>
        <v>9.4810610000000004</v>
      </c>
      <c r="J37" t="e" cm="1">
        <f t="array" ref="J37">INDEX('GMW - worst case'!$A$2:$MC$200,MATCH(1,('GMW - worst case'!$MC$2:$MC$200=J$3)*('GMW - worst case'!$MB$2:$MB$200=J$4),0),$E37-1973)</f>
        <v>#N/A</v>
      </c>
      <c r="K37" t="e" cm="1">
        <f t="array" ref="K37">INDEX('GMW - worst case'!$A$2:$MC$200,MATCH(1,('GMW - worst case'!$MC$2:$MC$200=K$3)*('GMW - worst case'!$MB$2:$MB$200=K$4),0),$E37-1973)</f>
        <v>#N/A</v>
      </c>
      <c r="L37" t="e" cm="1">
        <f t="array" ref="L37">INDEX('GMW - worst case'!$A$2:$MC$200,MATCH(1,('GMW - worst case'!$MC$2:$MC$200=L$3)*('GMW - worst case'!$MB$2:$MB$200=L$4),0),$E37-1973)</f>
        <v>#N/A</v>
      </c>
      <c r="M37" t="e" cm="1">
        <f t="array" ref="M37">INDEX('GMW - worst case'!$A$2:$MC$200,MATCH(1,('GMW - worst case'!$MC$2:$MC$200=M$3)*('GMW - worst case'!$MB$2:$MB$200=M$4),0),$E37-1973)</f>
        <v>#N/A</v>
      </c>
      <c r="N37" t="e" cm="1">
        <f t="array" ref="N37">INDEX('GMW - worst case'!$A$2:$MC$200,MATCH(1,('GMW - worst case'!$MC$2:$MC$200=N$3)*('GMW - worst case'!$MB$2:$MB$200=N$4),0),$E37-1973)</f>
        <v>#N/A</v>
      </c>
      <c r="O37" t="e" cm="1">
        <f t="array" ref="O37">INDEX('GMW - worst case'!$A$2:$MC$200,MATCH(1,('GMW - worst case'!$MC$2:$MC$200=O$3)*('GMW - worst case'!$MB$2:$MB$200=O$4),0),$E37-1973)</f>
        <v>#N/A</v>
      </c>
      <c r="P37" t="e" cm="1">
        <f t="array" ref="P37">INDEX('GMW - worst case'!$A$2:$MC$200,MATCH(1,('GMW - worst case'!$MC$2:$MC$200=P$3)*('GMW - worst case'!$MB$2:$MB$200=P$4),0),$E37-1973)</f>
        <v>#N/A</v>
      </c>
      <c r="Q37" t="e" cm="1">
        <f t="array" ref="Q37">INDEX('GMW - worst case'!$A$2:$MC$200,MATCH(1,('GMW - worst case'!$MC$2:$MC$200=Q$3)*('GMW - worst case'!$MB$2:$MB$200=Q$4),0),$E37-1973)</f>
        <v>#N/A</v>
      </c>
      <c r="R37" t="e" cm="1">
        <f t="array" ref="R37">INDEX('GMW - worst case'!$A$2:$MC$200,MATCH(1,('GMW - worst case'!$MC$2:$MC$200=R$3)*('GMW - worst case'!$MB$2:$MB$200=R$4),0),$E37-1973)</f>
        <v>#N/A</v>
      </c>
      <c r="S37" t="e" cm="1">
        <f t="array" ref="S37">INDEX('GMW - worst case'!$A$2:$MC$200,MATCH(1,('GMW - worst case'!$MC$2:$MC$200=S$3)*('GMW - worst case'!$MB$2:$MB$200=S$4),0),$E37-1973)</f>
        <v>#N/A</v>
      </c>
    </row>
    <row r="38" spans="1:19" x14ac:dyDescent="0.25">
      <c r="B38">
        <f t="shared" si="3"/>
        <v>1987</v>
      </c>
      <c r="C38">
        <f t="shared" si="3"/>
        <v>1987</v>
      </c>
      <c r="E38">
        <f t="shared" si="1"/>
        <v>2011</v>
      </c>
      <c r="F38" cm="1">
        <f t="array" ref="F38">INDEX('GMW - worst case'!$A$2:$MC$200,MATCH(1,('GMW - worst case'!$MC$2:$MC$200=F$3)*('GMW - worst case'!$MB$2:$MB$200=F$4),0),$E38-1973)</f>
        <v>357439</v>
      </c>
      <c r="G38" cm="1">
        <f t="array" ref="G38">INDEX('GMW - worst case'!$A$2:$MC$200,MATCH(1,('GMW - worst case'!$MC$2:$MC$200=G$3)*('GMW - worst case'!$MB$2:$MB$200=G$4),0),$E38-1973)</f>
        <v>197212</v>
      </c>
      <c r="H38" cm="1">
        <f t="array" ref="H38">INDEX('GMW - worst case'!$A$2:$MC$200,MATCH(1,('GMW - worst case'!$MC$2:$MC$200=H$3)*('GMW - worst case'!$MB$2:$MB$200=H$4),0),$E38-1973)</f>
        <v>48.436320000000002</v>
      </c>
      <c r="I38" cm="1">
        <f t="array" ref="I38">INDEX('GMW - worst case'!$A$2:$MC$200,MATCH(1,('GMW - worst case'!$MC$2:$MC$200=I$3)*('GMW - worst case'!$MB$2:$MB$200=I$4),0),$E38-1973)</f>
        <v>9.0189389999999996</v>
      </c>
      <c r="J38" t="e" cm="1">
        <f t="array" ref="J38">INDEX('GMW - worst case'!$A$2:$MC$200,MATCH(1,('GMW - worst case'!$MC$2:$MC$200=J$3)*('GMW - worst case'!$MB$2:$MB$200=J$4),0),$E38-1973)</f>
        <v>#N/A</v>
      </c>
      <c r="K38" t="e" cm="1">
        <f t="array" ref="K38">INDEX('GMW - worst case'!$A$2:$MC$200,MATCH(1,('GMW - worst case'!$MC$2:$MC$200=K$3)*('GMW - worst case'!$MB$2:$MB$200=K$4),0),$E38-1973)</f>
        <v>#N/A</v>
      </c>
      <c r="L38" t="e" cm="1">
        <f t="array" ref="L38">INDEX('GMW - worst case'!$A$2:$MC$200,MATCH(1,('GMW - worst case'!$MC$2:$MC$200=L$3)*('GMW - worst case'!$MB$2:$MB$200=L$4),0),$E38-1973)</f>
        <v>#N/A</v>
      </c>
      <c r="M38" t="e" cm="1">
        <f t="array" ref="M38">INDEX('GMW - worst case'!$A$2:$MC$200,MATCH(1,('GMW - worst case'!$MC$2:$MC$200=M$3)*('GMW - worst case'!$MB$2:$MB$200=M$4),0),$E38-1973)</f>
        <v>#N/A</v>
      </c>
      <c r="N38" t="e" cm="1">
        <f t="array" ref="N38">INDEX('GMW - worst case'!$A$2:$MC$200,MATCH(1,('GMW - worst case'!$MC$2:$MC$200=N$3)*('GMW - worst case'!$MB$2:$MB$200=N$4),0),$E38-1973)</f>
        <v>#N/A</v>
      </c>
      <c r="O38" t="e" cm="1">
        <f t="array" ref="O38">INDEX('GMW - worst case'!$A$2:$MC$200,MATCH(1,('GMW - worst case'!$MC$2:$MC$200=O$3)*('GMW - worst case'!$MB$2:$MB$200=O$4),0),$E38-1973)</f>
        <v>#N/A</v>
      </c>
      <c r="P38" t="e" cm="1">
        <f t="array" ref="P38">INDEX('GMW - worst case'!$A$2:$MC$200,MATCH(1,('GMW - worst case'!$MC$2:$MC$200=P$3)*('GMW - worst case'!$MB$2:$MB$200=P$4),0),$E38-1973)</f>
        <v>#N/A</v>
      </c>
      <c r="Q38" t="e" cm="1">
        <f t="array" ref="Q38">INDEX('GMW - worst case'!$A$2:$MC$200,MATCH(1,('GMW - worst case'!$MC$2:$MC$200=Q$3)*('GMW - worst case'!$MB$2:$MB$200=Q$4),0),$E38-1973)</f>
        <v>#N/A</v>
      </c>
      <c r="R38" t="e" cm="1">
        <f t="array" ref="R38">INDEX('GMW - worst case'!$A$2:$MC$200,MATCH(1,('GMW - worst case'!$MC$2:$MC$200=R$3)*('GMW - worst case'!$MB$2:$MB$200=R$4),0),$E38-1973)</f>
        <v>#N/A</v>
      </c>
      <c r="S38" t="e" cm="1">
        <f t="array" ref="S38">INDEX('GMW - worst case'!$A$2:$MC$200,MATCH(1,('GMW - worst case'!$MC$2:$MC$200=S$3)*('GMW - worst case'!$MB$2:$MB$200=S$4),0),$E38-1973)</f>
        <v>#N/A</v>
      </c>
    </row>
    <row r="39" spans="1:19" x14ac:dyDescent="0.25">
      <c r="A39">
        <v>1988</v>
      </c>
      <c r="B39">
        <f t="shared" si="3"/>
        <v>1988</v>
      </c>
      <c r="C39">
        <f t="shared" si="3"/>
        <v>1987</v>
      </c>
      <c r="D39">
        <f t="shared" si="3"/>
        <v>1987</v>
      </c>
      <c r="E39">
        <f t="shared" si="1"/>
        <v>2012</v>
      </c>
      <c r="F39" cm="1">
        <f t="array" ref="F39">INDEX('GMW - worst case'!$A$2:$MC$200,MATCH(1,('GMW - worst case'!$MC$2:$MC$200=F$3)*('GMW - worst case'!$MB$2:$MB$200=F$4),0),$E39-1973)</f>
        <v>363267</v>
      </c>
      <c r="G39" cm="1">
        <f t="array" ref="G39">INDEX('GMW - worst case'!$A$2:$MC$200,MATCH(1,('GMW - worst case'!$MC$2:$MC$200=G$3)*('GMW - worst case'!$MB$2:$MB$200=G$4),0),$E39-1973)</f>
        <v>199926</v>
      </c>
      <c r="H39" cm="1">
        <f t="array" ref="H39">INDEX('GMW - worst case'!$A$2:$MC$200,MATCH(1,('GMW - worst case'!$MC$2:$MC$200=H$3)*('GMW - worst case'!$MB$2:$MB$200=H$4),0),$E39-1973)</f>
        <v>48.566670000000002</v>
      </c>
      <c r="I39" cm="1">
        <f t="array" ref="I39">INDEX('GMW - worst case'!$A$2:$MC$200,MATCH(1,('GMW - worst case'!$MC$2:$MC$200=I$3)*('GMW - worst case'!$MB$2:$MB$200=I$4),0),$E39-1973)</f>
        <v>8.6288459999999993</v>
      </c>
      <c r="J39" t="e" cm="1">
        <f t="array" ref="J39">INDEX('GMW - worst case'!$A$2:$MC$200,MATCH(1,('GMW - worst case'!$MC$2:$MC$200=J$3)*('GMW - worst case'!$MB$2:$MB$200=J$4),0),$E39-1973)</f>
        <v>#N/A</v>
      </c>
      <c r="K39" t="e" cm="1">
        <f t="array" ref="K39">INDEX('GMW - worst case'!$A$2:$MC$200,MATCH(1,('GMW - worst case'!$MC$2:$MC$200=K$3)*('GMW - worst case'!$MB$2:$MB$200=K$4),0),$E39-1973)</f>
        <v>#N/A</v>
      </c>
      <c r="L39" t="e" cm="1">
        <f t="array" ref="L39">INDEX('GMW - worst case'!$A$2:$MC$200,MATCH(1,('GMW - worst case'!$MC$2:$MC$200=L$3)*('GMW - worst case'!$MB$2:$MB$200=L$4),0),$E39-1973)</f>
        <v>#N/A</v>
      </c>
      <c r="M39" t="e" cm="1">
        <f t="array" ref="M39">INDEX('GMW - worst case'!$A$2:$MC$200,MATCH(1,('GMW - worst case'!$MC$2:$MC$200=M$3)*('GMW - worst case'!$MB$2:$MB$200=M$4),0),$E39-1973)</f>
        <v>#N/A</v>
      </c>
      <c r="N39" t="e" cm="1">
        <f t="array" ref="N39">INDEX('GMW - worst case'!$A$2:$MC$200,MATCH(1,('GMW - worst case'!$MC$2:$MC$200=N$3)*('GMW - worst case'!$MB$2:$MB$200=N$4),0),$E39-1973)</f>
        <v>#N/A</v>
      </c>
      <c r="O39" t="e" cm="1">
        <f t="array" ref="O39">INDEX('GMW - worst case'!$A$2:$MC$200,MATCH(1,('GMW - worst case'!$MC$2:$MC$200=O$3)*('GMW - worst case'!$MB$2:$MB$200=O$4),0),$E39-1973)</f>
        <v>#N/A</v>
      </c>
      <c r="P39" t="e" cm="1">
        <f t="array" ref="P39">INDEX('GMW - worst case'!$A$2:$MC$200,MATCH(1,('GMW - worst case'!$MC$2:$MC$200=P$3)*('GMW - worst case'!$MB$2:$MB$200=P$4),0),$E39-1973)</f>
        <v>#N/A</v>
      </c>
      <c r="Q39" t="e" cm="1">
        <f t="array" ref="Q39">INDEX('GMW - worst case'!$A$2:$MC$200,MATCH(1,('GMW - worst case'!$MC$2:$MC$200=Q$3)*('GMW - worst case'!$MB$2:$MB$200=Q$4),0),$E39-1973)</f>
        <v>#N/A</v>
      </c>
      <c r="R39" t="e" cm="1">
        <f t="array" ref="R39">INDEX('GMW - worst case'!$A$2:$MC$200,MATCH(1,('GMW - worst case'!$MC$2:$MC$200=R$3)*('GMW - worst case'!$MB$2:$MB$200=R$4),0),$E39-1973)</f>
        <v>#N/A</v>
      </c>
      <c r="S39" t="e" cm="1">
        <f t="array" ref="S39">INDEX('GMW - worst case'!$A$2:$MC$200,MATCH(1,('GMW - worst case'!$MC$2:$MC$200=S$3)*('GMW - worst case'!$MB$2:$MB$200=S$4),0),$E39-1973)</f>
        <v>#N/A</v>
      </c>
    </row>
    <row r="40" spans="1:19" x14ac:dyDescent="0.25">
      <c r="B40">
        <f t="shared" si="3"/>
        <v>1988</v>
      </c>
      <c r="C40">
        <f t="shared" si="3"/>
        <v>1988</v>
      </c>
      <c r="E40">
        <f t="shared" si="1"/>
        <v>2013</v>
      </c>
      <c r="F40" cm="1">
        <f t="array" ref="F40">INDEX('GMW - worst case'!$A$2:$MC$200,MATCH(1,('GMW - worst case'!$MC$2:$MC$200=F$3)*('GMW - worst case'!$MB$2:$MB$200=F$4),0),$E40-1973)</f>
        <v>365209</v>
      </c>
      <c r="G40" cm="1">
        <f t="array" ref="G40">INDEX('GMW - worst case'!$A$2:$MC$200,MATCH(1,('GMW - worst case'!$MC$2:$MC$200=G$3)*('GMW - worst case'!$MB$2:$MB$200=G$4),0),$E40-1973)</f>
        <v>202789</v>
      </c>
      <c r="H40" cm="1">
        <f t="array" ref="H40">INDEX('GMW - worst case'!$A$2:$MC$200,MATCH(1,('GMW - worst case'!$MC$2:$MC$200=H$3)*('GMW - worst case'!$MB$2:$MB$200=H$4),0),$E40-1973)</f>
        <v>49.5</v>
      </c>
      <c r="I40" cm="1">
        <f t="array" ref="I40">INDEX('GMW - worst case'!$A$2:$MC$200,MATCH(1,('GMW - worst case'!$MC$2:$MC$200=I$3)*('GMW - worst case'!$MB$2:$MB$200=I$4),0),$E40-1973)</f>
        <v>7.9673080000000001</v>
      </c>
      <c r="J40" t="e" cm="1">
        <f t="array" ref="J40">INDEX('GMW - worst case'!$A$2:$MC$200,MATCH(1,('GMW - worst case'!$MC$2:$MC$200=J$3)*('GMW - worst case'!$MB$2:$MB$200=J$4),0),$E40-1973)</f>
        <v>#N/A</v>
      </c>
      <c r="K40" t="e" cm="1">
        <f t="array" ref="K40">INDEX('GMW - worst case'!$A$2:$MC$200,MATCH(1,('GMW - worst case'!$MC$2:$MC$200=K$3)*('GMW - worst case'!$MB$2:$MB$200=K$4),0),$E40-1973)</f>
        <v>#N/A</v>
      </c>
      <c r="L40" t="e" cm="1">
        <f t="array" ref="L40">INDEX('GMW - worst case'!$A$2:$MC$200,MATCH(1,('GMW - worst case'!$MC$2:$MC$200=L$3)*('GMW - worst case'!$MB$2:$MB$200=L$4),0),$E40-1973)</f>
        <v>#N/A</v>
      </c>
      <c r="M40" t="e" cm="1">
        <f t="array" ref="M40">INDEX('GMW - worst case'!$A$2:$MC$200,MATCH(1,('GMW - worst case'!$MC$2:$MC$200=M$3)*('GMW - worst case'!$MB$2:$MB$200=M$4),0),$E40-1973)</f>
        <v>#N/A</v>
      </c>
      <c r="N40" t="e" cm="1">
        <f t="array" ref="N40">INDEX('GMW - worst case'!$A$2:$MC$200,MATCH(1,('GMW - worst case'!$MC$2:$MC$200=N$3)*('GMW - worst case'!$MB$2:$MB$200=N$4),0),$E40-1973)</f>
        <v>#N/A</v>
      </c>
      <c r="O40" t="e" cm="1">
        <f t="array" ref="O40">INDEX('GMW - worst case'!$A$2:$MC$200,MATCH(1,('GMW - worst case'!$MC$2:$MC$200=O$3)*('GMW - worst case'!$MB$2:$MB$200=O$4),0),$E40-1973)</f>
        <v>#N/A</v>
      </c>
      <c r="P40" t="e" cm="1">
        <f t="array" ref="P40">INDEX('GMW - worst case'!$A$2:$MC$200,MATCH(1,('GMW - worst case'!$MC$2:$MC$200=P$3)*('GMW - worst case'!$MB$2:$MB$200=P$4),0),$E40-1973)</f>
        <v>#N/A</v>
      </c>
      <c r="Q40" t="e" cm="1">
        <f t="array" ref="Q40">INDEX('GMW - worst case'!$A$2:$MC$200,MATCH(1,('GMW - worst case'!$MC$2:$MC$200=Q$3)*('GMW - worst case'!$MB$2:$MB$200=Q$4),0),$E40-1973)</f>
        <v>#N/A</v>
      </c>
      <c r="R40" t="e" cm="1">
        <f t="array" ref="R40">INDEX('GMW - worst case'!$A$2:$MC$200,MATCH(1,('GMW - worst case'!$MC$2:$MC$200=R$3)*('GMW - worst case'!$MB$2:$MB$200=R$4),0),$E40-1973)</f>
        <v>#N/A</v>
      </c>
      <c r="S40" t="e" cm="1">
        <f t="array" ref="S40">INDEX('GMW - worst case'!$A$2:$MC$200,MATCH(1,('GMW - worst case'!$MC$2:$MC$200=S$3)*('GMW - worst case'!$MB$2:$MB$200=S$4),0),$E40-1973)</f>
        <v>#N/A</v>
      </c>
    </row>
    <row r="41" spans="1:19" x14ac:dyDescent="0.25">
      <c r="B41">
        <f t="shared" si="3"/>
        <v>1988</v>
      </c>
      <c r="C41">
        <f t="shared" si="3"/>
        <v>1988</v>
      </c>
      <c r="E41">
        <f t="shared" si="1"/>
        <v>2014</v>
      </c>
      <c r="F41" cm="1">
        <f t="array" ref="F41">INDEX('GMW - worst case'!$A$2:$MC$200,MATCH(1,('GMW - worst case'!$MC$2:$MC$200=F$3)*('GMW - worst case'!$MB$2:$MB$200=F$4),0),$E41-1973)</f>
        <v>369774</v>
      </c>
      <c r="G41" cm="1">
        <f t="array" ref="G41">INDEX('GMW - worst case'!$A$2:$MC$200,MATCH(1,('GMW - worst case'!$MC$2:$MC$200=G$3)*('GMW - worst case'!$MB$2:$MB$200=G$4),0),$E41-1973)</f>
        <v>207502</v>
      </c>
      <c r="H41" cm="1">
        <f t="array" ref="H41">INDEX('GMW - worst case'!$A$2:$MC$200,MATCH(1,('GMW - worst case'!$MC$2:$MC$200=H$3)*('GMW - worst case'!$MB$2:$MB$200=H$4),0),$E41-1973)</f>
        <v>49.9</v>
      </c>
      <c r="I41" cm="1">
        <f t="array" ref="I41">INDEX('GMW - worst case'!$A$2:$MC$200,MATCH(1,('GMW - worst case'!$MC$2:$MC$200=I$3)*('GMW - worst case'!$MB$2:$MB$200=I$4),0),$E41-1973)</f>
        <v>10.920450000000001</v>
      </c>
      <c r="J41" t="e" cm="1">
        <f t="array" ref="J41">INDEX('GMW - worst case'!$A$2:$MC$200,MATCH(1,('GMW - worst case'!$MC$2:$MC$200=J$3)*('GMW - worst case'!$MB$2:$MB$200=J$4),0),$E41-1973)</f>
        <v>#N/A</v>
      </c>
      <c r="K41" t="e" cm="1">
        <f t="array" ref="K41">INDEX('GMW - worst case'!$A$2:$MC$200,MATCH(1,('GMW - worst case'!$MC$2:$MC$200=K$3)*('GMW - worst case'!$MB$2:$MB$200=K$4),0),$E41-1973)</f>
        <v>#N/A</v>
      </c>
      <c r="L41" t="e" cm="1">
        <f t="array" ref="L41">INDEX('GMW - worst case'!$A$2:$MC$200,MATCH(1,('GMW - worst case'!$MC$2:$MC$200=L$3)*('GMW - worst case'!$MB$2:$MB$200=L$4),0),$E41-1973)</f>
        <v>#N/A</v>
      </c>
      <c r="M41" t="e" cm="1">
        <f t="array" ref="M41">INDEX('GMW - worst case'!$A$2:$MC$200,MATCH(1,('GMW - worst case'!$MC$2:$MC$200=M$3)*('GMW - worst case'!$MB$2:$MB$200=M$4),0),$E41-1973)</f>
        <v>#N/A</v>
      </c>
      <c r="N41" t="e" cm="1">
        <f t="array" ref="N41">INDEX('GMW - worst case'!$A$2:$MC$200,MATCH(1,('GMW - worst case'!$MC$2:$MC$200=N$3)*('GMW - worst case'!$MB$2:$MB$200=N$4),0),$E41-1973)</f>
        <v>#N/A</v>
      </c>
      <c r="O41" t="e" cm="1">
        <f t="array" ref="O41">INDEX('GMW - worst case'!$A$2:$MC$200,MATCH(1,('GMW - worst case'!$MC$2:$MC$200=O$3)*('GMW - worst case'!$MB$2:$MB$200=O$4),0),$E41-1973)</f>
        <v>#N/A</v>
      </c>
      <c r="P41" t="e" cm="1">
        <f t="array" ref="P41">INDEX('GMW - worst case'!$A$2:$MC$200,MATCH(1,('GMW - worst case'!$MC$2:$MC$200=P$3)*('GMW - worst case'!$MB$2:$MB$200=P$4),0),$E41-1973)</f>
        <v>#N/A</v>
      </c>
      <c r="Q41" t="e" cm="1">
        <f t="array" ref="Q41">INDEX('GMW - worst case'!$A$2:$MC$200,MATCH(1,('GMW - worst case'!$MC$2:$MC$200=Q$3)*('GMW - worst case'!$MB$2:$MB$200=Q$4),0),$E41-1973)</f>
        <v>#N/A</v>
      </c>
      <c r="R41" t="e" cm="1">
        <f t="array" ref="R41">INDEX('GMW - worst case'!$A$2:$MC$200,MATCH(1,('GMW - worst case'!$MC$2:$MC$200=R$3)*('GMW - worst case'!$MB$2:$MB$200=R$4),0),$E41-1973)</f>
        <v>#N/A</v>
      </c>
      <c r="S41" t="e" cm="1">
        <f t="array" ref="S41">INDEX('GMW - worst case'!$A$2:$MC$200,MATCH(1,('GMW - worst case'!$MC$2:$MC$200=S$3)*('GMW - worst case'!$MB$2:$MB$200=S$4),0),$E41-1973)</f>
        <v>#N/A</v>
      </c>
    </row>
    <row r="42" spans="1:19" x14ac:dyDescent="0.25">
      <c r="B42">
        <f t="shared" si="3"/>
        <v>1988</v>
      </c>
      <c r="C42">
        <f t="shared" si="3"/>
        <v>1988</v>
      </c>
      <c r="E42">
        <f t="shared" si="1"/>
        <v>2015</v>
      </c>
      <c r="F42" cm="1">
        <f t="array" ref="F42">INDEX('GMW - worst case'!$A$2:$MC$200,MATCH(1,('GMW - worst case'!$MC$2:$MC$200=F$3)*('GMW - worst case'!$MB$2:$MB$200=F$4),0),$E42-1973)</f>
        <v>372752</v>
      </c>
      <c r="G42" cm="1">
        <f t="array" ref="G42">INDEX('GMW - worst case'!$A$2:$MC$200,MATCH(1,('GMW - worst case'!$MC$2:$MC$200=G$3)*('GMW - worst case'!$MB$2:$MB$200=G$4),0),$E42-1973)</f>
        <v>209369</v>
      </c>
      <c r="H42" cm="1">
        <f t="array" ref="H42">INDEX('GMW - worst case'!$A$2:$MC$200,MATCH(1,('GMW - worst case'!$MC$2:$MC$200=H$3)*('GMW - worst case'!$MB$2:$MB$200=H$4),0),$E42-1973)</f>
        <v>50.466670000000001</v>
      </c>
      <c r="I42" cm="1">
        <f t="array" ref="I42">INDEX('GMW - worst case'!$A$2:$MC$200,MATCH(1,('GMW - worst case'!$MC$2:$MC$200=I$3)*('GMW - worst case'!$MB$2:$MB$200=I$4),0),$E42-1973)</f>
        <v>12.275</v>
      </c>
      <c r="J42" t="e" cm="1">
        <f t="array" ref="J42">INDEX('GMW - worst case'!$A$2:$MC$200,MATCH(1,('GMW - worst case'!$MC$2:$MC$200=J$3)*('GMW - worst case'!$MB$2:$MB$200=J$4),0),$E42-1973)</f>
        <v>#N/A</v>
      </c>
      <c r="K42" t="e" cm="1">
        <f t="array" ref="K42">INDEX('GMW - worst case'!$A$2:$MC$200,MATCH(1,('GMW - worst case'!$MC$2:$MC$200=K$3)*('GMW - worst case'!$MB$2:$MB$200=K$4),0),$E42-1973)</f>
        <v>#N/A</v>
      </c>
      <c r="L42" t="e" cm="1">
        <f t="array" ref="L42">INDEX('GMW - worst case'!$A$2:$MC$200,MATCH(1,('GMW - worst case'!$MC$2:$MC$200=L$3)*('GMW - worst case'!$MB$2:$MB$200=L$4),0),$E42-1973)</f>
        <v>#N/A</v>
      </c>
      <c r="M42" t="e" cm="1">
        <f t="array" ref="M42">INDEX('GMW - worst case'!$A$2:$MC$200,MATCH(1,('GMW - worst case'!$MC$2:$MC$200=M$3)*('GMW - worst case'!$MB$2:$MB$200=M$4),0),$E42-1973)</f>
        <v>#N/A</v>
      </c>
      <c r="N42" t="e" cm="1">
        <f t="array" ref="N42">INDEX('GMW - worst case'!$A$2:$MC$200,MATCH(1,('GMW - worst case'!$MC$2:$MC$200=N$3)*('GMW - worst case'!$MB$2:$MB$200=N$4),0),$E42-1973)</f>
        <v>#N/A</v>
      </c>
      <c r="O42" t="e" cm="1">
        <f t="array" ref="O42">INDEX('GMW - worst case'!$A$2:$MC$200,MATCH(1,('GMW - worst case'!$MC$2:$MC$200=O$3)*('GMW - worst case'!$MB$2:$MB$200=O$4),0),$E42-1973)</f>
        <v>#N/A</v>
      </c>
      <c r="P42" t="e" cm="1">
        <f t="array" ref="P42">INDEX('GMW - worst case'!$A$2:$MC$200,MATCH(1,('GMW - worst case'!$MC$2:$MC$200=P$3)*('GMW - worst case'!$MB$2:$MB$200=P$4),0),$E42-1973)</f>
        <v>#N/A</v>
      </c>
      <c r="Q42" t="e" cm="1">
        <f t="array" ref="Q42">INDEX('GMW - worst case'!$A$2:$MC$200,MATCH(1,('GMW - worst case'!$MC$2:$MC$200=Q$3)*('GMW - worst case'!$MB$2:$MB$200=Q$4),0),$E42-1973)</f>
        <v>#N/A</v>
      </c>
      <c r="R42" t="e" cm="1">
        <f t="array" ref="R42">INDEX('GMW - worst case'!$A$2:$MC$200,MATCH(1,('GMW - worst case'!$MC$2:$MC$200=R$3)*('GMW - worst case'!$MB$2:$MB$200=R$4),0),$E42-1973)</f>
        <v>#N/A</v>
      </c>
      <c r="S42" t="e" cm="1">
        <f t="array" ref="S42">INDEX('GMW - worst case'!$A$2:$MC$200,MATCH(1,('GMW - worst case'!$MC$2:$MC$200=S$3)*('GMW - worst case'!$MB$2:$MB$200=S$4),0),$E42-1973)</f>
        <v>#N/A</v>
      </c>
    </row>
    <row r="43" spans="1:19" x14ac:dyDescent="0.25">
      <c r="A43">
        <v>1989</v>
      </c>
      <c r="B43">
        <f t="shared" si="3"/>
        <v>1989</v>
      </c>
      <c r="C43">
        <f t="shared" si="3"/>
        <v>1988</v>
      </c>
      <c r="D43">
        <f t="shared" si="3"/>
        <v>1988</v>
      </c>
      <c r="E43">
        <f t="shared" si="1"/>
        <v>2016</v>
      </c>
      <c r="F43" cm="1">
        <f t="array" ref="F43">INDEX('GMW - worst case'!$A$2:$MC$200,MATCH(1,('GMW - worst case'!$MC$2:$MC$200=F$3)*('GMW - worst case'!$MB$2:$MB$200=F$4),0),$E43-1973)</f>
        <v>374612</v>
      </c>
      <c r="G43" cm="1">
        <f t="array" ref="G43">INDEX('GMW - worst case'!$A$2:$MC$200,MATCH(1,('GMW - worst case'!$MC$2:$MC$200=G$3)*('GMW - worst case'!$MB$2:$MB$200=G$4),0),$E43-1973)</f>
        <v>211167</v>
      </c>
      <c r="H43" cm="1">
        <f t="array" ref="H43">INDEX('GMW - worst case'!$A$2:$MC$200,MATCH(1,('GMW - worst case'!$MC$2:$MC$200=H$3)*('GMW - worst case'!$MB$2:$MB$200=H$4),0),$E43-1973)</f>
        <v>51</v>
      </c>
      <c r="I43" cm="1">
        <f t="array" ref="I43">INDEX('GMW - worst case'!$A$2:$MC$200,MATCH(1,('GMW - worst case'!$MC$2:$MC$200=I$3)*('GMW - worst case'!$MB$2:$MB$200=I$4),0),$E43-1973)</f>
        <v>12.875</v>
      </c>
      <c r="J43" t="e" cm="1">
        <f t="array" ref="J43">INDEX('GMW - worst case'!$A$2:$MC$200,MATCH(1,('GMW - worst case'!$MC$2:$MC$200=J$3)*('GMW - worst case'!$MB$2:$MB$200=J$4),0),$E43-1973)</f>
        <v>#N/A</v>
      </c>
      <c r="K43" t="e" cm="1">
        <f t="array" ref="K43">INDEX('GMW - worst case'!$A$2:$MC$200,MATCH(1,('GMW - worst case'!$MC$2:$MC$200=K$3)*('GMW - worst case'!$MB$2:$MB$200=K$4),0),$E43-1973)</f>
        <v>#N/A</v>
      </c>
      <c r="L43" t="e" cm="1">
        <f t="array" ref="L43">INDEX('GMW - worst case'!$A$2:$MC$200,MATCH(1,('GMW - worst case'!$MC$2:$MC$200=L$3)*('GMW - worst case'!$MB$2:$MB$200=L$4),0),$E43-1973)</f>
        <v>#N/A</v>
      </c>
      <c r="M43" t="e" cm="1">
        <f t="array" ref="M43">INDEX('GMW - worst case'!$A$2:$MC$200,MATCH(1,('GMW - worst case'!$MC$2:$MC$200=M$3)*('GMW - worst case'!$MB$2:$MB$200=M$4),0),$E43-1973)</f>
        <v>#N/A</v>
      </c>
      <c r="N43" t="e" cm="1">
        <f t="array" ref="N43">INDEX('GMW - worst case'!$A$2:$MC$200,MATCH(1,('GMW - worst case'!$MC$2:$MC$200=N$3)*('GMW - worst case'!$MB$2:$MB$200=N$4),0),$E43-1973)</f>
        <v>#N/A</v>
      </c>
      <c r="O43" t="e" cm="1">
        <f t="array" ref="O43">INDEX('GMW - worst case'!$A$2:$MC$200,MATCH(1,('GMW - worst case'!$MC$2:$MC$200=O$3)*('GMW - worst case'!$MB$2:$MB$200=O$4),0),$E43-1973)</f>
        <v>#N/A</v>
      </c>
      <c r="P43" t="e" cm="1">
        <f t="array" ref="P43">INDEX('GMW - worst case'!$A$2:$MC$200,MATCH(1,('GMW - worst case'!$MC$2:$MC$200=P$3)*('GMW - worst case'!$MB$2:$MB$200=P$4),0),$E43-1973)</f>
        <v>#N/A</v>
      </c>
      <c r="Q43" t="e" cm="1">
        <f t="array" ref="Q43">INDEX('GMW - worst case'!$A$2:$MC$200,MATCH(1,('GMW - worst case'!$MC$2:$MC$200=Q$3)*('GMW - worst case'!$MB$2:$MB$200=Q$4),0),$E43-1973)</f>
        <v>#N/A</v>
      </c>
      <c r="R43" t="e" cm="1">
        <f t="array" ref="R43">INDEX('GMW - worst case'!$A$2:$MC$200,MATCH(1,('GMW - worst case'!$MC$2:$MC$200=R$3)*('GMW - worst case'!$MB$2:$MB$200=R$4),0),$E43-1973)</f>
        <v>#N/A</v>
      </c>
      <c r="S43" t="e" cm="1">
        <f t="array" ref="S43">INDEX('GMW - worst case'!$A$2:$MC$200,MATCH(1,('GMW - worst case'!$MC$2:$MC$200=S$3)*('GMW - worst case'!$MB$2:$MB$200=S$4),0),$E43-1973)</f>
        <v>#N/A</v>
      </c>
    </row>
    <row r="44" spans="1:19" x14ac:dyDescent="0.25">
      <c r="B44">
        <f t="shared" ref="B44:D59" si="4">+B40+1</f>
        <v>1989</v>
      </c>
      <c r="C44">
        <f t="shared" si="4"/>
        <v>1989</v>
      </c>
      <c r="E44">
        <f t="shared" si="1"/>
        <v>2017</v>
      </c>
      <c r="F44" cm="1">
        <f t="array" ref="F44">INDEX('GMW - worst case'!$A$2:$MC$200,MATCH(1,('GMW - worst case'!$MC$2:$MC$200=F$3)*('GMW - worst case'!$MB$2:$MB$200=F$4),0),$E44-1973)</f>
        <v>376951</v>
      </c>
      <c r="G44" cm="1">
        <f t="array" ref="G44">INDEX('GMW - worst case'!$A$2:$MC$200,MATCH(1,('GMW - worst case'!$MC$2:$MC$200=G$3)*('GMW - worst case'!$MB$2:$MB$200=G$4),0),$E44-1973)</f>
        <v>212989</v>
      </c>
      <c r="H44" cm="1">
        <f t="array" ref="H44">INDEX('GMW - worst case'!$A$2:$MC$200,MATCH(1,('GMW - worst case'!$MC$2:$MC$200=H$3)*('GMW - worst case'!$MB$2:$MB$200=H$4),0),$E44-1973)</f>
        <v>52.133339999999997</v>
      </c>
      <c r="I44" cm="1">
        <f t="array" ref="I44">INDEX('GMW - worst case'!$A$2:$MC$200,MATCH(1,('GMW - worst case'!$MC$2:$MC$200=I$3)*('GMW - worst case'!$MB$2:$MB$200=I$4),0),$E44-1973)</f>
        <v>13.23846</v>
      </c>
      <c r="J44" t="e" cm="1">
        <f t="array" ref="J44">INDEX('GMW - worst case'!$A$2:$MC$200,MATCH(1,('GMW - worst case'!$MC$2:$MC$200=J$3)*('GMW - worst case'!$MB$2:$MB$200=J$4),0),$E44-1973)</f>
        <v>#N/A</v>
      </c>
      <c r="K44" t="e" cm="1">
        <f t="array" ref="K44">INDEX('GMW - worst case'!$A$2:$MC$200,MATCH(1,('GMW - worst case'!$MC$2:$MC$200=K$3)*('GMW - worst case'!$MB$2:$MB$200=K$4),0),$E44-1973)</f>
        <v>#N/A</v>
      </c>
      <c r="L44" t="e" cm="1">
        <f t="array" ref="L44">INDEX('GMW - worst case'!$A$2:$MC$200,MATCH(1,('GMW - worst case'!$MC$2:$MC$200=L$3)*('GMW - worst case'!$MB$2:$MB$200=L$4),0),$E44-1973)</f>
        <v>#N/A</v>
      </c>
      <c r="M44" t="e" cm="1">
        <f t="array" ref="M44">INDEX('GMW - worst case'!$A$2:$MC$200,MATCH(1,('GMW - worst case'!$MC$2:$MC$200=M$3)*('GMW - worst case'!$MB$2:$MB$200=M$4),0),$E44-1973)</f>
        <v>#N/A</v>
      </c>
      <c r="N44" t="e" cm="1">
        <f t="array" ref="N44">INDEX('GMW - worst case'!$A$2:$MC$200,MATCH(1,('GMW - worst case'!$MC$2:$MC$200=N$3)*('GMW - worst case'!$MB$2:$MB$200=N$4),0),$E44-1973)</f>
        <v>#N/A</v>
      </c>
      <c r="O44" t="e" cm="1">
        <f t="array" ref="O44">INDEX('GMW - worst case'!$A$2:$MC$200,MATCH(1,('GMW - worst case'!$MC$2:$MC$200=O$3)*('GMW - worst case'!$MB$2:$MB$200=O$4),0),$E44-1973)</f>
        <v>#N/A</v>
      </c>
      <c r="P44" t="e" cm="1">
        <f t="array" ref="P44">INDEX('GMW - worst case'!$A$2:$MC$200,MATCH(1,('GMW - worst case'!$MC$2:$MC$200=P$3)*('GMW - worst case'!$MB$2:$MB$200=P$4),0),$E44-1973)</f>
        <v>#N/A</v>
      </c>
      <c r="Q44" t="e" cm="1">
        <f t="array" ref="Q44">INDEX('GMW - worst case'!$A$2:$MC$200,MATCH(1,('GMW - worst case'!$MC$2:$MC$200=Q$3)*('GMW - worst case'!$MB$2:$MB$200=Q$4),0),$E44-1973)</f>
        <v>#N/A</v>
      </c>
      <c r="R44" t="e" cm="1">
        <f t="array" ref="R44">INDEX('GMW - worst case'!$A$2:$MC$200,MATCH(1,('GMW - worst case'!$MC$2:$MC$200=R$3)*('GMW - worst case'!$MB$2:$MB$200=R$4),0),$E44-1973)</f>
        <v>#N/A</v>
      </c>
      <c r="S44" t="e" cm="1">
        <f t="array" ref="S44">INDEX('GMW - worst case'!$A$2:$MC$200,MATCH(1,('GMW - worst case'!$MC$2:$MC$200=S$3)*('GMW - worst case'!$MB$2:$MB$200=S$4),0),$E44-1973)</f>
        <v>#N/A</v>
      </c>
    </row>
    <row r="45" spans="1:19" x14ac:dyDescent="0.25">
      <c r="B45">
        <f t="shared" si="4"/>
        <v>1989</v>
      </c>
      <c r="C45">
        <f t="shared" si="4"/>
        <v>1989</v>
      </c>
      <c r="E45">
        <f t="shared" si="1"/>
        <v>2018</v>
      </c>
      <c r="F45" cm="1">
        <f t="array" ref="F45">INDEX('GMW - worst case'!$A$2:$MC$200,MATCH(1,('GMW - worst case'!$MC$2:$MC$200=F$3)*('GMW - worst case'!$MB$2:$MB$200=F$4),0),$E45-1973)</f>
        <v>377573</v>
      </c>
      <c r="G45" cm="1">
        <f t="array" ref="G45">INDEX('GMW - worst case'!$A$2:$MC$200,MATCH(1,('GMW - worst case'!$MC$2:$MC$200=G$3)*('GMW - worst case'!$MB$2:$MB$200=G$4),0),$E45-1973)</f>
        <v>212810</v>
      </c>
      <c r="H45" cm="1">
        <f t="array" ref="H45">INDEX('GMW - worst case'!$A$2:$MC$200,MATCH(1,('GMW - worst case'!$MC$2:$MC$200=H$3)*('GMW - worst case'!$MB$2:$MB$200=H$4),0),$E45-1973)</f>
        <v>52.466670000000001</v>
      </c>
      <c r="I45" cm="1">
        <f t="array" ref="I45">INDEX('GMW - worst case'!$A$2:$MC$200,MATCH(1,('GMW - worst case'!$MC$2:$MC$200=I$3)*('GMW - worst case'!$MB$2:$MB$200=I$4),0),$E45-1973)</f>
        <v>13.760579999999999</v>
      </c>
      <c r="J45" t="e" cm="1">
        <f t="array" ref="J45">INDEX('GMW - worst case'!$A$2:$MC$200,MATCH(1,('GMW - worst case'!$MC$2:$MC$200=J$3)*('GMW - worst case'!$MB$2:$MB$200=J$4),0),$E45-1973)</f>
        <v>#N/A</v>
      </c>
      <c r="K45" t="e" cm="1">
        <f t="array" ref="K45">INDEX('GMW - worst case'!$A$2:$MC$200,MATCH(1,('GMW - worst case'!$MC$2:$MC$200=K$3)*('GMW - worst case'!$MB$2:$MB$200=K$4),0),$E45-1973)</f>
        <v>#N/A</v>
      </c>
      <c r="L45" t="e" cm="1">
        <f t="array" ref="L45">INDEX('GMW - worst case'!$A$2:$MC$200,MATCH(1,('GMW - worst case'!$MC$2:$MC$200=L$3)*('GMW - worst case'!$MB$2:$MB$200=L$4),0),$E45-1973)</f>
        <v>#N/A</v>
      </c>
      <c r="M45" t="e" cm="1">
        <f t="array" ref="M45">INDEX('GMW - worst case'!$A$2:$MC$200,MATCH(1,('GMW - worst case'!$MC$2:$MC$200=M$3)*('GMW - worst case'!$MB$2:$MB$200=M$4),0),$E45-1973)</f>
        <v>#N/A</v>
      </c>
      <c r="N45" t="e" cm="1">
        <f t="array" ref="N45">INDEX('GMW - worst case'!$A$2:$MC$200,MATCH(1,('GMW - worst case'!$MC$2:$MC$200=N$3)*('GMW - worst case'!$MB$2:$MB$200=N$4),0),$E45-1973)</f>
        <v>#N/A</v>
      </c>
      <c r="O45" t="e" cm="1">
        <f t="array" ref="O45">INDEX('GMW - worst case'!$A$2:$MC$200,MATCH(1,('GMW - worst case'!$MC$2:$MC$200=O$3)*('GMW - worst case'!$MB$2:$MB$200=O$4),0),$E45-1973)</f>
        <v>#N/A</v>
      </c>
      <c r="P45" t="e" cm="1">
        <f t="array" ref="P45">INDEX('GMW - worst case'!$A$2:$MC$200,MATCH(1,('GMW - worst case'!$MC$2:$MC$200=P$3)*('GMW - worst case'!$MB$2:$MB$200=P$4),0),$E45-1973)</f>
        <v>#N/A</v>
      </c>
      <c r="Q45" t="e" cm="1">
        <f t="array" ref="Q45">INDEX('GMW - worst case'!$A$2:$MC$200,MATCH(1,('GMW - worst case'!$MC$2:$MC$200=Q$3)*('GMW - worst case'!$MB$2:$MB$200=Q$4),0),$E45-1973)</f>
        <v>#N/A</v>
      </c>
      <c r="R45" t="e" cm="1">
        <f t="array" ref="R45">INDEX('GMW - worst case'!$A$2:$MC$200,MATCH(1,('GMW - worst case'!$MC$2:$MC$200=R$3)*('GMW - worst case'!$MB$2:$MB$200=R$4),0),$E45-1973)</f>
        <v>#N/A</v>
      </c>
      <c r="S45" t="e" cm="1">
        <f t="array" ref="S45">INDEX('GMW - worst case'!$A$2:$MC$200,MATCH(1,('GMW - worst case'!$MC$2:$MC$200=S$3)*('GMW - worst case'!$MB$2:$MB$200=S$4),0),$E45-1973)</f>
        <v>#N/A</v>
      </c>
    </row>
    <row r="46" spans="1:19" x14ac:dyDescent="0.25">
      <c r="B46">
        <f t="shared" si="4"/>
        <v>1989</v>
      </c>
      <c r="C46">
        <f t="shared" si="4"/>
        <v>1989</v>
      </c>
      <c r="E46">
        <f t="shared" si="1"/>
        <v>2019</v>
      </c>
      <c r="F46" cm="1">
        <f t="array" ref="F46">INDEX('GMW - worst case'!$A$2:$MC$200,MATCH(1,('GMW - worst case'!$MC$2:$MC$200=F$3)*('GMW - worst case'!$MB$2:$MB$200=F$4),0),$E46-1973)</f>
        <v>377508</v>
      </c>
      <c r="G46" cm="1">
        <f t="array" ref="G46">INDEX('GMW - worst case'!$A$2:$MC$200,MATCH(1,('GMW - worst case'!$MC$2:$MC$200=G$3)*('GMW - worst case'!$MB$2:$MB$200=G$4),0),$E46-1973)</f>
        <v>213685</v>
      </c>
      <c r="H46" cm="1">
        <f t="array" ref="H46">INDEX('GMW - worst case'!$A$2:$MC$200,MATCH(1,('GMW - worst case'!$MC$2:$MC$200=H$3)*('GMW - worst case'!$MB$2:$MB$200=H$4),0),$E46-1973)</f>
        <v>53.266669999999998</v>
      </c>
      <c r="I46" cm="1">
        <f t="array" ref="I46">INDEX('GMW - worst case'!$A$2:$MC$200,MATCH(1,('GMW - worst case'!$MC$2:$MC$200=I$3)*('GMW - worst case'!$MB$2:$MB$200=I$4),0),$E46-1973)</f>
        <v>14.805770000000001</v>
      </c>
      <c r="J46" t="e" cm="1">
        <f t="array" ref="J46">INDEX('GMW - worst case'!$A$2:$MC$200,MATCH(1,('GMW - worst case'!$MC$2:$MC$200=J$3)*('GMW - worst case'!$MB$2:$MB$200=J$4),0),$E46-1973)</f>
        <v>#N/A</v>
      </c>
      <c r="K46" t="e" cm="1">
        <f t="array" ref="K46">INDEX('GMW - worst case'!$A$2:$MC$200,MATCH(1,('GMW - worst case'!$MC$2:$MC$200=K$3)*('GMW - worst case'!$MB$2:$MB$200=K$4),0),$E46-1973)</f>
        <v>#N/A</v>
      </c>
      <c r="L46" t="e" cm="1">
        <f t="array" ref="L46">INDEX('GMW - worst case'!$A$2:$MC$200,MATCH(1,('GMW - worst case'!$MC$2:$MC$200=L$3)*('GMW - worst case'!$MB$2:$MB$200=L$4),0),$E46-1973)</f>
        <v>#N/A</v>
      </c>
      <c r="M46" t="e" cm="1">
        <f t="array" ref="M46">INDEX('GMW - worst case'!$A$2:$MC$200,MATCH(1,('GMW - worst case'!$MC$2:$MC$200=M$3)*('GMW - worst case'!$MB$2:$MB$200=M$4),0),$E46-1973)</f>
        <v>#N/A</v>
      </c>
      <c r="N46" t="e" cm="1">
        <f t="array" ref="N46">INDEX('GMW - worst case'!$A$2:$MC$200,MATCH(1,('GMW - worst case'!$MC$2:$MC$200=N$3)*('GMW - worst case'!$MB$2:$MB$200=N$4),0),$E46-1973)</f>
        <v>#N/A</v>
      </c>
      <c r="O46" t="e" cm="1">
        <f t="array" ref="O46">INDEX('GMW - worst case'!$A$2:$MC$200,MATCH(1,('GMW - worst case'!$MC$2:$MC$200=O$3)*('GMW - worst case'!$MB$2:$MB$200=O$4),0),$E46-1973)</f>
        <v>#N/A</v>
      </c>
      <c r="P46" t="e" cm="1">
        <f t="array" ref="P46">INDEX('GMW - worst case'!$A$2:$MC$200,MATCH(1,('GMW - worst case'!$MC$2:$MC$200=P$3)*('GMW - worst case'!$MB$2:$MB$200=P$4),0),$E46-1973)</f>
        <v>#N/A</v>
      </c>
      <c r="Q46" t="e" cm="1">
        <f t="array" ref="Q46">INDEX('GMW - worst case'!$A$2:$MC$200,MATCH(1,('GMW - worst case'!$MC$2:$MC$200=Q$3)*('GMW - worst case'!$MB$2:$MB$200=Q$4),0),$E46-1973)</f>
        <v>#N/A</v>
      </c>
      <c r="R46" t="e" cm="1">
        <f t="array" ref="R46">INDEX('GMW - worst case'!$A$2:$MC$200,MATCH(1,('GMW - worst case'!$MC$2:$MC$200=R$3)*('GMW - worst case'!$MB$2:$MB$200=R$4),0),$E46-1973)</f>
        <v>#N/A</v>
      </c>
      <c r="S46" t="e" cm="1">
        <f t="array" ref="S46">INDEX('GMW - worst case'!$A$2:$MC$200,MATCH(1,('GMW - worst case'!$MC$2:$MC$200=S$3)*('GMW - worst case'!$MB$2:$MB$200=S$4),0),$E46-1973)</f>
        <v>#N/A</v>
      </c>
    </row>
    <row r="47" spans="1:19" x14ac:dyDescent="0.25">
      <c r="A47">
        <v>1990</v>
      </c>
      <c r="B47">
        <f t="shared" si="4"/>
        <v>1990</v>
      </c>
      <c r="C47">
        <f t="shared" si="4"/>
        <v>1989</v>
      </c>
      <c r="D47">
        <f t="shared" si="4"/>
        <v>1989</v>
      </c>
      <c r="E47">
        <f t="shared" si="1"/>
        <v>2020</v>
      </c>
      <c r="F47" cm="1">
        <f t="array" ref="F47">INDEX('GMW - worst case'!$A$2:$MC$200,MATCH(1,('GMW - worst case'!$MC$2:$MC$200=F$3)*('GMW - worst case'!$MB$2:$MB$200=F$4),0),$E47-1973)</f>
        <v>379458</v>
      </c>
      <c r="G47" cm="1">
        <f t="array" ref="G47">INDEX('GMW - worst case'!$A$2:$MC$200,MATCH(1,('GMW - worst case'!$MC$2:$MC$200=G$3)*('GMW - worst case'!$MB$2:$MB$200=G$4),0),$E47-1973)</f>
        <v>215861</v>
      </c>
      <c r="H47" cm="1">
        <f t="array" ref="H47">INDEX('GMW - worst case'!$A$2:$MC$200,MATCH(1,('GMW - worst case'!$MC$2:$MC$200=H$3)*('GMW - worst case'!$MB$2:$MB$200=H$4),0),$E47-1973)</f>
        <v>53.933329999999998</v>
      </c>
      <c r="I47" cm="1">
        <f t="array" ref="I47">INDEX('GMW - worst case'!$A$2:$MC$200,MATCH(1,('GMW - worst case'!$MC$2:$MC$200=I$3)*('GMW - worst case'!$MB$2:$MB$200=I$4),0),$E47-1973)</f>
        <v>14.875</v>
      </c>
      <c r="J47" t="e" cm="1">
        <f t="array" ref="J47">INDEX('GMW - worst case'!$A$2:$MC$200,MATCH(1,('GMW - worst case'!$MC$2:$MC$200=J$3)*('GMW - worst case'!$MB$2:$MB$200=J$4),0),$E47-1973)</f>
        <v>#N/A</v>
      </c>
      <c r="K47" t="e" cm="1">
        <f t="array" ref="K47">INDEX('GMW - worst case'!$A$2:$MC$200,MATCH(1,('GMW - worst case'!$MC$2:$MC$200=K$3)*('GMW - worst case'!$MB$2:$MB$200=K$4),0),$E47-1973)</f>
        <v>#N/A</v>
      </c>
      <c r="L47" t="e" cm="1">
        <f t="array" ref="L47">INDEX('GMW - worst case'!$A$2:$MC$200,MATCH(1,('GMW - worst case'!$MC$2:$MC$200=L$3)*('GMW - worst case'!$MB$2:$MB$200=L$4),0),$E47-1973)</f>
        <v>#N/A</v>
      </c>
      <c r="M47" t="e" cm="1">
        <f t="array" ref="M47">INDEX('GMW - worst case'!$A$2:$MC$200,MATCH(1,('GMW - worst case'!$MC$2:$MC$200=M$3)*('GMW - worst case'!$MB$2:$MB$200=M$4),0),$E47-1973)</f>
        <v>#N/A</v>
      </c>
      <c r="N47" t="e" cm="1">
        <f t="array" ref="N47">INDEX('GMW - worst case'!$A$2:$MC$200,MATCH(1,('GMW - worst case'!$MC$2:$MC$200=N$3)*('GMW - worst case'!$MB$2:$MB$200=N$4),0),$E47-1973)</f>
        <v>#N/A</v>
      </c>
      <c r="O47" t="e" cm="1">
        <f t="array" ref="O47">INDEX('GMW - worst case'!$A$2:$MC$200,MATCH(1,('GMW - worst case'!$MC$2:$MC$200=O$3)*('GMW - worst case'!$MB$2:$MB$200=O$4),0),$E47-1973)</f>
        <v>#N/A</v>
      </c>
      <c r="P47" t="e" cm="1">
        <f t="array" ref="P47">INDEX('GMW - worst case'!$A$2:$MC$200,MATCH(1,('GMW - worst case'!$MC$2:$MC$200=P$3)*('GMW - worst case'!$MB$2:$MB$200=P$4),0),$E47-1973)</f>
        <v>#N/A</v>
      </c>
      <c r="Q47" t="e" cm="1">
        <f t="array" ref="Q47">INDEX('GMW - worst case'!$A$2:$MC$200,MATCH(1,('GMW - worst case'!$MC$2:$MC$200=Q$3)*('GMW - worst case'!$MB$2:$MB$200=Q$4),0),$E47-1973)</f>
        <v>#N/A</v>
      </c>
      <c r="R47" t="e" cm="1">
        <f t="array" ref="R47">INDEX('GMW - worst case'!$A$2:$MC$200,MATCH(1,('GMW - worst case'!$MC$2:$MC$200=R$3)*('GMW - worst case'!$MB$2:$MB$200=R$4),0),$E47-1973)</f>
        <v>#N/A</v>
      </c>
      <c r="S47" t="e" cm="1">
        <f t="array" ref="S47">INDEX('GMW - worst case'!$A$2:$MC$200,MATCH(1,('GMW - worst case'!$MC$2:$MC$200=S$3)*('GMW - worst case'!$MB$2:$MB$200=S$4),0),$E47-1973)</f>
        <v>#N/A</v>
      </c>
    </row>
    <row r="48" spans="1:19" x14ac:dyDescent="0.25">
      <c r="B48">
        <f t="shared" si="4"/>
        <v>1990</v>
      </c>
      <c r="C48">
        <f t="shared" si="4"/>
        <v>1990</v>
      </c>
      <c r="E48">
        <f t="shared" si="1"/>
        <v>2021</v>
      </c>
      <c r="F48" cm="1">
        <f t="array" ref="F48">INDEX('GMW - worst case'!$A$2:$MC$200,MATCH(1,('GMW - worst case'!$MC$2:$MC$200=F$3)*('GMW - worst case'!$MB$2:$MB$200=F$4),0),$E48-1973)</f>
        <v>381997</v>
      </c>
      <c r="G48" cm="1">
        <f t="array" ref="G48">INDEX('GMW - worst case'!$A$2:$MC$200,MATCH(1,('GMW - worst case'!$MC$2:$MC$200=G$3)*('GMW - worst case'!$MB$2:$MB$200=G$4),0),$E48-1973)</f>
        <v>216571</v>
      </c>
      <c r="H48" cm="1">
        <f t="array" ref="H48">INDEX('GMW - worst case'!$A$2:$MC$200,MATCH(1,('GMW - worst case'!$MC$2:$MC$200=H$3)*('GMW - worst case'!$MB$2:$MB$200=H$4),0),$E48-1973)</f>
        <v>55.6</v>
      </c>
      <c r="I48" cm="1">
        <f t="array" ref="I48">INDEX('GMW - worst case'!$A$2:$MC$200,MATCH(1,('GMW - worst case'!$MC$2:$MC$200=I$3)*('GMW - worst case'!$MB$2:$MB$200=I$4),0),$E48-1973)</f>
        <v>14.875</v>
      </c>
      <c r="J48" t="e" cm="1">
        <f t="array" ref="J48">INDEX('GMW - worst case'!$A$2:$MC$200,MATCH(1,('GMW - worst case'!$MC$2:$MC$200=J$3)*('GMW - worst case'!$MB$2:$MB$200=J$4),0),$E48-1973)</f>
        <v>#N/A</v>
      </c>
      <c r="K48" t="e" cm="1">
        <f t="array" ref="K48">INDEX('GMW - worst case'!$A$2:$MC$200,MATCH(1,('GMW - worst case'!$MC$2:$MC$200=K$3)*('GMW - worst case'!$MB$2:$MB$200=K$4),0),$E48-1973)</f>
        <v>#N/A</v>
      </c>
      <c r="L48" t="e" cm="1">
        <f t="array" ref="L48">INDEX('GMW - worst case'!$A$2:$MC$200,MATCH(1,('GMW - worst case'!$MC$2:$MC$200=L$3)*('GMW - worst case'!$MB$2:$MB$200=L$4),0),$E48-1973)</f>
        <v>#N/A</v>
      </c>
      <c r="M48" t="e" cm="1">
        <f t="array" ref="M48">INDEX('GMW - worst case'!$A$2:$MC$200,MATCH(1,('GMW - worst case'!$MC$2:$MC$200=M$3)*('GMW - worst case'!$MB$2:$MB$200=M$4),0),$E48-1973)</f>
        <v>#N/A</v>
      </c>
      <c r="N48" t="e" cm="1">
        <f t="array" ref="N48">INDEX('GMW - worst case'!$A$2:$MC$200,MATCH(1,('GMW - worst case'!$MC$2:$MC$200=N$3)*('GMW - worst case'!$MB$2:$MB$200=N$4),0),$E48-1973)</f>
        <v>#N/A</v>
      </c>
      <c r="O48" t="e" cm="1">
        <f t="array" ref="O48">INDEX('GMW - worst case'!$A$2:$MC$200,MATCH(1,('GMW - worst case'!$MC$2:$MC$200=O$3)*('GMW - worst case'!$MB$2:$MB$200=O$4),0),$E48-1973)</f>
        <v>#N/A</v>
      </c>
      <c r="P48" t="e" cm="1">
        <f t="array" ref="P48">INDEX('GMW - worst case'!$A$2:$MC$200,MATCH(1,('GMW - worst case'!$MC$2:$MC$200=P$3)*('GMW - worst case'!$MB$2:$MB$200=P$4),0),$E48-1973)</f>
        <v>#N/A</v>
      </c>
      <c r="Q48" t="e" cm="1">
        <f t="array" ref="Q48">INDEX('GMW - worst case'!$A$2:$MC$200,MATCH(1,('GMW - worst case'!$MC$2:$MC$200=Q$3)*('GMW - worst case'!$MB$2:$MB$200=Q$4),0),$E48-1973)</f>
        <v>#N/A</v>
      </c>
      <c r="R48" t="e" cm="1">
        <f t="array" ref="R48">INDEX('GMW - worst case'!$A$2:$MC$200,MATCH(1,('GMW - worst case'!$MC$2:$MC$200=R$3)*('GMW - worst case'!$MB$2:$MB$200=R$4),0),$E48-1973)</f>
        <v>#N/A</v>
      </c>
      <c r="S48" t="e" cm="1">
        <f t="array" ref="S48">INDEX('GMW - worst case'!$A$2:$MC$200,MATCH(1,('GMW - worst case'!$MC$2:$MC$200=S$3)*('GMW - worst case'!$MB$2:$MB$200=S$4),0),$E48-1973)</f>
        <v>#N/A</v>
      </c>
    </row>
    <row r="49" spans="1:19" x14ac:dyDescent="0.25">
      <c r="B49">
        <f t="shared" si="4"/>
        <v>1990</v>
      </c>
      <c r="C49">
        <f t="shared" si="4"/>
        <v>1990</v>
      </c>
      <c r="E49">
        <f t="shared" si="1"/>
        <v>2022</v>
      </c>
      <c r="F49" cm="1">
        <f t="array" ref="F49">INDEX('GMW - worst case'!$A$2:$MC$200,MATCH(1,('GMW - worst case'!$MC$2:$MC$200=F$3)*('GMW - worst case'!$MB$2:$MB$200=F$4),0),$E49-1973)</f>
        <v>377831</v>
      </c>
      <c r="G49" cm="1">
        <f t="array" ref="G49">INDEX('GMW - worst case'!$A$2:$MC$200,MATCH(1,('GMW - worst case'!$MC$2:$MC$200=G$3)*('GMW - worst case'!$MB$2:$MB$200=G$4),0),$E49-1973)</f>
        <v>215211</v>
      </c>
      <c r="H49" cm="1">
        <f t="array" ref="H49">INDEX('GMW - worst case'!$A$2:$MC$200,MATCH(1,('GMW - worst case'!$MC$2:$MC$200=H$3)*('GMW - worst case'!$MB$2:$MB$200=H$4),0),$E49-1973)</f>
        <v>56.4</v>
      </c>
      <c r="I49" cm="1">
        <f t="array" ref="I49">INDEX('GMW - worst case'!$A$2:$MC$200,MATCH(1,('GMW - worst case'!$MC$2:$MC$200=I$3)*('GMW - worst case'!$MB$2:$MB$200=I$4),0),$E49-1973)</f>
        <v>14.875</v>
      </c>
      <c r="J49" t="e" cm="1">
        <f t="array" ref="J49">INDEX('GMW - worst case'!$A$2:$MC$200,MATCH(1,('GMW - worst case'!$MC$2:$MC$200=J$3)*('GMW - worst case'!$MB$2:$MB$200=J$4),0),$E49-1973)</f>
        <v>#N/A</v>
      </c>
      <c r="K49" t="e" cm="1">
        <f t="array" ref="K49">INDEX('GMW - worst case'!$A$2:$MC$200,MATCH(1,('GMW - worst case'!$MC$2:$MC$200=K$3)*('GMW - worst case'!$MB$2:$MB$200=K$4),0),$E49-1973)</f>
        <v>#N/A</v>
      </c>
      <c r="L49" t="e" cm="1">
        <f t="array" ref="L49">INDEX('GMW - worst case'!$A$2:$MC$200,MATCH(1,('GMW - worst case'!$MC$2:$MC$200=L$3)*('GMW - worst case'!$MB$2:$MB$200=L$4),0),$E49-1973)</f>
        <v>#N/A</v>
      </c>
      <c r="M49" t="e" cm="1">
        <f t="array" ref="M49">INDEX('GMW - worst case'!$A$2:$MC$200,MATCH(1,('GMW - worst case'!$MC$2:$MC$200=M$3)*('GMW - worst case'!$MB$2:$MB$200=M$4),0),$E49-1973)</f>
        <v>#N/A</v>
      </c>
      <c r="N49" t="e" cm="1">
        <f t="array" ref="N49">INDEX('GMW - worst case'!$A$2:$MC$200,MATCH(1,('GMW - worst case'!$MC$2:$MC$200=N$3)*('GMW - worst case'!$MB$2:$MB$200=N$4),0),$E49-1973)</f>
        <v>#N/A</v>
      </c>
      <c r="O49" t="e" cm="1">
        <f t="array" ref="O49">INDEX('GMW - worst case'!$A$2:$MC$200,MATCH(1,('GMW - worst case'!$MC$2:$MC$200=O$3)*('GMW - worst case'!$MB$2:$MB$200=O$4),0),$E49-1973)</f>
        <v>#N/A</v>
      </c>
      <c r="P49" t="e" cm="1">
        <f t="array" ref="P49">INDEX('GMW - worst case'!$A$2:$MC$200,MATCH(1,('GMW - worst case'!$MC$2:$MC$200=P$3)*('GMW - worst case'!$MB$2:$MB$200=P$4),0),$E49-1973)</f>
        <v>#N/A</v>
      </c>
      <c r="Q49" t="e" cm="1">
        <f t="array" ref="Q49">INDEX('GMW - worst case'!$A$2:$MC$200,MATCH(1,('GMW - worst case'!$MC$2:$MC$200=Q$3)*('GMW - worst case'!$MB$2:$MB$200=Q$4),0),$E49-1973)</f>
        <v>#N/A</v>
      </c>
      <c r="R49" t="e" cm="1">
        <f t="array" ref="R49">INDEX('GMW - worst case'!$A$2:$MC$200,MATCH(1,('GMW - worst case'!$MC$2:$MC$200=R$3)*('GMW - worst case'!$MB$2:$MB$200=R$4),0),$E49-1973)</f>
        <v>#N/A</v>
      </c>
      <c r="S49" t="e" cm="1">
        <f t="array" ref="S49">INDEX('GMW - worst case'!$A$2:$MC$200,MATCH(1,('GMW - worst case'!$MC$2:$MC$200=S$3)*('GMW - worst case'!$MB$2:$MB$200=S$4),0),$E49-1973)</f>
        <v>#N/A</v>
      </c>
    </row>
    <row r="50" spans="1:19" x14ac:dyDescent="0.25">
      <c r="B50">
        <f t="shared" si="4"/>
        <v>1990</v>
      </c>
      <c r="C50">
        <f t="shared" si="4"/>
        <v>1990</v>
      </c>
      <c r="E50">
        <f t="shared" si="1"/>
        <v>2023</v>
      </c>
      <c r="F50" cm="1">
        <f t="array" ref="F50">INDEX('GMW - worst case'!$A$2:$MC$200,MATCH(1,('GMW - worst case'!$MC$2:$MC$200=F$3)*('GMW - worst case'!$MB$2:$MB$200=F$4),0),$E50-1973)</f>
        <v>375916</v>
      </c>
      <c r="G50" cm="1">
        <f t="array" ref="G50">INDEX('GMW - worst case'!$A$2:$MC$200,MATCH(1,('GMW - worst case'!$MC$2:$MC$200=G$3)*('GMW - worst case'!$MB$2:$MB$200=G$4),0),$E50-1973)</f>
        <v>215007</v>
      </c>
      <c r="H50" cm="1">
        <f t="array" ref="H50">INDEX('GMW - worst case'!$A$2:$MC$200,MATCH(1,('GMW - worst case'!$MC$2:$MC$200=H$3)*('GMW - worst case'!$MB$2:$MB$200=H$4),0),$E50-1973)</f>
        <v>57.466670000000001</v>
      </c>
      <c r="I50" cm="1">
        <f t="array" ref="I50">INDEX('GMW - worst case'!$A$2:$MC$200,MATCH(1,('GMW - worst case'!$MC$2:$MC$200=I$3)*('GMW - worst case'!$MB$2:$MB$200=I$4),0),$E50-1973)</f>
        <v>13.950760000000001</v>
      </c>
      <c r="J50" t="e" cm="1">
        <f t="array" ref="J50">INDEX('GMW - worst case'!$A$2:$MC$200,MATCH(1,('GMW - worst case'!$MC$2:$MC$200=J$3)*('GMW - worst case'!$MB$2:$MB$200=J$4),0),$E50-1973)</f>
        <v>#N/A</v>
      </c>
      <c r="K50" t="e" cm="1">
        <f t="array" ref="K50">INDEX('GMW - worst case'!$A$2:$MC$200,MATCH(1,('GMW - worst case'!$MC$2:$MC$200=K$3)*('GMW - worst case'!$MB$2:$MB$200=K$4),0),$E50-1973)</f>
        <v>#N/A</v>
      </c>
      <c r="L50" t="e" cm="1">
        <f t="array" ref="L50">INDEX('GMW - worst case'!$A$2:$MC$200,MATCH(1,('GMW - worst case'!$MC$2:$MC$200=L$3)*('GMW - worst case'!$MB$2:$MB$200=L$4),0),$E50-1973)</f>
        <v>#N/A</v>
      </c>
      <c r="M50" t="e" cm="1">
        <f t="array" ref="M50">INDEX('GMW - worst case'!$A$2:$MC$200,MATCH(1,('GMW - worst case'!$MC$2:$MC$200=M$3)*('GMW - worst case'!$MB$2:$MB$200=M$4),0),$E50-1973)</f>
        <v>#N/A</v>
      </c>
      <c r="N50" t="e" cm="1">
        <f t="array" ref="N50">INDEX('GMW - worst case'!$A$2:$MC$200,MATCH(1,('GMW - worst case'!$MC$2:$MC$200=N$3)*('GMW - worst case'!$MB$2:$MB$200=N$4),0),$E50-1973)</f>
        <v>#N/A</v>
      </c>
      <c r="O50" t="e" cm="1">
        <f t="array" ref="O50">INDEX('GMW - worst case'!$A$2:$MC$200,MATCH(1,('GMW - worst case'!$MC$2:$MC$200=O$3)*('GMW - worst case'!$MB$2:$MB$200=O$4),0),$E50-1973)</f>
        <v>#N/A</v>
      </c>
      <c r="P50" t="e" cm="1">
        <f t="array" ref="P50">INDEX('GMW - worst case'!$A$2:$MC$200,MATCH(1,('GMW - worst case'!$MC$2:$MC$200=P$3)*('GMW - worst case'!$MB$2:$MB$200=P$4),0),$E50-1973)</f>
        <v>#N/A</v>
      </c>
      <c r="Q50" t="e" cm="1">
        <f t="array" ref="Q50">INDEX('GMW - worst case'!$A$2:$MC$200,MATCH(1,('GMW - worst case'!$MC$2:$MC$200=Q$3)*('GMW - worst case'!$MB$2:$MB$200=Q$4),0),$E50-1973)</f>
        <v>#N/A</v>
      </c>
      <c r="R50" t="e" cm="1">
        <f t="array" ref="R50">INDEX('GMW - worst case'!$A$2:$MC$200,MATCH(1,('GMW - worst case'!$MC$2:$MC$200=R$3)*('GMW - worst case'!$MB$2:$MB$200=R$4),0),$E50-1973)</f>
        <v>#N/A</v>
      </c>
      <c r="S50" t="e" cm="1">
        <f t="array" ref="S50">INDEX('GMW - worst case'!$A$2:$MC$200,MATCH(1,('GMW - worst case'!$MC$2:$MC$200=S$3)*('GMW - worst case'!$MB$2:$MB$200=S$4),0),$E50-1973)</f>
        <v>#N/A</v>
      </c>
    </row>
    <row r="51" spans="1:19" x14ac:dyDescent="0.25">
      <c r="A51">
        <v>1991</v>
      </c>
      <c r="B51">
        <f t="shared" si="4"/>
        <v>1991</v>
      </c>
      <c r="C51">
        <f t="shared" si="4"/>
        <v>1990</v>
      </c>
      <c r="D51">
        <f t="shared" si="4"/>
        <v>1990</v>
      </c>
      <c r="E51">
        <f t="shared" si="1"/>
        <v>2024</v>
      </c>
      <c r="F51" cm="1">
        <f t="array" ref="F51">INDEX('GMW - worst case'!$A$2:$MC$200,MATCH(1,('GMW - worst case'!$MC$2:$MC$200=F$3)*('GMW - worst case'!$MB$2:$MB$200=F$4),0),$E51-1973)</f>
        <v>374060</v>
      </c>
      <c r="G51" cm="1">
        <f t="array" ref="G51">INDEX('GMW - worst case'!$A$2:$MC$200,MATCH(1,('GMW - worst case'!$MC$2:$MC$200=G$3)*('GMW - worst case'!$MB$2:$MB$200=G$4),0),$E51-1973)</f>
        <v>214735</v>
      </c>
      <c r="H51" cm="1">
        <f t="array" ref="H51">INDEX('GMW - worst case'!$A$2:$MC$200,MATCH(1,('GMW - worst case'!$MC$2:$MC$200=H$3)*('GMW - worst case'!$MB$2:$MB$200=H$4),0),$E51-1973)</f>
        <v>57.666670000000003</v>
      </c>
      <c r="I51" cm="1">
        <f t="array" ref="I51">INDEX('GMW - worst case'!$A$2:$MC$200,MATCH(1,('GMW - worst case'!$MC$2:$MC$200=I$3)*('GMW - worst case'!$MB$2:$MB$200=I$4),0),$E51-1973)</f>
        <v>13.39063</v>
      </c>
      <c r="J51" t="e" cm="1">
        <f t="array" ref="J51">INDEX('GMW - worst case'!$A$2:$MC$200,MATCH(1,('GMW - worst case'!$MC$2:$MC$200=J$3)*('GMW - worst case'!$MB$2:$MB$200=J$4),0),$E51-1973)</f>
        <v>#N/A</v>
      </c>
      <c r="K51" t="e" cm="1">
        <f t="array" ref="K51">INDEX('GMW - worst case'!$A$2:$MC$200,MATCH(1,('GMW - worst case'!$MC$2:$MC$200=K$3)*('GMW - worst case'!$MB$2:$MB$200=K$4),0),$E51-1973)</f>
        <v>#N/A</v>
      </c>
      <c r="L51" t="e" cm="1">
        <f t="array" ref="L51">INDEX('GMW - worst case'!$A$2:$MC$200,MATCH(1,('GMW - worst case'!$MC$2:$MC$200=L$3)*('GMW - worst case'!$MB$2:$MB$200=L$4),0),$E51-1973)</f>
        <v>#N/A</v>
      </c>
      <c r="M51" t="e" cm="1">
        <f t="array" ref="M51">INDEX('GMW - worst case'!$A$2:$MC$200,MATCH(1,('GMW - worst case'!$MC$2:$MC$200=M$3)*('GMW - worst case'!$MB$2:$MB$200=M$4),0),$E51-1973)</f>
        <v>#N/A</v>
      </c>
      <c r="N51" t="e" cm="1">
        <f t="array" ref="N51">INDEX('GMW - worst case'!$A$2:$MC$200,MATCH(1,('GMW - worst case'!$MC$2:$MC$200=N$3)*('GMW - worst case'!$MB$2:$MB$200=N$4),0),$E51-1973)</f>
        <v>#N/A</v>
      </c>
      <c r="O51" t="e" cm="1">
        <f t="array" ref="O51">INDEX('GMW - worst case'!$A$2:$MC$200,MATCH(1,('GMW - worst case'!$MC$2:$MC$200=O$3)*('GMW - worst case'!$MB$2:$MB$200=O$4),0),$E51-1973)</f>
        <v>#N/A</v>
      </c>
      <c r="P51" t="e" cm="1">
        <f t="array" ref="P51">INDEX('GMW - worst case'!$A$2:$MC$200,MATCH(1,('GMW - worst case'!$MC$2:$MC$200=P$3)*('GMW - worst case'!$MB$2:$MB$200=P$4),0),$E51-1973)</f>
        <v>#N/A</v>
      </c>
      <c r="Q51" t="e" cm="1">
        <f t="array" ref="Q51">INDEX('GMW - worst case'!$A$2:$MC$200,MATCH(1,('GMW - worst case'!$MC$2:$MC$200=Q$3)*('GMW - worst case'!$MB$2:$MB$200=Q$4),0),$E51-1973)</f>
        <v>#N/A</v>
      </c>
      <c r="R51" t="e" cm="1">
        <f t="array" ref="R51">INDEX('GMW - worst case'!$A$2:$MC$200,MATCH(1,('GMW - worst case'!$MC$2:$MC$200=R$3)*('GMW - worst case'!$MB$2:$MB$200=R$4),0),$E51-1973)</f>
        <v>#N/A</v>
      </c>
      <c r="S51" t="e" cm="1">
        <f t="array" ref="S51">INDEX('GMW - worst case'!$A$2:$MC$200,MATCH(1,('GMW - worst case'!$MC$2:$MC$200=S$3)*('GMW - worst case'!$MB$2:$MB$200=S$4),0),$E51-1973)</f>
        <v>#N/A</v>
      </c>
    </row>
    <row r="52" spans="1:19" x14ac:dyDescent="0.25">
      <c r="B52">
        <f t="shared" si="4"/>
        <v>1991</v>
      </c>
      <c r="C52">
        <f t="shared" si="4"/>
        <v>1991</v>
      </c>
      <c r="E52">
        <f t="shared" si="1"/>
        <v>2025</v>
      </c>
      <c r="F52" cm="1">
        <f t="array" ref="F52">INDEX('GMW - worst case'!$A$2:$MC$200,MATCH(1,('GMW - worst case'!$MC$2:$MC$200=F$3)*('GMW - worst case'!$MB$2:$MB$200=F$4),0),$E52-1973)</f>
        <v>373608</v>
      </c>
      <c r="G52" cm="1">
        <f t="array" ref="G52">INDEX('GMW - worst case'!$A$2:$MC$200,MATCH(1,('GMW - worst case'!$MC$2:$MC$200=G$3)*('GMW - worst case'!$MB$2:$MB$200=G$4),0),$E52-1973)</f>
        <v>213315</v>
      </c>
      <c r="H52" cm="1">
        <f t="array" ref="H52">INDEX('GMW - worst case'!$A$2:$MC$200,MATCH(1,('GMW - worst case'!$MC$2:$MC$200=H$3)*('GMW - worst case'!$MB$2:$MB$200=H$4),0),$E52-1973)</f>
        <v>60.266669999999998</v>
      </c>
      <c r="I52" cm="1">
        <f t="array" ref="I52">INDEX('GMW - worst case'!$A$2:$MC$200,MATCH(1,('GMW - worst case'!$MC$2:$MC$200=I$3)*('GMW - worst case'!$MB$2:$MB$200=I$4),0),$E52-1973)</f>
        <v>11.74423</v>
      </c>
      <c r="J52" t="e" cm="1">
        <f t="array" ref="J52">INDEX('GMW - worst case'!$A$2:$MC$200,MATCH(1,('GMW - worst case'!$MC$2:$MC$200=J$3)*('GMW - worst case'!$MB$2:$MB$200=J$4),0),$E52-1973)</f>
        <v>#N/A</v>
      </c>
      <c r="K52" t="e" cm="1">
        <f t="array" ref="K52">INDEX('GMW - worst case'!$A$2:$MC$200,MATCH(1,('GMW - worst case'!$MC$2:$MC$200=K$3)*('GMW - worst case'!$MB$2:$MB$200=K$4),0),$E52-1973)</f>
        <v>#N/A</v>
      </c>
      <c r="L52" t="e" cm="1">
        <f t="array" ref="L52">INDEX('GMW - worst case'!$A$2:$MC$200,MATCH(1,('GMW - worst case'!$MC$2:$MC$200=L$3)*('GMW - worst case'!$MB$2:$MB$200=L$4),0),$E52-1973)</f>
        <v>#N/A</v>
      </c>
      <c r="M52" t="e" cm="1">
        <f t="array" ref="M52">INDEX('GMW - worst case'!$A$2:$MC$200,MATCH(1,('GMW - worst case'!$MC$2:$MC$200=M$3)*('GMW - worst case'!$MB$2:$MB$200=M$4),0),$E52-1973)</f>
        <v>#N/A</v>
      </c>
      <c r="N52" t="e" cm="1">
        <f t="array" ref="N52">INDEX('GMW - worst case'!$A$2:$MC$200,MATCH(1,('GMW - worst case'!$MC$2:$MC$200=N$3)*('GMW - worst case'!$MB$2:$MB$200=N$4),0),$E52-1973)</f>
        <v>#N/A</v>
      </c>
      <c r="O52" t="e" cm="1">
        <f t="array" ref="O52">INDEX('GMW - worst case'!$A$2:$MC$200,MATCH(1,('GMW - worst case'!$MC$2:$MC$200=O$3)*('GMW - worst case'!$MB$2:$MB$200=O$4),0),$E52-1973)</f>
        <v>#N/A</v>
      </c>
      <c r="P52" t="e" cm="1">
        <f t="array" ref="P52">INDEX('GMW - worst case'!$A$2:$MC$200,MATCH(1,('GMW - worst case'!$MC$2:$MC$200=P$3)*('GMW - worst case'!$MB$2:$MB$200=P$4),0),$E52-1973)</f>
        <v>#N/A</v>
      </c>
      <c r="Q52" t="e" cm="1">
        <f t="array" ref="Q52">INDEX('GMW - worst case'!$A$2:$MC$200,MATCH(1,('GMW - worst case'!$MC$2:$MC$200=Q$3)*('GMW - worst case'!$MB$2:$MB$200=Q$4),0),$E52-1973)</f>
        <v>#N/A</v>
      </c>
      <c r="R52" t="e" cm="1">
        <f t="array" ref="R52">INDEX('GMW - worst case'!$A$2:$MC$200,MATCH(1,('GMW - worst case'!$MC$2:$MC$200=R$3)*('GMW - worst case'!$MB$2:$MB$200=R$4),0),$E52-1973)</f>
        <v>#N/A</v>
      </c>
      <c r="S52" t="e" cm="1">
        <f t="array" ref="S52">INDEX('GMW - worst case'!$A$2:$MC$200,MATCH(1,('GMW - worst case'!$MC$2:$MC$200=S$3)*('GMW - worst case'!$MB$2:$MB$200=S$4),0),$E52-1973)</f>
        <v>#N/A</v>
      </c>
    </row>
    <row r="53" spans="1:19" x14ac:dyDescent="0.25">
      <c r="B53">
        <f t="shared" si="4"/>
        <v>1991</v>
      </c>
      <c r="C53">
        <f t="shared" si="4"/>
        <v>1991</v>
      </c>
      <c r="E53">
        <f t="shared" si="1"/>
        <v>2026</v>
      </c>
      <c r="F53" cm="1">
        <f t="array" ref="F53">INDEX('GMW - worst case'!$A$2:$MC$200,MATCH(1,('GMW - worst case'!$MC$2:$MC$200=F$3)*('GMW - worst case'!$MB$2:$MB$200=F$4),0),$E53-1973)</f>
        <v>372878</v>
      </c>
      <c r="G53" cm="1">
        <f t="array" ref="G53">INDEX('GMW - worst case'!$A$2:$MC$200,MATCH(1,('GMW - worst case'!$MC$2:$MC$200=G$3)*('GMW - worst case'!$MB$2:$MB$200=G$4),0),$E53-1973)</f>
        <v>213544</v>
      </c>
      <c r="H53" cm="1">
        <f t="array" ref="H53">INDEX('GMW - worst case'!$A$2:$MC$200,MATCH(1,('GMW - worst case'!$MC$2:$MC$200=H$3)*('GMW - worst case'!$MB$2:$MB$200=H$4),0),$E53-1973)</f>
        <v>60.833329999999997</v>
      </c>
      <c r="I53" cm="1">
        <f t="array" ref="I53">INDEX('GMW - worst case'!$A$2:$MC$200,MATCH(1,('GMW - worst case'!$MC$2:$MC$200=I$3)*('GMW - worst case'!$MB$2:$MB$200=I$4),0),$E53-1973)</f>
        <v>10.799239999999999</v>
      </c>
      <c r="J53" t="e" cm="1">
        <f t="array" ref="J53">INDEX('GMW - worst case'!$A$2:$MC$200,MATCH(1,('GMW - worst case'!$MC$2:$MC$200=J$3)*('GMW - worst case'!$MB$2:$MB$200=J$4),0),$E53-1973)</f>
        <v>#N/A</v>
      </c>
      <c r="K53" t="e" cm="1">
        <f t="array" ref="K53">INDEX('GMW - worst case'!$A$2:$MC$200,MATCH(1,('GMW - worst case'!$MC$2:$MC$200=K$3)*('GMW - worst case'!$MB$2:$MB$200=K$4),0),$E53-1973)</f>
        <v>#N/A</v>
      </c>
      <c r="L53" t="e" cm="1">
        <f t="array" ref="L53">INDEX('GMW - worst case'!$A$2:$MC$200,MATCH(1,('GMW - worst case'!$MC$2:$MC$200=L$3)*('GMW - worst case'!$MB$2:$MB$200=L$4),0),$E53-1973)</f>
        <v>#N/A</v>
      </c>
      <c r="M53" t="e" cm="1">
        <f t="array" ref="M53">INDEX('GMW - worst case'!$A$2:$MC$200,MATCH(1,('GMW - worst case'!$MC$2:$MC$200=M$3)*('GMW - worst case'!$MB$2:$MB$200=M$4),0),$E53-1973)</f>
        <v>#N/A</v>
      </c>
      <c r="N53" t="e" cm="1">
        <f t="array" ref="N53">INDEX('GMW - worst case'!$A$2:$MC$200,MATCH(1,('GMW - worst case'!$MC$2:$MC$200=N$3)*('GMW - worst case'!$MB$2:$MB$200=N$4),0),$E53-1973)</f>
        <v>#N/A</v>
      </c>
      <c r="O53" t="e" cm="1">
        <f t="array" ref="O53">INDEX('GMW - worst case'!$A$2:$MC$200,MATCH(1,('GMW - worst case'!$MC$2:$MC$200=O$3)*('GMW - worst case'!$MB$2:$MB$200=O$4),0),$E53-1973)</f>
        <v>#N/A</v>
      </c>
      <c r="P53" t="e" cm="1">
        <f t="array" ref="P53">INDEX('GMW - worst case'!$A$2:$MC$200,MATCH(1,('GMW - worst case'!$MC$2:$MC$200=P$3)*('GMW - worst case'!$MB$2:$MB$200=P$4),0),$E53-1973)</f>
        <v>#N/A</v>
      </c>
      <c r="Q53" t="e" cm="1">
        <f t="array" ref="Q53">INDEX('GMW - worst case'!$A$2:$MC$200,MATCH(1,('GMW - worst case'!$MC$2:$MC$200=Q$3)*('GMW - worst case'!$MB$2:$MB$200=Q$4),0),$E53-1973)</f>
        <v>#N/A</v>
      </c>
      <c r="R53" t="e" cm="1">
        <f t="array" ref="R53">INDEX('GMW - worst case'!$A$2:$MC$200,MATCH(1,('GMW - worst case'!$MC$2:$MC$200=R$3)*('GMW - worst case'!$MB$2:$MB$200=R$4),0),$E53-1973)</f>
        <v>#N/A</v>
      </c>
      <c r="S53" t="e" cm="1">
        <f t="array" ref="S53">INDEX('GMW - worst case'!$A$2:$MC$200,MATCH(1,('GMW - worst case'!$MC$2:$MC$200=S$3)*('GMW - worst case'!$MB$2:$MB$200=S$4),0),$E53-1973)</f>
        <v>#N/A</v>
      </c>
    </row>
    <row r="54" spans="1:19" x14ac:dyDescent="0.25">
      <c r="B54">
        <f t="shared" si="4"/>
        <v>1991</v>
      </c>
      <c r="C54">
        <f t="shared" si="4"/>
        <v>1991</v>
      </c>
      <c r="E54">
        <f t="shared" si="1"/>
        <v>2027</v>
      </c>
      <c r="F54" cm="1">
        <f t="array" ref="F54">INDEX('GMW - worst case'!$A$2:$MC$200,MATCH(1,('GMW - worst case'!$MC$2:$MC$200=F$3)*('GMW - worst case'!$MB$2:$MB$200=F$4),0),$E54-1973)</f>
        <v>373357</v>
      </c>
      <c r="G54" cm="1">
        <f t="array" ref="G54">INDEX('GMW - worst case'!$A$2:$MC$200,MATCH(1,('GMW - worst case'!$MC$2:$MC$200=G$3)*('GMW - worst case'!$MB$2:$MB$200=G$4),0),$E54-1973)</f>
        <v>213576</v>
      </c>
      <c r="H54" cm="1">
        <f t="array" ref="H54">INDEX('GMW - worst case'!$A$2:$MC$200,MATCH(1,('GMW - worst case'!$MC$2:$MC$200=H$3)*('GMW - worst case'!$MB$2:$MB$200=H$4),0),$E54-1973)</f>
        <v>61.466670000000001</v>
      </c>
      <c r="I54" cm="1">
        <f t="array" ref="I54">INDEX('GMW - worst case'!$A$2:$MC$200,MATCH(1,('GMW - worst case'!$MC$2:$MC$200=I$3)*('GMW - worst case'!$MB$2:$MB$200=I$4),0),$E54-1973)</f>
        <v>10.375</v>
      </c>
      <c r="J54" t="e" cm="1">
        <f t="array" ref="J54">INDEX('GMW - worst case'!$A$2:$MC$200,MATCH(1,('GMW - worst case'!$MC$2:$MC$200=J$3)*('GMW - worst case'!$MB$2:$MB$200=J$4),0),$E54-1973)</f>
        <v>#N/A</v>
      </c>
      <c r="K54" t="e" cm="1">
        <f t="array" ref="K54">INDEX('GMW - worst case'!$A$2:$MC$200,MATCH(1,('GMW - worst case'!$MC$2:$MC$200=K$3)*('GMW - worst case'!$MB$2:$MB$200=K$4),0),$E54-1973)</f>
        <v>#N/A</v>
      </c>
      <c r="L54" t="e" cm="1">
        <f t="array" ref="L54">INDEX('GMW - worst case'!$A$2:$MC$200,MATCH(1,('GMW - worst case'!$MC$2:$MC$200=L$3)*('GMW - worst case'!$MB$2:$MB$200=L$4),0),$E54-1973)</f>
        <v>#N/A</v>
      </c>
      <c r="M54" t="e" cm="1">
        <f t="array" ref="M54">INDEX('GMW - worst case'!$A$2:$MC$200,MATCH(1,('GMW - worst case'!$MC$2:$MC$200=M$3)*('GMW - worst case'!$MB$2:$MB$200=M$4),0),$E54-1973)</f>
        <v>#N/A</v>
      </c>
      <c r="N54" t="e" cm="1">
        <f t="array" ref="N54">INDEX('GMW - worst case'!$A$2:$MC$200,MATCH(1,('GMW - worst case'!$MC$2:$MC$200=N$3)*('GMW - worst case'!$MB$2:$MB$200=N$4),0),$E54-1973)</f>
        <v>#N/A</v>
      </c>
      <c r="O54" t="e" cm="1">
        <f t="array" ref="O54">INDEX('GMW - worst case'!$A$2:$MC$200,MATCH(1,('GMW - worst case'!$MC$2:$MC$200=O$3)*('GMW - worst case'!$MB$2:$MB$200=O$4),0),$E54-1973)</f>
        <v>#N/A</v>
      </c>
      <c r="P54" t="e" cm="1">
        <f t="array" ref="P54">INDEX('GMW - worst case'!$A$2:$MC$200,MATCH(1,('GMW - worst case'!$MC$2:$MC$200=P$3)*('GMW - worst case'!$MB$2:$MB$200=P$4),0),$E54-1973)</f>
        <v>#N/A</v>
      </c>
      <c r="Q54" t="e" cm="1">
        <f t="array" ref="Q54">INDEX('GMW - worst case'!$A$2:$MC$200,MATCH(1,('GMW - worst case'!$MC$2:$MC$200=Q$3)*('GMW - worst case'!$MB$2:$MB$200=Q$4),0),$E54-1973)</f>
        <v>#N/A</v>
      </c>
      <c r="R54" t="e" cm="1">
        <f t="array" ref="R54">INDEX('GMW - worst case'!$A$2:$MC$200,MATCH(1,('GMW - worst case'!$MC$2:$MC$200=R$3)*('GMW - worst case'!$MB$2:$MB$200=R$4),0),$E54-1973)</f>
        <v>#N/A</v>
      </c>
      <c r="S54" t="e" cm="1">
        <f t="array" ref="S54">INDEX('GMW - worst case'!$A$2:$MC$200,MATCH(1,('GMW - worst case'!$MC$2:$MC$200=S$3)*('GMW - worst case'!$MB$2:$MB$200=S$4),0),$E54-1973)</f>
        <v>#N/A</v>
      </c>
    </row>
    <row r="55" spans="1:19" x14ac:dyDescent="0.25">
      <c r="A55">
        <v>1992</v>
      </c>
      <c r="B55">
        <f t="shared" si="4"/>
        <v>1992</v>
      </c>
      <c r="C55">
        <f t="shared" si="4"/>
        <v>1991</v>
      </c>
      <c r="D55">
        <f t="shared" si="4"/>
        <v>1991</v>
      </c>
      <c r="E55">
        <f t="shared" si="1"/>
        <v>2028</v>
      </c>
      <c r="F55" cm="1">
        <f t="array" ref="F55">INDEX('GMW - worst case'!$A$2:$MC$200,MATCH(1,('GMW - worst case'!$MC$2:$MC$200=F$3)*('GMW - worst case'!$MB$2:$MB$200=F$4),0),$E55-1973)</f>
        <v>373317</v>
      </c>
      <c r="G55" cm="1">
        <f t="array" ref="G55">INDEX('GMW - worst case'!$A$2:$MC$200,MATCH(1,('GMW - worst case'!$MC$2:$MC$200=G$3)*('GMW - worst case'!$MB$2:$MB$200=G$4),0),$E55-1973)</f>
        <v>213040</v>
      </c>
      <c r="H55" cm="1">
        <f t="array" ref="H55">INDEX('GMW - worst case'!$A$2:$MC$200,MATCH(1,('GMW - worst case'!$MC$2:$MC$200=H$3)*('GMW - worst case'!$MB$2:$MB$200=H$4),0),$E55-1973)</f>
        <v>61.7</v>
      </c>
      <c r="I55" cm="1">
        <f t="array" ref="I55">INDEX('GMW - worst case'!$A$2:$MC$200,MATCH(1,('GMW - worst case'!$MC$2:$MC$200=I$3)*('GMW - worst case'!$MB$2:$MB$200=I$4),0),$E55-1973)</f>
        <v>10.375</v>
      </c>
      <c r="J55" t="e" cm="1">
        <f t="array" ref="J55">INDEX('GMW - worst case'!$A$2:$MC$200,MATCH(1,('GMW - worst case'!$MC$2:$MC$200=J$3)*('GMW - worst case'!$MB$2:$MB$200=J$4),0),$E55-1973)</f>
        <v>#N/A</v>
      </c>
      <c r="K55" t="e" cm="1">
        <f t="array" ref="K55">INDEX('GMW - worst case'!$A$2:$MC$200,MATCH(1,('GMW - worst case'!$MC$2:$MC$200=K$3)*('GMW - worst case'!$MB$2:$MB$200=K$4),0),$E55-1973)</f>
        <v>#N/A</v>
      </c>
      <c r="L55" t="e" cm="1">
        <f t="array" ref="L55">INDEX('GMW - worst case'!$A$2:$MC$200,MATCH(1,('GMW - worst case'!$MC$2:$MC$200=L$3)*('GMW - worst case'!$MB$2:$MB$200=L$4),0),$E55-1973)</f>
        <v>#N/A</v>
      </c>
      <c r="M55" t="e" cm="1">
        <f t="array" ref="M55">INDEX('GMW - worst case'!$A$2:$MC$200,MATCH(1,('GMW - worst case'!$MC$2:$MC$200=M$3)*('GMW - worst case'!$MB$2:$MB$200=M$4),0),$E55-1973)</f>
        <v>#N/A</v>
      </c>
      <c r="N55" t="e" cm="1">
        <f t="array" ref="N55">INDEX('GMW - worst case'!$A$2:$MC$200,MATCH(1,('GMW - worst case'!$MC$2:$MC$200=N$3)*('GMW - worst case'!$MB$2:$MB$200=N$4),0),$E55-1973)</f>
        <v>#N/A</v>
      </c>
      <c r="O55" t="e" cm="1">
        <f t="array" ref="O55">INDEX('GMW - worst case'!$A$2:$MC$200,MATCH(1,('GMW - worst case'!$MC$2:$MC$200=O$3)*('GMW - worst case'!$MB$2:$MB$200=O$4),0),$E55-1973)</f>
        <v>#N/A</v>
      </c>
      <c r="P55" t="e" cm="1">
        <f t="array" ref="P55">INDEX('GMW - worst case'!$A$2:$MC$200,MATCH(1,('GMW - worst case'!$MC$2:$MC$200=P$3)*('GMW - worst case'!$MB$2:$MB$200=P$4),0),$E55-1973)</f>
        <v>#N/A</v>
      </c>
      <c r="Q55" t="e" cm="1">
        <f t="array" ref="Q55">INDEX('GMW - worst case'!$A$2:$MC$200,MATCH(1,('GMW - worst case'!$MC$2:$MC$200=Q$3)*('GMW - worst case'!$MB$2:$MB$200=Q$4),0),$E55-1973)</f>
        <v>#N/A</v>
      </c>
      <c r="R55" t="e" cm="1">
        <f t="array" ref="R55">INDEX('GMW - worst case'!$A$2:$MC$200,MATCH(1,('GMW - worst case'!$MC$2:$MC$200=R$3)*('GMW - worst case'!$MB$2:$MB$200=R$4),0),$E55-1973)</f>
        <v>#N/A</v>
      </c>
      <c r="S55" t="e" cm="1">
        <f t="array" ref="S55">INDEX('GMW - worst case'!$A$2:$MC$200,MATCH(1,('GMW - worst case'!$MC$2:$MC$200=S$3)*('GMW - worst case'!$MB$2:$MB$200=S$4),0),$E55-1973)</f>
        <v>#N/A</v>
      </c>
    </row>
    <row r="56" spans="1:19" x14ac:dyDescent="0.25">
      <c r="B56">
        <f t="shared" si="4"/>
        <v>1992</v>
      </c>
      <c r="C56">
        <f t="shared" si="4"/>
        <v>1992</v>
      </c>
      <c r="E56">
        <f t="shared" si="1"/>
        <v>2029</v>
      </c>
      <c r="F56" cm="1">
        <f t="array" ref="F56">INDEX('GMW - worst case'!$A$2:$MC$200,MATCH(1,('GMW - worst case'!$MC$2:$MC$200=F$3)*('GMW - worst case'!$MB$2:$MB$200=F$4),0),$E56-1973)</f>
        <v>372751</v>
      </c>
      <c r="G56" cm="1">
        <f t="array" ref="G56">INDEX('GMW - worst case'!$A$2:$MC$200,MATCH(1,('GMW - worst case'!$MC$2:$MC$200=G$3)*('GMW - worst case'!$MB$2:$MB$200=G$4),0),$E56-1973)</f>
        <v>215855</v>
      </c>
      <c r="H56" cm="1">
        <f t="array" ref="H56">INDEX('GMW - worst case'!$A$2:$MC$200,MATCH(1,('GMW - worst case'!$MC$2:$MC$200=H$3)*('GMW - worst case'!$MB$2:$MB$200=H$4),0),$E56-1973)</f>
        <v>62.833329999999997</v>
      </c>
      <c r="I56" cm="1">
        <f t="array" ref="I56">INDEX('GMW - worst case'!$A$2:$MC$200,MATCH(1,('GMW - worst case'!$MC$2:$MC$200=I$3)*('GMW - worst case'!$MB$2:$MB$200=I$4),0),$E56-1973)</f>
        <v>10.059620000000001</v>
      </c>
      <c r="J56" t="e" cm="1">
        <f t="array" ref="J56">INDEX('GMW - worst case'!$A$2:$MC$200,MATCH(1,('GMW - worst case'!$MC$2:$MC$200=J$3)*('GMW - worst case'!$MB$2:$MB$200=J$4),0),$E56-1973)</f>
        <v>#N/A</v>
      </c>
      <c r="K56" t="e" cm="1">
        <f t="array" ref="K56">INDEX('GMW - worst case'!$A$2:$MC$200,MATCH(1,('GMW - worst case'!$MC$2:$MC$200=K$3)*('GMW - worst case'!$MB$2:$MB$200=K$4),0),$E56-1973)</f>
        <v>#N/A</v>
      </c>
      <c r="L56" t="e" cm="1">
        <f t="array" ref="L56">INDEX('GMW - worst case'!$A$2:$MC$200,MATCH(1,('GMW - worst case'!$MC$2:$MC$200=L$3)*('GMW - worst case'!$MB$2:$MB$200=L$4),0),$E56-1973)</f>
        <v>#N/A</v>
      </c>
      <c r="M56" t="e" cm="1">
        <f t="array" ref="M56">INDEX('GMW - worst case'!$A$2:$MC$200,MATCH(1,('GMW - worst case'!$MC$2:$MC$200=M$3)*('GMW - worst case'!$MB$2:$MB$200=M$4),0),$E56-1973)</f>
        <v>#N/A</v>
      </c>
      <c r="N56" t="e" cm="1">
        <f t="array" ref="N56">INDEX('GMW - worst case'!$A$2:$MC$200,MATCH(1,('GMW - worst case'!$MC$2:$MC$200=N$3)*('GMW - worst case'!$MB$2:$MB$200=N$4),0),$E56-1973)</f>
        <v>#N/A</v>
      </c>
      <c r="O56" t="e" cm="1">
        <f t="array" ref="O56">INDEX('GMW - worst case'!$A$2:$MC$200,MATCH(1,('GMW - worst case'!$MC$2:$MC$200=O$3)*('GMW - worst case'!$MB$2:$MB$200=O$4),0),$E56-1973)</f>
        <v>#N/A</v>
      </c>
      <c r="P56" t="e" cm="1">
        <f t="array" ref="P56">INDEX('GMW - worst case'!$A$2:$MC$200,MATCH(1,('GMW - worst case'!$MC$2:$MC$200=P$3)*('GMW - worst case'!$MB$2:$MB$200=P$4),0),$E56-1973)</f>
        <v>#N/A</v>
      </c>
      <c r="Q56" t="e" cm="1">
        <f t="array" ref="Q56">INDEX('GMW - worst case'!$A$2:$MC$200,MATCH(1,('GMW - worst case'!$MC$2:$MC$200=Q$3)*('GMW - worst case'!$MB$2:$MB$200=Q$4),0),$E56-1973)</f>
        <v>#N/A</v>
      </c>
      <c r="R56" t="e" cm="1">
        <f t="array" ref="R56">INDEX('GMW - worst case'!$A$2:$MC$200,MATCH(1,('GMW - worst case'!$MC$2:$MC$200=R$3)*('GMW - worst case'!$MB$2:$MB$200=R$4),0),$E56-1973)</f>
        <v>#N/A</v>
      </c>
      <c r="S56" t="e" cm="1">
        <f t="array" ref="S56">INDEX('GMW - worst case'!$A$2:$MC$200,MATCH(1,('GMW - worst case'!$MC$2:$MC$200=S$3)*('GMW - worst case'!$MB$2:$MB$200=S$4),0),$E56-1973)</f>
        <v>#N/A</v>
      </c>
    </row>
    <row r="57" spans="1:19" x14ac:dyDescent="0.25">
      <c r="B57">
        <f t="shared" si="4"/>
        <v>1992</v>
      </c>
      <c r="C57">
        <f t="shared" si="4"/>
        <v>1992</v>
      </c>
      <c r="E57">
        <f t="shared" si="1"/>
        <v>2030</v>
      </c>
      <c r="F57" cm="1">
        <f t="array" ref="F57">INDEX('GMW - worst case'!$A$2:$MC$200,MATCH(1,('GMW - worst case'!$MC$2:$MC$200=F$3)*('GMW - worst case'!$MB$2:$MB$200=F$4),0),$E57-1973)</f>
        <v>374537</v>
      </c>
      <c r="G57" cm="1">
        <f t="array" ref="G57">INDEX('GMW - worst case'!$A$2:$MC$200,MATCH(1,('GMW - worst case'!$MC$2:$MC$200=G$3)*('GMW - worst case'!$MB$2:$MB$200=G$4),0),$E57-1973)</f>
        <v>217123</v>
      </c>
      <c r="H57" cm="1">
        <f t="array" ref="H57">INDEX('GMW - worst case'!$A$2:$MC$200,MATCH(1,('GMW - worst case'!$MC$2:$MC$200=H$3)*('GMW - worst case'!$MB$2:$MB$200=H$4),0),$E57-1973)</f>
        <v>62.733330000000002</v>
      </c>
      <c r="I57" cm="1">
        <f t="array" ref="I57">INDEX('GMW - worst case'!$A$2:$MC$200,MATCH(1,('GMW - worst case'!$MC$2:$MC$200=I$3)*('GMW - worst case'!$MB$2:$MB$200=I$4),0),$E57-1973)</f>
        <v>9.7689389999999996</v>
      </c>
      <c r="J57" t="e" cm="1">
        <f t="array" ref="J57">INDEX('GMW - worst case'!$A$2:$MC$200,MATCH(1,('GMW - worst case'!$MC$2:$MC$200=J$3)*('GMW - worst case'!$MB$2:$MB$200=J$4),0),$E57-1973)</f>
        <v>#N/A</v>
      </c>
      <c r="K57" t="e" cm="1">
        <f t="array" ref="K57">INDEX('GMW - worst case'!$A$2:$MC$200,MATCH(1,('GMW - worst case'!$MC$2:$MC$200=K$3)*('GMW - worst case'!$MB$2:$MB$200=K$4),0),$E57-1973)</f>
        <v>#N/A</v>
      </c>
      <c r="L57" t="e" cm="1">
        <f t="array" ref="L57">INDEX('GMW - worst case'!$A$2:$MC$200,MATCH(1,('GMW - worst case'!$MC$2:$MC$200=L$3)*('GMW - worst case'!$MB$2:$MB$200=L$4),0),$E57-1973)</f>
        <v>#N/A</v>
      </c>
      <c r="M57" t="e" cm="1">
        <f t="array" ref="M57">INDEX('GMW - worst case'!$A$2:$MC$200,MATCH(1,('GMW - worst case'!$MC$2:$MC$200=M$3)*('GMW - worst case'!$MB$2:$MB$200=M$4),0),$E57-1973)</f>
        <v>#N/A</v>
      </c>
      <c r="N57" t="e" cm="1">
        <f t="array" ref="N57">INDEX('GMW - worst case'!$A$2:$MC$200,MATCH(1,('GMW - worst case'!$MC$2:$MC$200=N$3)*('GMW - worst case'!$MB$2:$MB$200=N$4),0),$E57-1973)</f>
        <v>#N/A</v>
      </c>
      <c r="O57" t="e" cm="1">
        <f t="array" ref="O57">INDEX('GMW - worst case'!$A$2:$MC$200,MATCH(1,('GMW - worst case'!$MC$2:$MC$200=O$3)*('GMW - worst case'!$MB$2:$MB$200=O$4),0),$E57-1973)</f>
        <v>#N/A</v>
      </c>
      <c r="P57" t="e" cm="1">
        <f t="array" ref="P57">INDEX('GMW - worst case'!$A$2:$MC$200,MATCH(1,('GMW - worst case'!$MC$2:$MC$200=P$3)*('GMW - worst case'!$MB$2:$MB$200=P$4),0),$E57-1973)</f>
        <v>#N/A</v>
      </c>
      <c r="Q57" t="e" cm="1">
        <f t="array" ref="Q57">INDEX('GMW - worst case'!$A$2:$MC$200,MATCH(1,('GMW - worst case'!$MC$2:$MC$200=Q$3)*('GMW - worst case'!$MB$2:$MB$200=Q$4),0),$E57-1973)</f>
        <v>#N/A</v>
      </c>
      <c r="R57" t="e" cm="1">
        <f t="array" ref="R57">INDEX('GMW - worst case'!$A$2:$MC$200,MATCH(1,('GMW - worst case'!$MC$2:$MC$200=R$3)*('GMW - worst case'!$MB$2:$MB$200=R$4),0),$E57-1973)</f>
        <v>#N/A</v>
      </c>
      <c r="S57" t="e" cm="1">
        <f t="array" ref="S57">INDEX('GMW - worst case'!$A$2:$MC$200,MATCH(1,('GMW - worst case'!$MC$2:$MC$200=S$3)*('GMW - worst case'!$MB$2:$MB$200=S$4),0),$E57-1973)</f>
        <v>#N/A</v>
      </c>
    </row>
    <row r="58" spans="1:19" x14ac:dyDescent="0.25">
      <c r="B58">
        <f t="shared" si="4"/>
        <v>1992</v>
      </c>
      <c r="C58">
        <f t="shared" si="4"/>
        <v>1992</v>
      </c>
      <c r="E58">
        <f t="shared" si="1"/>
        <v>2031</v>
      </c>
      <c r="F58" cm="1">
        <f t="array" ref="F58">INDEX('GMW - worst case'!$A$2:$MC$200,MATCH(1,('GMW - worst case'!$MC$2:$MC$200=F$3)*('GMW - worst case'!$MB$2:$MB$200=F$4),0),$E58-1973)</f>
        <v>377418</v>
      </c>
      <c r="G58" cm="1">
        <f t="array" ref="G58">INDEX('GMW - worst case'!$A$2:$MC$200,MATCH(1,('GMW - worst case'!$MC$2:$MC$200=G$3)*('GMW - worst case'!$MB$2:$MB$200=G$4),0),$E58-1973)</f>
        <v>217528</v>
      </c>
      <c r="H58" cm="1">
        <f t="array" ref="H58">INDEX('GMW - worst case'!$A$2:$MC$200,MATCH(1,('GMW - worst case'!$MC$2:$MC$200=H$3)*('GMW - worst case'!$MB$2:$MB$200=H$4),0),$E58-1973)</f>
        <v>63.133339999999997</v>
      </c>
      <c r="I58" cm="1">
        <f t="array" ref="I58">INDEX('GMW - worst case'!$A$2:$MC$200,MATCH(1,('GMW - worst case'!$MC$2:$MC$200=I$3)*('GMW - worst case'!$MB$2:$MB$200=I$4),0),$E58-1973)</f>
        <v>7.5113640000000004</v>
      </c>
      <c r="J58" t="e" cm="1">
        <f t="array" ref="J58">INDEX('GMW - worst case'!$A$2:$MC$200,MATCH(1,('GMW - worst case'!$MC$2:$MC$200=J$3)*('GMW - worst case'!$MB$2:$MB$200=J$4),0),$E58-1973)</f>
        <v>#N/A</v>
      </c>
      <c r="K58" t="e" cm="1">
        <f t="array" ref="K58">INDEX('GMW - worst case'!$A$2:$MC$200,MATCH(1,('GMW - worst case'!$MC$2:$MC$200=K$3)*('GMW - worst case'!$MB$2:$MB$200=K$4),0),$E58-1973)</f>
        <v>#N/A</v>
      </c>
      <c r="L58" t="e" cm="1">
        <f t="array" ref="L58">INDEX('GMW - worst case'!$A$2:$MC$200,MATCH(1,('GMW - worst case'!$MC$2:$MC$200=L$3)*('GMW - worst case'!$MB$2:$MB$200=L$4),0),$E58-1973)</f>
        <v>#N/A</v>
      </c>
      <c r="M58" t="e" cm="1">
        <f t="array" ref="M58">INDEX('GMW - worst case'!$A$2:$MC$200,MATCH(1,('GMW - worst case'!$MC$2:$MC$200=M$3)*('GMW - worst case'!$MB$2:$MB$200=M$4),0),$E58-1973)</f>
        <v>#N/A</v>
      </c>
      <c r="N58" t="e" cm="1">
        <f t="array" ref="N58">INDEX('GMW - worst case'!$A$2:$MC$200,MATCH(1,('GMW - worst case'!$MC$2:$MC$200=N$3)*('GMW - worst case'!$MB$2:$MB$200=N$4),0),$E58-1973)</f>
        <v>#N/A</v>
      </c>
      <c r="O58" t="e" cm="1">
        <f t="array" ref="O58">INDEX('GMW - worst case'!$A$2:$MC$200,MATCH(1,('GMW - worst case'!$MC$2:$MC$200=O$3)*('GMW - worst case'!$MB$2:$MB$200=O$4),0),$E58-1973)</f>
        <v>#N/A</v>
      </c>
      <c r="P58" t="e" cm="1">
        <f t="array" ref="P58">INDEX('GMW - worst case'!$A$2:$MC$200,MATCH(1,('GMW - worst case'!$MC$2:$MC$200=P$3)*('GMW - worst case'!$MB$2:$MB$200=P$4),0),$E58-1973)</f>
        <v>#N/A</v>
      </c>
      <c r="Q58" t="e" cm="1">
        <f t="array" ref="Q58">INDEX('GMW - worst case'!$A$2:$MC$200,MATCH(1,('GMW - worst case'!$MC$2:$MC$200=Q$3)*('GMW - worst case'!$MB$2:$MB$200=Q$4),0),$E58-1973)</f>
        <v>#N/A</v>
      </c>
      <c r="R58" t="e" cm="1">
        <f t="array" ref="R58">INDEX('GMW - worst case'!$A$2:$MC$200,MATCH(1,('GMW - worst case'!$MC$2:$MC$200=R$3)*('GMW - worst case'!$MB$2:$MB$200=R$4),0),$E58-1973)</f>
        <v>#N/A</v>
      </c>
      <c r="S58" t="e" cm="1">
        <f t="array" ref="S58">INDEX('GMW - worst case'!$A$2:$MC$200,MATCH(1,('GMW - worst case'!$MC$2:$MC$200=S$3)*('GMW - worst case'!$MB$2:$MB$200=S$4),0),$E58-1973)</f>
        <v>#N/A</v>
      </c>
    </row>
    <row r="59" spans="1:19" x14ac:dyDescent="0.25">
      <c r="A59">
        <v>1993</v>
      </c>
      <c r="B59">
        <f t="shared" si="4"/>
        <v>1993</v>
      </c>
      <c r="C59">
        <f t="shared" si="4"/>
        <v>1992</v>
      </c>
      <c r="D59">
        <f t="shared" si="4"/>
        <v>1992</v>
      </c>
      <c r="E59">
        <f t="shared" si="1"/>
        <v>2032</v>
      </c>
      <c r="F59" cm="1">
        <f t="array" ref="F59">INDEX('GMW - worst case'!$A$2:$MC$200,MATCH(1,('GMW - worst case'!$MC$2:$MC$200=F$3)*('GMW - worst case'!$MB$2:$MB$200=F$4),0),$E59-1973)</f>
        <v>379370</v>
      </c>
      <c r="G59" cm="1">
        <f t="array" ref="G59">INDEX('GMW - worst case'!$A$2:$MC$200,MATCH(1,('GMW - worst case'!$MC$2:$MC$200=G$3)*('GMW - worst case'!$MB$2:$MB$200=G$4),0),$E59-1973)</f>
        <v>219343</v>
      </c>
      <c r="H59" cm="1">
        <f t="array" ref="H59">INDEX('GMW - worst case'!$A$2:$MC$200,MATCH(1,('GMW - worst case'!$MC$2:$MC$200=H$3)*('GMW - worst case'!$MB$2:$MB$200=H$4),0),$E59-1973)</f>
        <v>63.2</v>
      </c>
      <c r="I59" cm="1">
        <f t="array" ref="I59">INDEX('GMW - worst case'!$A$2:$MC$200,MATCH(1,('GMW - worst case'!$MC$2:$MC$200=I$3)*('GMW - worst case'!$MB$2:$MB$200=I$4),0),$E59-1973)</f>
        <v>6.140625</v>
      </c>
      <c r="J59" t="e" cm="1">
        <f t="array" ref="J59">INDEX('GMW - worst case'!$A$2:$MC$200,MATCH(1,('GMW - worst case'!$MC$2:$MC$200=J$3)*('GMW - worst case'!$MB$2:$MB$200=J$4),0),$E59-1973)</f>
        <v>#N/A</v>
      </c>
      <c r="K59" t="e" cm="1">
        <f t="array" ref="K59">INDEX('GMW - worst case'!$A$2:$MC$200,MATCH(1,('GMW - worst case'!$MC$2:$MC$200=K$3)*('GMW - worst case'!$MB$2:$MB$200=K$4),0),$E59-1973)</f>
        <v>#N/A</v>
      </c>
      <c r="L59" t="e" cm="1">
        <f t="array" ref="L59">INDEX('GMW - worst case'!$A$2:$MC$200,MATCH(1,('GMW - worst case'!$MC$2:$MC$200=L$3)*('GMW - worst case'!$MB$2:$MB$200=L$4),0),$E59-1973)</f>
        <v>#N/A</v>
      </c>
      <c r="M59" t="e" cm="1">
        <f t="array" ref="M59">INDEX('GMW - worst case'!$A$2:$MC$200,MATCH(1,('GMW - worst case'!$MC$2:$MC$200=M$3)*('GMW - worst case'!$MB$2:$MB$200=M$4),0),$E59-1973)</f>
        <v>#N/A</v>
      </c>
      <c r="N59" t="e" cm="1">
        <f t="array" ref="N59">INDEX('GMW - worst case'!$A$2:$MC$200,MATCH(1,('GMW - worst case'!$MC$2:$MC$200=N$3)*('GMW - worst case'!$MB$2:$MB$200=N$4),0),$E59-1973)</f>
        <v>#N/A</v>
      </c>
      <c r="O59" t="e" cm="1">
        <f t="array" ref="O59">INDEX('GMW - worst case'!$A$2:$MC$200,MATCH(1,('GMW - worst case'!$MC$2:$MC$200=O$3)*('GMW - worst case'!$MB$2:$MB$200=O$4),0),$E59-1973)</f>
        <v>#N/A</v>
      </c>
      <c r="P59" t="e" cm="1">
        <f t="array" ref="P59">INDEX('GMW - worst case'!$A$2:$MC$200,MATCH(1,('GMW - worst case'!$MC$2:$MC$200=P$3)*('GMW - worst case'!$MB$2:$MB$200=P$4),0),$E59-1973)</f>
        <v>#N/A</v>
      </c>
      <c r="Q59" t="e" cm="1">
        <f t="array" ref="Q59">INDEX('GMW - worst case'!$A$2:$MC$200,MATCH(1,('GMW - worst case'!$MC$2:$MC$200=Q$3)*('GMW - worst case'!$MB$2:$MB$200=Q$4),0),$E59-1973)</f>
        <v>#N/A</v>
      </c>
      <c r="R59" t="e" cm="1">
        <f t="array" ref="R59">INDEX('GMW - worst case'!$A$2:$MC$200,MATCH(1,('GMW - worst case'!$MC$2:$MC$200=R$3)*('GMW - worst case'!$MB$2:$MB$200=R$4),0),$E59-1973)</f>
        <v>#N/A</v>
      </c>
      <c r="S59" t="e" cm="1">
        <f t="array" ref="S59">INDEX('GMW - worst case'!$A$2:$MC$200,MATCH(1,('GMW - worst case'!$MC$2:$MC$200=S$3)*('GMW - worst case'!$MB$2:$MB$200=S$4),0),$E59-1973)</f>
        <v>#N/A</v>
      </c>
    </row>
    <row r="60" spans="1:19" x14ac:dyDescent="0.25">
      <c r="B60">
        <f t="shared" ref="B60:D75" si="5">+B56+1</f>
        <v>1993</v>
      </c>
      <c r="C60">
        <f t="shared" si="5"/>
        <v>1993</v>
      </c>
      <c r="E60">
        <f t="shared" si="1"/>
        <v>2033</v>
      </c>
      <c r="F60" cm="1">
        <f t="array" ref="F60">INDEX('GMW - worst case'!$A$2:$MC$200,MATCH(1,('GMW - worst case'!$MC$2:$MC$200=F$3)*('GMW - worst case'!$MB$2:$MB$200=F$4),0),$E60-1973)</f>
        <v>381045</v>
      </c>
      <c r="G60" cm="1">
        <f t="array" ref="G60">INDEX('GMW - worst case'!$A$2:$MC$200,MATCH(1,('GMW - worst case'!$MC$2:$MC$200=G$3)*('GMW - worst case'!$MB$2:$MB$200=G$4),0),$E60-1973)</f>
        <v>219780</v>
      </c>
      <c r="H60" cm="1">
        <f t="array" ref="H60">INDEX('GMW - worst case'!$A$2:$MC$200,MATCH(1,('GMW - worst case'!$MC$2:$MC$200=H$3)*('GMW - worst case'!$MB$2:$MB$200=H$4),0),$E60-1973)</f>
        <v>64.433329999999998</v>
      </c>
      <c r="I60" cm="1">
        <f t="array" ref="I60">INDEX('GMW - worst case'!$A$2:$MC$200,MATCH(1,('GMW - worst case'!$MC$2:$MC$200=I$3)*('GMW - worst case'!$MB$2:$MB$200=I$4),0),$E60-1973)</f>
        <v>5.875</v>
      </c>
      <c r="J60" t="e" cm="1">
        <f t="array" ref="J60">INDEX('GMW - worst case'!$A$2:$MC$200,MATCH(1,('GMW - worst case'!$MC$2:$MC$200=J$3)*('GMW - worst case'!$MB$2:$MB$200=J$4),0),$E60-1973)</f>
        <v>#N/A</v>
      </c>
      <c r="K60" t="e" cm="1">
        <f t="array" ref="K60">INDEX('GMW - worst case'!$A$2:$MC$200,MATCH(1,('GMW - worst case'!$MC$2:$MC$200=K$3)*('GMW - worst case'!$MB$2:$MB$200=K$4),0),$E60-1973)</f>
        <v>#N/A</v>
      </c>
      <c r="L60" t="e" cm="1">
        <f t="array" ref="L60">INDEX('GMW - worst case'!$A$2:$MC$200,MATCH(1,('GMW - worst case'!$MC$2:$MC$200=L$3)*('GMW - worst case'!$MB$2:$MB$200=L$4),0),$E60-1973)</f>
        <v>#N/A</v>
      </c>
      <c r="M60" t="e" cm="1">
        <f t="array" ref="M60">INDEX('GMW - worst case'!$A$2:$MC$200,MATCH(1,('GMW - worst case'!$MC$2:$MC$200=M$3)*('GMW - worst case'!$MB$2:$MB$200=M$4),0),$E60-1973)</f>
        <v>#N/A</v>
      </c>
      <c r="N60" t="e" cm="1">
        <f t="array" ref="N60">INDEX('GMW - worst case'!$A$2:$MC$200,MATCH(1,('GMW - worst case'!$MC$2:$MC$200=N$3)*('GMW - worst case'!$MB$2:$MB$200=N$4),0),$E60-1973)</f>
        <v>#N/A</v>
      </c>
      <c r="O60" t="e" cm="1">
        <f t="array" ref="O60">INDEX('GMW - worst case'!$A$2:$MC$200,MATCH(1,('GMW - worst case'!$MC$2:$MC$200=O$3)*('GMW - worst case'!$MB$2:$MB$200=O$4),0),$E60-1973)</f>
        <v>#N/A</v>
      </c>
      <c r="P60" t="e" cm="1">
        <f t="array" ref="P60">INDEX('GMW - worst case'!$A$2:$MC$200,MATCH(1,('GMW - worst case'!$MC$2:$MC$200=P$3)*('GMW - worst case'!$MB$2:$MB$200=P$4),0),$E60-1973)</f>
        <v>#N/A</v>
      </c>
      <c r="Q60" t="e" cm="1">
        <f t="array" ref="Q60">INDEX('GMW - worst case'!$A$2:$MC$200,MATCH(1,('GMW - worst case'!$MC$2:$MC$200=Q$3)*('GMW - worst case'!$MB$2:$MB$200=Q$4),0),$E60-1973)</f>
        <v>#N/A</v>
      </c>
      <c r="R60" t="e" cm="1">
        <f t="array" ref="R60">INDEX('GMW - worst case'!$A$2:$MC$200,MATCH(1,('GMW - worst case'!$MC$2:$MC$200=R$3)*('GMW - worst case'!$MB$2:$MB$200=R$4),0),$E60-1973)</f>
        <v>#N/A</v>
      </c>
      <c r="S60" t="e" cm="1">
        <f t="array" ref="S60">INDEX('GMW - worst case'!$A$2:$MC$200,MATCH(1,('GMW - worst case'!$MC$2:$MC$200=S$3)*('GMW - worst case'!$MB$2:$MB$200=S$4),0),$E60-1973)</f>
        <v>#N/A</v>
      </c>
    </row>
    <row r="61" spans="1:19" x14ac:dyDescent="0.25">
      <c r="B61">
        <f t="shared" si="5"/>
        <v>1993</v>
      </c>
      <c r="C61">
        <f t="shared" si="5"/>
        <v>1993</v>
      </c>
      <c r="E61">
        <f t="shared" si="1"/>
        <v>2034</v>
      </c>
      <c r="F61" cm="1">
        <f t="array" ref="F61">INDEX('GMW - worst case'!$A$2:$MC$200,MATCH(1,('GMW - worst case'!$MC$2:$MC$200=F$3)*('GMW - worst case'!$MB$2:$MB$200=F$4),0),$E61-1973)</f>
        <v>384524</v>
      </c>
      <c r="G61" cm="1">
        <f t="array" ref="G61">INDEX('GMW - worst case'!$A$2:$MC$200,MATCH(1,('GMW - worst case'!$MC$2:$MC$200=G$3)*('GMW - worst case'!$MB$2:$MB$200=G$4),0),$E61-1973)</f>
        <v>223611</v>
      </c>
      <c r="H61" cm="1">
        <f t="array" ref="H61">INDEX('GMW - worst case'!$A$2:$MC$200,MATCH(1,('GMW - worst case'!$MC$2:$MC$200=H$3)*('GMW - worst case'!$MB$2:$MB$200=H$4),0),$E61-1973)</f>
        <v>64.5</v>
      </c>
      <c r="I61" cm="1">
        <f t="array" ref="I61">INDEX('GMW - worst case'!$A$2:$MC$200,MATCH(1,('GMW - worst case'!$MC$2:$MC$200=I$3)*('GMW - worst case'!$MB$2:$MB$200=I$4),0),$E61-1973)</f>
        <v>5.875</v>
      </c>
      <c r="J61" t="e" cm="1">
        <f t="array" ref="J61">INDEX('GMW - worst case'!$A$2:$MC$200,MATCH(1,('GMW - worst case'!$MC$2:$MC$200=J$3)*('GMW - worst case'!$MB$2:$MB$200=J$4),0),$E61-1973)</f>
        <v>#N/A</v>
      </c>
      <c r="K61" t="e" cm="1">
        <f t="array" ref="K61">INDEX('GMW - worst case'!$A$2:$MC$200,MATCH(1,('GMW - worst case'!$MC$2:$MC$200=K$3)*('GMW - worst case'!$MB$2:$MB$200=K$4),0),$E61-1973)</f>
        <v>#N/A</v>
      </c>
      <c r="L61" t="e" cm="1">
        <f t="array" ref="L61">INDEX('GMW - worst case'!$A$2:$MC$200,MATCH(1,('GMW - worst case'!$MC$2:$MC$200=L$3)*('GMW - worst case'!$MB$2:$MB$200=L$4),0),$E61-1973)</f>
        <v>#N/A</v>
      </c>
      <c r="M61" t="e" cm="1">
        <f t="array" ref="M61">INDEX('GMW - worst case'!$A$2:$MC$200,MATCH(1,('GMW - worst case'!$MC$2:$MC$200=M$3)*('GMW - worst case'!$MB$2:$MB$200=M$4),0),$E61-1973)</f>
        <v>#N/A</v>
      </c>
      <c r="N61" t="e" cm="1">
        <f t="array" ref="N61">INDEX('GMW - worst case'!$A$2:$MC$200,MATCH(1,('GMW - worst case'!$MC$2:$MC$200=N$3)*('GMW - worst case'!$MB$2:$MB$200=N$4),0),$E61-1973)</f>
        <v>#N/A</v>
      </c>
      <c r="O61" t="e" cm="1">
        <f t="array" ref="O61">INDEX('GMW - worst case'!$A$2:$MC$200,MATCH(1,('GMW - worst case'!$MC$2:$MC$200=O$3)*('GMW - worst case'!$MB$2:$MB$200=O$4),0),$E61-1973)</f>
        <v>#N/A</v>
      </c>
      <c r="P61" t="e" cm="1">
        <f t="array" ref="P61">INDEX('GMW - worst case'!$A$2:$MC$200,MATCH(1,('GMW - worst case'!$MC$2:$MC$200=P$3)*('GMW - worst case'!$MB$2:$MB$200=P$4),0),$E61-1973)</f>
        <v>#N/A</v>
      </c>
      <c r="Q61" t="e" cm="1">
        <f t="array" ref="Q61">INDEX('GMW - worst case'!$A$2:$MC$200,MATCH(1,('GMW - worst case'!$MC$2:$MC$200=Q$3)*('GMW - worst case'!$MB$2:$MB$200=Q$4),0),$E61-1973)</f>
        <v>#N/A</v>
      </c>
      <c r="R61" t="e" cm="1">
        <f t="array" ref="R61">INDEX('GMW - worst case'!$A$2:$MC$200,MATCH(1,('GMW - worst case'!$MC$2:$MC$200=R$3)*('GMW - worst case'!$MB$2:$MB$200=R$4),0),$E61-1973)</f>
        <v>#N/A</v>
      </c>
      <c r="S61" t="e" cm="1">
        <f t="array" ref="S61">INDEX('GMW - worst case'!$A$2:$MC$200,MATCH(1,('GMW - worst case'!$MC$2:$MC$200=S$3)*('GMW - worst case'!$MB$2:$MB$200=S$4),0),$E61-1973)</f>
        <v>#N/A</v>
      </c>
    </row>
    <row r="62" spans="1:19" x14ac:dyDescent="0.25">
      <c r="B62">
        <f t="shared" si="5"/>
        <v>1993</v>
      </c>
      <c r="C62">
        <f t="shared" si="5"/>
        <v>1993</v>
      </c>
      <c r="E62">
        <f t="shared" si="1"/>
        <v>2035</v>
      </c>
      <c r="F62" cm="1">
        <f t="array" ref="F62">INDEX('GMW - worst case'!$A$2:$MC$200,MATCH(1,('GMW - worst case'!$MC$2:$MC$200=F$3)*('GMW - worst case'!$MB$2:$MB$200=F$4),0),$E62-1973)</f>
        <v>387143</v>
      </c>
      <c r="G62" cm="1">
        <f t="array" ref="G62">INDEX('GMW - worst case'!$A$2:$MC$200,MATCH(1,('GMW - worst case'!$MC$2:$MC$200=G$3)*('GMW - worst case'!$MB$2:$MB$200=G$4),0),$E62-1973)</f>
        <v>225346</v>
      </c>
      <c r="H62" cm="1">
        <f t="array" ref="H62">INDEX('GMW - worst case'!$A$2:$MC$200,MATCH(1,('GMW - worst case'!$MC$2:$MC$200=H$3)*('GMW - worst case'!$MB$2:$MB$200=H$4),0),$E62-1973)</f>
        <v>64.666659999999993</v>
      </c>
      <c r="I62" cm="1">
        <f t="array" ref="I62">INDEX('GMW - worst case'!$A$2:$MC$200,MATCH(1,('GMW - worst case'!$MC$2:$MC$200=I$3)*('GMW - worst case'!$MB$2:$MB$200=I$4),0),$E62-1973)</f>
        <v>5.655303</v>
      </c>
      <c r="J62" t="e" cm="1">
        <f t="array" ref="J62">INDEX('GMW - worst case'!$A$2:$MC$200,MATCH(1,('GMW - worst case'!$MC$2:$MC$200=J$3)*('GMW - worst case'!$MB$2:$MB$200=J$4),0),$E62-1973)</f>
        <v>#N/A</v>
      </c>
      <c r="K62" t="e" cm="1">
        <f t="array" ref="K62">INDEX('GMW - worst case'!$A$2:$MC$200,MATCH(1,('GMW - worst case'!$MC$2:$MC$200=K$3)*('GMW - worst case'!$MB$2:$MB$200=K$4),0),$E62-1973)</f>
        <v>#N/A</v>
      </c>
      <c r="L62" t="e" cm="1">
        <f t="array" ref="L62">INDEX('GMW - worst case'!$A$2:$MC$200,MATCH(1,('GMW - worst case'!$MC$2:$MC$200=L$3)*('GMW - worst case'!$MB$2:$MB$200=L$4),0),$E62-1973)</f>
        <v>#N/A</v>
      </c>
      <c r="M62" t="e" cm="1">
        <f t="array" ref="M62">INDEX('GMW - worst case'!$A$2:$MC$200,MATCH(1,('GMW - worst case'!$MC$2:$MC$200=M$3)*('GMW - worst case'!$MB$2:$MB$200=M$4),0),$E62-1973)</f>
        <v>#N/A</v>
      </c>
      <c r="N62" t="e" cm="1">
        <f t="array" ref="N62">INDEX('GMW - worst case'!$A$2:$MC$200,MATCH(1,('GMW - worst case'!$MC$2:$MC$200=N$3)*('GMW - worst case'!$MB$2:$MB$200=N$4),0),$E62-1973)</f>
        <v>#N/A</v>
      </c>
      <c r="O62" t="e" cm="1">
        <f t="array" ref="O62">INDEX('GMW - worst case'!$A$2:$MC$200,MATCH(1,('GMW - worst case'!$MC$2:$MC$200=O$3)*('GMW - worst case'!$MB$2:$MB$200=O$4),0),$E62-1973)</f>
        <v>#N/A</v>
      </c>
      <c r="P62" t="e" cm="1">
        <f t="array" ref="P62">INDEX('GMW - worst case'!$A$2:$MC$200,MATCH(1,('GMW - worst case'!$MC$2:$MC$200=P$3)*('GMW - worst case'!$MB$2:$MB$200=P$4),0),$E62-1973)</f>
        <v>#N/A</v>
      </c>
      <c r="Q62" t="e" cm="1">
        <f t="array" ref="Q62">INDEX('GMW - worst case'!$A$2:$MC$200,MATCH(1,('GMW - worst case'!$MC$2:$MC$200=Q$3)*('GMW - worst case'!$MB$2:$MB$200=Q$4),0),$E62-1973)</f>
        <v>#N/A</v>
      </c>
      <c r="R62" t="e" cm="1">
        <f t="array" ref="R62">INDEX('GMW - worst case'!$A$2:$MC$200,MATCH(1,('GMW - worst case'!$MC$2:$MC$200=R$3)*('GMW - worst case'!$MB$2:$MB$200=R$4),0),$E62-1973)</f>
        <v>#N/A</v>
      </c>
      <c r="S62" t="e" cm="1">
        <f t="array" ref="S62">INDEX('GMW - worst case'!$A$2:$MC$200,MATCH(1,('GMW - worst case'!$MC$2:$MC$200=S$3)*('GMW - worst case'!$MB$2:$MB$200=S$4),0),$E62-1973)</f>
        <v>#N/A</v>
      </c>
    </row>
    <row r="63" spans="1:19" x14ac:dyDescent="0.25">
      <c r="A63">
        <v>1994</v>
      </c>
      <c r="B63">
        <f t="shared" si="5"/>
        <v>1994</v>
      </c>
      <c r="C63">
        <f t="shared" si="5"/>
        <v>1993</v>
      </c>
      <c r="D63">
        <f t="shared" si="5"/>
        <v>1993</v>
      </c>
      <c r="E63">
        <f t="shared" si="1"/>
        <v>2036</v>
      </c>
      <c r="F63" cm="1">
        <f t="array" ref="F63">INDEX('GMW - worst case'!$A$2:$MC$200,MATCH(1,('GMW - worst case'!$MC$2:$MC$200=F$3)*('GMW - worst case'!$MB$2:$MB$200=F$4),0),$E63-1973)</f>
        <v>391026</v>
      </c>
      <c r="G63" cm="1">
        <f t="array" ref="G63">INDEX('GMW - worst case'!$A$2:$MC$200,MATCH(1,('GMW - worst case'!$MC$2:$MC$200=G$3)*('GMW - worst case'!$MB$2:$MB$200=G$4),0),$E63-1973)</f>
        <v>227586</v>
      </c>
      <c r="H63" cm="1">
        <f t="array" ref="H63">INDEX('GMW - worst case'!$A$2:$MC$200,MATCH(1,('GMW - worst case'!$MC$2:$MC$200=H$3)*('GMW - worst case'!$MB$2:$MB$200=H$4),0),$E63-1973)</f>
        <v>64.766670000000005</v>
      </c>
      <c r="I63" cm="1">
        <f t="array" ref="I63">INDEX('GMW - worst case'!$A$2:$MC$200,MATCH(1,('GMW - worst case'!$MC$2:$MC$200=I$3)*('GMW - worst case'!$MB$2:$MB$200=I$4),0),$E63-1973)</f>
        <v>5.2265629999999996</v>
      </c>
      <c r="J63" t="e" cm="1">
        <f t="array" ref="J63">INDEX('GMW - worst case'!$A$2:$MC$200,MATCH(1,('GMW - worst case'!$MC$2:$MC$200=J$3)*('GMW - worst case'!$MB$2:$MB$200=J$4),0),$E63-1973)</f>
        <v>#N/A</v>
      </c>
      <c r="K63" t="e" cm="1">
        <f t="array" ref="K63">INDEX('GMW - worst case'!$A$2:$MC$200,MATCH(1,('GMW - worst case'!$MC$2:$MC$200=K$3)*('GMW - worst case'!$MB$2:$MB$200=K$4),0),$E63-1973)</f>
        <v>#N/A</v>
      </c>
      <c r="L63" t="e" cm="1">
        <f t="array" ref="L63">INDEX('GMW - worst case'!$A$2:$MC$200,MATCH(1,('GMW - worst case'!$MC$2:$MC$200=L$3)*('GMW - worst case'!$MB$2:$MB$200=L$4),0),$E63-1973)</f>
        <v>#N/A</v>
      </c>
      <c r="M63" t="e" cm="1">
        <f t="array" ref="M63">INDEX('GMW - worst case'!$A$2:$MC$200,MATCH(1,('GMW - worst case'!$MC$2:$MC$200=M$3)*('GMW - worst case'!$MB$2:$MB$200=M$4),0),$E63-1973)</f>
        <v>#N/A</v>
      </c>
      <c r="N63" t="e" cm="1">
        <f t="array" ref="N63">INDEX('GMW - worst case'!$A$2:$MC$200,MATCH(1,('GMW - worst case'!$MC$2:$MC$200=N$3)*('GMW - worst case'!$MB$2:$MB$200=N$4),0),$E63-1973)</f>
        <v>#N/A</v>
      </c>
      <c r="O63" t="e" cm="1">
        <f t="array" ref="O63">INDEX('GMW - worst case'!$A$2:$MC$200,MATCH(1,('GMW - worst case'!$MC$2:$MC$200=O$3)*('GMW - worst case'!$MB$2:$MB$200=O$4),0),$E63-1973)</f>
        <v>#N/A</v>
      </c>
      <c r="P63" t="e" cm="1">
        <f t="array" ref="P63">INDEX('GMW - worst case'!$A$2:$MC$200,MATCH(1,('GMW - worst case'!$MC$2:$MC$200=P$3)*('GMW - worst case'!$MB$2:$MB$200=P$4),0),$E63-1973)</f>
        <v>#N/A</v>
      </c>
      <c r="Q63" t="e" cm="1">
        <f t="array" ref="Q63">INDEX('GMW - worst case'!$A$2:$MC$200,MATCH(1,('GMW - worst case'!$MC$2:$MC$200=Q$3)*('GMW - worst case'!$MB$2:$MB$200=Q$4),0),$E63-1973)</f>
        <v>#N/A</v>
      </c>
      <c r="R63" t="e" cm="1">
        <f t="array" ref="R63">INDEX('GMW - worst case'!$A$2:$MC$200,MATCH(1,('GMW - worst case'!$MC$2:$MC$200=R$3)*('GMW - worst case'!$MB$2:$MB$200=R$4),0),$E63-1973)</f>
        <v>#N/A</v>
      </c>
      <c r="S63" t="e" cm="1">
        <f t="array" ref="S63">INDEX('GMW - worst case'!$A$2:$MC$200,MATCH(1,('GMW - worst case'!$MC$2:$MC$200=S$3)*('GMW - worst case'!$MB$2:$MB$200=S$4),0),$E63-1973)</f>
        <v>#N/A</v>
      </c>
    </row>
    <row r="64" spans="1:19" x14ac:dyDescent="0.25">
      <c r="B64">
        <f t="shared" si="5"/>
        <v>1994</v>
      </c>
      <c r="C64">
        <f t="shared" si="5"/>
        <v>1994</v>
      </c>
      <c r="E64">
        <f t="shared" si="1"/>
        <v>2037</v>
      </c>
      <c r="F64" cm="1">
        <f t="array" ref="F64">INDEX('GMW - worst case'!$A$2:$MC$200,MATCH(1,('GMW - worst case'!$MC$2:$MC$200=F$3)*('GMW - worst case'!$MB$2:$MB$200=F$4),0),$E64-1973)</f>
        <v>394588</v>
      </c>
      <c r="G64" cm="1">
        <f t="array" ref="G64">INDEX('GMW - worst case'!$A$2:$MC$200,MATCH(1,('GMW - worst case'!$MC$2:$MC$200=G$3)*('GMW - worst case'!$MB$2:$MB$200=G$4),0),$E64-1973)</f>
        <v>227983</v>
      </c>
      <c r="H64" cm="1">
        <f t="array" ref="H64">INDEX('GMW - worst case'!$A$2:$MC$200,MATCH(1,('GMW - worst case'!$MC$2:$MC$200=H$3)*('GMW - worst case'!$MB$2:$MB$200=H$4),0),$E64-1973)</f>
        <v>65.7</v>
      </c>
      <c r="I64" cm="1">
        <f t="array" ref="I64">INDEX('GMW - worst case'!$A$2:$MC$200,MATCH(1,('GMW - worst case'!$MC$2:$MC$200=I$3)*('GMW - worst case'!$MB$2:$MB$200=I$4),0),$E64-1973)</f>
        <v>5.125</v>
      </c>
      <c r="J64" t="e" cm="1">
        <f t="array" ref="J64">INDEX('GMW - worst case'!$A$2:$MC$200,MATCH(1,('GMW - worst case'!$MC$2:$MC$200=J$3)*('GMW - worst case'!$MB$2:$MB$200=J$4),0),$E64-1973)</f>
        <v>#N/A</v>
      </c>
      <c r="K64" t="e" cm="1">
        <f t="array" ref="K64">INDEX('GMW - worst case'!$A$2:$MC$200,MATCH(1,('GMW - worst case'!$MC$2:$MC$200=K$3)*('GMW - worst case'!$MB$2:$MB$200=K$4),0),$E64-1973)</f>
        <v>#N/A</v>
      </c>
      <c r="L64" t="e" cm="1">
        <f t="array" ref="L64">INDEX('GMW - worst case'!$A$2:$MC$200,MATCH(1,('GMW - worst case'!$MC$2:$MC$200=L$3)*('GMW - worst case'!$MB$2:$MB$200=L$4),0),$E64-1973)</f>
        <v>#N/A</v>
      </c>
      <c r="M64" t="e" cm="1">
        <f t="array" ref="M64">INDEX('GMW - worst case'!$A$2:$MC$200,MATCH(1,('GMW - worst case'!$MC$2:$MC$200=M$3)*('GMW - worst case'!$MB$2:$MB$200=M$4),0),$E64-1973)</f>
        <v>#N/A</v>
      </c>
      <c r="N64" t="e" cm="1">
        <f t="array" ref="N64">INDEX('GMW - worst case'!$A$2:$MC$200,MATCH(1,('GMW - worst case'!$MC$2:$MC$200=N$3)*('GMW - worst case'!$MB$2:$MB$200=N$4),0),$E64-1973)</f>
        <v>#N/A</v>
      </c>
      <c r="O64" t="e" cm="1">
        <f t="array" ref="O64">INDEX('GMW - worst case'!$A$2:$MC$200,MATCH(1,('GMW - worst case'!$MC$2:$MC$200=O$3)*('GMW - worst case'!$MB$2:$MB$200=O$4),0),$E64-1973)</f>
        <v>#N/A</v>
      </c>
      <c r="P64" t="e" cm="1">
        <f t="array" ref="P64">INDEX('GMW - worst case'!$A$2:$MC$200,MATCH(1,('GMW - worst case'!$MC$2:$MC$200=P$3)*('GMW - worst case'!$MB$2:$MB$200=P$4),0),$E64-1973)</f>
        <v>#N/A</v>
      </c>
      <c r="Q64" t="e" cm="1">
        <f t="array" ref="Q64">INDEX('GMW - worst case'!$A$2:$MC$200,MATCH(1,('GMW - worst case'!$MC$2:$MC$200=Q$3)*('GMW - worst case'!$MB$2:$MB$200=Q$4),0),$E64-1973)</f>
        <v>#N/A</v>
      </c>
      <c r="R64" t="e" cm="1">
        <f t="array" ref="R64">INDEX('GMW - worst case'!$A$2:$MC$200,MATCH(1,('GMW - worst case'!$MC$2:$MC$200=R$3)*('GMW - worst case'!$MB$2:$MB$200=R$4),0),$E64-1973)</f>
        <v>#N/A</v>
      </c>
      <c r="S64" t="e" cm="1">
        <f t="array" ref="S64">INDEX('GMW - worst case'!$A$2:$MC$200,MATCH(1,('GMW - worst case'!$MC$2:$MC$200=S$3)*('GMW - worst case'!$MB$2:$MB$200=S$4),0),$E64-1973)</f>
        <v>#N/A</v>
      </c>
    </row>
    <row r="65" spans="1:19" x14ac:dyDescent="0.25">
      <c r="B65">
        <f t="shared" si="5"/>
        <v>1994</v>
      </c>
      <c r="C65">
        <f t="shared" si="5"/>
        <v>1994</v>
      </c>
      <c r="E65">
        <f t="shared" si="1"/>
        <v>2038</v>
      </c>
      <c r="F65" cm="1">
        <f t="array" ref="F65">INDEX('GMW - worst case'!$A$2:$MC$200,MATCH(1,('GMW - worst case'!$MC$2:$MC$200=F$3)*('GMW - worst case'!$MB$2:$MB$200=F$4),0),$E65-1973)</f>
        <v>398566</v>
      </c>
      <c r="G65" cm="1">
        <f t="array" ref="G65">INDEX('GMW - worst case'!$A$2:$MC$200,MATCH(1,('GMW - worst case'!$MC$2:$MC$200=G$3)*('GMW - worst case'!$MB$2:$MB$200=G$4),0),$E65-1973)</f>
        <v>229961</v>
      </c>
      <c r="H65" cm="1">
        <f t="array" ref="H65">INDEX('GMW - worst case'!$A$2:$MC$200,MATCH(1,('GMW - worst case'!$MC$2:$MC$200=H$3)*('GMW - worst case'!$MB$2:$MB$200=H$4),0),$E65-1973)</f>
        <v>65.633330000000001</v>
      </c>
      <c r="I65" cm="1">
        <f t="array" ref="I65">INDEX('GMW - worst case'!$A$2:$MC$200,MATCH(1,('GMW - worst case'!$MC$2:$MC$200=I$3)*('GMW - worst case'!$MB$2:$MB$200=I$4),0),$E65-1973)</f>
        <v>5.2386359999999996</v>
      </c>
      <c r="J65" t="e" cm="1">
        <f t="array" ref="J65">INDEX('GMW - worst case'!$A$2:$MC$200,MATCH(1,('GMW - worst case'!$MC$2:$MC$200=J$3)*('GMW - worst case'!$MB$2:$MB$200=J$4),0),$E65-1973)</f>
        <v>#N/A</v>
      </c>
      <c r="K65" t="e" cm="1">
        <f t="array" ref="K65">INDEX('GMW - worst case'!$A$2:$MC$200,MATCH(1,('GMW - worst case'!$MC$2:$MC$200=K$3)*('GMW - worst case'!$MB$2:$MB$200=K$4),0),$E65-1973)</f>
        <v>#N/A</v>
      </c>
      <c r="L65" t="e" cm="1">
        <f t="array" ref="L65">INDEX('GMW - worst case'!$A$2:$MC$200,MATCH(1,('GMW - worst case'!$MC$2:$MC$200=L$3)*('GMW - worst case'!$MB$2:$MB$200=L$4),0),$E65-1973)</f>
        <v>#N/A</v>
      </c>
      <c r="M65" t="e" cm="1">
        <f t="array" ref="M65">INDEX('GMW - worst case'!$A$2:$MC$200,MATCH(1,('GMW - worst case'!$MC$2:$MC$200=M$3)*('GMW - worst case'!$MB$2:$MB$200=M$4),0),$E65-1973)</f>
        <v>#N/A</v>
      </c>
      <c r="N65" t="e" cm="1">
        <f t="array" ref="N65">INDEX('GMW - worst case'!$A$2:$MC$200,MATCH(1,('GMW - worst case'!$MC$2:$MC$200=N$3)*('GMW - worst case'!$MB$2:$MB$200=N$4),0),$E65-1973)</f>
        <v>#N/A</v>
      </c>
      <c r="O65" t="e" cm="1">
        <f t="array" ref="O65">INDEX('GMW - worst case'!$A$2:$MC$200,MATCH(1,('GMW - worst case'!$MC$2:$MC$200=O$3)*('GMW - worst case'!$MB$2:$MB$200=O$4),0),$E65-1973)</f>
        <v>#N/A</v>
      </c>
      <c r="P65" t="e" cm="1">
        <f t="array" ref="P65">INDEX('GMW - worst case'!$A$2:$MC$200,MATCH(1,('GMW - worst case'!$MC$2:$MC$200=P$3)*('GMW - worst case'!$MB$2:$MB$200=P$4),0),$E65-1973)</f>
        <v>#N/A</v>
      </c>
      <c r="Q65" t="e" cm="1">
        <f t="array" ref="Q65">INDEX('GMW - worst case'!$A$2:$MC$200,MATCH(1,('GMW - worst case'!$MC$2:$MC$200=Q$3)*('GMW - worst case'!$MB$2:$MB$200=Q$4),0),$E65-1973)</f>
        <v>#N/A</v>
      </c>
      <c r="R65" t="e" cm="1">
        <f t="array" ref="R65">INDEX('GMW - worst case'!$A$2:$MC$200,MATCH(1,('GMW - worst case'!$MC$2:$MC$200=R$3)*('GMW - worst case'!$MB$2:$MB$200=R$4),0),$E65-1973)</f>
        <v>#N/A</v>
      </c>
      <c r="S65" t="e" cm="1">
        <f t="array" ref="S65">INDEX('GMW - worst case'!$A$2:$MC$200,MATCH(1,('GMW - worst case'!$MC$2:$MC$200=S$3)*('GMW - worst case'!$MB$2:$MB$200=S$4),0),$E65-1973)</f>
        <v>#N/A</v>
      </c>
    </row>
    <row r="66" spans="1:19" x14ac:dyDescent="0.25">
      <c r="B66">
        <f t="shared" si="5"/>
        <v>1994</v>
      </c>
      <c r="C66">
        <f t="shared" si="5"/>
        <v>1994</v>
      </c>
      <c r="E66">
        <f t="shared" si="1"/>
        <v>2039</v>
      </c>
      <c r="F66" cm="1">
        <f t="array" ref="F66">INDEX('GMW - worst case'!$A$2:$MC$200,MATCH(1,('GMW - worst case'!$MC$2:$MC$200=F$3)*('GMW - worst case'!$MB$2:$MB$200=F$4),0),$E66-1973)</f>
        <v>400279</v>
      </c>
      <c r="G66" cm="1">
        <f t="array" ref="G66">INDEX('GMW - worst case'!$A$2:$MC$200,MATCH(1,('GMW - worst case'!$MC$2:$MC$200=G$3)*('GMW - worst case'!$MB$2:$MB$200=G$4),0),$E66-1973)</f>
        <v>231570</v>
      </c>
      <c r="H66" cm="1">
        <f t="array" ref="H66">INDEX('GMW - worst case'!$A$2:$MC$200,MATCH(1,('GMW - worst case'!$MC$2:$MC$200=H$3)*('GMW - worst case'!$MB$2:$MB$200=H$4),0),$E66-1973)</f>
        <v>65.8</v>
      </c>
      <c r="I66" cm="1">
        <f t="array" ref="I66">INDEX('GMW - worst case'!$A$2:$MC$200,MATCH(1,('GMW - worst case'!$MC$2:$MC$200=I$3)*('GMW - worst case'!$MB$2:$MB$200=I$4),0),$E66-1973)</f>
        <v>5.7634619999999996</v>
      </c>
      <c r="J66" t="e" cm="1">
        <f t="array" ref="J66">INDEX('GMW - worst case'!$A$2:$MC$200,MATCH(1,('GMW - worst case'!$MC$2:$MC$200=J$3)*('GMW - worst case'!$MB$2:$MB$200=J$4),0),$E66-1973)</f>
        <v>#N/A</v>
      </c>
      <c r="K66" t="e" cm="1">
        <f t="array" ref="K66">INDEX('GMW - worst case'!$A$2:$MC$200,MATCH(1,('GMW - worst case'!$MC$2:$MC$200=K$3)*('GMW - worst case'!$MB$2:$MB$200=K$4),0),$E66-1973)</f>
        <v>#N/A</v>
      </c>
      <c r="L66" t="e" cm="1">
        <f t="array" ref="L66">INDEX('GMW - worst case'!$A$2:$MC$200,MATCH(1,('GMW - worst case'!$MC$2:$MC$200=L$3)*('GMW - worst case'!$MB$2:$MB$200=L$4),0),$E66-1973)</f>
        <v>#N/A</v>
      </c>
      <c r="M66" t="e" cm="1">
        <f t="array" ref="M66">INDEX('GMW - worst case'!$A$2:$MC$200,MATCH(1,('GMW - worst case'!$MC$2:$MC$200=M$3)*('GMW - worst case'!$MB$2:$MB$200=M$4),0),$E66-1973)</f>
        <v>#N/A</v>
      </c>
      <c r="N66" t="e" cm="1">
        <f t="array" ref="N66">INDEX('GMW - worst case'!$A$2:$MC$200,MATCH(1,('GMW - worst case'!$MC$2:$MC$200=N$3)*('GMW - worst case'!$MB$2:$MB$200=N$4),0),$E66-1973)</f>
        <v>#N/A</v>
      </c>
      <c r="O66" t="e" cm="1">
        <f t="array" ref="O66">INDEX('GMW - worst case'!$A$2:$MC$200,MATCH(1,('GMW - worst case'!$MC$2:$MC$200=O$3)*('GMW - worst case'!$MB$2:$MB$200=O$4),0),$E66-1973)</f>
        <v>#N/A</v>
      </c>
      <c r="P66" t="e" cm="1">
        <f t="array" ref="P66">INDEX('GMW - worst case'!$A$2:$MC$200,MATCH(1,('GMW - worst case'!$MC$2:$MC$200=P$3)*('GMW - worst case'!$MB$2:$MB$200=P$4),0),$E66-1973)</f>
        <v>#N/A</v>
      </c>
      <c r="Q66" t="e" cm="1">
        <f t="array" ref="Q66">INDEX('GMW - worst case'!$A$2:$MC$200,MATCH(1,('GMW - worst case'!$MC$2:$MC$200=Q$3)*('GMW - worst case'!$MB$2:$MB$200=Q$4),0),$E66-1973)</f>
        <v>#N/A</v>
      </c>
      <c r="R66" t="e" cm="1">
        <f t="array" ref="R66">INDEX('GMW - worst case'!$A$2:$MC$200,MATCH(1,('GMW - worst case'!$MC$2:$MC$200=R$3)*('GMW - worst case'!$MB$2:$MB$200=R$4),0),$E66-1973)</f>
        <v>#N/A</v>
      </c>
      <c r="S66" t="e" cm="1">
        <f t="array" ref="S66">INDEX('GMW - worst case'!$A$2:$MC$200,MATCH(1,('GMW - worst case'!$MC$2:$MC$200=S$3)*('GMW - worst case'!$MB$2:$MB$200=S$4),0),$E66-1973)</f>
        <v>#N/A</v>
      </c>
    </row>
    <row r="67" spans="1:19" x14ac:dyDescent="0.25">
      <c r="A67">
        <v>1995</v>
      </c>
      <c r="B67">
        <f t="shared" si="5"/>
        <v>1995</v>
      </c>
      <c r="C67">
        <f t="shared" si="5"/>
        <v>1994</v>
      </c>
      <c r="D67">
        <f t="shared" si="5"/>
        <v>1994</v>
      </c>
      <c r="E67">
        <f t="shared" si="1"/>
        <v>2040</v>
      </c>
      <c r="F67" cm="1">
        <f t="array" ref="F67">INDEX('GMW - worst case'!$A$2:$MC$200,MATCH(1,('GMW - worst case'!$MC$2:$MC$200=F$3)*('GMW - worst case'!$MB$2:$MB$200=F$4),0),$E67-1973)</f>
        <v>402390</v>
      </c>
      <c r="G67" cm="1">
        <f t="array" ref="G67">INDEX('GMW - worst case'!$A$2:$MC$200,MATCH(1,('GMW - worst case'!$MC$2:$MC$200=G$3)*('GMW - worst case'!$MB$2:$MB$200=G$4),0),$E67-1973)</f>
        <v>231674</v>
      </c>
      <c r="H67" cm="1">
        <f t="array" ref="H67">INDEX('GMW - worst case'!$A$2:$MC$200,MATCH(1,('GMW - worst case'!$MC$2:$MC$200=H$3)*('GMW - worst case'!$MB$2:$MB$200=H$4),0),$E67-1973)</f>
        <v>66.333340000000007</v>
      </c>
      <c r="I67" cm="1">
        <f t="array" ref="I67">INDEX('GMW - worst case'!$A$2:$MC$200,MATCH(1,('GMW - worst case'!$MC$2:$MC$200=I$3)*('GMW - worst case'!$MB$2:$MB$200=I$4),0),$E67-1973)</f>
        <v>6.4480769999999996</v>
      </c>
      <c r="J67" t="e" cm="1">
        <f t="array" ref="J67">INDEX('GMW - worst case'!$A$2:$MC$200,MATCH(1,('GMW - worst case'!$MC$2:$MC$200=J$3)*('GMW - worst case'!$MB$2:$MB$200=J$4),0),$E67-1973)</f>
        <v>#N/A</v>
      </c>
      <c r="K67" t="e" cm="1">
        <f t="array" ref="K67">INDEX('GMW - worst case'!$A$2:$MC$200,MATCH(1,('GMW - worst case'!$MC$2:$MC$200=K$3)*('GMW - worst case'!$MB$2:$MB$200=K$4),0),$E67-1973)</f>
        <v>#N/A</v>
      </c>
      <c r="L67" t="e" cm="1">
        <f t="array" ref="L67">INDEX('GMW - worst case'!$A$2:$MC$200,MATCH(1,('GMW - worst case'!$MC$2:$MC$200=L$3)*('GMW - worst case'!$MB$2:$MB$200=L$4),0),$E67-1973)</f>
        <v>#N/A</v>
      </c>
      <c r="M67" t="e" cm="1">
        <f t="array" ref="M67">INDEX('GMW - worst case'!$A$2:$MC$200,MATCH(1,('GMW - worst case'!$MC$2:$MC$200=M$3)*('GMW - worst case'!$MB$2:$MB$200=M$4),0),$E67-1973)</f>
        <v>#N/A</v>
      </c>
      <c r="N67" t="e" cm="1">
        <f t="array" ref="N67">INDEX('GMW - worst case'!$A$2:$MC$200,MATCH(1,('GMW - worst case'!$MC$2:$MC$200=N$3)*('GMW - worst case'!$MB$2:$MB$200=N$4),0),$E67-1973)</f>
        <v>#N/A</v>
      </c>
      <c r="O67" t="e" cm="1">
        <f t="array" ref="O67">INDEX('GMW - worst case'!$A$2:$MC$200,MATCH(1,('GMW - worst case'!$MC$2:$MC$200=O$3)*('GMW - worst case'!$MB$2:$MB$200=O$4),0),$E67-1973)</f>
        <v>#N/A</v>
      </c>
      <c r="P67" t="e" cm="1">
        <f t="array" ref="P67">INDEX('GMW - worst case'!$A$2:$MC$200,MATCH(1,('GMW - worst case'!$MC$2:$MC$200=P$3)*('GMW - worst case'!$MB$2:$MB$200=P$4),0),$E67-1973)</f>
        <v>#N/A</v>
      </c>
      <c r="Q67" t="e" cm="1">
        <f t="array" ref="Q67">INDEX('GMW - worst case'!$A$2:$MC$200,MATCH(1,('GMW - worst case'!$MC$2:$MC$200=Q$3)*('GMW - worst case'!$MB$2:$MB$200=Q$4),0),$E67-1973)</f>
        <v>#N/A</v>
      </c>
      <c r="R67" t="e" cm="1">
        <f t="array" ref="R67">INDEX('GMW - worst case'!$A$2:$MC$200,MATCH(1,('GMW - worst case'!$MC$2:$MC$200=R$3)*('GMW - worst case'!$MB$2:$MB$200=R$4),0),$E67-1973)</f>
        <v>#N/A</v>
      </c>
      <c r="S67" t="e" cm="1">
        <f t="array" ref="S67">INDEX('GMW - worst case'!$A$2:$MC$200,MATCH(1,('GMW - worst case'!$MC$2:$MC$200=S$3)*('GMW - worst case'!$MB$2:$MB$200=S$4),0),$E67-1973)</f>
        <v>#N/A</v>
      </c>
    </row>
    <row r="68" spans="1:19" x14ac:dyDescent="0.25">
      <c r="B68">
        <f t="shared" si="5"/>
        <v>1995</v>
      </c>
      <c r="C68">
        <f t="shared" si="5"/>
        <v>1995</v>
      </c>
      <c r="E68">
        <f t="shared" si="1"/>
        <v>2041</v>
      </c>
      <c r="F68" cm="1">
        <f t="array" ref="F68">INDEX('GMW - worst case'!$A$2:$MC$200,MATCH(1,('GMW - worst case'!$MC$2:$MC$200=F$3)*('GMW - worst case'!$MB$2:$MB$200=F$4),0),$E68-1973)</f>
        <v>403259</v>
      </c>
      <c r="G68" cm="1">
        <f t="array" ref="G68">INDEX('GMW - worst case'!$A$2:$MC$200,MATCH(1,('GMW - worst case'!$MC$2:$MC$200=G$3)*('GMW - worst case'!$MB$2:$MB$200=G$4),0),$E68-1973)</f>
        <v>233343</v>
      </c>
      <c r="H68" cm="1">
        <f t="array" ref="H68">INDEX('GMW - worst case'!$A$2:$MC$200,MATCH(1,('GMW - worst case'!$MC$2:$MC$200=H$3)*('GMW - worst case'!$MB$2:$MB$200=H$4),0),$E68-1973)</f>
        <v>67.266670000000005</v>
      </c>
      <c r="I68" cm="1">
        <f t="array" ref="I68">INDEX('GMW - worst case'!$A$2:$MC$200,MATCH(1,('GMW - worst case'!$MC$2:$MC$200=I$3)*('GMW - worst case'!$MB$2:$MB$200=I$4),0),$E68-1973)</f>
        <v>6.625</v>
      </c>
      <c r="J68" t="e" cm="1">
        <f t="array" ref="J68">INDEX('GMW - worst case'!$A$2:$MC$200,MATCH(1,('GMW - worst case'!$MC$2:$MC$200=J$3)*('GMW - worst case'!$MB$2:$MB$200=J$4),0),$E68-1973)</f>
        <v>#N/A</v>
      </c>
      <c r="K68" t="e" cm="1">
        <f t="array" ref="K68">INDEX('GMW - worst case'!$A$2:$MC$200,MATCH(1,('GMW - worst case'!$MC$2:$MC$200=K$3)*('GMW - worst case'!$MB$2:$MB$200=K$4),0),$E68-1973)</f>
        <v>#N/A</v>
      </c>
      <c r="L68" t="e" cm="1">
        <f t="array" ref="L68">INDEX('GMW - worst case'!$A$2:$MC$200,MATCH(1,('GMW - worst case'!$MC$2:$MC$200=L$3)*('GMW - worst case'!$MB$2:$MB$200=L$4),0),$E68-1973)</f>
        <v>#N/A</v>
      </c>
      <c r="M68" t="e" cm="1">
        <f t="array" ref="M68">INDEX('GMW - worst case'!$A$2:$MC$200,MATCH(1,('GMW - worst case'!$MC$2:$MC$200=M$3)*('GMW - worst case'!$MB$2:$MB$200=M$4),0),$E68-1973)</f>
        <v>#N/A</v>
      </c>
      <c r="N68" t="e" cm="1">
        <f t="array" ref="N68">INDEX('GMW - worst case'!$A$2:$MC$200,MATCH(1,('GMW - worst case'!$MC$2:$MC$200=N$3)*('GMW - worst case'!$MB$2:$MB$200=N$4),0),$E68-1973)</f>
        <v>#N/A</v>
      </c>
      <c r="O68" t="e" cm="1">
        <f t="array" ref="O68">INDEX('GMW - worst case'!$A$2:$MC$200,MATCH(1,('GMW - worst case'!$MC$2:$MC$200=O$3)*('GMW - worst case'!$MB$2:$MB$200=O$4),0),$E68-1973)</f>
        <v>#N/A</v>
      </c>
      <c r="P68" t="e" cm="1">
        <f t="array" ref="P68">INDEX('GMW - worst case'!$A$2:$MC$200,MATCH(1,('GMW - worst case'!$MC$2:$MC$200=P$3)*('GMW - worst case'!$MB$2:$MB$200=P$4),0),$E68-1973)</f>
        <v>#N/A</v>
      </c>
      <c r="Q68" t="e" cm="1">
        <f t="array" ref="Q68">INDEX('GMW - worst case'!$A$2:$MC$200,MATCH(1,('GMW - worst case'!$MC$2:$MC$200=Q$3)*('GMW - worst case'!$MB$2:$MB$200=Q$4),0),$E68-1973)</f>
        <v>#N/A</v>
      </c>
      <c r="R68" t="e" cm="1">
        <f t="array" ref="R68">INDEX('GMW - worst case'!$A$2:$MC$200,MATCH(1,('GMW - worst case'!$MC$2:$MC$200=R$3)*('GMW - worst case'!$MB$2:$MB$200=R$4),0),$E68-1973)</f>
        <v>#N/A</v>
      </c>
      <c r="S68" t="e" cm="1">
        <f t="array" ref="S68">INDEX('GMW - worst case'!$A$2:$MC$200,MATCH(1,('GMW - worst case'!$MC$2:$MC$200=S$3)*('GMW - worst case'!$MB$2:$MB$200=S$4),0),$E68-1973)</f>
        <v>#N/A</v>
      </c>
    </row>
    <row r="69" spans="1:19" x14ac:dyDescent="0.25">
      <c r="B69">
        <f t="shared" si="5"/>
        <v>1995</v>
      </c>
      <c r="C69">
        <f t="shared" si="5"/>
        <v>1995</v>
      </c>
      <c r="E69">
        <f t="shared" si="1"/>
        <v>2042</v>
      </c>
      <c r="F69" cm="1">
        <f t="array" ref="F69">INDEX('GMW - worst case'!$A$2:$MC$200,MATCH(1,('GMW - worst case'!$MC$2:$MC$200=F$3)*('GMW - worst case'!$MB$2:$MB$200=F$4),0),$E69-1973)</f>
        <v>407795</v>
      </c>
      <c r="G69" cm="1">
        <f t="array" ref="G69">INDEX('GMW - worst case'!$A$2:$MC$200,MATCH(1,('GMW - worst case'!$MC$2:$MC$200=G$3)*('GMW - worst case'!$MB$2:$MB$200=G$4),0),$E69-1973)</f>
        <v>234345</v>
      </c>
      <c r="H69" cm="1">
        <f t="array" ref="H69">INDEX('GMW - worst case'!$A$2:$MC$200,MATCH(1,('GMW - worst case'!$MC$2:$MC$200=H$3)*('GMW - worst case'!$MB$2:$MB$200=H$4),0),$E69-1973)</f>
        <v>67.400000000000006</v>
      </c>
      <c r="I69" cm="1">
        <f t="array" ref="I69">INDEX('GMW - worst case'!$A$2:$MC$200,MATCH(1,('GMW - worst case'!$MC$2:$MC$200=I$3)*('GMW - worst case'!$MB$2:$MB$200=I$4),0),$E69-1973)</f>
        <v>6.625</v>
      </c>
      <c r="J69" t="e" cm="1">
        <f t="array" ref="J69">INDEX('GMW - worst case'!$A$2:$MC$200,MATCH(1,('GMW - worst case'!$MC$2:$MC$200=J$3)*('GMW - worst case'!$MB$2:$MB$200=J$4),0),$E69-1973)</f>
        <v>#N/A</v>
      </c>
      <c r="K69" t="e" cm="1">
        <f t="array" ref="K69">INDEX('GMW - worst case'!$A$2:$MC$200,MATCH(1,('GMW - worst case'!$MC$2:$MC$200=K$3)*('GMW - worst case'!$MB$2:$MB$200=K$4),0),$E69-1973)</f>
        <v>#N/A</v>
      </c>
      <c r="L69" t="e" cm="1">
        <f t="array" ref="L69">INDEX('GMW - worst case'!$A$2:$MC$200,MATCH(1,('GMW - worst case'!$MC$2:$MC$200=L$3)*('GMW - worst case'!$MB$2:$MB$200=L$4),0),$E69-1973)</f>
        <v>#N/A</v>
      </c>
      <c r="M69" t="e" cm="1">
        <f t="array" ref="M69">INDEX('GMW - worst case'!$A$2:$MC$200,MATCH(1,('GMW - worst case'!$MC$2:$MC$200=M$3)*('GMW - worst case'!$MB$2:$MB$200=M$4),0),$E69-1973)</f>
        <v>#N/A</v>
      </c>
      <c r="N69" t="e" cm="1">
        <f t="array" ref="N69">INDEX('GMW - worst case'!$A$2:$MC$200,MATCH(1,('GMW - worst case'!$MC$2:$MC$200=N$3)*('GMW - worst case'!$MB$2:$MB$200=N$4),0),$E69-1973)</f>
        <v>#N/A</v>
      </c>
      <c r="O69" t="e" cm="1">
        <f t="array" ref="O69">INDEX('GMW - worst case'!$A$2:$MC$200,MATCH(1,('GMW - worst case'!$MC$2:$MC$200=O$3)*('GMW - worst case'!$MB$2:$MB$200=O$4),0),$E69-1973)</f>
        <v>#N/A</v>
      </c>
      <c r="P69" t="e" cm="1">
        <f t="array" ref="P69">INDEX('GMW - worst case'!$A$2:$MC$200,MATCH(1,('GMW - worst case'!$MC$2:$MC$200=P$3)*('GMW - worst case'!$MB$2:$MB$200=P$4),0),$E69-1973)</f>
        <v>#N/A</v>
      </c>
      <c r="Q69" t="e" cm="1">
        <f t="array" ref="Q69">INDEX('GMW - worst case'!$A$2:$MC$200,MATCH(1,('GMW - worst case'!$MC$2:$MC$200=Q$3)*('GMW - worst case'!$MB$2:$MB$200=Q$4),0),$E69-1973)</f>
        <v>#N/A</v>
      </c>
      <c r="R69" t="e" cm="1">
        <f t="array" ref="R69">INDEX('GMW - worst case'!$A$2:$MC$200,MATCH(1,('GMW - worst case'!$MC$2:$MC$200=R$3)*('GMW - worst case'!$MB$2:$MB$200=R$4),0),$E69-1973)</f>
        <v>#N/A</v>
      </c>
      <c r="S69" t="e" cm="1">
        <f t="array" ref="S69">INDEX('GMW - worst case'!$A$2:$MC$200,MATCH(1,('GMW - worst case'!$MC$2:$MC$200=S$3)*('GMW - worst case'!$MB$2:$MB$200=S$4),0),$E69-1973)</f>
        <v>#N/A</v>
      </c>
    </row>
    <row r="70" spans="1:19" x14ac:dyDescent="0.25">
      <c r="B70">
        <f t="shared" si="5"/>
        <v>1995</v>
      </c>
      <c r="C70">
        <f t="shared" si="5"/>
        <v>1995</v>
      </c>
      <c r="E70">
        <f t="shared" si="1"/>
        <v>2043</v>
      </c>
      <c r="F70" cm="1">
        <f t="array" ref="F70">INDEX('GMW - worst case'!$A$2:$MC$200,MATCH(1,('GMW - worst case'!$MC$2:$MC$200=F$3)*('GMW - worst case'!$MB$2:$MB$200=F$4),0),$E70-1973)</f>
        <v>409132</v>
      </c>
      <c r="G70" cm="1">
        <f t="array" ref="G70">INDEX('GMW - worst case'!$A$2:$MC$200,MATCH(1,('GMW - worst case'!$MC$2:$MC$200=G$3)*('GMW - worst case'!$MB$2:$MB$200=G$4),0),$E70-1973)</f>
        <v>237147</v>
      </c>
      <c r="H70" cm="1">
        <f t="array" ref="H70">INDEX('GMW - worst case'!$A$2:$MC$200,MATCH(1,('GMW - worst case'!$MC$2:$MC$200=H$3)*('GMW - worst case'!$MB$2:$MB$200=H$4),0),$E70-1973)</f>
        <v>67.733329999999995</v>
      </c>
      <c r="I70" cm="1">
        <f t="array" ref="I70">INDEX('GMW - worst case'!$A$2:$MC$200,MATCH(1,('GMW - worst case'!$MC$2:$MC$200=I$3)*('GMW - worst case'!$MB$2:$MB$200=I$4),0),$E70-1973)</f>
        <v>6.5750000000000002</v>
      </c>
      <c r="J70" t="e" cm="1">
        <f t="array" ref="J70">INDEX('GMW - worst case'!$A$2:$MC$200,MATCH(1,('GMW - worst case'!$MC$2:$MC$200=J$3)*('GMW - worst case'!$MB$2:$MB$200=J$4),0),$E70-1973)</f>
        <v>#N/A</v>
      </c>
      <c r="K70" t="e" cm="1">
        <f t="array" ref="K70">INDEX('GMW - worst case'!$A$2:$MC$200,MATCH(1,('GMW - worst case'!$MC$2:$MC$200=K$3)*('GMW - worst case'!$MB$2:$MB$200=K$4),0),$E70-1973)</f>
        <v>#N/A</v>
      </c>
      <c r="L70" t="e" cm="1">
        <f t="array" ref="L70">INDEX('GMW - worst case'!$A$2:$MC$200,MATCH(1,('GMW - worst case'!$MC$2:$MC$200=L$3)*('GMW - worst case'!$MB$2:$MB$200=L$4),0),$E70-1973)</f>
        <v>#N/A</v>
      </c>
      <c r="M70" t="e" cm="1">
        <f t="array" ref="M70">INDEX('GMW - worst case'!$A$2:$MC$200,MATCH(1,('GMW - worst case'!$MC$2:$MC$200=M$3)*('GMW - worst case'!$MB$2:$MB$200=M$4),0),$E70-1973)</f>
        <v>#N/A</v>
      </c>
      <c r="N70" t="e" cm="1">
        <f t="array" ref="N70">INDEX('GMW - worst case'!$A$2:$MC$200,MATCH(1,('GMW - worst case'!$MC$2:$MC$200=N$3)*('GMW - worst case'!$MB$2:$MB$200=N$4),0),$E70-1973)</f>
        <v>#N/A</v>
      </c>
      <c r="O70" t="e" cm="1">
        <f t="array" ref="O70">INDEX('GMW - worst case'!$A$2:$MC$200,MATCH(1,('GMW - worst case'!$MC$2:$MC$200=O$3)*('GMW - worst case'!$MB$2:$MB$200=O$4),0),$E70-1973)</f>
        <v>#N/A</v>
      </c>
      <c r="P70" t="e" cm="1">
        <f t="array" ref="P70">INDEX('GMW - worst case'!$A$2:$MC$200,MATCH(1,('GMW - worst case'!$MC$2:$MC$200=P$3)*('GMW - worst case'!$MB$2:$MB$200=P$4),0),$E70-1973)</f>
        <v>#N/A</v>
      </c>
      <c r="Q70" t="e" cm="1">
        <f t="array" ref="Q70">INDEX('GMW - worst case'!$A$2:$MC$200,MATCH(1,('GMW - worst case'!$MC$2:$MC$200=Q$3)*('GMW - worst case'!$MB$2:$MB$200=Q$4),0),$E70-1973)</f>
        <v>#N/A</v>
      </c>
      <c r="R70" t="e" cm="1">
        <f t="array" ref="R70">INDEX('GMW - worst case'!$A$2:$MC$200,MATCH(1,('GMW - worst case'!$MC$2:$MC$200=R$3)*('GMW - worst case'!$MB$2:$MB$200=R$4),0),$E70-1973)</f>
        <v>#N/A</v>
      </c>
      <c r="S70" t="e" cm="1">
        <f t="array" ref="S70">INDEX('GMW - worst case'!$A$2:$MC$200,MATCH(1,('GMW - worst case'!$MC$2:$MC$200=S$3)*('GMW - worst case'!$MB$2:$MB$200=S$4),0),$E70-1973)</f>
        <v>#N/A</v>
      </c>
    </row>
    <row r="71" spans="1:19" x14ac:dyDescent="0.25">
      <c r="A71">
        <v>1996</v>
      </c>
      <c r="B71">
        <f t="shared" si="5"/>
        <v>1996</v>
      </c>
      <c r="C71">
        <f t="shared" si="5"/>
        <v>1995</v>
      </c>
      <c r="D71">
        <f t="shared" si="5"/>
        <v>1995</v>
      </c>
      <c r="E71">
        <f t="shared" si="1"/>
        <v>2044</v>
      </c>
      <c r="F71" cm="1">
        <f t="array" ref="F71">INDEX('GMW - worst case'!$A$2:$MC$200,MATCH(1,('GMW - worst case'!$MC$2:$MC$200=F$3)*('GMW - worst case'!$MB$2:$MB$200=F$4),0),$E71-1973)</f>
        <v>412022</v>
      </c>
      <c r="G71" cm="1">
        <f t="array" ref="G71">INDEX('GMW - worst case'!$A$2:$MC$200,MATCH(1,('GMW - worst case'!$MC$2:$MC$200=G$3)*('GMW - worst case'!$MB$2:$MB$200=G$4),0),$E71-1973)</f>
        <v>239556</v>
      </c>
      <c r="H71" cm="1">
        <f t="array" ref="H71">INDEX('GMW - worst case'!$A$2:$MC$200,MATCH(1,('GMW - worst case'!$MC$2:$MC$200=H$3)*('GMW - worst case'!$MB$2:$MB$200=H$4),0),$E71-1973)</f>
        <v>68.099999999999994</v>
      </c>
      <c r="I71" cm="1">
        <f t="array" ref="I71">INDEX('GMW - worst case'!$A$2:$MC$200,MATCH(1,('GMW - worst case'!$MC$2:$MC$200=I$3)*('GMW - worst case'!$MB$2:$MB$200=I$4),0),$E71-1973)</f>
        <v>6.1288460000000002</v>
      </c>
      <c r="J71" t="e" cm="1">
        <f t="array" ref="J71">INDEX('GMW - worst case'!$A$2:$MC$200,MATCH(1,('GMW - worst case'!$MC$2:$MC$200=J$3)*('GMW - worst case'!$MB$2:$MB$200=J$4),0),$E71-1973)</f>
        <v>#N/A</v>
      </c>
      <c r="K71" t="e" cm="1">
        <f t="array" ref="K71">INDEX('GMW - worst case'!$A$2:$MC$200,MATCH(1,('GMW - worst case'!$MC$2:$MC$200=K$3)*('GMW - worst case'!$MB$2:$MB$200=K$4),0),$E71-1973)</f>
        <v>#N/A</v>
      </c>
      <c r="L71" t="e" cm="1">
        <f t="array" ref="L71">INDEX('GMW - worst case'!$A$2:$MC$200,MATCH(1,('GMW - worst case'!$MC$2:$MC$200=L$3)*('GMW - worst case'!$MB$2:$MB$200=L$4),0),$E71-1973)</f>
        <v>#N/A</v>
      </c>
      <c r="M71" t="e" cm="1">
        <f t="array" ref="M71">INDEX('GMW - worst case'!$A$2:$MC$200,MATCH(1,('GMW - worst case'!$MC$2:$MC$200=M$3)*('GMW - worst case'!$MB$2:$MB$200=M$4),0),$E71-1973)</f>
        <v>#N/A</v>
      </c>
      <c r="N71" t="e" cm="1">
        <f t="array" ref="N71">INDEX('GMW - worst case'!$A$2:$MC$200,MATCH(1,('GMW - worst case'!$MC$2:$MC$200=N$3)*('GMW - worst case'!$MB$2:$MB$200=N$4),0),$E71-1973)</f>
        <v>#N/A</v>
      </c>
      <c r="O71" t="e" cm="1">
        <f t="array" ref="O71">INDEX('GMW - worst case'!$A$2:$MC$200,MATCH(1,('GMW - worst case'!$MC$2:$MC$200=O$3)*('GMW - worst case'!$MB$2:$MB$200=O$4),0),$E71-1973)</f>
        <v>#N/A</v>
      </c>
      <c r="P71" t="e" cm="1">
        <f t="array" ref="P71">INDEX('GMW - worst case'!$A$2:$MC$200,MATCH(1,('GMW - worst case'!$MC$2:$MC$200=P$3)*('GMW - worst case'!$MB$2:$MB$200=P$4),0),$E71-1973)</f>
        <v>#N/A</v>
      </c>
      <c r="Q71" t="e" cm="1">
        <f t="array" ref="Q71">INDEX('GMW - worst case'!$A$2:$MC$200,MATCH(1,('GMW - worst case'!$MC$2:$MC$200=Q$3)*('GMW - worst case'!$MB$2:$MB$200=Q$4),0),$E71-1973)</f>
        <v>#N/A</v>
      </c>
      <c r="R71" t="e" cm="1">
        <f t="array" ref="R71">INDEX('GMW - worst case'!$A$2:$MC$200,MATCH(1,('GMW - worst case'!$MC$2:$MC$200=R$3)*('GMW - worst case'!$MB$2:$MB$200=R$4),0),$E71-1973)</f>
        <v>#N/A</v>
      </c>
      <c r="S71" t="e" cm="1">
        <f t="array" ref="S71">INDEX('GMW - worst case'!$A$2:$MC$200,MATCH(1,('GMW - worst case'!$MC$2:$MC$200=S$3)*('GMW - worst case'!$MB$2:$MB$200=S$4),0),$E71-1973)</f>
        <v>#N/A</v>
      </c>
    </row>
    <row r="72" spans="1:19" x14ac:dyDescent="0.25">
      <c r="B72">
        <f t="shared" si="5"/>
        <v>1996</v>
      </c>
      <c r="C72">
        <f t="shared" si="5"/>
        <v>1996</v>
      </c>
      <c r="E72">
        <f t="shared" si="1"/>
        <v>2045</v>
      </c>
      <c r="F72" cm="1">
        <f t="array" ref="F72">INDEX('GMW - worst case'!$A$2:$MC$200,MATCH(1,('GMW - worst case'!$MC$2:$MC$200=F$3)*('GMW - worst case'!$MB$2:$MB$200=F$4),0),$E72-1973)</f>
        <v>413325</v>
      </c>
      <c r="G72" cm="1">
        <f t="array" ref="G72">INDEX('GMW - worst case'!$A$2:$MC$200,MATCH(1,('GMW - worst case'!$MC$2:$MC$200=G$3)*('GMW - worst case'!$MB$2:$MB$200=G$4),0),$E72-1973)</f>
        <v>241559</v>
      </c>
      <c r="H72" cm="1">
        <f t="array" ref="H72">INDEX('GMW - worst case'!$A$2:$MC$200,MATCH(1,('GMW - worst case'!$MC$2:$MC$200=H$3)*('GMW - worst case'!$MB$2:$MB$200=H$4),0),$E72-1973)</f>
        <v>68.866669999999999</v>
      </c>
      <c r="I72" cm="1">
        <f t="array" ref="I72">INDEX('GMW - worst case'!$A$2:$MC$200,MATCH(1,('GMW - worst case'!$MC$2:$MC$200=I$3)*('GMW - worst case'!$MB$2:$MB$200=I$4),0),$E72-1973)</f>
        <v>5.8721160000000001</v>
      </c>
      <c r="J72" t="e" cm="1">
        <f t="array" ref="J72">INDEX('GMW - worst case'!$A$2:$MC$200,MATCH(1,('GMW - worst case'!$MC$2:$MC$200=J$3)*('GMW - worst case'!$MB$2:$MB$200=J$4),0),$E72-1973)</f>
        <v>#N/A</v>
      </c>
      <c r="K72" t="e" cm="1">
        <f t="array" ref="K72">INDEX('GMW - worst case'!$A$2:$MC$200,MATCH(1,('GMW - worst case'!$MC$2:$MC$200=K$3)*('GMW - worst case'!$MB$2:$MB$200=K$4),0),$E72-1973)</f>
        <v>#N/A</v>
      </c>
      <c r="L72" t="e" cm="1">
        <f t="array" ref="L72">INDEX('GMW - worst case'!$A$2:$MC$200,MATCH(1,('GMW - worst case'!$MC$2:$MC$200=L$3)*('GMW - worst case'!$MB$2:$MB$200=L$4),0),$E72-1973)</f>
        <v>#N/A</v>
      </c>
      <c r="M72" t="e" cm="1">
        <f t="array" ref="M72">INDEX('GMW - worst case'!$A$2:$MC$200,MATCH(1,('GMW - worst case'!$MC$2:$MC$200=M$3)*('GMW - worst case'!$MB$2:$MB$200=M$4),0),$E72-1973)</f>
        <v>#N/A</v>
      </c>
      <c r="N72" t="e" cm="1">
        <f t="array" ref="N72">INDEX('GMW - worst case'!$A$2:$MC$200,MATCH(1,('GMW - worst case'!$MC$2:$MC$200=N$3)*('GMW - worst case'!$MB$2:$MB$200=N$4),0),$E72-1973)</f>
        <v>#N/A</v>
      </c>
      <c r="O72" t="e" cm="1">
        <f t="array" ref="O72">INDEX('GMW - worst case'!$A$2:$MC$200,MATCH(1,('GMW - worst case'!$MC$2:$MC$200=O$3)*('GMW - worst case'!$MB$2:$MB$200=O$4),0),$E72-1973)</f>
        <v>#N/A</v>
      </c>
      <c r="P72" t="e" cm="1">
        <f t="array" ref="P72">INDEX('GMW - worst case'!$A$2:$MC$200,MATCH(1,('GMW - worst case'!$MC$2:$MC$200=P$3)*('GMW - worst case'!$MB$2:$MB$200=P$4),0),$E72-1973)</f>
        <v>#N/A</v>
      </c>
      <c r="Q72" t="e" cm="1">
        <f t="array" ref="Q72">INDEX('GMW - worst case'!$A$2:$MC$200,MATCH(1,('GMW - worst case'!$MC$2:$MC$200=Q$3)*('GMW - worst case'!$MB$2:$MB$200=Q$4),0),$E72-1973)</f>
        <v>#N/A</v>
      </c>
      <c r="R72" t="e" cm="1">
        <f t="array" ref="R72">INDEX('GMW - worst case'!$A$2:$MC$200,MATCH(1,('GMW - worst case'!$MC$2:$MC$200=R$3)*('GMW - worst case'!$MB$2:$MB$200=R$4),0),$E72-1973)</f>
        <v>#N/A</v>
      </c>
      <c r="S72" t="e" cm="1">
        <f t="array" ref="S72">INDEX('GMW - worst case'!$A$2:$MC$200,MATCH(1,('GMW - worst case'!$MC$2:$MC$200=S$3)*('GMW - worst case'!$MB$2:$MB$200=S$4),0),$E72-1973)</f>
        <v>#N/A</v>
      </c>
    </row>
    <row r="73" spans="1:19" x14ac:dyDescent="0.25">
      <c r="B73">
        <f t="shared" si="5"/>
        <v>1996</v>
      </c>
      <c r="C73">
        <f t="shared" si="5"/>
        <v>1996</v>
      </c>
      <c r="E73">
        <f t="shared" ref="E73:E136" si="6">+E72+1</f>
        <v>2046</v>
      </c>
      <c r="F73" cm="1">
        <f t="array" ref="F73">INDEX('GMW - worst case'!$A$2:$MC$200,MATCH(1,('GMW - worst case'!$MC$2:$MC$200=F$3)*('GMW - worst case'!$MB$2:$MB$200=F$4),0),$E73-1973)</f>
        <v>417019</v>
      </c>
      <c r="G73" cm="1">
        <f t="array" ref="G73">INDEX('GMW - worst case'!$A$2:$MC$200,MATCH(1,('GMW - worst case'!$MC$2:$MC$200=G$3)*('GMW - worst case'!$MB$2:$MB$200=G$4),0),$E73-1973)</f>
        <v>243639</v>
      </c>
      <c r="H73" cm="1">
        <f t="array" ref="H73">INDEX('GMW - worst case'!$A$2:$MC$200,MATCH(1,('GMW - worst case'!$MC$2:$MC$200=H$3)*('GMW - worst case'!$MB$2:$MB$200=H$4),0),$E73-1973)</f>
        <v>68.933329999999998</v>
      </c>
      <c r="I73" cm="1">
        <f t="array" ref="I73">INDEX('GMW - worst case'!$A$2:$MC$200,MATCH(1,('GMW - worst case'!$MC$2:$MC$200=I$3)*('GMW - worst case'!$MB$2:$MB$200=I$4),0),$E73-1973)</f>
        <v>5.6875</v>
      </c>
      <c r="J73" t="e" cm="1">
        <f t="array" ref="J73">INDEX('GMW - worst case'!$A$2:$MC$200,MATCH(1,('GMW - worst case'!$MC$2:$MC$200=J$3)*('GMW - worst case'!$MB$2:$MB$200=J$4),0),$E73-1973)</f>
        <v>#N/A</v>
      </c>
      <c r="K73" t="e" cm="1">
        <f t="array" ref="K73">INDEX('GMW - worst case'!$A$2:$MC$200,MATCH(1,('GMW - worst case'!$MC$2:$MC$200=K$3)*('GMW - worst case'!$MB$2:$MB$200=K$4),0),$E73-1973)</f>
        <v>#N/A</v>
      </c>
      <c r="L73" t="e" cm="1">
        <f t="array" ref="L73">INDEX('GMW - worst case'!$A$2:$MC$200,MATCH(1,('GMW - worst case'!$MC$2:$MC$200=L$3)*('GMW - worst case'!$MB$2:$MB$200=L$4),0),$E73-1973)</f>
        <v>#N/A</v>
      </c>
      <c r="M73" t="e" cm="1">
        <f t="array" ref="M73">INDEX('GMW - worst case'!$A$2:$MC$200,MATCH(1,('GMW - worst case'!$MC$2:$MC$200=M$3)*('GMW - worst case'!$MB$2:$MB$200=M$4),0),$E73-1973)</f>
        <v>#N/A</v>
      </c>
      <c r="N73" t="e" cm="1">
        <f t="array" ref="N73">INDEX('GMW - worst case'!$A$2:$MC$200,MATCH(1,('GMW - worst case'!$MC$2:$MC$200=N$3)*('GMW - worst case'!$MB$2:$MB$200=N$4),0),$E73-1973)</f>
        <v>#N/A</v>
      </c>
      <c r="O73" t="e" cm="1">
        <f t="array" ref="O73">INDEX('GMW - worst case'!$A$2:$MC$200,MATCH(1,('GMW - worst case'!$MC$2:$MC$200=O$3)*('GMW - worst case'!$MB$2:$MB$200=O$4),0),$E73-1973)</f>
        <v>#N/A</v>
      </c>
      <c r="P73" t="e" cm="1">
        <f t="array" ref="P73">INDEX('GMW - worst case'!$A$2:$MC$200,MATCH(1,('GMW - worst case'!$MC$2:$MC$200=P$3)*('GMW - worst case'!$MB$2:$MB$200=P$4),0),$E73-1973)</f>
        <v>#N/A</v>
      </c>
      <c r="Q73" t="e" cm="1">
        <f t="array" ref="Q73">INDEX('GMW - worst case'!$A$2:$MC$200,MATCH(1,('GMW - worst case'!$MC$2:$MC$200=Q$3)*('GMW - worst case'!$MB$2:$MB$200=Q$4),0),$E73-1973)</f>
        <v>#N/A</v>
      </c>
      <c r="R73" t="e" cm="1">
        <f t="array" ref="R73">INDEX('GMW - worst case'!$A$2:$MC$200,MATCH(1,('GMW - worst case'!$MC$2:$MC$200=R$3)*('GMW - worst case'!$MB$2:$MB$200=R$4),0),$E73-1973)</f>
        <v>#N/A</v>
      </c>
      <c r="S73" t="e" cm="1">
        <f t="array" ref="S73">INDEX('GMW - worst case'!$A$2:$MC$200,MATCH(1,('GMW - worst case'!$MC$2:$MC$200=S$3)*('GMW - worst case'!$MB$2:$MB$200=S$4),0),$E73-1973)</f>
        <v>#N/A</v>
      </c>
    </row>
    <row r="74" spans="1:19" x14ac:dyDescent="0.25">
      <c r="B74">
        <f t="shared" si="5"/>
        <v>1996</v>
      </c>
      <c r="C74">
        <f t="shared" si="5"/>
        <v>1996</v>
      </c>
      <c r="E74">
        <f t="shared" si="6"/>
        <v>2047</v>
      </c>
      <c r="F74" cm="1">
        <f t="array" ref="F74">INDEX('GMW - worst case'!$A$2:$MC$200,MATCH(1,('GMW - worst case'!$MC$2:$MC$200=F$3)*('GMW - worst case'!$MB$2:$MB$200=F$4),0),$E74-1973)</f>
        <v>422639</v>
      </c>
      <c r="G74" cm="1">
        <f t="array" ref="G74">INDEX('GMW - worst case'!$A$2:$MC$200,MATCH(1,('GMW - worst case'!$MC$2:$MC$200=G$3)*('GMW - worst case'!$MB$2:$MB$200=G$4),0),$E74-1973)</f>
        <v>246780</v>
      </c>
      <c r="H74" cm="1">
        <f t="array" ref="H74">INDEX('GMW - worst case'!$A$2:$MC$200,MATCH(1,('GMW - worst case'!$MC$2:$MC$200=H$3)*('GMW - worst case'!$MB$2:$MB$200=H$4),0),$E74-1973)</f>
        <v>69.366669999999999</v>
      </c>
      <c r="I74" cm="1">
        <f t="array" ref="I74">INDEX('GMW - worst case'!$A$2:$MC$200,MATCH(1,('GMW - worst case'!$MC$2:$MC$200=I$3)*('GMW - worst case'!$MB$2:$MB$200=I$4),0),$E74-1973)</f>
        <v>5.8579549999999996</v>
      </c>
      <c r="J74" t="e" cm="1">
        <f t="array" ref="J74">INDEX('GMW - worst case'!$A$2:$MC$200,MATCH(1,('GMW - worst case'!$MC$2:$MC$200=J$3)*('GMW - worst case'!$MB$2:$MB$200=J$4),0),$E74-1973)</f>
        <v>#N/A</v>
      </c>
      <c r="K74" t="e" cm="1">
        <f t="array" ref="K74">INDEX('GMW - worst case'!$A$2:$MC$200,MATCH(1,('GMW - worst case'!$MC$2:$MC$200=K$3)*('GMW - worst case'!$MB$2:$MB$200=K$4),0),$E74-1973)</f>
        <v>#N/A</v>
      </c>
      <c r="L74" t="e" cm="1">
        <f t="array" ref="L74">INDEX('GMW - worst case'!$A$2:$MC$200,MATCH(1,('GMW - worst case'!$MC$2:$MC$200=L$3)*('GMW - worst case'!$MB$2:$MB$200=L$4),0),$E74-1973)</f>
        <v>#N/A</v>
      </c>
      <c r="M74" t="e" cm="1">
        <f t="array" ref="M74">INDEX('GMW - worst case'!$A$2:$MC$200,MATCH(1,('GMW - worst case'!$MC$2:$MC$200=M$3)*('GMW - worst case'!$MB$2:$MB$200=M$4),0),$E74-1973)</f>
        <v>#N/A</v>
      </c>
      <c r="N74" t="e" cm="1">
        <f t="array" ref="N74">INDEX('GMW - worst case'!$A$2:$MC$200,MATCH(1,('GMW - worst case'!$MC$2:$MC$200=N$3)*('GMW - worst case'!$MB$2:$MB$200=N$4),0),$E74-1973)</f>
        <v>#N/A</v>
      </c>
      <c r="O74" t="e" cm="1">
        <f t="array" ref="O74">INDEX('GMW - worst case'!$A$2:$MC$200,MATCH(1,('GMW - worst case'!$MC$2:$MC$200=O$3)*('GMW - worst case'!$MB$2:$MB$200=O$4),0),$E74-1973)</f>
        <v>#N/A</v>
      </c>
      <c r="P74" t="e" cm="1">
        <f t="array" ref="P74">INDEX('GMW - worst case'!$A$2:$MC$200,MATCH(1,('GMW - worst case'!$MC$2:$MC$200=P$3)*('GMW - worst case'!$MB$2:$MB$200=P$4),0),$E74-1973)</f>
        <v>#N/A</v>
      </c>
      <c r="Q74" t="e" cm="1">
        <f t="array" ref="Q74">INDEX('GMW - worst case'!$A$2:$MC$200,MATCH(1,('GMW - worst case'!$MC$2:$MC$200=Q$3)*('GMW - worst case'!$MB$2:$MB$200=Q$4),0),$E74-1973)</f>
        <v>#N/A</v>
      </c>
      <c r="R74" t="e" cm="1">
        <f t="array" ref="R74">INDEX('GMW - worst case'!$A$2:$MC$200,MATCH(1,('GMW - worst case'!$MC$2:$MC$200=R$3)*('GMW - worst case'!$MB$2:$MB$200=R$4),0),$E74-1973)</f>
        <v>#N/A</v>
      </c>
      <c r="S74" t="e" cm="1">
        <f t="array" ref="S74">INDEX('GMW - worst case'!$A$2:$MC$200,MATCH(1,('GMW - worst case'!$MC$2:$MC$200=S$3)*('GMW - worst case'!$MB$2:$MB$200=S$4),0),$E74-1973)</f>
        <v>#N/A</v>
      </c>
    </row>
    <row r="75" spans="1:19" x14ac:dyDescent="0.25">
      <c r="A75">
        <v>1997</v>
      </c>
      <c r="B75">
        <f t="shared" si="5"/>
        <v>1997</v>
      </c>
      <c r="C75">
        <f t="shared" si="5"/>
        <v>1996</v>
      </c>
      <c r="D75">
        <f t="shared" si="5"/>
        <v>1996</v>
      </c>
      <c r="E75">
        <f t="shared" si="6"/>
        <v>2048</v>
      </c>
      <c r="F75" cm="1">
        <f t="array" ref="F75">INDEX('GMW - worst case'!$A$2:$MC$200,MATCH(1,('GMW - worst case'!$MC$2:$MC$200=F$3)*('GMW - worst case'!$MB$2:$MB$200=F$4),0),$E75-1973)</f>
        <v>429418</v>
      </c>
      <c r="G75" cm="1">
        <f t="array" ref="G75">INDEX('GMW - worst case'!$A$2:$MC$200,MATCH(1,('GMW - worst case'!$MC$2:$MC$200=G$3)*('GMW - worst case'!$MB$2:$MB$200=G$4),0),$E75-1973)</f>
        <v>249328</v>
      </c>
      <c r="H75" cm="1">
        <f t="array" ref="H75">INDEX('GMW - worst case'!$A$2:$MC$200,MATCH(1,('GMW - worst case'!$MC$2:$MC$200=H$3)*('GMW - worst case'!$MB$2:$MB$200=H$4),0),$E75-1973)</f>
        <v>69.366669999999999</v>
      </c>
      <c r="I75" cm="1">
        <f t="array" ref="I75">INDEX('GMW - worst case'!$A$2:$MC$200,MATCH(1,('GMW - worst case'!$MC$2:$MC$200=I$3)*('GMW - worst case'!$MB$2:$MB$200=I$4),0),$E75-1973)</f>
        <v>5.9375</v>
      </c>
      <c r="J75" t="e" cm="1">
        <f t="array" ref="J75">INDEX('GMW - worst case'!$A$2:$MC$200,MATCH(1,('GMW - worst case'!$MC$2:$MC$200=J$3)*('GMW - worst case'!$MB$2:$MB$200=J$4),0),$E75-1973)</f>
        <v>#N/A</v>
      </c>
      <c r="K75" t="e" cm="1">
        <f t="array" ref="K75">INDEX('GMW - worst case'!$A$2:$MC$200,MATCH(1,('GMW - worst case'!$MC$2:$MC$200=K$3)*('GMW - worst case'!$MB$2:$MB$200=K$4),0),$E75-1973)</f>
        <v>#N/A</v>
      </c>
      <c r="L75" t="e" cm="1">
        <f t="array" ref="L75">INDEX('GMW - worst case'!$A$2:$MC$200,MATCH(1,('GMW - worst case'!$MC$2:$MC$200=L$3)*('GMW - worst case'!$MB$2:$MB$200=L$4),0),$E75-1973)</f>
        <v>#N/A</v>
      </c>
      <c r="M75" t="e" cm="1">
        <f t="array" ref="M75">INDEX('GMW - worst case'!$A$2:$MC$200,MATCH(1,('GMW - worst case'!$MC$2:$MC$200=M$3)*('GMW - worst case'!$MB$2:$MB$200=M$4),0),$E75-1973)</f>
        <v>#N/A</v>
      </c>
      <c r="N75" t="e" cm="1">
        <f t="array" ref="N75">INDEX('GMW - worst case'!$A$2:$MC$200,MATCH(1,('GMW - worst case'!$MC$2:$MC$200=N$3)*('GMW - worst case'!$MB$2:$MB$200=N$4),0),$E75-1973)</f>
        <v>#N/A</v>
      </c>
      <c r="O75" t="e" cm="1">
        <f t="array" ref="O75">INDEX('GMW - worst case'!$A$2:$MC$200,MATCH(1,('GMW - worst case'!$MC$2:$MC$200=O$3)*('GMW - worst case'!$MB$2:$MB$200=O$4),0),$E75-1973)</f>
        <v>#N/A</v>
      </c>
      <c r="P75" t="e" cm="1">
        <f t="array" ref="P75">INDEX('GMW - worst case'!$A$2:$MC$200,MATCH(1,('GMW - worst case'!$MC$2:$MC$200=P$3)*('GMW - worst case'!$MB$2:$MB$200=P$4),0),$E75-1973)</f>
        <v>#N/A</v>
      </c>
      <c r="Q75" t="e" cm="1">
        <f t="array" ref="Q75">INDEX('GMW - worst case'!$A$2:$MC$200,MATCH(1,('GMW - worst case'!$MC$2:$MC$200=Q$3)*('GMW - worst case'!$MB$2:$MB$200=Q$4),0),$E75-1973)</f>
        <v>#N/A</v>
      </c>
      <c r="R75" t="e" cm="1">
        <f t="array" ref="R75">INDEX('GMW - worst case'!$A$2:$MC$200,MATCH(1,('GMW - worst case'!$MC$2:$MC$200=R$3)*('GMW - worst case'!$MB$2:$MB$200=R$4),0),$E75-1973)</f>
        <v>#N/A</v>
      </c>
      <c r="S75" t="e" cm="1">
        <f t="array" ref="S75">INDEX('GMW - worst case'!$A$2:$MC$200,MATCH(1,('GMW - worst case'!$MC$2:$MC$200=S$3)*('GMW - worst case'!$MB$2:$MB$200=S$4),0),$E75-1973)</f>
        <v>#N/A</v>
      </c>
    </row>
    <row r="76" spans="1:19" x14ac:dyDescent="0.25">
      <c r="B76">
        <f t="shared" ref="B76:D91" si="7">+B72+1</f>
        <v>1997</v>
      </c>
      <c r="C76">
        <f t="shared" si="7"/>
        <v>1997</v>
      </c>
      <c r="E76">
        <f t="shared" si="6"/>
        <v>2049</v>
      </c>
      <c r="F76" cm="1">
        <f t="array" ref="F76">INDEX('GMW - worst case'!$A$2:$MC$200,MATCH(1,('GMW - worst case'!$MC$2:$MC$200=F$3)*('GMW - worst case'!$MB$2:$MB$200=F$4),0),$E76-1973)</f>
        <v>434199</v>
      </c>
      <c r="G76" cm="1">
        <f t="array" ref="G76">INDEX('GMW - worst case'!$A$2:$MC$200,MATCH(1,('GMW - worst case'!$MC$2:$MC$200=G$3)*('GMW - worst case'!$MB$2:$MB$200=G$4),0),$E76-1973)</f>
        <v>253090</v>
      </c>
      <c r="H76" cm="1">
        <f t="array" ref="H76">INDEX('GMW - worst case'!$A$2:$MC$200,MATCH(1,('GMW - worst case'!$MC$2:$MC$200=H$3)*('GMW - worst case'!$MB$2:$MB$200=H$4),0),$E76-1973)</f>
        <v>70</v>
      </c>
      <c r="I76" cm="1">
        <f t="array" ref="I76">INDEX('GMW - worst case'!$A$2:$MC$200,MATCH(1,('GMW - worst case'!$MC$2:$MC$200=I$3)*('GMW - worst case'!$MB$2:$MB$200=I$4),0),$E76-1973)</f>
        <v>6.1951919999999996</v>
      </c>
      <c r="J76" t="e" cm="1">
        <f t="array" ref="J76">INDEX('GMW - worst case'!$A$2:$MC$200,MATCH(1,('GMW - worst case'!$MC$2:$MC$200=J$3)*('GMW - worst case'!$MB$2:$MB$200=J$4),0),$E76-1973)</f>
        <v>#N/A</v>
      </c>
      <c r="K76" t="e" cm="1">
        <f t="array" ref="K76">INDEX('GMW - worst case'!$A$2:$MC$200,MATCH(1,('GMW - worst case'!$MC$2:$MC$200=K$3)*('GMW - worst case'!$MB$2:$MB$200=K$4),0),$E76-1973)</f>
        <v>#N/A</v>
      </c>
      <c r="L76" t="e" cm="1">
        <f t="array" ref="L76">INDEX('GMW - worst case'!$A$2:$MC$200,MATCH(1,('GMW - worst case'!$MC$2:$MC$200=L$3)*('GMW - worst case'!$MB$2:$MB$200=L$4),0),$E76-1973)</f>
        <v>#N/A</v>
      </c>
      <c r="M76" t="e" cm="1">
        <f t="array" ref="M76">INDEX('GMW - worst case'!$A$2:$MC$200,MATCH(1,('GMW - worst case'!$MC$2:$MC$200=M$3)*('GMW - worst case'!$MB$2:$MB$200=M$4),0),$E76-1973)</f>
        <v>#N/A</v>
      </c>
      <c r="N76" t="e" cm="1">
        <f t="array" ref="N76">INDEX('GMW - worst case'!$A$2:$MC$200,MATCH(1,('GMW - worst case'!$MC$2:$MC$200=N$3)*('GMW - worst case'!$MB$2:$MB$200=N$4),0),$E76-1973)</f>
        <v>#N/A</v>
      </c>
      <c r="O76" t="e" cm="1">
        <f t="array" ref="O76">INDEX('GMW - worst case'!$A$2:$MC$200,MATCH(1,('GMW - worst case'!$MC$2:$MC$200=O$3)*('GMW - worst case'!$MB$2:$MB$200=O$4),0),$E76-1973)</f>
        <v>#N/A</v>
      </c>
      <c r="P76" t="e" cm="1">
        <f t="array" ref="P76">INDEX('GMW - worst case'!$A$2:$MC$200,MATCH(1,('GMW - worst case'!$MC$2:$MC$200=P$3)*('GMW - worst case'!$MB$2:$MB$200=P$4),0),$E76-1973)</f>
        <v>#N/A</v>
      </c>
      <c r="Q76" t="e" cm="1">
        <f t="array" ref="Q76">INDEX('GMW - worst case'!$A$2:$MC$200,MATCH(1,('GMW - worst case'!$MC$2:$MC$200=Q$3)*('GMW - worst case'!$MB$2:$MB$200=Q$4),0),$E76-1973)</f>
        <v>#N/A</v>
      </c>
      <c r="R76" t="e" cm="1">
        <f t="array" ref="R76">INDEX('GMW - worst case'!$A$2:$MC$200,MATCH(1,('GMW - worst case'!$MC$2:$MC$200=R$3)*('GMW - worst case'!$MB$2:$MB$200=R$4),0),$E76-1973)</f>
        <v>#N/A</v>
      </c>
      <c r="S76" t="e" cm="1">
        <f t="array" ref="S76">INDEX('GMW - worst case'!$A$2:$MC$200,MATCH(1,('GMW - worst case'!$MC$2:$MC$200=S$3)*('GMW - worst case'!$MB$2:$MB$200=S$4),0),$E76-1973)</f>
        <v>#N/A</v>
      </c>
    </row>
    <row r="77" spans="1:19" x14ac:dyDescent="0.25">
      <c r="B77">
        <f t="shared" si="7"/>
        <v>1997</v>
      </c>
      <c r="C77">
        <f t="shared" si="7"/>
        <v>1997</v>
      </c>
      <c r="E77">
        <f t="shared" si="6"/>
        <v>2050</v>
      </c>
      <c r="F77" cm="1">
        <f t="array" ref="F77">INDEX('GMW - worst case'!$A$2:$MC$200,MATCH(1,('GMW - worst case'!$MC$2:$MC$200=F$3)*('GMW - worst case'!$MB$2:$MB$200=F$4),0),$E77-1973)</f>
        <v>438100</v>
      </c>
      <c r="G77" cm="1">
        <f t="array" ref="G77">INDEX('GMW - worst case'!$A$2:$MC$200,MATCH(1,('GMW - worst case'!$MC$2:$MC$200=G$3)*('GMW - worst case'!$MB$2:$MB$200=G$4),0),$E77-1973)</f>
        <v>256735</v>
      </c>
      <c r="H77" cm="1">
        <f t="array" ref="H77">INDEX('GMW - worst case'!$A$2:$MC$200,MATCH(1,('GMW - worst case'!$MC$2:$MC$200=H$3)*('GMW - worst case'!$MB$2:$MB$200=H$4),0),$E77-1973)</f>
        <v>70.266670000000005</v>
      </c>
      <c r="I77" cm="1">
        <f t="array" ref="I77">INDEX('GMW - worst case'!$A$2:$MC$200,MATCH(1,('GMW - worst case'!$MC$2:$MC$200=I$3)*('GMW - worst case'!$MB$2:$MB$200=I$4),0),$E77-1973)</f>
        <v>6.8712119999999999</v>
      </c>
      <c r="J77" t="e" cm="1">
        <f t="array" ref="J77">INDEX('GMW - worst case'!$A$2:$MC$200,MATCH(1,('GMW - worst case'!$MC$2:$MC$200=J$3)*('GMW - worst case'!$MB$2:$MB$200=J$4),0),$E77-1973)</f>
        <v>#N/A</v>
      </c>
      <c r="K77" t="e" cm="1">
        <f t="array" ref="K77">INDEX('GMW - worst case'!$A$2:$MC$200,MATCH(1,('GMW - worst case'!$MC$2:$MC$200=K$3)*('GMW - worst case'!$MB$2:$MB$200=K$4),0),$E77-1973)</f>
        <v>#N/A</v>
      </c>
      <c r="L77" t="e" cm="1">
        <f t="array" ref="L77">INDEX('GMW - worst case'!$A$2:$MC$200,MATCH(1,('GMW - worst case'!$MC$2:$MC$200=L$3)*('GMW - worst case'!$MB$2:$MB$200=L$4),0),$E77-1973)</f>
        <v>#N/A</v>
      </c>
      <c r="M77" t="e" cm="1">
        <f t="array" ref="M77">INDEX('GMW - worst case'!$A$2:$MC$200,MATCH(1,('GMW - worst case'!$MC$2:$MC$200=M$3)*('GMW - worst case'!$MB$2:$MB$200=M$4),0),$E77-1973)</f>
        <v>#N/A</v>
      </c>
      <c r="N77" t="e" cm="1">
        <f t="array" ref="N77">INDEX('GMW - worst case'!$A$2:$MC$200,MATCH(1,('GMW - worst case'!$MC$2:$MC$200=N$3)*('GMW - worst case'!$MB$2:$MB$200=N$4),0),$E77-1973)</f>
        <v>#N/A</v>
      </c>
      <c r="O77" t="e" cm="1">
        <f t="array" ref="O77">INDEX('GMW - worst case'!$A$2:$MC$200,MATCH(1,('GMW - worst case'!$MC$2:$MC$200=O$3)*('GMW - worst case'!$MB$2:$MB$200=O$4),0),$E77-1973)</f>
        <v>#N/A</v>
      </c>
      <c r="P77" t="e" cm="1">
        <f t="array" ref="P77">INDEX('GMW - worst case'!$A$2:$MC$200,MATCH(1,('GMW - worst case'!$MC$2:$MC$200=P$3)*('GMW - worst case'!$MB$2:$MB$200=P$4),0),$E77-1973)</f>
        <v>#N/A</v>
      </c>
      <c r="Q77" t="e" cm="1">
        <f t="array" ref="Q77">INDEX('GMW - worst case'!$A$2:$MC$200,MATCH(1,('GMW - worst case'!$MC$2:$MC$200=Q$3)*('GMW - worst case'!$MB$2:$MB$200=Q$4),0),$E77-1973)</f>
        <v>#N/A</v>
      </c>
      <c r="R77" t="e" cm="1">
        <f t="array" ref="R77">INDEX('GMW - worst case'!$A$2:$MC$200,MATCH(1,('GMW - worst case'!$MC$2:$MC$200=R$3)*('GMW - worst case'!$MB$2:$MB$200=R$4),0),$E77-1973)</f>
        <v>#N/A</v>
      </c>
      <c r="S77" t="e" cm="1">
        <f t="array" ref="S77">INDEX('GMW - worst case'!$A$2:$MC$200,MATCH(1,('GMW - worst case'!$MC$2:$MC$200=S$3)*('GMW - worst case'!$MB$2:$MB$200=S$4),0),$E77-1973)</f>
        <v>#N/A</v>
      </c>
    </row>
    <row r="78" spans="1:19" x14ac:dyDescent="0.25">
      <c r="B78">
        <f t="shared" si="7"/>
        <v>1997</v>
      </c>
      <c r="C78">
        <f t="shared" si="7"/>
        <v>1997</v>
      </c>
      <c r="E78">
        <f t="shared" si="6"/>
        <v>2051</v>
      </c>
      <c r="F78" cm="1">
        <f t="array" ref="F78">INDEX('GMW - worst case'!$A$2:$MC$200,MATCH(1,('GMW - worst case'!$MC$2:$MC$200=F$3)*('GMW - worst case'!$MB$2:$MB$200=F$4),0),$E78-1973)</f>
        <v>444540</v>
      </c>
      <c r="G78" cm="1">
        <f t="array" ref="G78">INDEX('GMW - worst case'!$A$2:$MC$200,MATCH(1,('GMW - worst case'!$MC$2:$MC$200=G$3)*('GMW - worst case'!$MB$2:$MB$200=G$4),0),$E78-1973)</f>
        <v>258701</v>
      </c>
      <c r="H78" cm="1">
        <f t="array" ref="H78">INDEX('GMW - worst case'!$A$2:$MC$200,MATCH(1,('GMW - worst case'!$MC$2:$MC$200=H$3)*('GMW - worst case'!$MB$2:$MB$200=H$4),0),$E78-1973)</f>
        <v>70.633330000000001</v>
      </c>
      <c r="I78" cm="1">
        <f t="array" ref="I78">INDEX('GMW - worst case'!$A$2:$MC$200,MATCH(1,('GMW - worst case'!$MC$2:$MC$200=I$3)*('GMW - worst case'!$MB$2:$MB$200=I$4),0),$E78-1973)</f>
        <v>7.1515149999999998</v>
      </c>
      <c r="J78" t="e" cm="1">
        <f t="array" ref="J78">INDEX('GMW - worst case'!$A$2:$MC$200,MATCH(1,('GMW - worst case'!$MC$2:$MC$200=J$3)*('GMW - worst case'!$MB$2:$MB$200=J$4),0),$E78-1973)</f>
        <v>#N/A</v>
      </c>
      <c r="K78" t="e" cm="1">
        <f t="array" ref="K78">INDEX('GMW - worst case'!$A$2:$MC$200,MATCH(1,('GMW - worst case'!$MC$2:$MC$200=K$3)*('GMW - worst case'!$MB$2:$MB$200=K$4),0),$E78-1973)</f>
        <v>#N/A</v>
      </c>
      <c r="L78" t="e" cm="1">
        <f t="array" ref="L78">INDEX('GMW - worst case'!$A$2:$MC$200,MATCH(1,('GMW - worst case'!$MC$2:$MC$200=L$3)*('GMW - worst case'!$MB$2:$MB$200=L$4),0),$E78-1973)</f>
        <v>#N/A</v>
      </c>
      <c r="M78" t="e" cm="1">
        <f t="array" ref="M78">INDEX('GMW - worst case'!$A$2:$MC$200,MATCH(1,('GMW - worst case'!$MC$2:$MC$200=M$3)*('GMW - worst case'!$MB$2:$MB$200=M$4),0),$E78-1973)</f>
        <v>#N/A</v>
      </c>
      <c r="N78" t="e" cm="1">
        <f t="array" ref="N78">INDEX('GMW - worst case'!$A$2:$MC$200,MATCH(1,('GMW - worst case'!$MC$2:$MC$200=N$3)*('GMW - worst case'!$MB$2:$MB$200=N$4),0),$E78-1973)</f>
        <v>#N/A</v>
      </c>
      <c r="O78" t="e" cm="1">
        <f t="array" ref="O78">INDEX('GMW - worst case'!$A$2:$MC$200,MATCH(1,('GMW - worst case'!$MC$2:$MC$200=O$3)*('GMW - worst case'!$MB$2:$MB$200=O$4),0),$E78-1973)</f>
        <v>#N/A</v>
      </c>
      <c r="P78" t="e" cm="1">
        <f t="array" ref="P78">INDEX('GMW - worst case'!$A$2:$MC$200,MATCH(1,('GMW - worst case'!$MC$2:$MC$200=P$3)*('GMW - worst case'!$MB$2:$MB$200=P$4),0),$E78-1973)</f>
        <v>#N/A</v>
      </c>
      <c r="Q78" t="e" cm="1">
        <f t="array" ref="Q78">INDEX('GMW - worst case'!$A$2:$MC$200,MATCH(1,('GMW - worst case'!$MC$2:$MC$200=Q$3)*('GMW - worst case'!$MB$2:$MB$200=Q$4),0),$E78-1973)</f>
        <v>#N/A</v>
      </c>
      <c r="R78" t="e" cm="1">
        <f t="array" ref="R78">INDEX('GMW - worst case'!$A$2:$MC$200,MATCH(1,('GMW - worst case'!$MC$2:$MC$200=R$3)*('GMW - worst case'!$MB$2:$MB$200=R$4),0),$E78-1973)</f>
        <v>#N/A</v>
      </c>
      <c r="S78" t="e" cm="1">
        <f t="array" ref="S78">INDEX('GMW - worst case'!$A$2:$MC$200,MATCH(1,('GMW - worst case'!$MC$2:$MC$200=S$3)*('GMW - worst case'!$MB$2:$MB$200=S$4),0),$E78-1973)</f>
        <v>#N/A</v>
      </c>
    </row>
    <row r="79" spans="1:19" x14ac:dyDescent="0.25">
      <c r="A79">
        <v>1998</v>
      </c>
      <c r="B79">
        <f t="shared" si="7"/>
        <v>1998</v>
      </c>
      <c r="C79">
        <f t="shared" si="7"/>
        <v>1997</v>
      </c>
      <c r="D79">
        <f t="shared" si="7"/>
        <v>1997</v>
      </c>
      <c r="E79">
        <f t="shared" si="6"/>
        <v>2052</v>
      </c>
      <c r="F79" cm="1">
        <f t="array" ref="F79">INDEX('GMW - worst case'!$A$2:$MC$200,MATCH(1,('GMW - worst case'!$MC$2:$MC$200=F$3)*('GMW - worst case'!$MB$2:$MB$200=F$4),0),$E79-1973)</f>
        <v>447712</v>
      </c>
      <c r="G79" cm="1">
        <f t="array" ref="G79">INDEX('GMW - worst case'!$A$2:$MC$200,MATCH(1,('GMW - worst case'!$MC$2:$MC$200=G$3)*('GMW - worst case'!$MB$2:$MB$200=G$4),0),$E79-1973)</f>
        <v>260797</v>
      </c>
      <c r="H79" cm="1">
        <f t="array" ref="H79">INDEX('GMW - worst case'!$A$2:$MC$200,MATCH(1,('GMW - worst case'!$MC$2:$MC$200=H$3)*('GMW - worst case'!$MB$2:$MB$200=H$4),0),$E79-1973)</f>
        <v>70.5</v>
      </c>
      <c r="I79" cm="1">
        <f t="array" ref="I79">INDEX('GMW - worst case'!$A$2:$MC$200,MATCH(1,('GMW - worst case'!$MC$2:$MC$200=I$3)*('GMW - worst case'!$MB$2:$MB$200=I$4),0),$E79-1973)</f>
        <v>7.25</v>
      </c>
      <c r="J79" t="e" cm="1">
        <f t="array" ref="J79">INDEX('GMW - worst case'!$A$2:$MC$200,MATCH(1,('GMW - worst case'!$MC$2:$MC$200=J$3)*('GMW - worst case'!$MB$2:$MB$200=J$4),0),$E79-1973)</f>
        <v>#N/A</v>
      </c>
      <c r="K79" t="e" cm="1">
        <f t="array" ref="K79">INDEX('GMW - worst case'!$A$2:$MC$200,MATCH(1,('GMW - worst case'!$MC$2:$MC$200=K$3)*('GMW - worst case'!$MB$2:$MB$200=K$4),0),$E79-1973)</f>
        <v>#N/A</v>
      </c>
      <c r="L79" t="e" cm="1">
        <f t="array" ref="L79">INDEX('GMW - worst case'!$A$2:$MC$200,MATCH(1,('GMW - worst case'!$MC$2:$MC$200=L$3)*('GMW - worst case'!$MB$2:$MB$200=L$4),0),$E79-1973)</f>
        <v>#N/A</v>
      </c>
      <c r="M79" t="e" cm="1">
        <f t="array" ref="M79">INDEX('GMW - worst case'!$A$2:$MC$200,MATCH(1,('GMW - worst case'!$MC$2:$MC$200=M$3)*('GMW - worst case'!$MB$2:$MB$200=M$4),0),$E79-1973)</f>
        <v>#N/A</v>
      </c>
      <c r="N79" t="e" cm="1">
        <f t="array" ref="N79">INDEX('GMW - worst case'!$A$2:$MC$200,MATCH(1,('GMW - worst case'!$MC$2:$MC$200=N$3)*('GMW - worst case'!$MB$2:$MB$200=N$4),0),$E79-1973)</f>
        <v>#N/A</v>
      </c>
      <c r="O79" t="e" cm="1">
        <f t="array" ref="O79">INDEX('GMW - worst case'!$A$2:$MC$200,MATCH(1,('GMW - worst case'!$MC$2:$MC$200=O$3)*('GMW - worst case'!$MB$2:$MB$200=O$4),0),$E79-1973)</f>
        <v>#N/A</v>
      </c>
      <c r="P79" t="e" cm="1">
        <f t="array" ref="P79">INDEX('GMW - worst case'!$A$2:$MC$200,MATCH(1,('GMW - worst case'!$MC$2:$MC$200=P$3)*('GMW - worst case'!$MB$2:$MB$200=P$4),0),$E79-1973)</f>
        <v>#N/A</v>
      </c>
      <c r="Q79" t="e" cm="1">
        <f t="array" ref="Q79">INDEX('GMW - worst case'!$A$2:$MC$200,MATCH(1,('GMW - worst case'!$MC$2:$MC$200=Q$3)*('GMW - worst case'!$MB$2:$MB$200=Q$4),0),$E79-1973)</f>
        <v>#N/A</v>
      </c>
      <c r="R79" t="e" cm="1">
        <f t="array" ref="R79">INDEX('GMW - worst case'!$A$2:$MC$200,MATCH(1,('GMW - worst case'!$MC$2:$MC$200=R$3)*('GMW - worst case'!$MB$2:$MB$200=R$4),0),$E79-1973)</f>
        <v>#N/A</v>
      </c>
      <c r="S79" t="e" cm="1">
        <f t="array" ref="S79">INDEX('GMW - worst case'!$A$2:$MC$200,MATCH(1,('GMW - worst case'!$MC$2:$MC$200=S$3)*('GMW - worst case'!$MB$2:$MB$200=S$4),0),$E79-1973)</f>
        <v>#N/A</v>
      </c>
    </row>
    <row r="80" spans="1:19" x14ac:dyDescent="0.25">
      <c r="B80">
        <f t="shared" si="7"/>
        <v>1998</v>
      </c>
      <c r="C80">
        <f t="shared" si="7"/>
        <v>1998</v>
      </c>
      <c r="E80">
        <f t="shared" si="6"/>
        <v>2053</v>
      </c>
      <c r="F80" cm="1">
        <f t="array" ref="F80">INDEX('GMW - worst case'!$A$2:$MC$200,MATCH(1,('GMW - worst case'!$MC$2:$MC$200=F$3)*('GMW - worst case'!$MB$2:$MB$200=F$4),0),$E80-1973)</f>
        <v>450292</v>
      </c>
      <c r="G80" cm="1">
        <f t="array" ref="G80">INDEX('GMW - worst case'!$A$2:$MC$200,MATCH(1,('GMW - worst case'!$MC$2:$MC$200=G$3)*('GMW - worst case'!$MB$2:$MB$200=G$4),0),$E80-1973)</f>
        <v>263411</v>
      </c>
      <c r="H80" cm="1">
        <f t="array" ref="H80">INDEX('GMW - worst case'!$A$2:$MC$200,MATCH(1,('GMW - worst case'!$MC$2:$MC$200=H$3)*('GMW - worst case'!$MB$2:$MB$200=H$4),0),$E80-1973)</f>
        <v>71.266670000000005</v>
      </c>
      <c r="I80" cm="1">
        <f t="array" ref="I80">INDEX('GMW - worst case'!$A$2:$MC$200,MATCH(1,('GMW - worst case'!$MC$2:$MC$200=I$3)*('GMW - worst case'!$MB$2:$MB$200=I$4),0),$E80-1973)</f>
        <v>7.3230769999999996</v>
      </c>
      <c r="J80" t="e" cm="1">
        <f t="array" ref="J80">INDEX('GMW - worst case'!$A$2:$MC$200,MATCH(1,('GMW - worst case'!$MC$2:$MC$200=J$3)*('GMW - worst case'!$MB$2:$MB$200=J$4),0),$E80-1973)</f>
        <v>#N/A</v>
      </c>
      <c r="K80" t="e" cm="1">
        <f t="array" ref="K80">INDEX('GMW - worst case'!$A$2:$MC$200,MATCH(1,('GMW - worst case'!$MC$2:$MC$200=K$3)*('GMW - worst case'!$MB$2:$MB$200=K$4),0),$E80-1973)</f>
        <v>#N/A</v>
      </c>
      <c r="L80" t="e" cm="1">
        <f t="array" ref="L80">INDEX('GMW - worst case'!$A$2:$MC$200,MATCH(1,('GMW - worst case'!$MC$2:$MC$200=L$3)*('GMW - worst case'!$MB$2:$MB$200=L$4),0),$E80-1973)</f>
        <v>#N/A</v>
      </c>
      <c r="M80" t="e" cm="1">
        <f t="array" ref="M80">INDEX('GMW - worst case'!$A$2:$MC$200,MATCH(1,('GMW - worst case'!$MC$2:$MC$200=M$3)*('GMW - worst case'!$MB$2:$MB$200=M$4),0),$E80-1973)</f>
        <v>#N/A</v>
      </c>
      <c r="N80" t="e" cm="1">
        <f t="array" ref="N80">INDEX('GMW - worst case'!$A$2:$MC$200,MATCH(1,('GMW - worst case'!$MC$2:$MC$200=N$3)*('GMW - worst case'!$MB$2:$MB$200=N$4),0),$E80-1973)</f>
        <v>#N/A</v>
      </c>
      <c r="O80" t="e" cm="1">
        <f t="array" ref="O80">INDEX('GMW - worst case'!$A$2:$MC$200,MATCH(1,('GMW - worst case'!$MC$2:$MC$200=O$3)*('GMW - worst case'!$MB$2:$MB$200=O$4),0),$E80-1973)</f>
        <v>#N/A</v>
      </c>
      <c r="P80" t="e" cm="1">
        <f t="array" ref="P80">INDEX('GMW - worst case'!$A$2:$MC$200,MATCH(1,('GMW - worst case'!$MC$2:$MC$200=P$3)*('GMW - worst case'!$MB$2:$MB$200=P$4),0),$E80-1973)</f>
        <v>#N/A</v>
      </c>
      <c r="Q80" t="e" cm="1">
        <f t="array" ref="Q80">INDEX('GMW - worst case'!$A$2:$MC$200,MATCH(1,('GMW - worst case'!$MC$2:$MC$200=Q$3)*('GMW - worst case'!$MB$2:$MB$200=Q$4),0),$E80-1973)</f>
        <v>#N/A</v>
      </c>
      <c r="R80" t="e" cm="1">
        <f t="array" ref="R80">INDEX('GMW - worst case'!$A$2:$MC$200,MATCH(1,('GMW - worst case'!$MC$2:$MC$200=R$3)*('GMW - worst case'!$MB$2:$MB$200=R$4),0),$E80-1973)</f>
        <v>#N/A</v>
      </c>
      <c r="S80" t="e" cm="1">
        <f t="array" ref="S80">INDEX('GMW - worst case'!$A$2:$MC$200,MATCH(1,('GMW - worst case'!$MC$2:$MC$200=S$3)*('GMW - worst case'!$MB$2:$MB$200=S$4),0),$E80-1973)</f>
        <v>#N/A</v>
      </c>
    </row>
    <row r="81" spans="1:19" x14ac:dyDescent="0.25">
      <c r="B81">
        <f t="shared" si="7"/>
        <v>1998</v>
      </c>
      <c r="C81">
        <f t="shared" si="7"/>
        <v>1998</v>
      </c>
      <c r="E81">
        <f t="shared" si="6"/>
        <v>2054</v>
      </c>
      <c r="F81" cm="1">
        <f t="array" ref="F81">INDEX('GMW - worst case'!$A$2:$MC$200,MATCH(1,('GMW - worst case'!$MC$2:$MC$200=F$3)*('GMW - worst case'!$MB$2:$MB$200=F$4),0),$E81-1973)</f>
        <v>451005</v>
      </c>
      <c r="G81" cm="1">
        <f t="array" ref="G81">INDEX('GMW - worst case'!$A$2:$MC$200,MATCH(1,('GMW - worst case'!$MC$2:$MC$200=G$3)*('GMW - worst case'!$MB$2:$MB$200=G$4),0),$E81-1973)</f>
        <v>267649</v>
      </c>
      <c r="H81" cm="1">
        <f t="array" ref="H81">INDEX('GMW - worst case'!$A$2:$MC$200,MATCH(1,('GMW - worst case'!$MC$2:$MC$200=H$3)*('GMW - worst case'!$MB$2:$MB$200=H$4),0),$E81-1973)</f>
        <v>71.233329999999995</v>
      </c>
      <c r="I81" cm="1">
        <f t="array" ref="I81">INDEX('GMW - worst case'!$A$2:$MC$200,MATCH(1,('GMW - worst case'!$MC$2:$MC$200=I$3)*('GMW - worst case'!$MB$2:$MB$200=I$4),0),$E81-1973)</f>
        <v>7.5</v>
      </c>
      <c r="J81" t="e" cm="1">
        <f t="array" ref="J81">INDEX('GMW - worst case'!$A$2:$MC$200,MATCH(1,('GMW - worst case'!$MC$2:$MC$200=J$3)*('GMW - worst case'!$MB$2:$MB$200=J$4),0),$E81-1973)</f>
        <v>#N/A</v>
      </c>
      <c r="K81" t="e" cm="1">
        <f t="array" ref="K81">INDEX('GMW - worst case'!$A$2:$MC$200,MATCH(1,('GMW - worst case'!$MC$2:$MC$200=K$3)*('GMW - worst case'!$MB$2:$MB$200=K$4),0),$E81-1973)</f>
        <v>#N/A</v>
      </c>
      <c r="L81" t="e" cm="1">
        <f t="array" ref="L81">INDEX('GMW - worst case'!$A$2:$MC$200,MATCH(1,('GMW - worst case'!$MC$2:$MC$200=L$3)*('GMW - worst case'!$MB$2:$MB$200=L$4),0),$E81-1973)</f>
        <v>#N/A</v>
      </c>
      <c r="M81" t="e" cm="1">
        <f t="array" ref="M81">INDEX('GMW - worst case'!$A$2:$MC$200,MATCH(1,('GMW - worst case'!$MC$2:$MC$200=M$3)*('GMW - worst case'!$MB$2:$MB$200=M$4),0),$E81-1973)</f>
        <v>#N/A</v>
      </c>
      <c r="N81" t="e" cm="1">
        <f t="array" ref="N81">INDEX('GMW - worst case'!$A$2:$MC$200,MATCH(1,('GMW - worst case'!$MC$2:$MC$200=N$3)*('GMW - worst case'!$MB$2:$MB$200=N$4),0),$E81-1973)</f>
        <v>#N/A</v>
      </c>
      <c r="O81" t="e" cm="1">
        <f t="array" ref="O81">INDEX('GMW - worst case'!$A$2:$MC$200,MATCH(1,('GMW - worst case'!$MC$2:$MC$200=O$3)*('GMW - worst case'!$MB$2:$MB$200=O$4),0),$E81-1973)</f>
        <v>#N/A</v>
      </c>
      <c r="P81" t="e" cm="1">
        <f t="array" ref="P81">INDEX('GMW - worst case'!$A$2:$MC$200,MATCH(1,('GMW - worst case'!$MC$2:$MC$200=P$3)*('GMW - worst case'!$MB$2:$MB$200=P$4),0),$E81-1973)</f>
        <v>#N/A</v>
      </c>
      <c r="Q81" t="e" cm="1">
        <f t="array" ref="Q81">INDEX('GMW - worst case'!$A$2:$MC$200,MATCH(1,('GMW - worst case'!$MC$2:$MC$200=Q$3)*('GMW - worst case'!$MB$2:$MB$200=Q$4),0),$E81-1973)</f>
        <v>#N/A</v>
      </c>
      <c r="R81" t="e" cm="1">
        <f t="array" ref="R81">INDEX('GMW - worst case'!$A$2:$MC$200,MATCH(1,('GMW - worst case'!$MC$2:$MC$200=R$3)*('GMW - worst case'!$MB$2:$MB$200=R$4),0),$E81-1973)</f>
        <v>#N/A</v>
      </c>
      <c r="S81" t="e" cm="1">
        <f t="array" ref="S81">INDEX('GMW - worst case'!$A$2:$MC$200,MATCH(1,('GMW - worst case'!$MC$2:$MC$200=S$3)*('GMW - worst case'!$MB$2:$MB$200=S$4),0),$E81-1973)</f>
        <v>#N/A</v>
      </c>
    </row>
    <row r="82" spans="1:19" x14ac:dyDescent="0.25">
      <c r="B82">
        <f t="shared" si="7"/>
        <v>1998</v>
      </c>
      <c r="C82">
        <f t="shared" si="7"/>
        <v>1998</v>
      </c>
      <c r="E82">
        <f t="shared" si="6"/>
        <v>2055</v>
      </c>
      <c r="F82" cm="1">
        <f t="array" ref="F82">INDEX('GMW - worst case'!$A$2:$MC$200,MATCH(1,('GMW - worst case'!$MC$2:$MC$200=F$3)*('GMW - worst case'!$MB$2:$MB$200=F$4),0),$E82-1973)</f>
        <v>453937</v>
      </c>
      <c r="G82" cm="1">
        <f t="array" ref="G82">INDEX('GMW - worst case'!$A$2:$MC$200,MATCH(1,('GMW - worst case'!$MC$2:$MC$200=G$3)*('GMW - worst case'!$MB$2:$MB$200=G$4),0),$E82-1973)</f>
        <v>267397</v>
      </c>
      <c r="H82" cm="1">
        <f t="array" ref="H82">INDEX('GMW - worst case'!$A$2:$MC$200,MATCH(1,('GMW - worst case'!$MC$2:$MC$200=H$3)*('GMW - worst case'!$MB$2:$MB$200=H$4),0),$E82-1973)</f>
        <v>71.633330000000001</v>
      </c>
      <c r="I82" cm="1">
        <f t="array" ref="I82">INDEX('GMW - worst case'!$A$2:$MC$200,MATCH(1,('GMW - worst case'!$MC$2:$MC$200=I$3)*('GMW - worst case'!$MB$2:$MB$200=I$4),0),$E82-1973)</f>
        <v>6.8371209999999998</v>
      </c>
      <c r="J82" t="e" cm="1">
        <f t="array" ref="J82">INDEX('GMW - worst case'!$A$2:$MC$200,MATCH(1,('GMW - worst case'!$MC$2:$MC$200=J$3)*('GMW - worst case'!$MB$2:$MB$200=J$4),0),$E82-1973)</f>
        <v>#N/A</v>
      </c>
      <c r="K82" t="e" cm="1">
        <f t="array" ref="K82">INDEX('GMW - worst case'!$A$2:$MC$200,MATCH(1,('GMW - worst case'!$MC$2:$MC$200=K$3)*('GMW - worst case'!$MB$2:$MB$200=K$4),0),$E82-1973)</f>
        <v>#N/A</v>
      </c>
      <c r="L82" t="e" cm="1">
        <f t="array" ref="L82">INDEX('GMW - worst case'!$A$2:$MC$200,MATCH(1,('GMW - worst case'!$MC$2:$MC$200=L$3)*('GMW - worst case'!$MB$2:$MB$200=L$4),0),$E82-1973)</f>
        <v>#N/A</v>
      </c>
      <c r="M82" t="e" cm="1">
        <f t="array" ref="M82">INDEX('GMW - worst case'!$A$2:$MC$200,MATCH(1,('GMW - worst case'!$MC$2:$MC$200=M$3)*('GMW - worst case'!$MB$2:$MB$200=M$4),0),$E82-1973)</f>
        <v>#N/A</v>
      </c>
      <c r="N82" t="e" cm="1">
        <f t="array" ref="N82">INDEX('GMW - worst case'!$A$2:$MC$200,MATCH(1,('GMW - worst case'!$MC$2:$MC$200=N$3)*('GMW - worst case'!$MB$2:$MB$200=N$4),0),$E82-1973)</f>
        <v>#N/A</v>
      </c>
      <c r="O82" t="e" cm="1">
        <f t="array" ref="O82">INDEX('GMW - worst case'!$A$2:$MC$200,MATCH(1,('GMW - worst case'!$MC$2:$MC$200=O$3)*('GMW - worst case'!$MB$2:$MB$200=O$4),0),$E82-1973)</f>
        <v>#N/A</v>
      </c>
      <c r="P82" t="e" cm="1">
        <f t="array" ref="P82">INDEX('GMW - worst case'!$A$2:$MC$200,MATCH(1,('GMW - worst case'!$MC$2:$MC$200=P$3)*('GMW - worst case'!$MB$2:$MB$200=P$4),0),$E82-1973)</f>
        <v>#N/A</v>
      </c>
      <c r="Q82" t="e" cm="1">
        <f t="array" ref="Q82">INDEX('GMW - worst case'!$A$2:$MC$200,MATCH(1,('GMW - worst case'!$MC$2:$MC$200=Q$3)*('GMW - worst case'!$MB$2:$MB$200=Q$4),0),$E82-1973)</f>
        <v>#N/A</v>
      </c>
      <c r="R82" t="e" cm="1">
        <f t="array" ref="R82">INDEX('GMW - worst case'!$A$2:$MC$200,MATCH(1,('GMW - worst case'!$MC$2:$MC$200=R$3)*('GMW - worst case'!$MB$2:$MB$200=R$4),0),$E82-1973)</f>
        <v>#N/A</v>
      </c>
      <c r="S82" t="e" cm="1">
        <f t="array" ref="S82">INDEX('GMW - worst case'!$A$2:$MC$200,MATCH(1,('GMW - worst case'!$MC$2:$MC$200=S$3)*('GMW - worst case'!$MB$2:$MB$200=S$4),0),$E82-1973)</f>
        <v>#N/A</v>
      </c>
    </row>
    <row r="83" spans="1:19" x14ac:dyDescent="0.25">
      <c r="A83">
        <v>1999</v>
      </c>
      <c r="B83">
        <f t="shared" si="7"/>
        <v>1999</v>
      </c>
      <c r="C83">
        <f t="shared" si="7"/>
        <v>1998</v>
      </c>
      <c r="D83">
        <f t="shared" si="7"/>
        <v>1998</v>
      </c>
      <c r="E83">
        <f t="shared" si="6"/>
        <v>2056</v>
      </c>
      <c r="F83" cm="1">
        <f t="array" ref="F83">INDEX('GMW - worst case'!$A$2:$MC$200,MATCH(1,('GMW - worst case'!$MC$2:$MC$200=F$3)*('GMW - worst case'!$MB$2:$MB$200=F$4),0),$E83-1973)</f>
        <v>457044</v>
      </c>
      <c r="G83" cm="1">
        <f t="array" ref="G83">INDEX('GMW - worst case'!$A$2:$MC$200,MATCH(1,('GMW - worst case'!$MC$2:$MC$200=G$3)*('GMW - worst case'!$MB$2:$MB$200=G$4),0),$E83-1973)</f>
        <v>270159</v>
      </c>
      <c r="H83" cm="1">
        <f t="array" ref="H83">INDEX('GMW - worst case'!$A$2:$MC$200,MATCH(1,('GMW - worst case'!$MC$2:$MC$200=H$3)*('GMW - worst case'!$MB$2:$MB$200=H$4),0),$E83-1973)</f>
        <v>71.599999999999994</v>
      </c>
      <c r="I83" cm="1">
        <f t="array" ref="I83">INDEX('GMW - worst case'!$A$2:$MC$200,MATCH(1,('GMW - worst case'!$MC$2:$MC$200=I$3)*('GMW - worst case'!$MB$2:$MB$200=I$4),0),$E83-1973)</f>
        <v>5.703125</v>
      </c>
      <c r="J83" t="e" cm="1">
        <f t="array" ref="J83">INDEX('GMW - worst case'!$A$2:$MC$200,MATCH(1,('GMW - worst case'!$MC$2:$MC$200=J$3)*('GMW - worst case'!$MB$2:$MB$200=J$4),0),$E83-1973)</f>
        <v>#N/A</v>
      </c>
      <c r="K83" t="e" cm="1">
        <f t="array" ref="K83">INDEX('GMW - worst case'!$A$2:$MC$200,MATCH(1,('GMW - worst case'!$MC$2:$MC$200=K$3)*('GMW - worst case'!$MB$2:$MB$200=K$4),0),$E83-1973)</f>
        <v>#N/A</v>
      </c>
      <c r="L83" t="e" cm="1">
        <f t="array" ref="L83">INDEX('GMW - worst case'!$A$2:$MC$200,MATCH(1,('GMW - worst case'!$MC$2:$MC$200=L$3)*('GMW - worst case'!$MB$2:$MB$200=L$4),0),$E83-1973)</f>
        <v>#N/A</v>
      </c>
      <c r="M83" t="e" cm="1">
        <f t="array" ref="M83">INDEX('GMW - worst case'!$A$2:$MC$200,MATCH(1,('GMW - worst case'!$MC$2:$MC$200=M$3)*('GMW - worst case'!$MB$2:$MB$200=M$4),0),$E83-1973)</f>
        <v>#N/A</v>
      </c>
      <c r="N83" t="e" cm="1">
        <f t="array" ref="N83">INDEX('GMW - worst case'!$A$2:$MC$200,MATCH(1,('GMW - worst case'!$MC$2:$MC$200=N$3)*('GMW - worst case'!$MB$2:$MB$200=N$4),0),$E83-1973)</f>
        <v>#N/A</v>
      </c>
      <c r="O83" t="e" cm="1">
        <f t="array" ref="O83">INDEX('GMW - worst case'!$A$2:$MC$200,MATCH(1,('GMW - worst case'!$MC$2:$MC$200=O$3)*('GMW - worst case'!$MB$2:$MB$200=O$4),0),$E83-1973)</f>
        <v>#N/A</v>
      </c>
      <c r="P83" t="e" cm="1">
        <f t="array" ref="P83">INDEX('GMW - worst case'!$A$2:$MC$200,MATCH(1,('GMW - worst case'!$MC$2:$MC$200=P$3)*('GMW - worst case'!$MB$2:$MB$200=P$4),0),$E83-1973)</f>
        <v>#N/A</v>
      </c>
      <c r="Q83" t="e" cm="1">
        <f t="array" ref="Q83">INDEX('GMW - worst case'!$A$2:$MC$200,MATCH(1,('GMW - worst case'!$MC$2:$MC$200=Q$3)*('GMW - worst case'!$MB$2:$MB$200=Q$4),0),$E83-1973)</f>
        <v>#N/A</v>
      </c>
      <c r="R83" t="e" cm="1">
        <f t="array" ref="R83">INDEX('GMW - worst case'!$A$2:$MC$200,MATCH(1,('GMW - worst case'!$MC$2:$MC$200=R$3)*('GMW - worst case'!$MB$2:$MB$200=R$4),0),$E83-1973)</f>
        <v>#N/A</v>
      </c>
      <c r="S83" t="e" cm="1">
        <f t="array" ref="S83">INDEX('GMW - worst case'!$A$2:$MC$200,MATCH(1,('GMW - worst case'!$MC$2:$MC$200=S$3)*('GMW - worst case'!$MB$2:$MB$200=S$4),0),$E83-1973)</f>
        <v>#N/A</v>
      </c>
    </row>
    <row r="84" spans="1:19" x14ac:dyDescent="0.25">
      <c r="B84">
        <f t="shared" si="7"/>
        <v>1999</v>
      </c>
      <c r="C84">
        <f t="shared" si="7"/>
        <v>1999</v>
      </c>
      <c r="E84">
        <f t="shared" si="6"/>
        <v>2057</v>
      </c>
      <c r="F84" cm="1">
        <f t="array" ref="F84">INDEX('GMW - worst case'!$A$2:$MC$200,MATCH(1,('GMW - worst case'!$MC$2:$MC$200=F$3)*('GMW - worst case'!$MB$2:$MB$200=F$4),0),$E84-1973)</f>
        <v>458710</v>
      </c>
      <c r="G84" cm="1">
        <f t="array" ref="G84">INDEX('GMW - worst case'!$A$2:$MC$200,MATCH(1,('GMW - worst case'!$MC$2:$MC$200=G$3)*('GMW - worst case'!$MB$2:$MB$200=G$4),0),$E84-1973)</f>
        <v>275407</v>
      </c>
      <c r="H84" cm="1">
        <f t="array" ref="H84">INDEX('GMW - worst case'!$A$2:$MC$200,MATCH(1,('GMW - worst case'!$MC$2:$MC$200=H$3)*('GMW - worst case'!$MB$2:$MB$200=H$4),0),$E84-1973)</f>
        <v>72.3</v>
      </c>
      <c r="I84" cm="1">
        <f t="array" ref="I84">INDEX('GMW - worst case'!$A$2:$MC$200,MATCH(1,('GMW - worst case'!$MC$2:$MC$200=I$3)*('GMW - worst case'!$MB$2:$MB$200=I$4),0),$E84-1973)</f>
        <v>5.211538</v>
      </c>
      <c r="J84" t="e" cm="1">
        <f t="array" ref="J84">INDEX('GMW - worst case'!$A$2:$MC$200,MATCH(1,('GMW - worst case'!$MC$2:$MC$200=J$3)*('GMW - worst case'!$MB$2:$MB$200=J$4),0),$E84-1973)</f>
        <v>#N/A</v>
      </c>
      <c r="K84" t="e" cm="1">
        <f t="array" ref="K84">INDEX('GMW - worst case'!$A$2:$MC$200,MATCH(1,('GMW - worst case'!$MC$2:$MC$200=K$3)*('GMW - worst case'!$MB$2:$MB$200=K$4),0),$E84-1973)</f>
        <v>#N/A</v>
      </c>
      <c r="L84" t="e" cm="1">
        <f t="array" ref="L84">INDEX('GMW - worst case'!$A$2:$MC$200,MATCH(1,('GMW - worst case'!$MC$2:$MC$200=L$3)*('GMW - worst case'!$MB$2:$MB$200=L$4),0),$E84-1973)</f>
        <v>#N/A</v>
      </c>
      <c r="M84" t="e" cm="1">
        <f t="array" ref="M84">INDEX('GMW - worst case'!$A$2:$MC$200,MATCH(1,('GMW - worst case'!$MC$2:$MC$200=M$3)*('GMW - worst case'!$MB$2:$MB$200=M$4),0),$E84-1973)</f>
        <v>#N/A</v>
      </c>
      <c r="N84" t="e" cm="1">
        <f t="array" ref="N84">INDEX('GMW - worst case'!$A$2:$MC$200,MATCH(1,('GMW - worst case'!$MC$2:$MC$200=N$3)*('GMW - worst case'!$MB$2:$MB$200=N$4),0),$E84-1973)</f>
        <v>#N/A</v>
      </c>
      <c r="O84" t="e" cm="1">
        <f t="array" ref="O84">INDEX('GMW - worst case'!$A$2:$MC$200,MATCH(1,('GMW - worst case'!$MC$2:$MC$200=O$3)*('GMW - worst case'!$MB$2:$MB$200=O$4),0),$E84-1973)</f>
        <v>#N/A</v>
      </c>
      <c r="P84" t="e" cm="1">
        <f t="array" ref="P84">INDEX('GMW - worst case'!$A$2:$MC$200,MATCH(1,('GMW - worst case'!$MC$2:$MC$200=P$3)*('GMW - worst case'!$MB$2:$MB$200=P$4),0),$E84-1973)</f>
        <v>#N/A</v>
      </c>
      <c r="Q84" t="e" cm="1">
        <f t="array" ref="Q84">INDEX('GMW - worst case'!$A$2:$MC$200,MATCH(1,('GMW - worst case'!$MC$2:$MC$200=Q$3)*('GMW - worst case'!$MB$2:$MB$200=Q$4),0),$E84-1973)</f>
        <v>#N/A</v>
      </c>
      <c r="R84" t="e" cm="1">
        <f t="array" ref="R84">INDEX('GMW - worst case'!$A$2:$MC$200,MATCH(1,('GMW - worst case'!$MC$2:$MC$200=R$3)*('GMW - worst case'!$MB$2:$MB$200=R$4),0),$E84-1973)</f>
        <v>#N/A</v>
      </c>
      <c r="S84" t="e" cm="1">
        <f t="array" ref="S84">INDEX('GMW - worst case'!$A$2:$MC$200,MATCH(1,('GMW - worst case'!$MC$2:$MC$200=S$3)*('GMW - worst case'!$MB$2:$MB$200=S$4),0),$E84-1973)</f>
        <v>#N/A</v>
      </c>
    </row>
    <row r="85" spans="1:19" x14ac:dyDescent="0.25">
      <c r="B85">
        <f t="shared" si="7"/>
        <v>1999</v>
      </c>
      <c r="C85">
        <f t="shared" si="7"/>
        <v>1999</v>
      </c>
      <c r="E85">
        <f t="shared" si="6"/>
        <v>2058</v>
      </c>
      <c r="F85" cm="1">
        <f t="array" ref="F85">INDEX('GMW - worst case'!$A$2:$MC$200,MATCH(1,('GMW - worst case'!$MC$2:$MC$200=F$3)*('GMW - worst case'!$MB$2:$MB$200=F$4),0),$E85-1973)</f>
        <v>466387</v>
      </c>
      <c r="G85" cm="1">
        <f t="array" ref="G85">INDEX('GMW - worst case'!$A$2:$MC$200,MATCH(1,('GMW - worst case'!$MC$2:$MC$200=G$3)*('GMW - worst case'!$MB$2:$MB$200=G$4),0),$E85-1973)</f>
        <v>278331</v>
      </c>
      <c r="H85" cm="1">
        <f t="array" ref="H85">INDEX('GMW - worst case'!$A$2:$MC$200,MATCH(1,('GMW - worst case'!$MC$2:$MC$200=H$3)*('GMW - worst case'!$MB$2:$MB$200=H$4),0),$E85-1973)</f>
        <v>72.133330000000001</v>
      </c>
      <c r="I85" cm="1">
        <f t="array" ref="I85">INDEX('GMW - worst case'!$A$2:$MC$200,MATCH(1,('GMW - worst case'!$MC$2:$MC$200=I$3)*('GMW - worst case'!$MB$2:$MB$200=I$4),0),$E85-1973)</f>
        <v>5.0643940000000001</v>
      </c>
      <c r="J85" t="e" cm="1">
        <f t="array" ref="J85">INDEX('GMW - worst case'!$A$2:$MC$200,MATCH(1,('GMW - worst case'!$MC$2:$MC$200=J$3)*('GMW - worst case'!$MB$2:$MB$200=J$4),0),$E85-1973)</f>
        <v>#N/A</v>
      </c>
      <c r="K85" t="e" cm="1">
        <f t="array" ref="K85">INDEX('GMW - worst case'!$A$2:$MC$200,MATCH(1,('GMW - worst case'!$MC$2:$MC$200=K$3)*('GMW - worst case'!$MB$2:$MB$200=K$4),0),$E85-1973)</f>
        <v>#N/A</v>
      </c>
      <c r="L85" t="e" cm="1">
        <f t="array" ref="L85">INDEX('GMW - worst case'!$A$2:$MC$200,MATCH(1,('GMW - worst case'!$MC$2:$MC$200=L$3)*('GMW - worst case'!$MB$2:$MB$200=L$4),0),$E85-1973)</f>
        <v>#N/A</v>
      </c>
      <c r="M85" t="e" cm="1">
        <f t="array" ref="M85">INDEX('GMW - worst case'!$A$2:$MC$200,MATCH(1,('GMW - worst case'!$MC$2:$MC$200=M$3)*('GMW - worst case'!$MB$2:$MB$200=M$4),0),$E85-1973)</f>
        <v>#N/A</v>
      </c>
      <c r="N85" t="e" cm="1">
        <f t="array" ref="N85">INDEX('GMW - worst case'!$A$2:$MC$200,MATCH(1,('GMW - worst case'!$MC$2:$MC$200=N$3)*('GMW - worst case'!$MB$2:$MB$200=N$4),0),$E85-1973)</f>
        <v>#N/A</v>
      </c>
      <c r="O85" t="e" cm="1">
        <f t="array" ref="O85">INDEX('GMW - worst case'!$A$2:$MC$200,MATCH(1,('GMW - worst case'!$MC$2:$MC$200=O$3)*('GMW - worst case'!$MB$2:$MB$200=O$4),0),$E85-1973)</f>
        <v>#N/A</v>
      </c>
      <c r="P85" t="e" cm="1">
        <f t="array" ref="P85">INDEX('GMW - worst case'!$A$2:$MC$200,MATCH(1,('GMW - worst case'!$MC$2:$MC$200=P$3)*('GMW - worst case'!$MB$2:$MB$200=P$4),0),$E85-1973)</f>
        <v>#N/A</v>
      </c>
      <c r="Q85" t="e" cm="1">
        <f t="array" ref="Q85">INDEX('GMW - worst case'!$A$2:$MC$200,MATCH(1,('GMW - worst case'!$MC$2:$MC$200=Q$3)*('GMW - worst case'!$MB$2:$MB$200=Q$4),0),$E85-1973)</f>
        <v>#N/A</v>
      </c>
      <c r="R85" t="e" cm="1">
        <f t="array" ref="R85">INDEX('GMW - worst case'!$A$2:$MC$200,MATCH(1,('GMW - worst case'!$MC$2:$MC$200=R$3)*('GMW - worst case'!$MB$2:$MB$200=R$4),0),$E85-1973)</f>
        <v>#N/A</v>
      </c>
      <c r="S85" t="e" cm="1">
        <f t="array" ref="S85">INDEX('GMW - worst case'!$A$2:$MC$200,MATCH(1,('GMW - worst case'!$MC$2:$MC$200=S$3)*('GMW - worst case'!$MB$2:$MB$200=S$4),0),$E85-1973)</f>
        <v>#N/A</v>
      </c>
    </row>
    <row r="86" spans="1:19" x14ac:dyDescent="0.25">
      <c r="B86">
        <f t="shared" si="7"/>
        <v>1999</v>
      </c>
      <c r="C86">
        <f t="shared" si="7"/>
        <v>1999</v>
      </c>
      <c r="E86">
        <f t="shared" si="6"/>
        <v>2059</v>
      </c>
      <c r="F86" cm="1">
        <f t="array" ref="F86">INDEX('GMW - worst case'!$A$2:$MC$200,MATCH(1,('GMW - worst case'!$MC$2:$MC$200=F$3)*('GMW - worst case'!$MB$2:$MB$200=F$4),0),$E86-1973)</f>
        <v>473892</v>
      </c>
      <c r="G86" cm="1">
        <f t="array" ref="G86">INDEX('GMW - worst case'!$A$2:$MC$200,MATCH(1,('GMW - worst case'!$MC$2:$MC$200=G$3)*('GMW - worst case'!$MB$2:$MB$200=G$4),0),$E86-1973)</f>
        <v>280651</v>
      </c>
      <c r="H86" cm="1">
        <f t="array" ref="H86">INDEX('GMW - worst case'!$A$2:$MC$200,MATCH(1,('GMW - worst case'!$MC$2:$MC$200=H$3)*('GMW - worst case'!$MB$2:$MB$200=H$4),0),$E86-1973)</f>
        <v>72.433329999999998</v>
      </c>
      <c r="I86" cm="1">
        <f t="array" ref="I86">INDEX('GMW - worst case'!$A$2:$MC$200,MATCH(1,('GMW - worst case'!$MC$2:$MC$200=I$3)*('GMW - worst case'!$MB$2:$MB$200=I$4),0),$E86-1973)</f>
        <v>5.4090910000000001</v>
      </c>
      <c r="J86" t="e" cm="1">
        <f t="array" ref="J86">INDEX('GMW - worst case'!$A$2:$MC$200,MATCH(1,('GMW - worst case'!$MC$2:$MC$200=J$3)*('GMW - worst case'!$MB$2:$MB$200=J$4),0),$E86-1973)</f>
        <v>#N/A</v>
      </c>
      <c r="K86" t="e" cm="1">
        <f t="array" ref="K86">INDEX('GMW - worst case'!$A$2:$MC$200,MATCH(1,('GMW - worst case'!$MC$2:$MC$200=K$3)*('GMW - worst case'!$MB$2:$MB$200=K$4),0),$E86-1973)</f>
        <v>#N/A</v>
      </c>
      <c r="L86" t="e" cm="1">
        <f t="array" ref="L86">INDEX('GMW - worst case'!$A$2:$MC$200,MATCH(1,('GMW - worst case'!$MC$2:$MC$200=L$3)*('GMW - worst case'!$MB$2:$MB$200=L$4),0),$E86-1973)</f>
        <v>#N/A</v>
      </c>
      <c r="M86" t="e" cm="1">
        <f t="array" ref="M86">INDEX('GMW - worst case'!$A$2:$MC$200,MATCH(1,('GMW - worst case'!$MC$2:$MC$200=M$3)*('GMW - worst case'!$MB$2:$MB$200=M$4),0),$E86-1973)</f>
        <v>#N/A</v>
      </c>
      <c r="N86" t="e" cm="1">
        <f t="array" ref="N86">INDEX('GMW - worst case'!$A$2:$MC$200,MATCH(1,('GMW - worst case'!$MC$2:$MC$200=N$3)*('GMW - worst case'!$MB$2:$MB$200=N$4),0),$E86-1973)</f>
        <v>#N/A</v>
      </c>
      <c r="O86" t="e" cm="1">
        <f t="array" ref="O86">INDEX('GMW - worst case'!$A$2:$MC$200,MATCH(1,('GMW - worst case'!$MC$2:$MC$200=O$3)*('GMW - worst case'!$MB$2:$MB$200=O$4),0),$E86-1973)</f>
        <v>#N/A</v>
      </c>
      <c r="P86" t="e" cm="1">
        <f t="array" ref="P86">INDEX('GMW - worst case'!$A$2:$MC$200,MATCH(1,('GMW - worst case'!$MC$2:$MC$200=P$3)*('GMW - worst case'!$MB$2:$MB$200=P$4),0),$E86-1973)</f>
        <v>#N/A</v>
      </c>
      <c r="Q86" t="e" cm="1">
        <f t="array" ref="Q86">INDEX('GMW - worst case'!$A$2:$MC$200,MATCH(1,('GMW - worst case'!$MC$2:$MC$200=Q$3)*('GMW - worst case'!$MB$2:$MB$200=Q$4),0),$E86-1973)</f>
        <v>#N/A</v>
      </c>
      <c r="R86" t="e" cm="1">
        <f t="array" ref="R86">INDEX('GMW - worst case'!$A$2:$MC$200,MATCH(1,('GMW - worst case'!$MC$2:$MC$200=R$3)*('GMW - worst case'!$MB$2:$MB$200=R$4),0),$E86-1973)</f>
        <v>#N/A</v>
      </c>
      <c r="S86" t="e" cm="1">
        <f t="array" ref="S86">INDEX('GMW - worst case'!$A$2:$MC$200,MATCH(1,('GMW - worst case'!$MC$2:$MC$200=S$3)*('GMW - worst case'!$MB$2:$MB$200=S$4),0),$E86-1973)</f>
        <v>#N/A</v>
      </c>
    </row>
    <row r="87" spans="1:19" x14ac:dyDescent="0.25">
      <c r="A87">
        <v>2000</v>
      </c>
      <c r="B87">
        <f t="shared" si="7"/>
        <v>2000</v>
      </c>
      <c r="C87">
        <f t="shared" si="7"/>
        <v>1999</v>
      </c>
      <c r="D87">
        <f t="shared" si="7"/>
        <v>1999</v>
      </c>
      <c r="E87">
        <f t="shared" si="6"/>
        <v>2060</v>
      </c>
      <c r="F87" cm="1">
        <f t="array" ref="F87">INDEX('GMW - worst case'!$A$2:$MC$200,MATCH(1,('GMW - worst case'!$MC$2:$MC$200=F$3)*('GMW - worst case'!$MB$2:$MB$200=F$4),0),$E87-1973)</f>
        <v>480212</v>
      </c>
      <c r="G87" cm="1">
        <f t="array" ref="G87">INDEX('GMW - worst case'!$A$2:$MC$200,MATCH(1,('GMW - worst case'!$MC$2:$MC$200=G$3)*('GMW - worst case'!$MB$2:$MB$200=G$4),0),$E87-1973)</f>
        <v>284274</v>
      </c>
      <c r="H87" cm="1">
        <f t="array" ref="H87">INDEX('GMW - worst case'!$A$2:$MC$200,MATCH(1,('GMW - worst case'!$MC$2:$MC$200=H$3)*('GMW - worst case'!$MB$2:$MB$200=H$4),0),$E87-1973)</f>
        <v>72.133330000000001</v>
      </c>
      <c r="I87" cm="1">
        <f t="array" ref="I87">INDEX('GMW - worst case'!$A$2:$MC$200,MATCH(1,('GMW - worst case'!$MC$2:$MC$200=I$3)*('GMW - worst case'!$MB$2:$MB$200=I$4),0),$E87-1973)</f>
        <v>5.8615380000000004</v>
      </c>
      <c r="J87" t="e" cm="1">
        <f t="array" ref="J87">INDEX('GMW - worst case'!$A$2:$MC$200,MATCH(1,('GMW - worst case'!$MC$2:$MC$200=J$3)*('GMW - worst case'!$MB$2:$MB$200=J$4),0),$E87-1973)</f>
        <v>#N/A</v>
      </c>
      <c r="K87" t="e" cm="1">
        <f t="array" ref="K87">INDEX('GMW - worst case'!$A$2:$MC$200,MATCH(1,('GMW - worst case'!$MC$2:$MC$200=K$3)*('GMW - worst case'!$MB$2:$MB$200=K$4),0),$E87-1973)</f>
        <v>#N/A</v>
      </c>
      <c r="L87" t="e" cm="1">
        <f t="array" ref="L87">INDEX('GMW - worst case'!$A$2:$MC$200,MATCH(1,('GMW - worst case'!$MC$2:$MC$200=L$3)*('GMW - worst case'!$MB$2:$MB$200=L$4),0),$E87-1973)</f>
        <v>#N/A</v>
      </c>
      <c r="M87" t="e" cm="1">
        <f t="array" ref="M87">INDEX('GMW - worst case'!$A$2:$MC$200,MATCH(1,('GMW - worst case'!$MC$2:$MC$200=M$3)*('GMW - worst case'!$MB$2:$MB$200=M$4),0),$E87-1973)</f>
        <v>#N/A</v>
      </c>
      <c r="N87" t="e" cm="1">
        <f t="array" ref="N87">INDEX('GMW - worst case'!$A$2:$MC$200,MATCH(1,('GMW - worst case'!$MC$2:$MC$200=N$3)*('GMW - worst case'!$MB$2:$MB$200=N$4),0),$E87-1973)</f>
        <v>#N/A</v>
      </c>
      <c r="O87" t="e" cm="1">
        <f t="array" ref="O87">INDEX('GMW - worst case'!$A$2:$MC$200,MATCH(1,('GMW - worst case'!$MC$2:$MC$200=O$3)*('GMW - worst case'!$MB$2:$MB$200=O$4),0),$E87-1973)</f>
        <v>#N/A</v>
      </c>
      <c r="P87" t="e" cm="1">
        <f t="array" ref="P87">INDEX('GMW - worst case'!$A$2:$MC$200,MATCH(1,('GMW - worst case'!$MC$2:$MC$200=P$3)*('GMW - worst case'!$MB$2:$MB$200=P$4),0),$E87-1973)</f>
        <v>#N/A</v>
      </c>
      <c r="Q87" t="e" cm="1">
        <f t="array" ref="Q87">INDEX('GMW - worst case'!$A$2:$MC$200,MATCH(1,('GMW - worst case'!$MC$2:$MC$200=Q$3)*('GMW - worst case'!$MB$2:$MB$200=Q$4),0),$E87-1973)</f>
        <v>#N/A</v>
      </c>
      <c r="R87" t="e" cm="1">
        <f t="array" ref="R87">INDEX('GMW - worst case'!$A$2:$MC$200,MATCH(1,('GMW - worst case'!$MC$2:$MC$200=R$3)*('GMW - worst case'!$MB$2:$MB$200=R$4),0),$E87-1973)</f>
        <v>#N/A</v>
      </c>
      <c r="S87" t="e" cm="1">
        <f t="array" ref="S87">INDEX('GMW - worst case'!$A$2:$MC$200,MATCH(1,('GMW - worst case'!$MC$2:$MC$200=S$3)*('GMW - worst case'!$MB$2:$MB$200=S$4),0),$E87-1973)</f>
        <v>#N/A</v>
      </c>
    </row>
    <row r="88" spans="1:19" x14ac:dyDescent="0.25">
      <c r="B88">
        <f t="shared" si="7"/>
        <v>2000</v>
      </c>
      <c r="C88">
        <f t="shared" si="7"/>
        <v>2000</v>
      </c>
      <c r="E88">
        <f t="shared" si="6"/>
        <v>2061</v>
      </c>
      <c r="F88" cm="1">
        <f t="array" ref="F88">INDEX('GMW - worst case'!$A$2:$MC$200,MATCH(1,('GMW - worst case'!$MC$2:$MC$200=F$3)*('GMW - worst case'!$MB$2:$MB$200=F$4),0),$E88-1973)</f>
        <v>483672</v>
      </c>
      <c r="G88" cm="1">
        <f t="array" ref="G88">INDEX('GMW - worst case'!$A$2:$MC$200,MATCH(1,('GMW - worst case'!$MC$2:$MC$200=G$3)*('GMW - worst case'!$MB$2:$MB$200=G$4),0),$E88-1973)</f>
        <v>287388</v>
      </c>
      <c r="H88" cm="1">
        <f t="array" ref="H88">INDEX('GMW - worst case'!$A$2:$MC$200,MATCH(1,('GMW - worst case'!$MC$2:$MC$200=H$3)*('GMW - worst case'!$MB$2:$MB$200=H$4),0),$E88-1973)</f>
        <v>72.766670000000005</v>
      </c>
      <c r="I88" cm="1">
        <f t="array" ref="I88">INDEX('GMW - worst case'!$A$2:$MC$200,MATCH(1,('GMW - worst case'!$MC$2:$MC$200=I$3)*('GMW - worst case'!$MB$2:$MB$200=I$4),0),$E88-1973)</f>
        <v>6</v>
      </c>
      <c r="J88" t="e" cm="1">
        <f t="array" ref="J88">INDEX('GMW - worst case'!$A$2:$MC$200,MATCH(1,('GMW - worst case'!$MC$2:$MC$200=J$3)*('GMW - worst case'!$MB$2:$MB$200=J$4),0),$E88-1973)</f>
        <v>#N/A</v>
      </c>
      <c r="K88" t="e" cm="1">
        <f t="array" ref="K88">INDEX('GMW - worst case'!$A$2:$MC$200,MATCH(1,('GMW - worst case'!$MC$2:$MC$200=K$3)*('GMW - worst case'!$MB$2:$MB$200=K$4),0),$E88-1973)</f>
        <v>#N/A</v>
      </c>
      <c r="L88" t="e" cm="1">
        <f t="array" ref="L88">INDEX('GMW - worst case'!$A$2:$MC$200,MATCH(1,('GMW - worst case'!$MC$2:$MC$200=L$3)*('GMW - worst case'!$MB$2:$MB$200=L$4),0),$E88-1973)</f>
        <v>#N/A</v>
      </c>
      <c r="M88" t="e" cm="1">
        <f t="array" ref="M88">INDEX('GMW - worst case'!$A$2:$MC$200,MATCH(1,('GMW - worst case'!$MC$2:$MC$200=M$3)*('GMW - worst case'!$MB$2:$MB$200=M$4),0),$E88-1973)</f>
        <v>#N/A</v>
      </c>
      <c r="N88" t="e" cm="1">
        <f t="array" ref="N88">INDEX('GMW - worst case'!$A$2:$MC$200,MATCH(1,('GMW - worst case'!$MC$2:$MC$200=N$3)*('GMW - worst case'!$MB$2:$MB$200=N$4),0),$E88-1973)</f>
        <v>#N/A</v>
      </c>
      <c r="O88" t="e" cm="1">
        <f t="array" ref="O88">INDEX('GMW - worst case'!$A$2:$MC$200,MATCH(1,('GMW - worst case'!$MC$2:$MC$200=O$3)*('GMW - worst case'!$MB$2:$MB$200=O$4),0),$E88-1973)</f>
        <v>#N/A</v>
      </c>
      <c r="P88" t="e" cm="1">
        <f t="array" ref="P88">INDEX('GMW - worst case'!$A$2:$MC$200,MATCH(1,('GMW - worst case'!$MC$2:$MC$200=P$3)*('GMW - worst case'!$MB$2:$MB$200=P$4),0),$E88-1973)</f>
        <v>#N/A</v>
      </c>
      <c r="Q88" t="e" cm="1">
        <f t="array" ref="Q88">INDEX('GMW - worst case'!$A$2:$MC$200,MATCH(1,('GMW - worst case'!$MC$2:$MC$200=Q$3)*('GMW - worst case'!$MB$2:$MB$200=Q$4),0),$E88-1973)</f>
        <v>#N/A</v>
      </c>
      <c r="R88" t="e" cm="1">
        <f t="array" ref="R88">INDEX('GMW - worst case'!$A$2:$MC$200,MATCH(1,('GMW - worst case'!$MC$2:$MC$200=R$3)*('GMW - worst case'!$MB$2:$MB$200=R$4),0),$E88-1973)</f>
        <v>#N/A</v>
      </c>
      <c r="S88" t="e" cm="1">
        <f t="array" ref="S88">INDEX('GMW - worst case'!$A$2:$MC$200,MATCH(1,('GMW - worst case'!$MC$2:$MC$200=S$3)*('GMW - worst case'!$MB$2:$MB$200=S$4),0),$E88-1973)</f>
        <v>#N/A</v>
      </c>
    </row>
    <row r="89" spans="1:19" x14ac:dyDescent="0.25">
      <c r="B89">
        <f t="shared" si="7"/>
        <v>2000</v>
      </c>
      <c r="C89">
        <f t="shared" si="7"/>
        <v>2000</v>
      </c>
      <c r="E89">
        <f t="shared" si="6"/>
        <v>2062</v>
      </c>
      <c r="F89" cm="1">
        <f t="array" ref="F89">INDEX('GMW - worst case'!$A$2:$MC$200,MATCH(1,('GMW - worst case'!$MC$2:$MC$200=F$3)*('GMW - worst case'!$MB$2:$MB$200=F$4),0),$E89-1973)</f>
        <v>486617</v>
      </c>
      <c r="G89" cm="1">
        <f t="array" ref="G89">INDEX('GMW - worst case'!$A$2:$MC$200,MATCH(1,('GMW - worst case'!$MC$2:$MC$200=G$3)*('GMW - worst case'!$MB$2:$MB$200=G$4),0),$E89-1973)</f>
        <v>290894</v>
      </c>
      <c r="H89" cm="1">
        <f t="array" ref="H89">INDEX('GMW - worst case'!$A$2:$MC$200,MATCH(1,('GMW - worst case'!$MC$2:$MC$200=H$3)*('GMW - worst case'!$MB$2:$MB$200=H$4),0),$E89-1973)</f>
        <v>72.7</v>
      </c>
      <c r="I89" cm="1">
        <f t="array" ref="I89">INDEX('GMW - worst case'!$A$2:$MC$200,MATCH(1,('GMW - worst case'!$MC$2:$MC$200=I$3)*('GMW - worst case'!$MB$2:$MB$200=I$4),0),$E89-1973)</f>
        <v>6</v>
      </c>
      <c r="J89" t="e" cm="1">
        <f t="array" ref="J89">INDEX('GMW - worst case'!$A$2:$MC$200,MATCH(1,('GMW - worst case'!$MC$2:$MC$200=J$3)*('GMW - worst case'!$MB$2:$MB$200=J$4),0),$E89-1973)</f>
        <v>#N/A</v>
      </c>
      <c r="K89" t="e" cm="1">
        <f t="array" ref="K89">INDEX('GMW - worst case'!$A$2:$MC$200,MATCH(1,('GMW - worst case'!$MC$2:$MC$200=K$3)*('GMW - worst case'!$MB$2:$MB$200=K$4),0),$E89-1973)</f>
        <v>#N/A</v>
      </c>
      <c r="L89" t="e" cm="1">
        <f t="array" ref="L89">INDEX('GMW - worst case'!$A$2:$MC$200,MATCH(1,('GMW - worst case'!$MC$2:$MC$200=L$3)*('GMW - worst case'!$MB$2:$MB$200=L$4),0),$E89-1973)</f>
        <v>#N/A</v>
      </c>
      <c r="M89" t="e" cm="1">
        <f t="array" ref="M89">INDEX('GMW - worst case'!$A$2:$MC$200,MATCH(1,('GMW - worst case'!$MC$2:$MC$200=M$3)*('GMW - worst case'!$MB$2:$MB$200=M$4),0),$E89-1973)</f>
        <v>#N/A</v>
      </c>
      <c r="N89" t="e" cm="1">
        <f t="array" ref="N89">INDEX('GMW - worst case'!$A$2:$MC$200,MATCH(1,('GMW - worst case'!$MC$2:$MC$200=N$3)*('GMW - worst case'!$MB$2:$MB$200=N$4),0),$E89-1973)</f>
        <v>#N/A</v>
      </c>
      <c r="O89" t="e" cm="1">
        <f t="array" ref="O89">INDEX('GMW - worst case'!$A$2:$MC$200,MATCH(1,('GMW - worst case'!$MC$2:$MC$200=O$3)*('GMW - worst case'!$MB$2:$MB$200=O$4),0),$E89-1973)</f>
        <v>#N/A</v>
      </c>
      <c r="P89" t="e" cm="1">
        <f t="array" ref="P89">INDEX('GMW - worst case'!$A$2:$MC$200,MATCH(1,('GMW - worst case'!$MC$2:$MC$200=P$3)*('GMW - worst case'!$MB$2:$MB$200=P$4),0),$E89-1973)</f>
        <v>#N/A</v>
      </c>
      <c r="Q89" t="e" cm="1">
        <f t="array" ref="Q89">INDEX('GMW - worst case'!$A$2:$MC$200,MATCH(1,('GMW - worst case'!$MC$2:$MC$200=Q$3)*('GMW - worst case'!$MB$2:$MB$200=Q$4),0),$E89-1973)</f>
        <v>#N/A</v>
      </c>
      <c r="R89" t="e" cm="1">
        <f t="array" ref="R89">INDEX('GMW - worst case'!$A$2:$MC$200,MATCH(1,('GMW - worst case'!$MC$2:$MC$200=R$3)*('GMW - worst case'!$MB$2:$MB$200=R$4),0),$E89-1973)</f>
        <v>#N/A</v>
      </c>
      <c r="S89" t="e" cm="1">
        <f t="array" ref="S89">INDEX('GMW - worst case'!$A$2:$MC$200,MATCH(1,('GMW - worst case'!$MC$2:$MC$200=S$3)*('GMW - worst case'!$MB$2:$MB$200=S$4),0),$E89-1973)</f>
        <v>#N/A</v>
      </c>
    </row>
    <row r="90" spans="1:19" x14ac:dyDescent="0.25">
      <c r="B90">
        <f t="shared" si="7"/>
        <v>2000</v>
      </c>
      <c r="C90">
        <f t="shared" si="7"/>
        <v>2000</v>
      </c>
      <c r="E90">
        <f t="shared" si="6"/>
        <v>2063</v>
      </c>
      <c r="F90" cm="1">
        <f t="array" ref="F90">INDEX('GMW - worst case'!$A$2:$MC$200,MATCH(1,('GMW - worst case'!$MC$2:$MC$200=F$3)*('GMW - worst case'!$MB$2:$MB$200=F$4),0),$E90-1973)</f>
        <v>489506</v>
      </c>
      <c r="G90" cm="1">
        <f t="array" ref="G90">INDEX('GMW - worst case'!$A$2:$MC$200,MATCH(1,('GMW - worst case'!$MC$2:$MC$200=G$3)*('GMW - worst case'!$MB$2:$MB$200=G$4),0),$E90-1973)</f>
        <v>293325</v>
      </c>
      <c r="H90" cm="1">
        <f t="array" ref="H90">INDEX('GMW - worst case'!$A$2:$MC$200,MATCH(1,('GMW - worst case'!$MC$2:$MC$200=H$3)*('GMW - worst case'!$MB$2:$MB$200=H$4),0),$E90-1973)</f>
        <v>73.166659999999993</v>
      </c>
      <c r="I90" cm="1">
        <f t="array" ref="I90">INDEX('GMW - worst case'!$A$2:$MC$200,MATCH(1,('GMW - worst case'!$MC$2:$MC$200=I$3)*('GMW - worst case'!$MB$2:$MB$200=I$4),0),$E90-1973)</f>
        <v>6</v>
      </c>
      <c r="J90" t="e" cm="1">
        <f t="array" ref="J90">INDEX('GMW - worst case'!$A$2:$MC$200,MATCH(1,('GMW - worst case'!$MC$2:$MC$200=J$3)*('GMW - worst case'!$MB$2:$MB$200=J$4),0),$E90-1973)</f>
        <v>#N/A</v>
      </c>
      <c r="K90" t="e" cm="1">
        <f t="array" ref="K90">INDEX('GMW - worst case'!$A$2:$MC$200,MATCH(1,('GMW - worst case'!$MC$2:$MC$200=K$3)*('GMW - worst case'!$MB$2:$MB$200=K$4),0),$E90-1973)</f>
        <v>#N/A</v>
      </c>
      <c r="L90" t="e" cm="1">
        <f t="array" ref="L90">INDEX('GMW - worst case'!$A$2:$MC$200,MATCH(1,('GMW - worst case'!$MC$2:$MC$200=L$3)*('GMW - worst case'!$MB$2:$MB$200=L$4),0),$E90-1973)</f>
        <v>#N/A</v>
      </c>
      <c r="M90" t="e" cm="1">
        <f t="array" ref="M90">INDEX('GMW - worst case'!$A$2:$MC$200,MATCH(1,('GMW - worst case'!$MC$2:$MC$200=M$3)*('GMW - worst case'!$MB$2:$MB$200=M$4),0),$E90-1973)</f>
        <v>#N/A</v>
      </c>
      <c r="N90" t="e" cm="1">
        <f t="array" ref="N90">INDEX('GMW - worst case'!$A$2:$MC$200,MATCH(1,('GMW - worst case'!$MC$2:$MC$200=N$3)*('GMW - worst case'!$MB$2:$MB$200=N$4),0),$E90-1973)</f>
        <v>#N/A</v>
      </c>
      <c r="O90" t="e" cm="1">
        <f t="array" ref="O90">INDEX('GMW - worst case'!$A$2:$MC$200,MATCH(1,('GMW - worst case'!$MC$2:$MC$200=O$3)*('GMW - worst case'!$MB$2:$MB$200=O$4),0),$E90-1973)</f>
        <v>#N/A</v>
      </c>
      <c r="P90" t="e" cm="1">
        <f t="array" ref="P90">INDEX('GMW - worst case'!$A$2:$MC$200,MATCH(1,('GMW - worst case'!$MC$2:$MC$200=P$3)*('GMW - worst case'!$MB$2:$MB$200=P$4),0),$E90-1973)</f>
        <v>#N/A</v>
      </c>
      <c r="Q90" t="e" cm="1">
        <f t="array" ref="Q90">INDEX('GMW - worst case'!$A$2:$MC$200,MATCH(1,('GMW - worst case'!$MC$2:$MC$200=Q$3)*('GMW - worst case'!$MB$2:$MB$200=Q$4),0),$E90-1973)</f>
        <v>#N/A</v>
      </c>
      <c r="R90" t="e" cm="1">
        <f t="array" ref="R90">INDEX('GMW - worst case'!$A$2:$MC$200,MATCH(1,('GMW - worst case'!$MC$2:$MC$200=R$3)*('GMW - worst case'!$MB$2:$MB$200=R$4),0),$E90-1973)</f>
        <v>#N/A</v>
      </c>
      <c r="S90" t="e" cm="1">
        <f t="array" ref="S90">INDEX('GMW - worst case'!$A$2:$MC$200,MATCH(1,('GMW - worst case'!$MC$2:$MC$200=S$3)*('GMW - worst case'!$MB$2:$MB$200=S$4),0),$E90-1973)</f>
        <v>#N/A</v>
      </c>
    </row>
    <row r="91" spans="1:19" x14ac:dyDescent="0.25">
      <c r="A91">
        <v>2001</v>
      </c>
      <c r="B91">
        <f t="shared" si="7"/>
        <v>2001</v>
      </c>
      <c r="C91">
        <f t="shared" si="7"/>
        <v>2000</v>
      </c>
      <c r="D91">
        <f t="shared" si="7"/>
        <v>2000</v>
      </c>
      <c r="E91">
        <f t="shared" si="6"/>
        <v>2064</v>
      </c>
      <c r="F91" cm="1">
        <f t="array" ref="F91">INDEX('GMW - worst case'!$A$2:$MC$200,MATCH(1,('GMW - worst case'!$MC$2:$MC$200=F$3)*('GMW - worst case'!$MB$2:$MB$200=F$4),0),$E91-1973)</f>
        <v>493575</v>
      </c>
      <c r="G91" cm="1">
        <f t="array" ref="G91">INDEX('GMW - worst case'!$A$2:$MC$200,MATCH(1,('GMW - worst case'!$MC$2:$MC$200=G$3)*('GMW - worst case'!$MB$2:$MB$200=G$4),0),$E91-1973)</f>
        <v>294155</v>
      </c>
      <c r="H91" cm="1">
        <f t="array" ref="H91">INDEX('GMW - worst case'!$A$2:$MC$200,MATCH(1,('GMW - worst case'!$MC$2:$MC$200=H$3)*('GMW - worst case'!$MB$2:$MB$200=H$4),0),$E91-1973)</f>
        <v>72.766670000000005</v>
      </c>
      <c r="I91" cm="1">
        <f t="array" ref="I91">INDEX('GMW - worst case'!$A$2:$MC$200,MATCH(1,('GMW - worst case'!$MC$2:$MC$200=I$3)*('GMW - worst case'!$MB$2:$MB$200=I$4),0),$E91-1973)</f>
        <v>5.8576920000000001</v>
      </c>
      <c r="J91" t="e" cm="1">
        <f t="array" ref="J91">INDEX('GMW - worst case'!$A$2:$MC$200,MATCH(1,('GMW - worst case'!$MC$2:$MC$200=J$3)*('GMW - worst case'!$MB$2:$MB$200=J$4),0),$E91-1973)</f>
        <v>#N/A</v>
      </c>
      <c r="K91" t="e" cm="1">
        <f t="array" ref="K91">INDEX('GMW - worst case'!$A$2:$MC$200,MATCH(1,('GMW - worst case'!$MC$2:$MC$200=K$3)*('GMW - worst case'!$MB$2:$MB$200=K$4),0),$E91-1973)</f>
        <v>#N/A</v>
      </c>
      <c r="L91" t="e" cm="1">
        <f t="array" ref="L91">INDEX('GMW - worst case'!$A$2:$MC$200,MATCH(1,('GMW - worst case'!$MC$2:$MC$200=L$3)*('GMW - worst case'!$MB$2:$MB$200=L$4),0),$E91-1973)</f>
        <v>#N/A</v>
      </c>
      <c r="M91" t="e" cm="1">
        <f t="array" ref="M91">INDEX('GMW - worst case'!$A$2:$MC$200,MATCH(1,('GMW - worst case'!$MC$2:$MC$200=M$3)*('GMW - worst case'!$MB$2:$MB$200=M$4),0),$E91-1973)</f>
        <v>#N/A</v>
      </c>
      <c r="N91" t="e" cm="1">
        <f t="array" ref="N91">INDEX('GMW - worst case'!$A$2:$MC$200,MATCH(1,('GMW - worst case'!$MC$2:$MC$200=N$3)*('GMW - worst case'!$MB$2:$MB$200=N$4),0),$E91-1973)</f>
        <v>#N/A</v>
      </c>
      <c r="O91" t="e" cm="1">
        <f t="array" ref="O91">INDEX('GMW - worst case'!$A$2:$MC$200,MATCH(1,('GMW - worst case'!$MC$2:$MC$200=O$3)*('GMW - worst case'!$MB$2:$MB$200=O$4),0),$E91-1973)</f>
        <v>#N/A</v>
      </c>
      <c r="P91" t="e" cm="1">
        <f t="array" ref="P91">INDEX('GMW - worst case'!$A$2:$MC$200,MATCH(1,('GMW - worst case'!$MC$2:$MC$200=P$3)*('GMW - worst case'!$MB$2:$MB$200=P$4),0),$E91-1973)</f>
        <v>#N/A</v>
      </c>
      <c r="Q91" t="e" cm="1">
        <f t="array" ref="Q91">INDEX('GMW - worst case'!$A$2:$MC$200,MATCH(1,('GMW - worst case'!$MC$2:$MC$200=Q$3)*('GMW - worst case'!$MB$2:$MB$200=Q$4),0),$E91-1973)</f>
        <v>#N/A</v>
      </c>
      <c r="R91" t="e" cm="1">
        <f t="array" ref="R91">INDEX('GMW - worst case'!$A$2:$MC$200,MATCH(1,('GMW - worst case'!$MC$2:$MC$200=R$3)*('GMW - worst case'!$MB$2:$MB$200=R$4),0),$E91-1973)</f>
        <v>#N/A</v>
      </c>
      <c r="S91" t="e" cm="1">
        <f t="array" ref="S91">INDEX('GMW - worst case'!$A$2:$MC$200,MATCH(1,('GMW - worst case'!$MC$2:$MC$200=S$3)*('GMW - worst case'!$MB$2:$MB$200=S$4),0),$E91-1973)</f>
        <v>#N/A</v>
      </c>
    </row>
    <row r="92" spans="1:19" x14ac:dyDescent="0.25">
      <c r="B92">
        <f t="shared" ref="B92:D107" si="8">+B88+1</f>
        <v>2001</v>
      </c>
      <c r="C92">
        <f t="shared" si="8"/>
        <v>2001</v>
      </c>
      <c r="E92">
        <f t="shared" si="6"/>
        <v>2065</v>
      </c>
      <c r="F92" cm="1">
        <f t="array" ref="F92">INDEX('GMW - worst case'!$A$2:$MC$200,MATCH(1,('GMW - worst case'!$MC$2:$MC$200=F$3)*('GMW - worst case'!$MB$2:$MB$200=F$4),0),$E92-1973)</f>
        <v>495602</v>
      </c>
      <c r="G92" cm="1">
        <f t="array" ref="G92">INDEX('GMW - worst case'!$A$2:$MC$200,MATCH(1,('GMW - worst case'!$MC$2:$MC$200=G$3)*('GMW - worst case'!$MB$2:$MB$200=G$4),0),$E92-1973)</f>
        <v>296378</v>
      </c>
      <c r="H92" cm="1">
        <f t="array" ref="H92">INDEX('GMW - worst case'!$A$2:$MC$200,MATCH(1,('GMW - worst case'!$MC$2:$MC$200=H$3)*('GMW - worst case'!$MB$2:$MB$200=H$4),0),$E92-1973)</f>
        <v>73.833340000000007</v>
      </c>
      <c r="I92" cm="1">
        <f t="array" ref="I92">INDEX('GMW - worst case'!$A$2:$MC$200,MATCH(1,('GMW - worst case'!$MC$2:$MC$200=I$3)*('GMW - worst case'!$MB$2:$MB$200=I$4),0),$E92-1973)</f>
        <v>5.3692310000000001</v>
      </c>
      <c r="J92" t="e" cm="1">
        <f t="array" ref="J92">INDEX('GMW - worst case'!$A$2:$MC$200,MATCH(1,('GMW - worst case'!$MC$2:$MC$200=J$3)*('GMW - worst case'!$MB$2:$MB$200=J$4),0),$E92-1973)</f>
        <v>#N/A</v>
      </c>
      <c r="K92" t="e" cm="1">
        <f t="array" ref="K92">INDEX('GMW - worst case'!$A$2:$MC$200,MATCH(1,('GMW - worst case'!$MC$2:$MC$200=K$3)*('GMW - worst case'!$MB$2:$MB$200=K$4),0),$E92-1973)</f>
        <v>#N/A</v>
      </c>
      <c r="L92" t="e" cm="1">
        <f t="array" ref="L92">INDEX('GMW - worst case'!$A$2:$MC$200,MATCH(1,('GMW - worst case'!$MC$2:$MC$200=L$3)*('GMW - worst case'!$MB$2:$MB$200=L$4),0),$E92-1973)</f>
        <v>#N/A</v>
      </c>
      <c r="M92" t="e" cm="1">
        <f t="array" ref="M92">INDEX('GMW - worst case'!$A$2:$MC$200,MATCH(1,('GMW - worst case'!$MC$2:$MC$200=M$3)*('GMW - worst case'!$MB$2:$MB$200=M$4),0),$E92-1973)</f>
        <v>#N/A</v>
      </c>
      <c r="N92" t="e" cm="1">
        <f t="array" ref="N92">INDEX('GMW - worst case'!$A$2:$MC$200,MATCH(1,('GMW - worst case'!$MC$2:$MC$200=N$3)*('GMW - worst case'!$MB$2:$MB$200=N$4),0),$E92-1973)</f>
        <v>#N/A</v>
      </c>
      <c r="O92" t="e" cm="1">
        <f t="array" ref="O92">INDEX('GMW - worst case'!$A$2:$MC$200,MATCH(1,('GMW - worst case'!$MC$2:$MC$200=O$3)*('GMW - worst case'!$MB$2:$MB$200=O$4),0),$E92-1973)</f>
        <v>#N/A</v>
      </c>
      <c r="P92" t="e" cm="1">
        <f t="array" ref="P92">INDEX('GMW - worst case'!$A$2:$MC$200,MATCH(1,('GMW - worst case'!$MC$2:$MC$200=P$3)*('GMW - worst case'!$MB$2:$MB$200=P$4),0),$E92-1973)</f>
        <v>#N/A</v>
      </c>
      <c r="Q92" t="e" cm="1">
        <f t="array" ref="Q92">INDEX('GMW - worst case'!$A$2:$MC$200,MATCH(1,('GMW - worst case'!$MC$2:$MC$200=Q$3)*('GMW - worst case'!$MB$2:$MB$200=Q$4),0),$E92-1973)</f>
        <v>#N/A</v>
      </c>
      <c r="R92" t="e" cm="1">
        <f t="array" ref="R92">INDEX('GMW - worst case'!$A$2:$MC$200,MATCH(1,('GMW - worst case'!$MC$2:$MC$200=R$3)*('GMW - worst case'!$MB$2:$MB$200=R$4),0),$E92-1973)</f>
        <v>#N/A</v>
      </c>
      <c r="S92" t="e" cm="1">
        <f t="array" ref="S92">INDEX('GMW - worst case'!$A$2:$MC$200,MATCH(1,('GMW - worst case'!$MC$2:$MC$200=S$3)*('GMW - worst case'!$MB$2:$MB$200=S$4),0),$E92-1973)</f>
        <v>#N/A</v>
      </c>
    </row>
    <row r="93" spans="1:19" x14ac:dyDescent="0.25">
      <c r="B93">
        <f t="shared" si="8"/>
        <v>2001</v>
      </c>
      <c r="C93">
        <f t="shared" si="8"/>
        <v>2001</v>
      </c>
      <c r="E93">
        <f t="shared" si="6"/>
        <v>2066</v>
      </c>
      <c r="F93" cm="1">
        <f t="array" ref="F93">INDEX('GMW - worst case'!$A$2:$MC$200,MATCH(1,('GMW - worst case'!$MC$2:$MC$200=F$3)*('GMW - worst case'!$MB$2:$MB$200=F$4),0),$E93-1973)</f>
        <v>497938</v>
      </c>
      <c r="G93" cm="1">
        <f t="array" ref="G93">INDEX('GMW - worst case'!$A$2:$MC$200,MATCH(1,('GMW - worst case'!$MC$2:$MC$200=G$3)*('GMW - worst case'!$MB$2:$MB$200=G$4),0),$E93-1973)</f>
        <v>300827</v>
      </c>
      <c r="H93" cm="1">
        <f t="array" ref="H93">INDEX('GMW - worst case'!$A$2:$MC$200,MATCH(1,('GMW - worst case'!$MC$2:$MC$200=H$3)*('GMW - worst case'!$MB$2:$MB$200=H$4),0),$E93-1973)</f>
        <v>73.866669999999999</v>
      </c>
      <c r="I93" cm="1">
        <f t="array" ref="I93">INDEX('GMW - worst case'!$A$2:$MC$200,MATCH(1,('GMW - worst case'!$MC$2:$MC$200=I$3)*('GMW - worst case'!$MB$2:$MB$200=I$4),0),$E93-1973)</f>
        <v>5.0538460000000001</v>
      </c>
      <c r="J93" t="e" cm="1">
        <f t="array" ref="J93">INDEX('GMW - worst case'!$A$2:$MC$200,MATCH(1,('GMW - worst case'!$MC$2:$MC$200=J$3)*('GMW - worst case'!$MB$2:$MB$200=J$4),0),$E93-1973)</f>
        <v>#N/A</v>
      </c>
      <c r="K93" t="e" cm="1">
        <f t="array" ref="K93">INDEX('GMW - worst case'!$A$2:$MC$200,MATCH(1,('GMW - worst case'!$MC$2:$MC$200=K$3)*('GMW - worst case'!$MB$2:$MB$200=K$4),0),$E93-1973)</f>
        <v>#N/A</v>
      </c>
      <c r="L93" t="e" cm="1">
        <f t="array" ref="L93">INDEX('GMW - worst case'!$A$2:$MC$200,MATCH(1,('GMW - worst case'!$MC$2:$MC$200=L$3)*('GMW - worst case'!$MB$2:$MB$200=L$4),0),$E93-1973)</f>
        <v>#N/A</v>
      </c>
      <c r="M93" t="e" cm="1">
        <f t="array" ref="M93">INDEX('GMW - worst case'!$A$2:$MC$200,MATCH(1,('GMW - worst case'!$MC$2:$MC$200=M$3)*('GMW - worst case'!$MB$2:$MB$200=M$4),0),$E93-1973)</f>
        <v>#N/A</v>
      </c>
      <c r="N93" t="e" cm="1">
        <f t="array" ref="N93">INDEX('GMW - worst case'!$A$2:$MC$200,MATCH(1,('GMW - worst case'!$MC$2:$MC$200=N$3)*('GMW - worst case'!$MB$2:$MB$200=N$4),0),$E93-1973)</f>
        <v>#N/A</v>
      </c>
      <c r="O93" t="e" cm="1">
        <f t="array" ref="O93">INDEX('GMW - worst case'!$A$2:$MC$200,MATCH(1,('GMW - worst case'!$MC$2:$MC$200=O$3)*('GMW - worst case'!$MB$2:$MB$200=O$4),0),$E93-1973)</f>
        <v>#N/A</v>
      </c>
      <c r="P93" t="e" cm="1">
        <f t="array" ref="P93">INDEX('GMW - worst case'!$A$2:$MC$200,MATCH(1,('GMW - worst case'!$MC$2:$MC$200=P$3)*('GMW - worst case'!$MB$2:$MB$200=P$4),0),$E93-1973)</f>
        <v>#N/A</v>
      </c>
      <c r="Q93" t="e" cm="1">
        <f t="array" ref="Q93">INDEX('GMW - worst case'!$A$2:$MC$200,MATCH(1,('GMW - worst case'!$MC$2:$MC$200=Q$3)*('GMW - worst case'!$MB$2:$MB$200=Q$4),0),$E93-1973)</f>
        <v>#N/A</v>
      </c>
      <c r="R93" t="e" cm="1">
        <f t="array" ref="R93">INDEX('GMW - worst case'!$A$2:$MC$200,MATCH(1,('GMW - worst case'!$MC$2:$MC$200=R$3)*('GMW - worst case'!$MB$2:$MB$200=R$4),0),$E93-1973)</f>
        <v>#N/A</v>
      </c>
      <c r="S93" t="e" cm="1">
        <f t="array" ref="S93">INDEX('GMW - worst case'!$A$2:$MC$200,MATCH(1,('GMW - worst case'!$MC$2:$MC$200=S$3)*('GMW - worst case'!$MB$2:$MB$200=S$4),0),$E93-1973)</f>
        <v>#N/A</v>
      </c>
    </row>
    <row r="94" spans="1:19" x14ac:dyDescent="0.25">
      <c r="B94">
        <f t="shared" si="8"/>
        <v>2001</v>
      </c>
      <c r="C94">
        <f t="shared" si="8"/>
        <v>2001</v>
      </c>
      <c r="E94">
        <f t="shared" si="6"/>
        <v>2067</v>
      </c>
      <c r="F94" cm="1">
        <f t="array" ref="F94">INDEX('GMW - worst case'!$A$2:$MC$200,MATCH(1,('GMW - worst case'!$MC$2:$MC$200=F$3)*('GMW - worst case'!$MB$2:$MB$200=F$4),0),$E94-1973)</f>
        <v>499278</v>
      </c>
      <c r="G94" cm="1">
        <f t="array" ref="G94">INDEX('GMW - worst case'!$A$2:$MC$200,MATCH(1,('GMW - worst case'!$MC$2:$MC$200=G$3)*('GMW - worst case'!$MB$2:$MB$200=G$4),0),$E94-1973)</f>
        <v>303055</v>
      </c>
      <c r="H94" cm="1">
        <f t="array" ref="H94">INDEX('GMW - worst case'!$A$2:$MC$200,MATCH(1,('GMW - worst case'!$MC$2:$MC$200=H$3)*('GMW - worst case'!$MB$2:$MB$200=H$4),0),$E94-1973)</f>
        <v>73.900000000000006</v>
      </c>
      <c r="I94" cm="1">
        <f t="array" ref="I94">INDEX('GMW - worst case'!$A$2:$MC$200,MATCH(1,('GMW - worst case'!$MC$2:$MC$200=I$3)*('GMW - worst case'!$MB$2:$MB$200=I$4),0),$E94-1973)</f>
        <v>4.2234850000000002</v>
      </c>
      <c r="J94" t="e" cm="1">
        <f t="array" ref="J94">INDEX('GMW - worst case'!$A$2:$MC$200,MATCH(1,('GMW - worst case'!$MC$2:$MC$200=J$3)*('GMW - worst case'!$MB$2:$MB$200=J$4),0),$E94-1973)</f>
        <v>#N/A</v>
      </c>
      <c r="K94" t="e" cm="1">
        <f t="array" ref="K94">INDEX('GMW - worst case'!$A$2:$MC$200,MATCH(1,('GMW - worst case'!$MC$2:$MC$200=K$3)*('GMW - worst case'!$MB$2:$MB$200=K$4),0),$E94-1973)</f>
        <v>#N/A</v>
      </c>
      <c r="L94" t="e" cm="1">
        <f t="array" ref="L94">INDEX('GMW - worst case'!$A$2:$MC$200,MATCH(1,('GMW - worst case'!$MC$2:$MC$200=L$3)*('GMW - worst case'!$MB$2:$MB$200=L$4),0),$E94-1973)</f>
        <v>#N/A</v>
      </c>
      <c r="M94" t="e" cm="1">
        <f t="array" ref="M94">INDEX('GMW - worst case'!$A$2:$MC$200,MATCH(1,('GMW - worst case'!$MC$2:$MC$200=M$3)*('GMW - worst case'!$MB$2:$MB$200=M$4),0),$E94-1973)</f>
        <v>#N/A</v>
      </c>
      <c r="N94" t="e" cm="1">
        <f t="array" ref="N94">INDEX('GMW - worst case'!$A$2:$MC$200,MATCH(1,('GMW - worst case'!$MC$2:$MC$200=N$3)*('GMW - worst case'!$MB$2:$MB$200=N$4),0),$E94-1973)</f>
        <v>#N/A</v>
      </c>
      <c r="O94" t="e" cm="1">
        <f t="array" ref="O94">INDEX('GMW - worst case'!$A$2:$MC$200,MATCH(1,('GMW - worst case'!$MC$2:$MC$200=O$3)*('GMW - worst case'!$MB$2:$MB$200=O$4),0),$E94-1973)</f>
        <v>#N/A</v>
      </c>
      <c r="P94" t="e" cm="1">
        <f t="array" ref="P94">INDEX('GMW - worst case'!$A$2:$MC$200,MATCH(1,('GMW - worst case'!$MC$2:$MC$200=P$3)*('GMW - worst case'!$MB$2:$MB$200=P$4),0),$E94-1973)</f>
        <v>#N/A</v>
      </c>
      <c r="Q94" t="e" cm="1">
        <f t="array" ref="Q94">INDEX('GMW - worst case'!$A$2:$MC$200,MATCH(1,('GMW - worst case'!$MC$2:$MC$200=Q$3)*('GMW - worst case'!$MB$2:$MB$200=Q$4),0),$E94-1973)</f>
        <v>#N/A</v>
      </c>
      <c r="R94" t="e" cm="1">
        <f t="array" ref="R94">INDEX('GMW - worst case'!$A$2:$MC$200,MATCH(1,('GMW - worst case'!$MC$2:$MC$200=R$3)*('GMW - worst case'!$MB$2:$MB$200=R$4),0),$E94-1973)</f>
        <v>#N/A</v>
      </c>
      <c r="S94" t="e" cm="1">
        <f t="array" ref="S94">INDEX('GMW - worst case'!$A$2:$MC$200,MATCH(1,('GMW - worst case'!$MC$2:$MC$200=S$3)*('GMW - worst case'!$MB$2:$MB$200=S$4),0),$E94-1973)</f>
        <v>#N/A</v>
      </c>
    </row>
    <row r="95" spans="1:19" x14ac:dyDescent="0.25">
      <c r="A95">
        <v>2002</v>
      </c>
      <c r="B95">
        <f t="shared" si="8"/>
        <v>2002</v>
      </c>
      <c r="C95">
        <f t="shared" si="8"/>
        <v>2001</v>
      </c>
      <c r="D95">
        <f t="shared" si="8"/>
        <v>2001</v>
      </c>
      <c r="E95">
        <f t="shared" si="6"/>
        <v>2068</v>
      </c>
      <c r="F95" cm="1">
        <f t="array" ref="F95">INDEX('GMW - worst case'!$A$2:$MC$200,MATCH(1,('GMW - worst case'!$MC$2:$MC$200=F$3)*('GMW - worst case'!$MB$2:$MB$200=F$4),0),$E95-1973)</f>
        <v>500794</v>
      </c>
      <c r="G95" cm="1">
        <f t="array" ref="G95">INDEX('GMW - worst case'!$A$2:$MC$200,MATCH(1,('GMW - worst case'!$MC$2:$MC$200=G$3)*('GMW - worst case'!$MB$2:$MB$200=G$4),0),$E95-1973)</f>
        <v>303450</v>
      </c>
      <c r="H95" cm="1">
        <f t="array" ref="H95">INDEX('GMW - worst case'!$A$2:$MC$200,MATCH(1,('GMW - worst case'!$MC$2:$MC$200=H$3)*('GMW - worst case'!$MB$2:$MB$200=H$4),0),$E95-1973)</f>
        <v>73.866669999999999</v>
      </c>
      <c r="I95" cm="1">
        <f t="array" ref="I95">INDEX('GMW - worst case'!$A$2:$MC$200,MATCH(1,('GMW - worst case'!$MC$2:$MC$200=I$3)*('GMW - worst case'!$MB$2:$MB$200=I$4),0),$E95-1973)</f>
        <v>4</v>
      </c>
      <c r="J95" t="e" cm="1">
        <f t="array" ref="J95">INDEX('GMW - worst case'!$A$2:$MC$200,MATCH(1,('GMW - worst case'!$MC$2:$MC$200=J$3)*('GMW - worst case'!$MB$2:$MB$200=J$4),0),$E95-1973)</f>
        <v>#N/A</v>
      </c>
      <c r="K95" t="e" cm="1">
        <f t="array" ref="K95">INDEX('GMW - worst case'!$A$2:$MC$200,MATCH(1,('GMW - worst case'!$MC$2:$MC$200=K$3)*('GMW - worst case'!$MB$2:$MB$200=K$4),0),$E95-1973)</f>
        <v>#N/A</v>
      </c>
      <c r="L95" t="e" cm="1">
        <f t="array" ref="L95">INDEX('GMW - worst case'!$A$2:$MC$200,MATCH(1,('GMW - worst case'!$MC$2:$MC$200=L$3)*('GMW - worst case'!$MB$2:$MB$200=L$4),0),$E95-1973)</f>
        <v>#N/A</v>
      </c>
      <c r="M95" t="e" cm="1">
        <f t="array" ref="M95">INDEX('GMW - worst case'!$A$2:$MC$200,MATCH(1,('GMW - worst case'!$MC$2:$MC$200=M$3)*('GMW - worst case'!$MB$2:$MB$200=M$4),0),$E95-1973)</f>
        <v>#N/A</v>
      </c>
      <c r="N95" t="e" cm="1">
        <f t="array" ref="N95">INDEX('GMW - worst case'!$A$2:$MC$200,MATCH(1,('GMW - worst case'!$MC$2:$MC$200=N$3)*('GMW - worst case'!$MB$2:$MB$200=N$4),0),$E95-1973)</f>
        <v>#N/A</v>
      </c>
      <c r="O95" t="e" cm="1">
        <f t="array" ref="O95">INDEX('GMW - worst case'!$A$2:$MC$200,MATCH(1,('GMW - worst case'!$MC$2:$MC$200=O$3)*('GMW - worst case'!$MB$2:$MB$200=O$4),0),$E95-1973)</f>
        <v>#N/A</v>
      </c>
      <c r="P95" t="e" cm="1">
        <f t="array" ref="P95">INDEX('GMW - worst case'!$A$2:$MC$200,MATCH(1,('GMW - worst case'!$MC$2:$MC$200=P$3)*('GMW - worst case'!$MB$2:$MB$200=P$4),0),$E95-1973)</f>
        <v>#N/A</v>
      </c>
      <c r="Q95" t="e" cm="1">
        <f t="array" ref="Q95">INDEX('GMW - worst case'!$A$2:$MC$200,MATCH(1,('GMW - worst case'!$MC$2:$MC$200=Q$3)*('GMW - worst case'!$MB$2:$MB$200=Q$4),0),$E95-1973)</f>
        <v>#N/A</v>
      </c>
      <c r="R95" t="e" cm="1">
        <f t="array" ref="R95">INDEX('GMW - worst case'!$A$2:$MC$200,MATCH(1,('GMW - worst case'!$MC$2:$MC$200=R$3)*('GMW - worst case'!$MB$2:$MB$200=R$4),0),$E95-1973)</f>
        <v>#N/A</v>
      </c>
      <c r="S95" t="e" cm="1">
        <f t="array" ref="S95">INDEX('GMW - worst case'!$A$2:$MC$200,MATCH(1,('GMW - worst case'!$MC$2:$MC$200=S$3)*('GMW - worst case'!$MB$2:$MB$200=S$4),0),$E95-1973)</f>
        <v>#N/A</v>
      </c>
    </row>
    <row r="96" spans="1:19" x14ac:dyDescent="0.25">
      <c r="B96">
        <f t="shared" si="8"/>
        <v>2002</v>
      </c>
      <c r="C96">
        <f t="shared" si="8"/>
        <v>2002</v>
      </c>
      <c r="E96">
        <f t="shared" si="6"/>
        <v>2069</v>
      </c>
      <c r="F96" cm="1">
        <f t="array" ref="F96">INDEX('GMW - worst case'!$A$2:$MC$200,MATCH(1,('GMW - worst case'!$MC$2:$MC$200=F$3)*('GMW - worst case'!$MB$2:$MB$200=F$4),0),$E96-1973)</f>
        <v>503433</v>
      </c>
      <c r="G96" cm="1">
        <f t="array" ref="G96">INDEX('GMW - worst case'!$A$2:$MC$200,MATCH(1,('GMW - worst case'!$MC$2:$MC$200=G$3)*('GMW - worst case'!$MB$2:$MB$200=G$4),0),$E96-1973)</f>
        <v>304764</v>
      </c>
      <c r="H96" cm="1">
        <f t="array" ref="H96">INDEX('GMW - worst case'!$A$2:$MC$200,MATCH(1,('GMW - worst case'!$MC$2:$MC$200=H$3)*('GMW - worst case'!$MB$2:$MB$200=H$4),0),$E96-1973)</f>
        <v>74.533330000000007</v>
      </c>
      <c r="I96" cm="1">
        <f t="array" ref="I96">INDEX('GMW - worst case'!$A$2:$MC$200,MATCH(1,('GMW - worst case'!$MC$2:$MC$200=I$3)*('GMW - worst case'!$MB$2:$MB$200=I$4),0),$E96-1973)</f>
        <v>4</v>
      </c>
      <c r="J96" t="e" cm="1">
        <f t="array" ref="J96">INDEX('GMW - worst case'!$A$2:$MC$200,MATCH(1,('GMW - worst case'!$MC$2:$MC$200=J$3)*('GMW - worst case'!$MB$2:$MB$200=J$4),0),$E96-1973)</f>
        <v>#N/A</v>
      </c>
      <c r="K96" t="e" cm="1">
        <f t="array" ref="K96">INDEX('GMW - worst case'!$A$2:$MC$200,MATCH(1,('GMW - worst case'!$MC$2:$MC$200=K$3)*('GMW - worst case'!$MB$2:$MB$200=K$4),0),$E96-1973)</f>
        <v>#N/A</v>
      </c>
      <c r="L96" t="e" cm="1">
        <f t="array" ref="L96">INDEX('GMW - worst case'!$A$2:$MC$200,MATCH(1,('GMW - worst case'!$MC$2:$MC$200=L$3)*('GMW - worst case'!$MB$2:$MB$200=L$4),0),$E96-1973)</f>
        <v>#N/A</v>
      </c>
      <c r="M96" t="e" cm="1">
        <f t="array" ref="M96">INDEX('GMW - worst case'!$A$2:$MC$200,MATCH(1,('GMW - worst case'!$MC$2:$MC$200=M$3)*('GMW - worst case'!$MB$2:$MB$200=M$4),0),$E96-1973)</f>
        <v>#N/A</v>
      </c>
      <c r="N96" t="e" cm="1">
        <f t="array" ref="N96">INDEX('GMW - worst case'!$A$2:$MC$200,MATCH(1,('GMW - worst case'!$MC$2:$MC$200=N$3)*('GMW - worst case'!$MB$2:$MB$200=N$4),0),$E96-1973)</f>
        <v>#N/A</v>
      </c>
      <c r="O96" t="e" cm="1">
        <f t="array" ref="O96">INDEX('GMW - worst case'!$A$2:$MC$200,MATCH(1,('GMW - worst case'!$MC$2:$MC$200=O$3)*('GMW - worst case'!$MB$2:$MB$200=O$4),0),$E96-1973)</f>
        <v>#N/A</v>
      </c>
      <c r="P96" t="e" cm="1">
        <f t="array" ref="P96">INDEX('GMW - worst case'!$A$2:$MC$200,MATCH(1,('GMW - worst case'!$MC$2:$MC$200=P$3)*('GMW - worst case'!$MB$2:$MB$200=P$4),0),$E96-1973)</f>
        <v>#N/A</v>
      </c>
      <c r="Q96" t="e" cm="1">
        <f t="array" ref="Q96">INDEX('GMW - worst case'!$A$2:$MC$200,MATCH(1,('GMW - worst case'!$MC$2:$MC$200=Q$3)*('GMW - worst case'!$MB$2:$MB$200=Q$4),0),$E96-1973)</f>
        <v>#N/A</v>
      </c>
      <c r="R96" t="e" cm="1">
        <f t="array" ref="R96">INDEX('GMW - worst case'!$A$2:$MC$200,MATCH(1,('GMW - worst case'!$MC$2:$MC$200=R$3)*('GMW - worst case'!$MB$2:$MB$200=R$4),0),$E96-1973)</f>
        <v>#N/A</v>
      </c>
      <c r="S96" t="e" cm="1">
        <f t="array" ref="S96">INDEX('GMW - worst case'!$A$2:$MC$200,MATCH(1,('GMW - worst case'!$MC$2:$MC$200=S$3)*('GMW - worst case'!$MB$2:$MB$200=S$4),0),$E96-1973)</f>
        <v>#N/A</v>
      </c>
    </row>
    <row r="97" spans="1:19" x14ac:dyDescent="0.25">
      <c r="B97">
        <f t="shared" si="8"/>
        <v>2002</v>
      </c>
      <c r="C97">
        <f t="shared" si="8"/>
        <v>2002</v>
      </c>
      <c r="E97">
        <f t="shared" si="6"/>
        <v>2070</v>
      </c>
      <c r="F97" cm="1">
        <f t="array" ref="F97">INDEX('GMW - worst case'!$A$2:$MC$200,MATCH(1,('GMW - worst case'!$MC$2:$MC$200=F$3)*('GMW - worst case'!$MB$2:$MB$200=F$4),0),$E97-1973)</f>
        <v>506386</v>
      </c>
      <c r="G97" cm="1">
        <f t="array" ref="G97">INDEX('GMW - worst case'!$A$2:$MC$200,MATCH(1,('GMW - worst case'!$MC$2:$MC$200=G$3)*('GMW - worst case'!$MB$2:$MB$200=G$4),0),$E97-1973)</f>
        <v>307772</v>
      </c>
      <c r="H97" cm="1">
        <f t="array" ref="H97">INDEX('GMW - worst case'!$A$2:$MC$200,MATCH(1,('GMW - worst case'!$MC$2:$MC$200=H$3)*('GMW - worst case'!$MB$2:$MB$200=H$4),0),$E97-1973)</f>
        <v>74.599999999999994</v>
      </c>
      <c r="I97" cm="1">
        <f t="array" ref="I97">INDEX('GMW - worst case'!$A$2:$MC$200,MATCH(1,('GMW - worst case'!$MC$2:$MC$200=I$3)*('GMW - worst case'!$MB$2:$MB$200=I$4),0),$E97-1973)</f>
        <v>4</v>
      </c>
      <c r="J97" t="e" cm="1">
        <f t="array" ref="J97">INDEX('GMW - worst case'!$A$2:$MC$200,MATCH(1,('GMW - worst case'!$MC$2:$MC$200=J$3)*('GMW - worst case'!$MB$2:$MB$200=J$4),0),$E97-1973)</f>
        <v>#N/A</v>
      </c>
      <c r="K97" t="e" cm="1">
        <f t="array" ref="K97">INDEX('GMW - worst case'!$A$2:$MC$200,MATCH(1,('GMW - worst case'!$MC$2:$MC$200=K$3)*('GMW - worst case'!$MB$2:$MB$200=K$4),0),$E97-1973)</f>
        <v>#N/A</v>
      </c>
      <c r="L97" t="e" cm="1">
        <f t="array" ref="L97">INDEX('GMW - worst case'!$A$2:$MC$200,MATCH(1,('GMW - worst case'!$MC$2:$MC$200=L$3)*('GMW - worst case'!$MB$2:$MB$200=L$4),0),$E97-1973)</f>
        <v>#N/A</v>
      </c>
      <c r="M97" t="e" cm="1">
        <f t="array" ref="M97">INDEX('GMW - worst case'!$A$2:$MC$200,MATCH(1,('GMW - worst case'!$MC$2:$MC$200=M$3)*('GMW - worst case'!$MB$2:$MB$200=M$4),0),$E97-1973)</f>
        <v>#N/A</v>
      </c>
      <c r="N97" t="e" cm="1">
        <f t="array" ref="N97">INDEX('GMW - worst case'!$A$2:$MC$200,MATCH(1,('GMW - worst case'!$MC$2:$MC$200=N$3)*('GMW - worst case'!$MB$2:$MB$200=N$4),0),$E97-1973)</f>
        <v>#N/A</v>
      </c>
      <c r="O97" t="e" cm="1">
        <f t="array" ref="O97">INDEX('GMW - worst case'!$A$2:$MC$200,MATCH(1,('GMW - worst case'!$MC$2:$MC$200=O$3)*('GMW - worst case'!$MB$2:$MB$200=O$4),0),$E97-1973)</f>
        <v>#N/A</v>
      </c>
      <c r="P97" t="e" cm="1">
        <f t="array" ref="P97">INDEX('GMW - worst case'!$A$2:$MC$200,MATCH(1,('GMW - worst case'!$MC$2:$MC$200=P$3)*('GMW - worst case'!$MB$2:$MB$200=P$4),0),$E97-1973)</f>
        <v>#N/A</v>
      </c>
      <c r="Q97" t="e" cm="1">
        <f t="array" ref="Q97">INDEX('GMW - worst case'!$A$2:$MC$200,MATCH(1,('GMW - worst case'!$MC$2:$MC$200=Q$3)*('GMW - worst case'!$MB$2:$MB$200=Q$4),0),$E97-1973)</f>
        <v>#N/A</v>
      </c>
      <c r="R97" t="e" cm="1">
        <f t="array" ref="R97">INDEX('GMW - worst case'!$A$2:$MC$200,MATCH(1,('GMW - worst case'!$MC$2:$MC$200=R$3)*('GMW - worst case'!$MB$2:$MB$200=R$4),0),$E97-1973)</f>
        <v>#N/A</v>
      </c>
      <c r="S97" t="e" cm="1">
        <f t="array" ref="S97">INDEX('GMW - worst case'!$A$2:$MC$200,MATCH(1,('GMW - worst case'!$MC$2:$MC$200=S$3)*('GMW - worst case'!$MB$2:$MB$200=S$4),0),$E97-1973)</f>
        <v>#N/A</v>
      </c>
    </row>
    <row r="98" spans="1:19" x14ac:dyDescent="0.25">
      <c r="B98">
        <f t="shared" si="8"/>
        <v>2002</v>
      </c>
      <c r="C98">
        <f t="shared" si="8"/>
        <v>2002</v>
      </c>
      <c r="E98">
        <f t="shared" si="6"/>
        <v>2071</v>
      </c>
      <c r="F98" cm="1">
        <f t="array" ref="F98">INDEX('GMW - worst case'!$A$2:$MC$200,MATCH(1,('GMW - worst case'!$MC$2:$MC$200=F$3)*('GMW - worst case'!$MB$2:$MB$200=F$4),0),$E98-1973)</f>
        <v>509728</v>
      </c>
      <c r="G98" cm="1">
        <f t="array" ref="G98">INDEX('GMW - worst case'!$A$2:$MC$200,MATCH(1,('GMW - worst case'!$MC$2:$MC$200=G$3)*('GMW - worst case'!$MB$2:$MB$200=G$4),0),$E98-1973)</f>
        <v>310517</v>
      </c>
      <c r="H98" cm="1">
        <f t="array" ref="H98">INDEX('GMW - worst case'!$A$2:$MC$200,MATCH(1,('GMW - worst case'!$MC$2:$MC$200=H$3)*('GMW - worst case'!$MB$2:$MB$200=H$4),0),$E98-1973)</f>
        <v>75</v>
      </c>
      <c r="I98" cm="1">
        <f t="array" ref="I98">INDEX('GMW - worst case'!$A$2:$MC$200,MATCH(1,('GMW - worst case'!$MC$2:$MC$200=I$3)*('GMW - worst case'!$MB$2:$MB$200=I$4),0),$E98-1973)</f>
        <v>4</v>
      </c>
      <c r="J98" t="e" cm="1">
        <f t="array" ref="J98">INDEX('GMW - worst case'!$A$2:$MC$200,MATCH(1,('GMW - worst case'!$MC$2:$MC$200=J$3)*('GMW - worst case'!$MB$2:$MB$200=J$4),0),$E98-1973)</f>
        <v>#N/A</v>
      </c>
      <c r="K98" t="e" cm="1">
        <f t="array" ref="K98">INDEX('GMW - worst case'!$A$2:$MC$200,MATCH(1,('GMW - worst case'!$MC$2:$MC$200=K$3)*('GMW - worst case'!$MB$2:$MB$200=K$4),0),$E98-1973)</f>
        <v>#N/A</v>
      </c>
      <c r="L98" t="e" cm="1">
        <f t="array" ref="L98">INDEX('GMW - worst case'!$A$2:$MC$200,MATCH(1,('GMW - worst case'!$MC$2:$MC$200=L$3)*('GMW - worst case'!$MB$2:$MB$200=L$4),0),$E98-1973)</f>
        <v>#N/A</v>
      </c>
      <c r="M98" t="e" cm="1">
        <f t="array" ref="M98">INDEX('GMW - worst case'!$A$2:$MC$200,MATCH(1,('GMW - worst case'!$MC$2:$MC$200=M$3)*('GMW - worst case'!$MB$2:$MB$200=M$4),0),$E98-1973)</f>
        <v>#N/A</v>
      </c>
      <c r="N98" t="e" cm="1">
        <f t="array" ref="N98">INDEX('GMW - worst case'!$A$2:$MC$200,MATCH(1,('GMW - worst case'!$MC$2:$MC$200=N$3)*('GMW - worst case'!$MB$2:$MB$200=N$4),0),$E98-1973)</f>
        <v>#N/A</v>
      </c>
      <c r="O98" t="e" cm="1">
        <f t="array" ref="O98">INDEX('GMW - worst case'!$A$2:$MC$200,MATCH(1,('GMW - worst case'!$MC$2:$MC$200=O$3)*('GMW - worst case'!$MB$2:$MB$200=O$4),0),$E98-1973)</f>
        <v>#N/A</v>
      </c>
      <c r="P98" t="e" cm="1">
        <f t="array" ref="P98">INDEX('GMW - worst case'!$A$2:$MC$200,MATCH(1,('GMW - worst case'!$MC$2:$MC$200=P$3)*('GMW - worst case'!$MB$2:$MB$200=P$4),0),$E98-1973)</f>
        <v>#N/A</v>
      </c>
      <c r="Q98" t="e" cm="1">
        <f t="array" ref="Q98">INDEX('GMW - worst case'!$A$2:$MC$200,MATCH(1,('GMW - worst case'!$MC$2:$MC$200=Q$3)*('GMW - worst case'!$MB$2:$MB$200=Q$4),0),$E98-1973)</f>
        <v>#N/A</v>
      </c>
      <c r="R98" t="e" cm="1">
        <f t="array" ref="R98">INDEX('GMW - worst case'!$A$2:$MC$200,MATCH(1,('GMW - worst case'!$MC$2:$MC$200=R$3)*('GMW - worst case'!$MB$2:$MB$200=R$4),0),$E98-1973)</f>
        <v>#N/A</v>
      </c>
      <c r="S98" t="e" cm="1">
        <f t="array" ref="S98">INDEX('GMW - worst case'!$A$2:$MC$200,MATCH(1,('GMW - worst case'!$MC$2:$MC$200=S$3)*('GMW - worst case'!$MB$2:$MB$200=S$4),0),$E98-1973)</f>
        <v>#N/A</v>
      </c>
    </row>
    <row r="99" spans="1:19" x14ac:dyDescent="0.25">
      <c r="A99">
        <v>2003</v>
      </c>
      <c r="B99">
        <f t="shared" si="8"/>
        <v>2003</v>
      </c>
      <c r="C99">
        <f t="shared" si="8"/>
        <v>2002</v>
      </c>
      <c r="D99">
        <f t="shared" si="8"/>
        <v>2002</v>
      </c>
      <c r="E99">
        <f t="shared" si="6"/>
        <v>2072</v>
      </c>
      <c r="F99" cm="1">
        <f t="array" ref="F99">INDEX('GMW - worst case'!$A$2:$MC$200,MATCH(1,('GMW - worst case'!$MC$2:$MC$200=F$3)*('GMW - worst case'!$MB$2:$MB$200=F$4),0),$E99-1973)</f>
        <v>514031</v>
      </c>
      <c r="G99" cm="1">
        <f t="array" ref="G99">INDEX('GMW - worst case'!$A$2:$MC$200,MATCH(1,('GMW - worst case'!$MC$2:$MC$200=G$3)*('GMW - worst case'!$MB$2:$MB$200=G$4),0),$E99-1973)</f>
        <v>312554</v>
      </c>
      <c r="H99" cm="1">
        <f t="array" ref="H99">INDEX('GMW - worst case'!$A$2:$MC$200,MATCH(1,('GMW - worst case'!$MC$2:$MC$200=H$3)*('GMW - worst case'!$MB$2:$MB$200=H$4),0),$E99-1973)</f>
        <v>75</v>
      </c>
      <c r="I99" cm="1">
        <f t="array" ref="I99">INDEX('GMW - worst case'!$A$2:$MC$200,MATCH(1,('GMW - worst case'!$MC$2:$MC$200=I$3)*('GMW - worst case'!$MB$2:$MB$200=I$4),0),$E99-1973)</f>
        <v>3.8515630000000001</v>
      </c>
      <c r="J99" t="e" cm="1">
        <f t="array" ref="J99">INDEX('GMW - worst case'!$A$2:$MC$200,MATCH(1,('GMW - worst case'!$MC$2:$MC$200=J$3)*('GMW - worst case'!$MB$2:$MB$200=J$4),0),$E99-1973)</f>
        <v>#N/A</v>
      </c>
      <c r="K99" t="e" cm="1">
        <f t="array" ref="K99">INDEX('GMW - worst case'!$A$2:$MC$200,MATCH(1,('GMW - worst case'!$MC$2:$MC$200=K$3)*('GMW - worst case'!$MB$2:$MB$200=K$4),0),$E99-1973)</f>
        <v>#N/A</v>
      </c>
      <c r="L99" t="e" cm="1">
        <f t="array" ref="L99">INDEX('GMW - worst case'!$A$2:$MC$200,MATCH(1,('GMW - worst case'!$MC$2:$MC$200=L$3)*('GMW - worst case'!$MB$2:$MB$200=L$4),0),$E99-1973)</f>
        <v>#N/A</v>
      </c>
      <c r="M99" t="e" cm="1">
        <f t="array" ref="M99">INDEX('GMW - worst case'!$A$2:$MC$200,MATCH(1,('GMW - worst case'!$MC$2:$MC$200=M$3)*('GMW - worst case'!$MB$2:$MB$200=M$4),0),$E99-1973)</f>
        <v>#N/A</v>
      </c>
      <c r="N99" t="e" cm="1">
        <f t="array" ref="N99">INDEX('GMW - worst case'!$A$2:$MC$200,MATCH(1,('GMW - worst case'!$MC$2:$MC$200=N$3)*('GMW - worst case'!$MB$2:$MB$200=N$4),0),$E99-1973)</f>
        <v>#N/A</v>
      </c>
      <c r="O99" t="e" cm="1">
        <f t="array" ref="O99">INDEX('GMW - worst case'!$A$2:$MC$200,MATCH(1,('GMW - worst case'!$MC$2:$MC$200=O$3)*('GMW - worst case'!$MB$2:$MB$200=O$4),0),$E99-1973)</f>
        <v>#N/A</v>
      </c>
      <c r="P99" t="e" cm="1">
        <f t="array" ref="P99">INDEX('GMW - worst case'!$A$2:$MC$200,MATCH(1,('GMW - worst case'!$MC$2:$MC$200=P$3)*('GMW - worst case'!$MB$2:$MB$200=P$4),0),$E99-1973)</f>
        <v>#N/A</v>
      </c>
      <c r="Q99" t="e" cm="1">
        <f t="array" ref="Q99">INDEX('GMW - worst case'!$A$2:$MC$200,MATCH(1,('GMW - worst case'!$MC$2:$MC$200=Q$3)*('GMW - worst case'!$MB$2:$MB$200=Q$4),0),$E99-1973)</f>
        <v>#N/A</v>
      </c>
      <c r="R99" t="e" cm="1">
        <f t="array" ref="R99">INDEX('GMW - worst case'!$A$2:$MC$200,MATCH(1,('GMW - worst case'!$MC$2:$MC$200=R$3)*('GMW - worst case'!$MB$2:$MB$200=R$4),0),$E99-1973)</f>
        <v>#N/A</v>
      </c>
      <c r="S99" t="e" cm="1">
        <f t="array" ref="S99">INDEX('GMW - worst case'!$A$2:$MC$200,MATCH(1,('GMW - worst case'!$MC$2:$MC$200=S$3)*('GMW - worst case'!$MB$2:$MB$200=S$4),0),$E99-1973)</f>
        <v>#N/A</v>
      </c>
    </row>
    <row r="100" spans="1:19" x14ac:dyDescent="0.25">
      <c r="B100">
        <f t="shared" si="8"/>
        <v>2003</v>
      </c>
      <c r="C100">
        <f t="shared" si="8"/>
        <v>2003</v>
      </c>
      <c r="E100">
        <f t="shared" si="6"/>
        <v>2073</v>
      </c>
      <c r="F100" cm="1">
        <f t="array" ref="F100">INDEX('GMW - worst case'!$A$2:$MC$200,MATCH(1,('GMW - worst case'!$MC$2:$MC$200=F$3)*('GMW - worst case'!$MB$2:$MB$200=F$4),0),$E100-1973)</f>
        <v>518802</v>
      </c>
      <c r="G100" cm="1">
        <f t="array" ref="G100">INDEX('GMW - worst case'!$A$2:$MC$200,MATCH(1,('GMW - worst case'!$MC$2:$MC$200=G$3)*('GMW - worst case'!$MB$2:$MB$200=G$4),0),$E100-1973)</f>
        <v>316413</v>
      </c>
      <c r="H100" cm="1">
        <f t="array" ref="H100">INDEX('GMW - worst case'!$A$2:$MC$200,MATCH(1,('GMW - worst case'!$MC$2:$MC$200=H$3)*('GMW - worst case'!$MB$2:$MB$200=H$4),0),$E100-1973)</f>
        <v>75.466669999999993</v>
      </c>
      <c r="I100" cm="1">
        <f t="array" ref="I100">INDEX('GMW - worst case'!$A$2:$MC$200,MATCH(1,('GMW - worst case'!$MC$2:$MC$200=I$3)*('GMW - worst case'!$MB$2:$MB$200=I$4),0),$E100-1973)</f>
        <v>3.75</v>
      </c>
      <c r="J100" t="e" cm="1">
        <f t="array" ref="J100">INDEX('GMW - worst case'!$A$2:$MC$200,MATCH(1,('GMW - worst case'!$MC$2:$MC$200=J$3)*('GMW - worst case'!$MB$2:$MB$200=J$4),0),$E100-1973)</f>
        <v>#N/A</v>
      </c>
      <c r="K100" t="e" cm="1">
        <f t="array" ref="K100">INDEX('GMW - worst case'!$A$2:$MC$200,MATCH(1,('GMW - worst case'!$MC$2:$MC$200=K$3)*('GMW - worst case'!$MB$2:$MB$200=K$4),0),$E100-1973)</f>
        <v>#N/A</v>
      </c>
      <c r="L100" t="e" cm="1">
        <f t="array" ref="L100">INDEX('GMW - worst case'!$A$2:$MC$200,MATCH(1,('GMW - worst case'!$MC$2:$MC$200=L$3)*('GMW - worst case'!$MB$2:$MB$200=L$4),0),$E100-1973)</f>
        <v>#N/A</v>
      </c>
      <c r="M100" t="e" cm="1">
        <f t="array" ref="M100">INDEX('GMW - worst case'!$A$2:$MC$200,MATCH(1,('GMW - worst case'!$MC$2:$MC$200=M$3)*('GMW - worst case'!$MB$2:$MB$200=M$4),0),$E100-1973)</f>
        <v>#N/A</v>
      </c>
      <c r="N100" t="e" cm="1">
        <f t="array" ref="N100">INDEX('GMW - worst case'!$A$2:$MC$200,MATCH(1,('GMW - worst case'!$MC$2:$MC$200=N$3)*('GMW - worst case'!$MB$2:$MB$200=N$4),0),$E100-1973)</f>
        <v>#N/A</v>
      </c>
      <c r="O100" t="e" cm="1">
        <f t="array" ref="O100">INDEX('GMW - worst case'!$A$2:$MC$200,MATCH(1,('GMW - worst case'!$MC$2:$MC$200=O$3)*('GMW - worst case'!$MB$2:$MB$200=O$4),0),$E100-1973)</f>
        <v>#N/A</v>
      </c>
      <c r="P100" t="e" cm="1">
        <f t="array" ref="P100">INDEX('GMW - worst case'!$A$2:$MC$200,MATCH(1,('GMW - worst case'!$MC$2:$MC$200=P$3)*('GMW - worst case'!$MB$2:$MB$200=P$4),0),$E100-1973)</f>
        <v>#N/A</v>
      </c>
      <c r="Q100" t="e" cm="1">
        <f t="array" ref="Q100">INDEX('GMW - worst case'!$A$2:$MC$200,MATCH(1,('GMW - worst case'!$MC$2:$MC$200=Q$3)*('GMW - worst case'!$MB$2:$MB$200=Q$4),0),$E100-1973)</f>
        <v>#N/A</v>
      </c>
      <c r="R100" t="e" cm="1">
        <f t="array" ref="R100">INDEX('GMW - worst case'!$A$2:$MC$200,MATCH(1,('GMW - worst case'!$MC$2:$MC$200=R$3)*('GMW - worst case'!$MB$2:$MB$200=R$4),0),$E100-1973)</f>
        <v>#N/A</v>
      </c>
      <c r="S100" t="e" cm="1">
        <f t="array" ref="S100">INDEX('GMW - worst case'!$A$2:$MC$200,MATCH(1,('GMW - worst case'!$MC$2:$MC$200=S$3)*('GMW - worst case'!$MB$2:$MB$200=S$4),0),$E100-1973)</f>
        <v>#N/A</v>
      </c>
    </row>
    <row r="101" spans="1:19" x14ac:dyDescent="0.25">
      <c r="B101">
        <f t="shared" si="8"/>
        <v>2003</v>
      </c>
      <c r="C101">
        <f t="shared" si="8"/>
        <v>2003</v>
      </c>
      <c r="E101">
        <f t="shared" si="6"/>
        <v>2074</v>
      </c>
      <c r="F101" cm="1">
        <f t="array" ref="F101">INDEX('GMW - worst case'!$A$2:$MC$200,MATCH(1,('GMW - worst case'!$MC$2:$MC$200=F$3)*('GMW - worst case'!$MB$2:$MB$200=F$4),0),$E101-1973)</f>
        <v>524213</v>
      </c>
      <c r="G101" cm="1">
        <f t="array" ref="G101">INDEX('GMW - worst case'!$A$2:$MC$200,MATCH(1,('GMW - worst case'!$MC$2:$MC$200=G$3)*('GMW - worst case'!$MB$2:$MB$200=G$4),0),$E101-1973)</f>
        <v>318762</v>
      </c>
      <c r="H101" cm="1">
        <f t="array" ref="H101">INDEX('GMW - worst case'!$A$2:$MC$200,MATCH(1,('GMW - worst case'!$MC$2:$MC$200=H$3)*('GMW - worst case'!$MB$2:$MB$200=H$4),0),$E101-1973)</f>
        <v>75.599999999999994</v>
      </c>
      <c r="I101" cm="1">
        <f t="array" ref="I101">INDEX('GMW - worst case'!$A$2:$MC$200,MATCH(1,('GMW - worst case'!$MC$2:$MC$200=I$3)*('GMW - worst case'!$MB$2:$MB$200=I$4),0),$E101-1973)</f>
        <v>3.5265149999999998</v>
      </c>
      <c r="J101" t="e" cm="1">
        <f t="array" ref="J101">INDEX('GMW - worst case'!$A$2:$MC$200,MATCH(1,('GMW - worst case'!$MC$2:$MC$200=J$3)*('GMW - worst case'!$MB$2:$MB$200=J$4),0),$E101-1973)</f>
        <v>#N/A</v>
      </c>
      <c r="K101" t="e" cm="1">
        <f t="array" ref="K101">INDEX('GMW - worst case'!$A$2:$MC$200,MATCH(1,('GMW - worst case'!$MC$2:$MC$200=K$3)*('GMW - worst case'!$MB$2:$MB$200=K$4),0),$E101-1973)</f>
        <v>#N/A</v>
      </c>
      <c r="L101" t="e" cm="1">
        <f t="array" ref="L101">INDEX('GMW - worst case'!$A$2:$MC$200,MATCH(1,('GMW - worst case'!$MC$2:$MC$200=L$3)*('GMW - worst case'!$MB$2:$MB$200=L$4),0),$E101-1973)</f>
        <v>#N/A</v>
      </c>
      <c r="M101" t="e" cm="1">
        <f t="array" ref="M101">INDEX('GMW - worst case'!$A$2:$MC$200,MATCH(1,('GMW - worst case'!$MC$2:$MC$200=M$3)*('GMW - worst case'!$MB$2:$MB$200=M$4),0),$E101-1973)</f>
        <v>#N/A</v>
      </c>
      <c r="N101" t="e" cm="1">
        <f t="array" ref="N101">INDEX('GMW - worst case'!$A$2:$MC$200,MATCH(1,('GMW - worst case'!$MC$2:$MC$200=N$3)*('GMW - worst case'!$MB$2:$MB$200=N$4),0),$E101-1973)</f>
        <v>#N/A</v>
      </c>
      <c r="O101" t="e" cm="1">
        <f t="array" ref="O101">INDEX('GMW - worst case'!$A$2:$MC$200,MATCH(1,('GMW - worst case'!$MC$2:$MC$200=O$3)*('GMW - worst case'!$MB$2:$MB$200=O$4),0),$E101-1973)</f>
        <v>#N/A</v>
      </c>
      <c r="P101" t="e" cm="1">
        <f t="array" ref="P101">INDEX('GMW - worst case'!$A$2:$MC$200,MATCH(1,('GMW - worst case'!$MC$2:$MC$200=P$3)*('GMW - worst case'!$MB$2:$MB$200=P$4),0),$E101-1973)</f>
        <v>#N/A</v>
      </c>
      <c r="Q101" t="e" cm="1">
        <f t="array" ref="Q101">INDEX('GMW - worst case'!$A$2:$MC$200,MATCH(1,('GMW - worst case'!$MC$2:$MC$200=Q$3)*('GMW - worst case'!$MB$2:$MB$200=Q$4),0),$E101-1973)</f>
        <v>#N/A</v>
      </c>
      <c r="R101" t="e" cm="1">
        <f t="array" ref="R101">INDEX('GMW - worst case'!$A$2:$MC$200,MATCH(1,('GMW - worst case'!$MC$2:$MC$200=R$3)*('GMW - worst case'!$MB$2:$MB$200=R$4),0),$E101-1973)</f>
        <v>#N/A</v>
      </c>
      <c r="S101" t="e" cm="1">
        <f t="array" ref="S101">INDEX('GMW - worst case'!$A$2:$MC$200,MATCH(1,('GMW - worst case'!$MC$2:$MC$200=S$3)*('GMW - worst case'!$MB$2:$MB$200=S$4),0),$E101-1973)</f>
        <v>#N/A</v>
      </c>
    </row>
    <row r="102" spans="1:19" x14ac:dyDescent="0.25">
      <c r="B102">
        <f t="shared" si="8"/>
        <v>2003</v>
      </c>
      <c r="C102">
        <f t="shared" si="8"/>
        <v>2003</v>
      </c>
      <c r="E102">
        <f t="shared" si="6"/>
        <v>2075</v>
      </c>
      <c r="F102" cm="1">
        <f t="array" ref="F102">INDEX('GMW - worst case'!$A$2:$MC$200,MATCH(1,('GMW - worst case'!$MC$2:$MC$200=F$3)*('GMW - worst case'!$MB$2:$MB$200=F$4),0),$E102-1973)</f>
        <v>528320</v>
      </c>
      <c r="G102" cm="1">
        <f t="array" ref="G102">INDEX('GMW - worst case'!$A$2:$MC$200,MATCH(1,('GMW - worst case'!$MC$2:$MC$200=G$3)*('GMW - worst case'!$MB$2:$MB$200=G$4),0),$E102-1973)</f>
        <v>320529</v>
      </c>
      <c r="H102" cm="1">
        <f t="array" ref="H102">INDEX('GMW - worst case'!$A$2:$MC$200,MATCH(1,('GMW - worst case'!$MC$2:$MC$200=H$3)*('GMW - worst case'!$MB$2:$MB$200=H$4),0),$E102-1973)</f>
        <v>76.033330000000007</v>
      </c>
      <c r="I102" cm="1">
        <f t="array" ref="I102">INDEX('GMW - worst case'!$A$2:$MC$200,MATCH(1,('GMW - worst case'!$MC$2:$MC$200=I$3)*('GMW - worst case'!$MB$2:$MB$200=I$4),0),$E102-1973)</f>
        <v>3.6515149999999998</v>
      </c>
      <c r="J102" t="e" cm="1">
        <f t="array" ref="J102">INDEX('GMW - worst case'!$A$2:$MC$200,MATCH(1,('GMW - worst case'!$MC$2:$MC$200=J$3)*('GMW - worst case'!$MB$2:$MB$200=J$4),0),$E102-1973)</f>
        <v>#N/A</v>
      </c>
      <c r="K102" t="e" cm="1">
        <f t="array" ref="K102">INDEX('GMW - worst case'!$A$2:$MC$200,MATCH(1,('GMW - worst case'!$MC$2:$MC$200=K$3)*('GMW - worst case'!$MB$2:$MB$200=K$4),0),$E102-1973)</f>
        <v>#N/A</v>
      </c>
      <c r="L102" t="e" cm="1">
        <f t="array" ref="L102">INDEX('GMW - worst case'!$A$2:$MC$200,MATCH(1,('GMW - worst case'!$MC$2:$MC$200=L$3)*('GMW - worst case'!$MB$2:$MB$200=L$4),0),$E102-1973)</f>
        <v>#N/A</v>
      </c>
      <c r="M102" t="e" cm="1">
        <f t="array" ref="M102">INDEX('GMW - worst case'!$A$2:$MC$200,MATCH(1,('GMW - worst case'!$MC$2:$MC$200=M$3)*('GMW - worst case'!$MB$2:$MB$200=M$4),0),$E102-1973)</f>
        <v>#N/A</v>
      </c>
      <c r="N102" t="e" cm="1">
        <f t="array" ref="N102">INDEX('GMW - worst case'!$A$2:$MC$200,MATCH(1,('GMW - worst case'!$MC$2:$MC$200=N$3)*('GMW - worst case'!$MB$2:$MB$200=N$4),0),$E102-1973)</f>
        <v>#N/A</v>
      </c>
      <c r="O102" t="e" cm="1">
        <f t="array" ref="O102">INDEX('GMW - worst case'!$A$2:$MC$200,MATCH(1,('GMW - worst case'!$MC$2:$MC$200=O$3)*('GMW - worst case'!$MB$2:$MB$200=O$4),0),$E102-1973)</f>
        <v>#N/A</v>
      </c>
      <c r="P102" t="e" cm="1">
        <f t="array" ref="P102">INDEX('GMW - worst case'!$A$2:$MC$200,MATCH(1,('GMW - worst case'!$MC$2:$MC$200=P$3)*('GMW - worst case'!$MB$2:$MB$200=P$4),0),$E102-1973)</f>
        <v>#N/A</v>
      </c>
      <c r="Q102" t="e" cm="1">
        <f t="array" ref="Q102">INDEX('GMW - worst case'!$A$2:$MC$200,MATCH(1,('GMW - worst case'!$MC$2:$MC$200=Q$3)*('GMW - worst case'!$MB$2:$MB$200=Q$4),0),$E102-1973)</f>
        <v>#N/A</v>
      </c>
      <c r="R102" t="e" cm="1">
        <f t="array" ref="R102">INDEX('GMW - worst case'!$A$2:$MC$200,MATCH(1,('GMW - worst case'!$MC$2:$MC$200=R$3)*('GMW - worst case'!$MB$2:$MB$200=R$4),0),$E102-1973)</f>
        <v>#N/A</v>
      </c>
      <c r="S102" t="e" cm="1">
        <f t="array" ref="S102">INDEX('GMW - worst case'!$A$2:$MC$200,MATCH(1,('GMW - worst case'!$MC$2:$MC$200=S$3)*('GMW - worst case'!$MB$2:$MB$200=S$4),0),$E102-1973)</f>
        <v>#N/A</v>
      </c>
    </row>
    <row r="103" spans="1:19" x14ac:dyDescent="0.25">
      <c r="A103">
        <v>2004</v>
      </c>
      <c r="B103">
        <f t="shared" si="8"/>
        <v>2004</v>
      </c>
      <c r="C103">
        <f t="shared" si="8"/>
        <v>2003</v>
      </c>
      <c r="D103">
        <f t="shared" si="8"/>
        <v>2003</v>
      </c>
      <c r="E103">
        <f t="shared" si="6"/>
        <v>2076</v>
      </c>
      <c r="F103" cm="1">
        <f t="array" ref="F103">INDEX('GMW - worst case'!$A$2:$MC$200,MATCH(1,('GMW - worst case'!$MC$2:$MC$200=F$3)*('GMW - worst case'!$MB$2:$MB$200=F$4),0),$E103-1973)</f>
        <v>529996</v>
      </c>
      <c r="G103" cm="1">
        <f t="array" ref="G103">INDEX('GMW - worst case'!$A$2:$MC$200,MATCH(1,('GMW - worst case'!$MC$2:$MC$200=G$3)*('GMW - worst case'!$MB$2:$MB$200=G$4),0),$E103-1973)</f>
        <v>322150</v>
      </c>
      <c r="H103" cm="1">
        <f t="array" ref="H103">INDEX('GMW - worst case'!$A$2:$MC$200,MATCH(1,('GMW - worst case'!$MC$2:$MC$200=H$3)*('GMW - worst case'!$MB$2:$MB$200=H$4),0),$E103-1973)</f>
        <v>75.966669999999993</v>
      </c>
      <c r="I103" cm="1">
        <f t="array" ref="I103">INDEX('GMW - worst case'!$A$2:$MC$200,MATCH(1,('GMW - worst case'!$MC$2:$MC$200=I$3)*('GMW - worst case'!$MB$2:$MB$200=I$4),0),$E103-1973)</f>
        <v>3.9038460000000001</v>
      </c>
      <c r="J103" t="e" cm="1">
        <f t="array" ref="J103">INDEX('GMW - worst case'!$A$2:$MC$200,MATCH(1,('GMW - worst case'!$MC$2:$MC$200=J$3)*('GMW - worst case'!$MB$2:$MB$200=J$4),0),$E103-1973)</f>
        <v>#N/A</v>
      </c>
      <c r="K103" t="e" cm="1">
        <f t="array" ref="K103">INDEX('GMW - worst case'!$A$2:$MC$200,MATCH(1,('GMW - worst case'!$MC$2:$MC$200=K$3)*('GMW - worst case'!$MB$2:$MB$200=K$4),0),$E103-1973)</f>
        <v>#N/A</v>
      </c>
      <c r="L103" t="e" cm="1">
        <f t="array" ref="L103">INDEX('GMW - worst case'!$A$2:$MC$200,MATCH(1,('GMW - worst case'!$MC$2:$MC$200=L$3)*('GMW - worst case'!$MB$2:$MB$200=L$4),0),$E103-1973)</f>
        <v>#N/A</v>
      </c>
      <c r="M103" t="e" cm="1">
        <f t="array" ref="M103">INDEX('GMW - worst case'!$A$2:$MC$200,MATCH(1,('GMW - worst case'!$MC$2:$MC$200=M$3)*('GMW - worst case'!$MB$2:$MB$200=M$4),0),$E103-1973)</f>
        <v>#N/A</v>
      </c>
      <c r="N103" t="e" cm="1">
        <f t="array" ref="N103">INDEX('GMW - worst case'!$A$2:$MC$200,MATCH(1,('GMW - worst case'!$MC$2:$MC$200=N$3)*('GMW - worst case'!$MB$2:$MB$200=N$4),0),$E103-1973)</f>
        <v>#N/A</v>
      </c>
      <c r="O103" t="e" cm="1">
        <f t="array" ref="O103">INDEX('GMW - worst case'!$A$2:$MC$200,MATCH(1,('GMW - worst case'!$MC$2:$MC$200=O$3)*('GMW - worst case'!$MB$2:$MB$200=O$4),0),$E103-1973)</f>
        <v>#N/A</v>
      </c>
      <c r="P103" t="e" cm="1">
        <f t="array" ref="P103">INDEX('GMW - worst case'!$A$2:$MC$200,MATCH(1,('GMW - worst case'!$MC$2:$MC$200=P$3)*('GMW - worst case'!$MB$2:$MB$200=P$4),0),$E103-1973)</f>
        <v>#N/A</v>
      </c>
      <c r="Q103" t="e" cm="1">
        <f t="array" ref="Q103">INDEX('GMW - worst case'!$A$2:$MC$200,MATCH(1,('GMW - worst case'!$MC$2:$MC$200=Q$3)*('GMW - worst case'!$MB$2:$MB$200=Q$4),0),$E103-1973)</f>
        <v>#N/A</v>
      </c>
      <c r="R103" t="e" cm="1">
        <f t="array" ref="R103">INDEX('GMW - worst case'!$A$2:$MC$200,MATCH(1,('GMW - worst case'!$MC$2:$MC$200=R$3)*('GMW - worst case'!$MB$2:$MB$200=R$4),0),$E103-1973)</f>
        <v>#N/A</v>
      </c>
      <c r="S103" t="e" cm="1">
        <f t="array" ref="S103">INDEX('GMW - worst case'!$A$2:$MC$200,MATCH(1,('GMW - worst case'!$MC$2:$MC$200=S$3)*('GMW - worst case'!$MB$2:$MB$200=S$4),0),$E103-1973)</f>
        <v>#N/A</v>
      </c>
    </row>
    <row r="104" spans="1:19" x14ac:dyDescent="0.25">
      <c r="B104">
        <f t="shared" si="8"/>
        <v>2004</v>
      </c>
      <c r="C104">
        <f t="shared" si="8"/>
        <v>2004</v>
      </c>
      <c r="E104">
        <f t="shared" si="6"/>
        <v>2077</v>
      </c>
      <c r="F104" cm="1">
        <f t="array" ref="F104">INDEX('GMW - worst case'!$A$2:$MC$200,MATCH(1,('GMW - worst case'!$MC$2:$MC$200=F$3)*('GMW - worst case'!$MB$2:$MB$200=F$4),0),$E104-1973)</f>
        <v>532543</v>
      </c>
      <c r="G104" cm="1">
        <f t="array" ref="G104">INDEX('GMW - worst case'!$A$2:$MC$200,MATCH(1,('GMW - worst case'!$MC$2:$MC$200=G$3)*('GMW - worst case'!$MB$2:$MB$200=G$4),0),$E104-1973)</f>
        <v>325157</v>
      </c>
      <c r="H104" cm="1">
        <f t="array" ref="H104">INDEX('GMW - worst case'!$A$2:$MC$200,MATCH(1,('GMW - worst case'!$MC$2:$MC$200=H$3)*('GMW - worst case'!$MB$2:$MB$200=H$4),0),$E104-1973)</f>
        <v>76.533330000000007</v>
      </c>
      <c r="I104" cm="1">
        <f t="array" ref="I104">INDEX('GMW - worst case'!$A$2:$MC$200,MATCH(1,('GMW - worst case'!$MC$2:$MC$200=I$3)*('GMW - worst case'!$MB$2:$MB$200=I$4),0),$E104-1973)</f>
        <v>4.211538</v>
      </c>
      <c r="J104" t="e" cm="1">
        <f t="array" ref="J104">INDEX('GMW - worst case'!$A$2:$MC$200,MATCH(1,('GMW - worst case'!$MC$2:$MC$200=J$3)*('GMW - worst case'!$MB$2:$MB$200=J$4),0),$E104-1973)</f>
        <v>#N/A</v>
      </c>
      <c r="K104" t="e" cm="1">
        <f t="array" ref="K104">INDEX('GMW - worst case'!$A$2:$MC$200,MATCH(1,('GMW - worst case'!$MC$2:$MC$200=K$3)*('GMW - worst case'!$MB$2:$MB$200=K$4),0),$E104-1973)</f>
        <v>#N/A</v>
      </c>
      <c r="L104" t="e" cm="1">
        <f t="array" ref="L104">INDEX('GMW - worst case'!$A$2:$MC$200,MATCH(1,('GMW - worst case'!$MC$2:$MC$200=L$3)*('GMW - worst case'!$MB$2:$MB$200=L$4),0),$E104-1973)</f>
        <v>#N/A</v>
      </c>
      <c r="M104" t="e" cm="1">
        <f t="array" ref="M104">INDEX('GMW - worst case'!$A$2:$MC$200,MATCH(1,('GMW - worst case'!$MC$2:$MC$200=M$3)*('GMW - worst case'!$MB$2:$MB$200=M$4),0),$E104-1973)</f>
        <v>#N/A</v>
      </c>
      <c r="N104" t="e" cm="1">
        <f t="array" ref="N104">INDEX('GMW - worst case'!$A$2:$MC$200,MATCH(1,('GMW - worst case'!$MC$2:$MC$200=N$3)*('GMW - worst case'!$MB$2:$MB$200=N$4),0),$E104-1973)</f>
        <v>#N/A</v>
      </c>
      <c r="O104" t="e" cm="1">
        <f t="array" ref="O104">INDEX('GMW - worst case'!$A$2:$MC$200,MATCH(1,('GMW - worst case'!$MC$2:$MC$200=O$3)*('GMW - worst case'!$MB$2:$MB$200=O$4),0),$E104-1973)</f>
        <v>#N/A</v>
      </c>
      <c r="P104" t="e" cm="1">
        <f t="array" ref="P104">INDEX('GMW - worst case'!$A$2:$MC$200,MATCH(1,('GMW - worst case'!$MC$2:$MC$200=P$3)*('GMW - worst case'!$MB$2:$MB$200=P$4),0),$E104-1973)</f>
        <v>#N/A</v>
      </c>
      <c r="Q104" t="e" cm="1">
        <f t="array" ref="Q104">INDEX('GMW - worst case'!$A$2:$MC$200,MATCH(1,('GMW - worst case'!$MC$2:$MC$200=Q$3)*('GMW - worst case'!$MB$2:$MB$200=Q$4),0),$E104-1973)</f>
        <v>#N/A</v>
      </c>
      <c r="R104" t="e" cm="1">
        <f t="array" ref="R104">INDEX('GMW - worst case'!$A$2:$MC$200,MATCH(1,('GMW - worst case'!$MC$2:$MC$200=R$3)*('GMW - worst case'!$MB$2:$MB$200=R$4),0),$E104-1973)</f>
        <v>#N/A</v>
      </c>
      <c r="S104" t="e" cm="1">
        <f t="array" ref="S104">INDEX('GMW - worst case'!$A$2:$MC$200,MATCH(1,('GMW - worst case'!$MC$2:$MC$200=S$3)*('GMW - worst case'!$MB$2:$MB$200=S$4),0),$E104-1973)</f>
        <v>#N/A</v>
      </c>
    </row>
    <row r="105" spans="1:19" x14ac:dyDescent="0.25">
      <c r="B105">
        <f t="shared" si="8"/>
        <v>2004</v>
      </c>
      <c r="C105">
        <f t="shared" si="8"/>
        <v>2004</v>
      </c>
      <c r="E105">
        <f t="shared" si="6"/>
        <v>2078</v>
      </c>
      <c r="F105" cm="1">
        <f t="array" ref="F105">INDEX('GMW - worst case'!$A$2:$MC$200,MATCH(1,('GMW - worst case'!$MC$2:$MC$200=F$3)*('GMW - worst case'!$MB$2:$MB$200=F$4),0),$E105-1973)</f>
        <v>534447</v>
      </c>
      <c r="G105" cm="1">
        <f t="array" ref="G105">INDEX('GMW - worst case'!$A$2:$MC$200,MATCH(1,('GMW - worst case'!$MC$2:$MC$200=G$3)*('GMW - worst case'!$MB$2:$MB$200=G$4),0),$E105-1973)</f>
        <v>326983</v>
      </c>
      <c r="H105" cm="1">
        <f t="array" ref="H105">INDEX('GMW - worst case'!$A$2:$MC$200,MATCH(1,('GMW - worst case'!$MC$2:$MC$200=H$3)*('GMW - worst case'!$MB$2:$MB$200=H$4),0),$E105-1973)</f>
        <v>76.566670000000002</v>
      </c>
      <c r="I105" cm="1">
        <f t="array" ref="I105">INDEX('GMW - worst case'!$A$2:$MC$200,MATCH(1,('GMW - worst case'!$MC$2:$MC$200=I$3)*('GMW - worst case'!$MB$2:$MB$200=I$4),0),$E105-1973)</f>
        <v>4.655303</v>
      </c>
      <c r="J105" t="e" cm="1">
        <f t="array" ref="J105">INDEX('GMW - worst case'!$A$2:$MC$200,MATCH(1,('GMW - worst case'!$MC$2:$MC$200=J$3)*('GMW - worst case'!$MB$2:$MB$200=J$4),0),$E105-1973)</f>
        <v>#N/A</v>
      </c>
      <c r="K105" t="e" cm="1">
        <f t="array" ref="K105">INDEX('GMW - worst case'!$A$2:$MC$200,MATCH(1,('GMW - worst case'!$MC$2:$MC$200=K$3)*('GMW - worst case'!$MB$2:$MB$200=K$4),0),$E105-1973)</f>
        <v>#N/A</v>
      </c>
      <c r="L105" t="e" cm="1">
        <f t="array" ref="L105">INDEX('GMW - worst case'!$A$2:$MC$200,MATCH(1,('GMW - worst case'!$MC$2:$MC$200=L$3)*('GMW - worst case'!$MB$2:$MB$200=L$4),0),$E105-1973)</f>
        <v>#N/A</v>
      </c>
      <c r="M105" t="e" cm="1">
        <f t="array" ref="M105">INDEX('GMW - worst case'!$A$2:$MC$200,MATCH(1,('GMW - worst case'!$MC$2:$MC$200=M$3)*('GMW - worst case'!$MB$2:$MB$200=M$4),0),$E105-1973)</f>
        <v>#N/A</v>
      </c>
      <c r="N105" t="e" cm="1">
        <f t="array" ref="N105">INDEX('GMW - worst case'!$A$2:$MC$200,MATCH(1,('GMW - worst case'!$MC$2:$MC$200=N$3)*('GMW - worst case'!$MB$2:$MB$200=N$4),0),$E105-1973)</f>
        <v>#N/A</v>
      </c>
      <c r="O105" t="e" cm="1">
        <f t="array" ref="O105">INDEX('GMW - worst case'!$A$2:$MC$200,MATCH(1,('GMW - worst case'!$MC$2:$MC$200=O$3)*('GMW - worst case'!$MB$2:$MB$200=O$4),0),$E105-1973)</f>
        <v>#N/A</v>
      </c>
      <c r="P105" t="e" cm="1">
        <f t="array" ref="P105">INDEX('GMW - worst case'!$A$2:$MC$200,MATCH(1,('GMW - worst case'!$MC$2:$MC$200=P$3)*('GMW - worst case'!$MB$2:$MB$200=P$4),0),$E105-1973)</f>
        <v>#N/A</v>
      </c>
      <c r="Q105" t="e" cm="1">
        <f t="array" ref="Q105">INDEX('GMW - worst case'!$A$2:$MC$200,MATCH(1,('GMW - worst case'!$MC$2:$MC$200=Q$3)*('GMW - worst case'!$MB$2:$MB$200=Q$4),0),$E105-1973)</f>
        <v>#N/A</v>
      </c>
      <c r="R105" t="e" cm="1">
        <f t="array" ref="R105">INDEX('GMW - worst case'!$A$2:$MC$200,MATCH(1,('GMW - worst case'!$MC$2:$MC$200=R$3)*('GMW - worst case'!$MB$2:$MB$200=R$4),0),$E105-1973)</f>
        <v>#N/A</v>
      </c>
      <c r="S105" t="e" cm="1">
        <f t="array" ref="S105">INDEX('GMW - worst case'!$A$2:$MC$200,MATCH(1,('GMW - worst case'!$MC$2:$MC$200=S$3)*('GMW - worst case'!$MB$2:$MB$200=S$4),0),$E105-1973)</f>
        <v>#N/A</v>
      </c>
    </row>
    <row r="106" spans="1:19" x14ac:dyDescent="0.25">
      <c r="B106">
        <f t="shared" si="8"/>
        <v>2004</v>
      </c>
      <c r="C106">
        <f t="shared" si="8"/>
        <v>2004</v>
      </c>
      <c r="E106">
        <f t="shared" si="6"/>
        <v>2079</v>
      </c>
      <c r="F106" cm="1">
        <f t="array" ref="F106">INDEX('GMW - worst case'!$A$2:$MC$200,MATCH(1,('GMW - worst case'!$MC$2:$MC$200=F$3)*('GMW - worst case'!$MB$2:$MB$200=F$4),0),$E106-1973)</f>
        <v>536886</v>
      </c>
      <c r="G106" cm="1">
        <f t="array" ref="G106">INDEX('GMW - worst case'!$A$2:$MC$200,MATCH(1,('GMW - worst case'!$MC$2:$MC$200=G$3)*('GMW - worst case'!$MB$2:$MB$200=G$4),0),$E106-1973)</f>
        <v>329186</v>
      </c>
      <c r="H106" cm="1">
        <f t="array" ref="H106">INDEX('GMW - worst case'!$A$2:$MC$200,MATCH(1,('GMW - worst case'!$MC$2:$MC$200=H$3)*('GMW - worst case'!$MB$2:$MB$200=H$4),0),$E106-1973)</f>
        <v>77.099999999999994</v>
      </c>
      <c r="I106" cm="1">
        <f t="array" ref="I106">INDEX('GMW - worst case'!$A$2:$MC$200,MATCH(1,('GMW - worst case'!$MC$2:$MC$200=I$3)*('GMW - worst case'!$MB$2:$MB$200=I$4),0),$E106-1973)</f>
        <v>4.75</v>
      </c>
      <c r="J106" t="e" cm="1">
        <f t="array" ref="J106">INDEX('GMW - worst case'!$A$2:$MC$200,MATCH(1,('GMW - worst case'!$MC$2:$MC$200=J$3)*('GMW - worst case'!$MB$2:$MB$200=J$4),0),$E106-1973)</f>
        <v>#N/A</v>
      </c>
      <c r="K106" t="e" cm="1">
        <f t="array" ref="K106">INDEX('GMW - worst case'!$A$2:$MC$200,MATCH(1,('GMW - worst case'!$MC$2:$MC$200=K$3)*('GMW - worst case'!$MB$2:$MB$200=K$4),0),$E106-1973)</f>
        <v>#N/A</v>
      </c>
      <c r="L106" t="e" cm="1">
        <f t="array" ref="L106">INDEX('GMW - worst case'!$A$2:$MC$200,MATCH(1,('GMW - worst case'!$MC$2:$MC$200=L$3)*('GMW - worst case'!$MB$2:$MB$200=L$4),0),$E106-1973)</f>
        <v>#N/A</v>
      </c>
      <c r="M106" t="e" cm="1">
        <f t="array" ref="M106">INDEX('GMW - worst case'!$A$2:$MC$200,MATCH(1,('GMW - worst case'!$MC$2:$MC$200=M$3)*('GMW - worst case'!$MB$2:$MB$200=M$4),0),$E106-1973)</f>
        <v>#N/A</v>
      </c>
      <c r="N106" t="e" cm="1">
        <f t="array" ref="N106">INDEX('GMW - worst case'!$A$2:$MC$200,MATCH(1,('GMW - worst case'!$MC$2:$MC$200=N$3)*('GMW - worst case'!$MB$2:$MB$200=N$4),0),$E106-1973)</f>
        <v>#N/A</v>
      </c>
      <c r="O106" t="e" cm="1">
        <f t="array" ref="O106">INDEX('GMW - worst case'!$A$2:$MC$200,MATCH(1,('GMW - worst case'!$MC$2:$MC$200=O$3)*('GMW - worst case'!$MB$2:$MB$200=O$4),0),$E106-1973)</f>
        <v>#N/A</v>
      </c>
      <c r="P106" t="e" cm="1">
        <f t="array" ref="P106">INDEX('GMW - worst case'!$A$2:$MC$200,MATCH(1,('GMW - worst case'!$MC$2:$MC$200=P$3)*('GMW - worst case'!$MB$2:$MB$200=P$4),0),$E106-1973)</f>
        <v>#N/A</v>
      </c>
      <c r="Q106" t="e" cm="1">
        <f t="array" ref="Q106">INDEX('GMW - worst case'!$A$2:$MC$200,MATCH(1,('GMW - worst case'!$MC$2:$MC$200=Q$3)*('GMW - worst case'!$MB$2:$MB$200=Q$4),0),$E106-1973)</f>
        <v>#N/A</v>
      </c>
      <c r="R106" t="e" cm="1">
        <f t="array" ref="R106">INDEX('GMW - worst case'!$A$2:$MC$200,MATCH(1,('GMW - worst case'!$MC$2:$MC$200=R$3)*('GMW - worst case'!$MB$2:$MB$200=R$4),0),$E106-1973)</f>
        <v>#N/A</v>
      </c>
      <c r="S106" t="e" cm="1">
        <f t="array" ref="S106">INDEX('GMW - worst case'!$A$2:$MC$200,MATCH(1,('GMW - worst case'!$MC$2:$MC$200=S$3)*('GMW - worst case'!$MB$2:$MB$200=S$4),0),$E106-1973)</f>
        <v>#N/A</v>
      </c>
    </row>
    <row r="107" spans="1:19" x14ac:dyDescent="0.25">
      <c r="A107">
        <v>2005</v>
      </c>
      <c r="B107">
        <f t="shared" si="8"/>
        <v>2005</v>
      </c>
      <c r="C107">
        <f t="shared" si="8"/>
        <v>2004</v>
      </c>
      <c r="D107">
        <f t="shared" si="8"/>
        <v>2004</v>
      </c>
      <c r="E107">
        <f t="shared" si="6"/>
        <v>2080</v>
      </c>
      <c r="F107" cm="1">
        <f t="array" ref="F107">INDEX('GMW - worst case'!$A$2:$MC$200,MATCH(1,('GMW - worst case'!$MC$2:$MC$200=F$3)*('GMW - worst case'!$MB$2:$MB$200=F$4),0),$E107-1973)</f>
        <v>541028</v>
      </c>
      <c r="G107" cm="1">
        <f t="array" ref="G107">INDEX('GMW - worst case'!$A$2:$MC$200,MATCH(1,('GMW - worst case'!$MC$2:$MC$200=G$3)*('GMW - worst case'!$MB$2:$MB$200=G$4),0),$E107-1973)</f>
        <v>332385</v>
      </c>
      <c r="H107" cm="1">
        <f t="array" ref="H107">INDEX('GMW - worst case'!$A$2:$MC$200,MATCH(1,('GMW - worst case'!$MC$2:$MC$200=H$3)*('GMW - worst case'!$MB$2:$MB$200=H$4),0),$E107-1973)</f>
        <v>77.233329999999995</v>
      </c>
      <c r="I107" cm="1">
        <f t="array" ref="I107">INDEX('GMW - worst case'!$A$2:$MC$200,MATCH(1,('GMW - worst case'!$MC$2:$MC$200=I$3)*('GMW - worst case'!$MB$2:$MB$200=I$4),0),$E107-1973)</f>
        <v>4.75</v>
      </c>
      <c r="J107" t="e" cm="1">
        <f t="array" ref="J107">INDEX('GMW - worst case'!$A$2:$MC$200,MATCH(1,('GMW - worst case'!$MC$2:$MC$200=J$3)*('GMW - worst case'!$MB$2:$MB$200=J$4),0),$E107-1973)</f>
        <v>#N/A</v>
      </c>
      <c r="K107" t="e" cm="1">
        <f t="array" ref="K107">INDEX('GMW - worst case'!$A$2:$MC$200,MATCH(1,('GMW - worst case'!$MC$2:$MC$200=K$3)*('GMW - worst case'!$MB$2:$MB$200=K$4),0),$E107-1973)</f>
        <v>#N/A</v>
      </c>
      <c r="L107" t="e" cm="1">
        <f t="array" ref="L107">INDEX('GMW - worst case'!$A$2:$MC$200,MATCH(1,('GMW - worst case'!$MC$2:$MC$200=L$3)*('GMW - worst case'!$MB$2:$MB$200=L$4),0),$E107-1973)</f>
        <v>#N/A</v>
      </c>
      <c r="M107" t="e" cm="1">
        <f t="array" ref="M107">INDEX('GMW - worst case'!$A$2:$MC$200,MATCH(1,('GMW - worst case'!$MC$2:$MC$200=M$3)*('GMW - worst case'!$MB$2:$MB$200=M$4),0),$E107-1973)</f>
        <v>#N/A</v>
      </c>
      <c r="N107" t="e" cm="1">
        <f t="array" ref="N107">INDEX('GMW - worst case'!$A$2:$MC$200,MATCH(1,('GMW - worst case'!$MC$2:$MC$200=N$3)*('GMW - worst case'!$MB$2:$MB$200=N$4),0),$E107-1973)</f>
        <v>#N/A</v>
      </c>
      <c r="O107" t="e" cm="1">
        <f t="array" ref="O107">INDEX('GMW - worst case'!$A$2:$MC$200,MATCH(1,('GMW - worst case'!$MC$2:$MC$200=O$3)*('GMW - worst case'!$MB$2:$MB$200=O$4),0),$E107-1973)</f>
        <v>#N/A</v>
      </c>
      <c r="P107" t="e" cm="1">
        <f t="array" ref="P107">INDEX('GMW - worst case'!$A$2:$MC$200,MATCH(1,('GMW - worst case'!$MC$2:$MC$200=P$3)*('GMW - worst case'!$MB$2:$MB$200=P$4),0),$E107-1973)</f>
        <v>#N/A</v>
      </c>
      <c r="Q107" t="e" cm="1">
        <f t="array" ref="Q107">INDEX('GMW - worst case'!$A$2:$MC$200,MATCH(1,('GMW - worst case'!$MC$2:$MC$200=Q$3)*('GMW - worst case'!$MB$2:$MB$200=Q$4),0),$E107-1973)</f>
        <v>#N/A</v>
      </c>
      <c r="R107" t="e" cm="1">
        <f t="array" ref="R107">INDEX('GMW - worst case'!$A$2:$MC$200,MATCH(1,('GMW - worst case'!$MC$2:$MC$200=R$3)*('GMW - worst case'!$MB$2:$MB$200=R$4),0),$E107-1973)</f>
        <v>#N/A</v>
      </c>
      <c r="S107" t="e" cm="1">
        <f t="array" ref="S107">INDEX('GMW - worst case'!$A$2:$MC$200,MATCH(1,('GMW - worst case'!$MC$2:$MC$200=S$3)*('GMW - worst case'!$MB$2:$MB$200=S$4),0),$E107-1973)</f>
        <v>#N/A</v>
      </c>
    </row>
    <row r="108" spans="1:19" x14ac:dyDescent="0.25">
      <c r="B108">
        <f t="shared" ref="B108:D123" si="9">+B104+1</f>
        <v>2005</v>
      </c>
      <c r="C108">
        <f t="shared" si="9"/>
        <v>2005</v>
      </c>
      <c r="E108">
        <f t="shared" si="6"/>
        <v>2081</v>
      </c>
      <c r="F108" cm="1">
        <f t="array" ref="F108">INDEX('GMW - worst case'!$A$2:$MC$200,MATCH(1,('GMW - worst case'!$MC$2:$MC$200=F$3)*('GMW - worst case'!$MB$2:$MB$200=F$4),0),$E108-1973)</f>
        <v>545530</v>
      </c>
      <c r="G108" cm="1">
        <f t="array" ref="G108">INDEX('GMW - worst case'!$A$2:$MC$200,MATCH(1,('GMW - worst case'!$MC$2:$MC$200=G$3)*('GMW - worst case'!$MB$2:$MB$200=G$4),0),$E108-1973)</f>
        <v>333357</v>
      </c>
      <c r="H108" cm="1">
        <f t="array" ref="H108">INDEX('GMW - worst case'!$A$2:$MC$200,MATCH(1,('GMW - worst case'!$MC$2:$MC$200=H$3)*('GMW - worst case'!$MB$2:$MB$200=H$4),0),$E108-1973)</f>
        <v>78</v>
      </c>
      <c r="I108" cm="1">
        <f t="array" ref="I108">INDEX('GMW - worst case'!$A$2:$MC$200,MATCH(1,('GMW - worst case'!$MC$2:$MC$200=I$3)*('GMW - worst case'!$MB$2:$MB$200=I$4),0),$E108-1973)</f>
        <v>4.75</v>
      </c>
      <c r="J108" t="e" cm="1">
        <f t="array" ref="J108">INDEX('GMW - worst case'!$A$2:$MC$200,MATCH(1,('GMW - worst case'!$MC$2:$MC$200=J$3)*('GMW - worst case'!$MB$2:$MB$200=J$4),0),$E108-1973)</f>
        <v>#N/A</v>
      </c>
      <c r="K108" t="e" cm="1">
        <f t="array" ref="K108">INDEX('GMW - worst case'!$A$2:$MC$200,MATCH(1,('GMW - worst case'!$MC$2:$MC$200=K$3)*('GMW - worst case'!$MB$2:$MB$200=K$4),0),$E108-1973)</f>
        <v>#N/A</v>
      </c>
      <c r="L108" t="e" cm="1">
        <f t="array" ref="L108">INDEX('GMW - worst case'!$A$2:$MC$200,MATCH(1,('GMW - worst case'!$MC$2:$MC$200=L$3)*('GMW - worst case'!$MB$2:$MB$200=L$4),0),$E108-1973)</f>
        <v>#N/A</v>
      </c>
      <c r="M108" t="e" cm="1">
        <f t="array" ref="M108">INDEX('GMW - worst case'!$A$2:$MC$200,MATCH(1,('GMW - worst case'!$MC$2:$MC$200=M$3)*('GMW - worst case'!$MB$2:$MB$200=M$4),0),$E108-1973)</f>
        <v>#N/A</v>
      </c>
      <c r="N108" t="e" cm="1">
        <f t="array" ref="N108">INDEX('GMW - worst case'!$A$2:$MC$200,MATCH(1,('GMW - worst case'!$MC$2:$MC$200=N$3)*('GMW - worst case'!$MB$2:$MB$200=N$4),0),$E108-1973)</f>
        <v>#N/A</v>
      </c>
      <c r="O108" t="e" cm="1">
        <f t="array" ref="O108">INDEX('GMW - worst case'!$A$2:$MC$200,MATCH(1,('GMW - worst case'!$MC$2:$MC$200=O$3)*('GMW - worst case'!$MB$2:$MB$200=O$4),0),$E108-1973)</f>
        <v>#N/A</v>
      </c>
      <c r="P108" t="e" cm="1">
        <f t="array" ref="P108">INDEX('GMW - worst case'!$A$2:$MC$200,MATCH(1,('GMW - worst case'!$MC$2:$MC$200=P$3)*('GMW - worst case'!$MB$2:$MB$200=P$4),0),$E108-1973)</f>
        <v>#N/A</v>
      </c>
      <c r="Q108" t="e" cm="1">
        <f t="array" ref="Q108">INDEX('GMW - worst case'!$A$2:$MC$200,MATCH(1,('GMW - worst case'!$MC$2:$MC$200=Q$3)*('GMW - worst case'!$MB$2:$MB$200=Q$4),0),$E108-1973)</f>
        <v>#N/A</v>
      </c>
      <c r="R108" t="e" cm="1">
        <f t="array" ref="R108">INDEX('GMW - worst case'!$A$2:$MC$200,MATCH(1,('GMW - worst case'!$MC$2:$MC$200=R$3)*('GMW - worst case'!$MB$2:$MB$200=R$4),0),$E108-1973)</f>
        <v>#N/A</v>
      </c>
      <c r="S108" t="e" cm="1">
        <f t="array" ref="S108">INDEX('GMW - worst case'!$A$2:$MC$200,MATCH(1,('GMW - worst case'!$MC$2:$MC$200=S$3)*('GMW - worst case'!$MB$2:$MB$200=S$4),0),$E108-1973)</f>
        <v>#N/A</v>
      </c>
    </row>
    <row r="109" spans="1:19" x14ac:dyDescent="0.25">
      <c r="B109">
        <f t="shared" si="9"/>
        <v>2005</v>
      </c>
      <c r="C109">
        <f t="shared" si="9"/>
        <v>2005</v>
      </c>
      <c r="E109">
        <f t="shared" si="6"/>
        <v>2082</v>
      </c>
      <c r="F109" cm="1">
        <f t="array" ref="F109">INDEX('GMW - worst case'!$A$2:$MC$200,MATCH(1,('GMW - worst case'!$MC$2:$MC$200=F$3)*('GMW - worst case'!$MB$2:$MB$200=F$4),0),$E109-1973)</f>
        <v>550552</v>
      </c>
      <c r="G109" cm="1">
        <f t="array" ref="G109">INDEX('GMW - worst case'!$A$2:$MC$200,MATCH(1,('GMW - worst case'!$MC$2:$MC$200=G$3)*('GMW - worst case'!$MB$2:$MB$200=G$4),0),$E109-1973)</f>
        <v>335900</v>
      </c>
      <c r="H109" cm="1">
        <f t="array" ref="H109">INDEX('GMW - worst case'!$A$2:$MC$200,MATCH(1,('GMW - worst case'!$MC$2:$MC$200=H$3)*('GMW - worst case'!$MB$2:$MB$200=H$4),0),$E109-1973)</f>
        <v>78.400000000000006</v>
      </c>
      <c r="I109" cm="1">
        <f t="array" ref="I109">INDEX('GMW - worst case'!$A$2:$MC$200,MATCH(1,('GMW - worst case'!$MC$2:$MC$200=I$3)*('GMW - worst case'!$MB$2:$MB$200=I$4),0),$E109-1973)</f>
        <v>4.5909089999999999</v>
      </c>
      <c r="J109" t="e" cm="1">
        <f t="array" ref="J109">INDEX('GMW - worst case'!$A$2:$MC$200,MATCH(1,('GMW - worst case'!$MC$2:$MC$200=J$3)*('GMW - worst case'!$MB$2:$MB$200=J$4),0),$E109-1973)</f>
        <v>#N/A</v>
      </c>
      <c r="K109" t="e" cm="1">
        <f t="array" ref="K109">INDEX('GMW - worst case'!$A$2:$MC$200,MATCH(1,('GMW - worst case'!$MC$2:$MC$200=K$3)*('GMW - worst case'!$MB$2:$MB$200=K$4),0),$E109-1973)</f>
        <v>#N/A</v>
      </c>
      <c r="L109" t="e" cm="1">
        <f t="array" ref="L109">INDEX('GMW - worst case'!$A$2:$MC$200,MATCH(1,('GMW - worst case'!$MC$2:$MC$200=L$3)*('GMW - worst case'!$MB$2:$MB$200=L$4),0),$E109-1973)</f>
        <v>#N/A</v>
      </c>
      <c r="M109" t="e" cm="1">
        <f t="array" ref="M109">INDEX('GMW - worst case'!$A$2:$MC$200,MATCH(1,('GMW - worst case'!$MC$2:$MC$200=M$3)*('GMW - worst case'!$MB$2:$MB$200=M$4),0),$E109-1973)</f>
        <v>#N/A</v>
      </c>
      <c r="N109" t="e" cm="1">
        <f t="array" ref="N109">INDEX('GMW - worst case'!$A$2:$MC$200,MATCH(1,('GMW - worst case'!$MC$2:$MC$200=N$3)*('GMW - worst case'!$MB$2:$MB$200=N$4),0),$E109-1973)</f>
        <v>#N/A</v>
      </c>
      <c r="O109" t="e" cm="1">
        <f t="array" ref="O109">INDEX('GMW - worst case'!$A$2:$MC$200,MATCH(1,('GMW - worst case'!$MC$2:$MC$200=O$3)*('GMW - worst case'!$MB$2:$MB$200=O$4),0),$E109-1973)</f>
        <v>#N/A</v>
      </c>
      <c r="P109" t="e" cm="1">
        <f t="array" ref="P109">INDEX('GMW - worst case'!$A$2:$MC$200,MATCH(1,('GMW - worst case'!$MC$2:$MC$200=P$3)*('GMW - worst case'!$MB$2:$MB$200=P$4),0),$E109-1973)</f>
        <v>#N/A</v>
      </c>
      <c r="Q109" t="e" cm="1">
        <f t="array" ref="Q109">INDEX('GMW - worst case'!$A$2:$MC$200,MATCH(1,('GMW - worst case'!$MC$2:$MC$200=Q$3)*('GMW - worst case'!$MB$2:$MB$200=Q$4),0),$E109-1973)</f>
        <v>#N/A</v>
      </c>
      <c r="R109" t="e" cm="1">
        <f t="array" ref="R109">INDEX('GMW - worst case'!$A$2:$MC$200,MATCH(1,('GMW - worst case'!$MC$2:$MC$200=R$3)*('GMW - worst case'!$MB$2:$MB$200=R$4),0),$E109-1973)</f>
        <v>#N/A</v>
      </c>
      <c r="S109" t="e" cm="1">
        <f t="array" ref="S109">INDEX('GMW - worst case'!$A$2:$MC$200,MATCH(1,('GMW - worst case'!$MC$2:$MC$200=S$3)*('GMW - worst case'!$MB$2:$MB$200=S$4),0),$E109-1973)</f>
        <v>#N/A</v>
      </c>
    </row>
    <row r="110" spans="1:19" x14ac:dyDescent="0.25">
      <c r="B110">
        <f t="shared" si="9"/>
        <v>2005</v>
      </c>
      <c r="C110">
        <f t="shared" si="9"/>
        <v>2005</v>
      </c>
      <c r="E110">
        <f t="shared" si="6"/>
        <v>2083</v>
      </c>
      <c r="F110" cm="1">
        <f t="array" ref="F110">INDEX('GMW - worst case'!$A$2:$MC$200,MATCH(1,('GMW - worst case'!$MC$2:$MC$200=F$3)*('GMW - worst case'!$MB$2:$MB$200=F$4),0),$E110-1973)</f>
        <v>556311</v>
      </c>
      <c r="G110" cm="1">
        <f t="array" ref="G110">INDEX('GMW - worst case'!$A$2:$MC$200,MATCH(1,('GMW - worst case'!$MC$2:$MC$200=G$3)*('GMW - worst case'!$MB$2:$MB$200=G$4),0),$E110-1973)</f>
        <v>336830</v>
      </c>
      <c r="H110" cm="1">
        <f t="array" ref="H110">INDEX('GMW - worst case'!$A$2:$MC$200,MATCH(1,('GMW - worst case'!$MC$2:$MC$200=H$3)*('GMW - worst case'!$MB$2:$MB$200=H$4),0),$E110-1973)</f>
        <v>78.766670000000005</v>
      </c>
      <c r="I110" cm="1">
        <f t="array" ref="I110">INDEX('GMW - worst case'!$A$2:$MC$200,MATCH(1,('GMW - worst case'!$MC$2:$MC$200=I$3)*('GMW - worst case'!$MB$2:$MB$200=I$4),0),$E110-1973)</f>
        <v>4.5</v>
      </c>
      <c r="J110" t="e" cm="1">
        <f t="array" ref="J110">INDEX('GMW - worst case'!$A$2:$MC$200,MATCH(1,('GMW - worst case'!$MC$2:$MC$200=J$3)*('GMW - worst case'!$MB$2:$MB$200=J$4),0),$E110-1973)</f>
        <v>#N/A</v>
      </c>
      <c r="K110" t="e" cm="1">
        <f t="array" ref="K110">INDEX('GMW - worst case'!$A$2:$MC$200,MATCH(1,('GMW - worst case'!$MC$2:$MC$200=K$3)*('GMW - worst case'!$MB$2:$MB$200=K$4),0),$E110-1973)</f>
        <v>#N/A</v>
      </c>
      <c r="L110" t="e" cm="1">
        <f t="array" ref="L110">INDEX('GMW - worst case'!$A$2:$MC$200,MATCH(1,('GMW - worst case'!$MC$2:$MC$200=L$3)*('GMW - worst case'!$MB$2:$MB$200=L$4),0),$E110-1973)</f>
        <v>#N/A</v>
      </c>
      <c r="M110" t="e" cm="1">
        <f t="array" ref="M110">INDEX('GMW - worst case'!$A$2:$MC$200,MATCH(1,('GMW - worst case'!$MC$2:$MC$200=M$3)*('GMW - worst case'!$MB$2:$MB$200=M$4),0),$E110-1973)</f>
        <v>#N/A</v>
      </c>
      <c r="N110" t="e" cm="1">
        <f t="array" ref="N110">INDEX('GMW - worst case'!$A$2:$MC$200,MATCH(1,('GMW - worst case'!$MC$2:$MC$200=N$3)*('GMW - worst case'!$MB$2:$MB$200=N$4),0),$E110-1973)</f>
        <v>#N/A</v>
      </c>
      <c r="O110" t="e" cm="1">
        <f t="array" ref="O110">INDEX('GMW - worst case'!$A$2:$MC$200,MATCH(1,('GMW - worst case'!$MC$2:$MC$200=O$3)*('GMW - worst case'!$MB$2:$MB$200=O$4),0),$E110-1973)</f>
        <v>#N/A</v>
      </c>
      <c r="P110" t="e" cm="1">
        <f t="array" ref="P110">INDEX('GMW - worst case'!$A$2:$MC$200,MATCH(1,('GMW - worst case'!$MC$2:$MC$200=P$3)*('GMW - worst case'!$MB$2:$MB$200=P$4),0),$E110-1973)</f>
        <v>#N/A</v>
      </c>
      <c r="Q110" t="e" cm="1">
        <f t="array" ref="Q110">INDEX('GMW - worst case'!$A$2:$MC$200,MATCH(1,('GMW - worst case'!$MC$2:$MC$200=Q$3)*('GMW - worst case'!$MB$2:$MB$200=Q$4),0),$E110-1973)</f>
        <v>#N/A</v>
      </c>
      <c r="R110" t="e" cm="1">
        <f t="array" ref="R110">INDEX('GMW - worst case'!$A$2:$MC$200,MATCH(1,('GMW - worst case'!$MC$2:$MC$200=R$3)*('GMW - worst case'!$MB$2:$MB$200=R$4),0),$E110-1973)</f>
        <v>#N/A</v>
      </c>
      <c r="S110" t="e" cm="1">
        <f t="array" ref="S110">INDEX('GMW - worst case'!$A$2:$MC$200,MATCH(1,('GMW - worst case'!$MC$2:$MC$200=S$3)*('GMW - worst case'!$MB$2:$MB$200=S$4),0),$E110-1973)</f>
        <v>#N/A</v>
      </c>
    </row>
    <row r="111" spans="1:19" x14ac:dyDescent="0.25">
      <c r="A111">
        <v>2006</v>
      </c>
      <c r="B111">
        <f t="shared" si="9"/>
        <v>2006</v>
      </c>
      <c r="C111">
        <f t="shared" si="9"/>
        <v>2005</v>
      </c>
      <c r="D111">
        <f t="shared" si="9"/>
        <v>2005</v>
      </c>
      <c r="E111">
        <f t="shared" si="6"/>
        <v>2084</v>
      </c>
      <c r="F111" cm="1">
        <f t="array" ref="F111">INDEX('GMW - worst case'!$A$2:$MC$200,MATCH(1,('GMW - worst case'!$MC$2:$MC$200=F$3)*('GMW - worst case'!$MB$2:$MB$200=F$4),0),$E111-1973)</f>
        <v>558314</v>
      </c>
      <c r="G111" cm="1">
        <f t="array" ref="G111">INDEX('GMW - worst case'!$A$2:$MC$200,MATCH(1,('GMW - worst case'!$MC$2:$MC$200=G$3)*('GMW - worst case'!$MB$2:$MB$200=G$4),0),$E111-1973)</f>
        <v>335359</v>
      </c>
      <c r="H111" cm="1">
        <f t="array" ref="H111">INDEX('GMW - worst case'!$A$2:$MC$200,MATCH(1,('GMW - worst case'!$MC$2:$MC$200=H$3)*('GMW - worst case'!$MB$2:$MB$200=H$4),0),$E111-1973)</f>
        <v>78.733329999999995</v>
      </c>
      <c r="I111" cm="1">
        <f t="array" ref="I111">INDEX('GMW - worst case'!$A$2:$MC$200,MATCH(1,('GMW - worst case'!$MC$2:$MC$200=I$3)*('GMW - worst case'!$MB$2:$MB$200=I$4),0),$E111-1973)</f>
        <v>4.5</v>
      </c>
      <c r="J111" t="e" cm="1">
        <f t="array" ref="J111">INDEX('GMW - worst case'!$A$2:$MC$200,MATCH(1,('GMW - worst case'!$MC$2:$MC$200=J$3)*('GMW - worst case'!$MB$2:$MB$200=J$4),0),$E111-1973)</f>
        <v>#N/A</v>
      </c>
      <c r="K111" t="e" cm="1">
        <f t="array" ref="K111">INDEX('GMW - worst case'!$A$2:$MC$200,MATCH(1,('GMW - worst case'!$MC$2:$MC$200=K$3)*('GMW - worst case'!$MB$2:$MB$200=K$4),0),$E111-1973)</f>
        <v>#N/A</v>
      </c>
      <c r="L111" t="e" cm="1">
        <f t="array" ref="L111">INDEX('GMW - worst case'!$A$2:$MC$200,MATCH(1,('GMW - worst case'!$MC$2:$MC$200=L$3)*('GMW - worst case'!$MB$2:$MB$200=L$4),0),$E111-1973)</f>
        <v>#N/A</v>
      </c>
      <c r="M111" t="e" cm="1">
        <f t="array" ref="M111">INDEX('GMW - worst case'!$A$2:$MC$200,MATCH(1,('GMW - worst case'!$MC$2:$MC$200=M$3)*('GMW - worst case'!$MB$2:$MB$200=M$4),0),$E111-1973)</f>
        <v>#N/A</v>
      </c>
      <c r="N111" t="e" cm="1">
        <f t="array" ref="N111">INDEX('GMW - worst case'!$A$2:$MC$200,MATCH(1,('GMW - worst case'!$MC$2:$MC$200=N$3)*('GMW - worst case'!$MB$2:$MB$200=N$4),0),$E111-1973)</f>
        <v>#N/A</v>
      </c>
      <c r="O111" t="e" cm="1">
        <f t="array" ref="O111">INDEX('GMW - worst case'!$A$2:$MC$200,MATCH(1,('GMW - worst case'!$MC$2:$MC$200=O$3)*('GMW - worst case'!$MB$2:$MB$200=O$4),0),$E111-1973)</f>
        <v>#N/A</v>
      </c>
      <c r="P111" t="e" cm="1">
        <f t="array" ref="P111">INDEX('GMW - worst case'!$A$2:$MC$200,MATCH(1,('GMW - worst case'!$MC$2:$MC$200=P$3)*('GMW - worst case'!$MB$2:$MB$200=P$4),0),$E111-1973)</f>
        <v>#N/A</v>
      </c>
      <c r="Q111" t="e" cm="1">
        <f t="array" ref="Q111">INDEX('GMW - worst case'!$A$2:$MC$200,MATCH(1,('GMW - worst case'!$MC$2:$MC$200=Q$3)*('GMW - worst case'!$MB$2:$MB$200=Q$4),0),$E111-1973)</f>
        <v>#N/A</v>
      </c>
      <c r="R111" t="e" cm="1">
        <f t="array" ref="R111">INDEX('GMW - worst case'!$A$2:$MC$200,MATCH(1,('GMW - worst case'!$MC$2:$MC$200=R$3)*('GMW - worst case'!$MB$2:$MB$200=R$4),0),$E111-1973)</f>
        <v>#N/A</v>
      </c>
      <c r="S111" t="e" cm="1">
        <f t="array" ref="S111">INDEX('GMW - worst case'!$A$2:$MC$200,MATCH(1,('GMW - worst case'!$MC$2:$MC$200=S$3)*('GMW - worst case'!$MB$2:$MB$200=S$4),0),$E111-1973)</f>
        <v>#N/A</v>
      </c>
    </row>
    <row r="112" spans="1:19" x14ac:dyDescent="0.25">
      <c r="B112">
        <f t="shared" si="9"/>
        <v>2006</v>
      </c>
      <c r="C112">
        <f t="shared" si="9"/>
        <v>2006</v>
      </c>
      <c r="E112">
        <f t="shared" si="6"/>
        <v>2085</v>
      </c>
      <c r="F112" cm="1">
        <f t="array" ref="F112">INDEX('GMW - worst case'!$A$2:$MC$200,MATCH(1,('GMW - worst case'!$MC$2:$MC$200=F$3)*('GMW - worst case'!$MB$2:$MB$200=F$4),0),$E112-1973)</f>
        <v>559795</v>
      </c>
      <c r="G112" cm="1">
        <f t="array" ref="G112">INDEX('GMW - worst case'!$A$2:$MC$200,MATCH(1,('GMW - worst case'!$MC$2:$MC$200=G$3)*('GMW - worst case'!$MB$2:$MB$200=G$4),0),$E112-1973)</f>
        <v>335833</v>
      </c>
      <c r="H112" cm="1">
        <f t="array" ref="H112">INDEX('GMW - worst case'!$A$2:$MC$200,MATCH(1,('GMW - worst case'!$MC$2:$MC$200=H$3)*('GMW - worst case'!$MB$2:$MB$200=H$4),0),$E112-1973)</f>
        <v>79.8</v>
      </c>
      <c r="I112" cm="1">
        <f t="array" ref="I112">INDEX('GMW - worst case'!$A$2:$MC$200,MATCH(1,('GMW - worst case'!$MC$2:$MC$200=I$3)*('GMW - worst case'!$MB$2:$MB$200=I$4),0),$E112-1973)</f>
        <v>4.5</v>
      </c>
      <c r="J112" t="e" cm="1">
        <f t="array" ref="J112">INDEX('GMW - worst case'!$A$2:$MC$200,MATCH(1,('GMW - worst case'!$MC$2:$MC$200=J$3)*('GMW - worst case'!$MB$2:$MB$200=J$4),0),$E112-1973)</f>
        <v>#N/A</v>
      </c>
      <c r="K112" t="e" cm="1">
        <f t="array" ref="K112">INDEX('GMW - worst case'!$A$2:$MC$200,MATCH(1,('GMW - worst case'!$MC$2:$MC$200=K$3)*('GMW - worst case'!$MB$2:$MB$200=K$4),0),$E112-1973)</f>
        <v>#N/A</v>
      </c>
      <c r="L112" t="e" cm="1">
        <f t="array" ref="L112">INDEX('GMW - worst case'!$A$2:$MC$200,MATCH(1,('GMW - worst case'!$MC$2:$MC$200=L$3)*('GMW - worst case'!$MB$2:$MB$200=L$4),0),$E112-1973)</f>
        <v>#N/A</v>
      </c>
      <c r="M112" t="e" cm="1">
        <f t="array" ref="M112">INDEX('GMW - worst case'!$A$2:$MC$200,MATCH(1,('GMW - worst case'!$MC$2:$MC$200=M$3)*('GMW - worst case'!$MB$2:$MB$200=M$4),0),$E112-1973)</f>
        <v>#N/A</v>
      </c>
      <c r="N112" t="e" cm="1">
        <f t="array" ref="N112">INDEX('GMW - worst case'!$A$2:$MC$200,MATCH(1,('GMW - worst case'!$MC$2:$MC$200=N$3)*('GMW - worst case'!$MB$2:$MB$200=N$4),0),$E112-1973)</f>
        <v>#N/A</v>
      </c>
      <c r="O112" t="e" cm="1">
        <f t="array" ref="O112">INDEX('GMW - worst case'!$A$2:$MC$200,MATCH(1,('GMW - worst case'!$MC$2:$MC$200=O$3)*('GMW - worst case'!$MB$2:$MB$200=O$4),0),$E112-1973)</f>
        <v>#N/A</v>
      </c>
      <c r="P112" t="e" cm="1">
        <f t="array" ref="P112">INDEX('GMW - worst case'!$A$2:$MC$200,MATCH(1,('GMW - worst case'!$MC$2:$MC$200=P$3)*('GMW - worst case'!$MB$2:$MB$200=P$4),0),$E112-1973)</f>
        <v>#N/A</v>
      </c>
      <c r="Q112" t="e" cm="1">
        <f t="array" ref="Q112">INDEX('GMW - worst case'!$A$2:$MC$200,MATCH(1,('GMW - worst case'!$MC$2:$MC$200=Q$3)*('GMW - worst case'!$MB$2:$MB$200=Q$4),0),$E112-1973)</f>
        <v>#N/A</v>
      </c>
      <c r="R112" t="e" cm="1">
        <f t="array" ref="R112">INDEX('GMW - worst case'!$A$2:$MC$200,MATCH(1,('GMW - worst case'!$MC$2:$MC$200=R$3)*('GMW - worst case'!$MB$2:$MB$200=R$4),0),$E112-1973)</f>
        <v>#N/A</v>
      </c>
      <c r="S112" t="e" cm="1">
        <f t="array" ref="S112">INDEX('GMW - worst case'!$A$2:$MC$200,MATCH(1,('GMW - worst case'!$MC$2:$MC$200=S$3)*('GMW - worst case'!$MB$2:$MB$200=S$4),0),$E112-1973)</f>
        <v>#N/A</v>
      </c>
    </row>
    <row r="113" spans="1:19" x14ac:dyDescent="0.25">
      <c r="B113">
        <f t="shared" si="9"/>
        <v>2006</v>
      </c>
      <c r="C113">
        <f t="shared" si="9"/>
        <v>2006</v>
      </c>
      <c r="E113">
        <f t="shared" si="6"/>
        <v>2086</v>
      </c>
      <c r="F113" cm="1">
        <f t="array" ref="F113">INDEX('GMW - worst case'!$A$2:$MC$200,MATCH(1,('GMW - worst case'!$MC$2:$MC$200=F$3)*('GMW - worst case'!$MB$2:$MB$200=F$4),0),$E113-1973)</f>
        <v>560675</v>
      </c>
      <c r="G113" cm="1">
        <f t="array" ref="G113">INDEX('GMW - worst case'!$A$2:$MC$200,MATCH(1,('GMW - worst case'!$MC$2:$MC$200=G$3)*('GMW - worst case'!$MB$2:$MB$200=G$4),0),$E113-1973)</f>
        <v>338624</v>
      </c>
      <c r="H113" cm="1">
        <f t="array" ref="H113">INDEX('GMW - worst case'!$A$2:$MC$200,MATCH(1,('GMW - worst case'!$MC$2:$MC$200=H$3)*('GMW - worst case'!$MB$2:$MB$200=H$4),0),$E113-1973)</f>
        <v>80.3</v>
      </c>
      <c r="I113" cm="1">
        <f t="array" ref="I113">INDEX('GMW - worst case'!$A$2:$MC$200,MATCH(1,('GMW - worst case'!$MC$2:$MC$200=I$3)*('GMW - worst case'!$MB$2:$MB$200=I$4),0),$E113-1973)</f>
        <v>4.6615390000000003</v>
      </c>
      <c r="J113" t="e" cm="1">
        <f t="array" ref="J113">INDEX('GMW - worst case'!$A$2:$MC$200,MATCH(1,('GMW - worst case'!$MC$2:$MC$200=J$3)*('GMW - worst case'!$MB$2:$MB$200=J$4),0),$E113-1973)</f>
        <v>#N/A</v>
      </c>
      <c r="K113" t="e" cm="1">
        <f t="array" ref="K113">INDEX('GMW - worst case'!$A$2:$MC$200,MATCH(1,('GMW - worst case'!$MC$2:$MC$200=K$3)*('GMW - worst case'!$MB$2:$MB$200=K$4),0),$E113-1973)</f>
        <v>#N/A</v>
      </c>
      <c r="L113" t="e" cm="1">
        <f t="array" ref="L113">INDEX('GMW - worst case'!$A$2:$MC$200,MATCH(1,('GMW - worst case'!$MC$2:$MC$200=L$3)*('GMW - worst case'!$MB$2:$MB$200=L$4),0),$E113-1973)</f>
        <v>#N/A</v>
      </c>
      <c r="M113" t="e" cm="1">
        <f t="array" ref="M113">INDEX('GMW - worst case'!$A$2:$MC$200,MATCH(1,('GMW - worst case'!$MC$2:$MC$200=M$3)*('GMW - worst case'!$MB$2:$MB$200=M$4),0),$E113-1973)</f>
        <v>#N/A</v>
      </c>
      <c r="N113" t="e" cm="1">
        <f t="array" ref="N113">INDEX('GMW - worst case'!$A$2:$MC$200,MATCH(1,('GMW - worst case'!$MC$2:$MC$200=N$3)*('GMW - worst case'!$MB$2:$MB$200=N$4),0),$E113-1973)</f>
        <v>#N/A</v>
      </c>
      <c r="O113" t="e" cm="1">
        <f t="array" ref="O113">INDEX('GMW - worst case'!$A$2:$MC$200,MATCH(1,('GMW - worst case'!$MC$2:$MC$200=O$3)*('GMW - worst case'!$MB$2:$MB$200=O$4),0),$E113-1973)</f>
        <v>#N/A</v>
      </c>
      <c r="P113" t="e" cm="1">
        <f t="array" ref="P113">INDEX('GMW - worst case'!$A$2:$MC$200,MATCH(1,('GMW - worst case'!$MC$2:$MC$200=P$3)*('GMW - worst case'!$MB$2:$MB$200=P$4),0),$E113-1973)</f>
        <v>#N/A</v>
      </c>
      <c r="Q113" t="e" cm="1">
        <f t="array" ref="Q113">INDEX('GMW - worst case'!$A$2:$MC$200,MATCH(1,('GMW - worst case'!$MC$2:$MC$200=Q$3)*('GMW - worst case'!$MB$2:$MB$200=Q$4),0),$E113-1973)</f>
        <v>#N/A</v>
      </c>
      <c r="R113" t="e" cm="1">
        <f t="array" ref="R113">INDEX('GMW - worst case'!$A$2:$MC$200,MATCH(1,('GMW - worst case'!$MC$2:$MC$200=R$3)*('GMW - worst case'!$MB$2:$MB$200=R$4),0),$E113-1973)</f>
        <v>#N/A</v>
      </c>
      <c r="S113" t="e" cm="1">
        <f t="array" ref="S113">INDEX('GMW - worst case'!$A$2:$MC$200,MATCH(1,('GMW - worst case'!$MC$2:$MC$200=S$3)*('GMW - worst case'!$MB$2:$MB$200=S$4),0),$E113-1973)</f>
        <v>#N/A</v>
      </c>
    </row>
    <row r="114" spans="1:19" x14ac:dyDescent="0.25">
      <c r="B114">
        <f t="shared" si="9"/>
        <v>2006</v>
      </c>
      <c r="C114">
        <f t="shared" si="9"/>
        <v>2006</v>
      </c>
      <c r="E114">
        <f t="shared" si="6"/>
        <v>2087</v>
      </c>
      <c r="F114" cm="1">
        <f t="array" ref="F114">INDEX('GMW - worst case'!$A$2:$MC$200,MATCH(1,('GMW - worst case'!$MC$2:$MC$200=F$3)*('GMW - worst case'!$MB$2:$MB$200=F$4),0),$E114-1973)</f>
        <v>562669</v>
      </c>
      <c r="G114" cm="1">
        <f t="array" ref="G114">INDEX('GMW - worst case'!$A$2:$MC$200,MATCH(1,('GMW - worst case'!$MC$2:$MC$200=G$3)*('GMW - worst case'!$MB$2:$MB$200=G$4),0),$E114-1973)</f>
        <v>339339</v>
      </c>
      <c r="H114" cm="1">
        <f t="array" ref="H114">INDEX('GMW - worst case'!$A$2:$MC$200,MATCH(1,('GMW - worst case'!$MC$2:$MC$200=H$3)*('GMW - worst case'!$MB$2:$MB$200=H$4),0),$E114-1973)</f>
        <v>80.900000000000006</v>
      </c>
      <c r="I114" cm="1">
        <f t="array" ref="I114">INDEX('GMW - worst case'!$A$2:$MC$200,MATCH(1,('GMW - worst case'!$MC$2:$MC$200=I$3)*('GMW - worst case'!$MB$2:$MB$200=I$4),0),$E114-1973)</f>
        <v>4.8923079999999999</v>
      </c>
      <c r="J114" t="e" cm="1">
        <f t="array" ref="J114">INDEX('GMW - worst case'!$A$2:$MC$200,MATCH(1,('GMW - worst case'!$MC$2:$MC$200=J$3)*('GMW - worst case'!$MB$2:$MB$200=J$4),0),$E114-1973)</f>
        <v>#N/A</v>
      </c>
      <c r="K114" t="e" cm="1">
        <f t="array" ref="K114">INDEX('GMW - worst case'!$A$2:$MC$200,MATCH(1,('GMW - worst case'!$MC$2:$MC$200=K$3)*('GMW - worst case'!$MB$2:$MB$200=K$4),0),$E114-1973)</f>
        <v>#N/A</v>
      </c>
      <c r="L114" t="e" cm="1">
        <f t="array" ref="L114">INDEX('GMW - worst case'!$A$2:$MC$200,MATCH(1,('GMW - worst case'!$MC$2:$MC$200=L$3)*('GMW - worst case'!$MB$2:$MB$200=L$4),0),$E114-1973)</f>
        <v>#N/A</v>
      </c>
      <c r="M114" t="e" cm="1">
        <f t="array" ref="M114">INDEX('GMW - worst case'!$A$2:$MC$200,MATCH(1,('GMW - worst case'!$MC$2:$MC$200=M$3)*('GMW - worst case'!$MB$2:$MB$200=M$4),0),$E114-1973)</f>
        <v>#N/A</v>
      </c>
      <c r="N114" t="e" cm="1">
        <f t="array" ref="N114">INDEX('GMW - worst case'!$A$2:$MC$200,MATCH(1,('GMW - worst case'!$MC$2:$MC$200=N$3)*('GMW - worst case'!$MB$2:$MB$200=N$4),0),$E114-1973)</f>
        <v>#N/A</v>
      </c>
      <c r="O114" t="e" cm="1">
        <f t="array" ref="O114">INDEX('GMW - worst case'!$A$2:$MC$200,MATCH(1,('GMW - worst case'!$MC$2:$MC$200=O$3)*('GMW - worst case'!$MB$2:$MB$200=O$4),0),$E114-1973)</f>
        <v>#N/A</v>
      </c>
      <c r="P114" t="e" cm="1">
        <f t="array" ref="P114">INDEX('GMW - worst case'!$A$2:$MC$200,MATCH(1,('GMW - worst case'!$MC$2:$MC$200=P$3)*('GMW - worst case'!$MB$2:$MB$200=P$4),0),$E114-1973)</f>
        <v>#N/A</v>
      </c>
      <c r="Q114" t="e" cm="1">
        <f t="array" ref="Q114">INDEX('GMW - worst case'!$A$2:$MC$200,MATCH(1,('GMW - worst case'!$MC$2:$MC$200=Q$3)*('GMW - worst case'!$MB$2:$MB$200=Q$4),0),$E114-1973)</f>
        <v>#N/A</v>
      </c>
      <c r="R114" t="e" cm="1">
        <f t="array" ref="R114">INDEX('GMW - worst case'!$A$2:$MC$200,MATCH(1,('GMW - worst case'!$MC$2:$MC$200=R$3)*('GMW - worst case'!$MB$2:$MB$200=R$4),0),$E114-1973)</f>
        <v>#N/A</v>
      </c>
      <c r="S114" t="e" cm="1">
        <f t="array" ref="S114">INDEX('GMW - worst case'!$A$2:$MC$200,MATCH(1,('GMW - worst case'!$MC$2:$MC$200=S$3)*('GMW - worst case'!$MB$2:$MB$200=S$4),0),$E114-1973)</f>
        <v>#N/A</v>
      </c>
    </row>
    <row r="115" spans="1:19" x14ac:dyDescent="0.25">
      <c r="A115">
        <v>2007</v>
      </c>
      <c r="B115">
        <f t="shared" si="9"/>
        <v>2007</v>
      </c>
      <c r="C115">
        <f t="shared" si="9"/>
        <v>2006</v>
      </c>
      <c r="D115">
        <f t="shared" si="9"/>
        <v>2006</v>
      </c>
      <c r="E115">
        <f t="shared" si="6"/>
        <v>2088</v>
      </c>
      <c r="F115" cm="1">
        <f t="array" ref="F115">INDEX('GMW - worst case'!$A$2:$MC$200,MATCH(1,('GMW - worst case'!$MC$2:$MC$200=F$3)*('GMW - worst case'!$MB$2:$MB$200=F$4),0),$E115-1973)</f>
        <v>568845</v>
      </c>
      <c r="G115" cm="1">
        <f t="array" ref="G115">INDEX('GMW - worst case'!$A$2:$MC$200,MATCH(1,('GMW - worst case'!$MC$2:$MC$200=G$3)*('GMW - worst case'!$MB$2:$MB$200=G$4),0),$E115-1973)</f>
        <v>343169</v>
      </c>
      <c r="H115" cm="1">
        <f t="array" ref="H115">INDEX('GMW - worst case'!$A$2:$MC$200,MATCH(1,('GMW - worst case'!$MC$2:$MC$200=H$3)*('GMW - worst case'!$MB$2:$MB$200=H$4),0),$E115-1973)</f>
        <v>81</v>
      </c>
      <c r="I115" cm="1">
        <f t="array" ref="I115">INDEX('GMW - worst case'!$A$2:$MC$200,MATCH(1,('GMW - worst case'!$MC$2:$MC$200=I$3)*('GMW - worst case'!$MB$2:$MB$200=I$4),0),$E115-1973)</f>
        <v>5.2192309999999997</v>
      </c>
      <c r="J115" t="e" cm="1">
        <f t="array" ref="J115">INDEX('GMW - worst case'!$A$2:$MC$200,MATCH(1,('GMW - worst case'!$MC$2:$MC$200=J$3)*('GMW - worst case'!$MB$2:$MB$200=J$4),0),$E115-1973)</f>
        <v>#N/A</v>
      </c>
      <c r="K115" t="e" cm="1">
        <f t="array" ref="K115">INDEX('GMW - worst case'!$A$2:$MC$200,MATCH(1,('GMW - worst case'!$MC$2:$MC$200=K$3)*('GMW - worst case'!$MB$2:$MB$200=K$4),0),$E115-1973)</f>
        <v>#N/A</v>
      </c>
      <c r="L115" t="e" cm="1">
        <f t="array" ref="L115">INDEX('GMW - worst case'!$A$2:$MC$200,MATCH(1,('GMW - worst case'!$MC$2:$MC$200=L$3)*('GMW - worst case'!$MB$2:$MB$200=L$4),0),$E115-1973)</f>
        <v>#N/A</v>
      </c>
      <c r="M115" t="e" cm="1">
        <f t="array" ref="M115">INDEX('GMW - worst case'!$A$2:$MC$200,MATCH(1,('GMW - worst case'!$MC$2:$MC$200=M$3)*('GMW - worst case'!$MB$2:$MB$200=M$4),0),$E115-1973)</f>
        <v>#N/A</v>
      </c>
      <c r="N115" t="e" cm="1">
        <f t="array" ref="N115">INDEX('GMW - worst case'!$A$2:$MC$200,MATCH(1,('GMW - worst case'!$MC$2:$MC$200=N$3)*('GMW - worst case'!$MB$2:$MB$200=N$4),0),$E115-1973)</f>
        <v>#N/A</v>
      </c>
      <c r="O115" t="e" cm="1">
        <f t="array" ref="O115">INDEX('GMW - worst case'!$A$2:$MC$200,MATCH(1,('GMW - worst case'!$MC$2:$MC$200=O$3)*('GMW - worst case'!$MB$2:$MB$200=O$4),0),$E115-1973)</f>
        <v>#N/A</v>
      </c>
      <c r="P115" t="e" cm="1">
        <f t="array" ref="P115">INDEX('GMW - worst case'!$A$2:$MC$200,MATCH(1,('GMW - worst case'!$MC$2:$MC$200=P$3)*('GMW - worst case'!$MB$2:$MB$200=P$4),0),$E115-1973)</f>
        <v>#N/A</v>
      </c>
      <c r="Q115" t="e" cm="1">
        <f t="array" ref="Q115">INDEX('GMW - worst case'!$A$2:$MC$200,MATCH(1,('GMW - worst case'!$MC$2:$MC$200=Q$3)*('GMW - worst case'!$MB$2:$MB$200=Q$4),0),$E115-1973)</f>
        <v>#N/A</v>
      </c>
      <c r="R115" t="e" cm="1">
        <f t="array" ref="R115">INDEX('GMW - worst case'!$A$2:$MC$200,MATCH(1,('GMW - worst case'!$MC$2:$MC$200=R$3)*('GMW - worst case'!$MB$2:$MB$200=R$4),0),$E115-1973)</f>
        <v>#N/A</v>
      </c>
      <c r="S115" t="e" cm="1">
        <f t="array" ref="S115">INDEX('GMW - worst case'!$A$2:$MC$200,MATCH(1,('GMW - worst case'!$MC$2:$MC$200=S$3)*('GMW - worst case'!$MB$2:$MB$200=S$4),0),$E115-1973)</f>
        <v>#N/A</v>
      </c>
    </row>
    <row r="116" spans="1:19" x14ac:dyDescent="0.25">
      <c r="B116">
        <f t="shared" si="9"/>
        <v>2007</v>
      </c>
      <c r="C116">
        <f t="shared" si="9"/>
        <v>2007</v>
      </c>
      <c r="E116">
        <f t="shared" si="6"/>
        <v>2089</v>
      </c>
      <c r="F116" cm="1">
        <f t="array" ref="F116">INDEX('GMW - worst case'!$A$2:$MC$200,MATCH(1,('GMW - worst case'!$MC$2:$MC$200=F$3)*('GMW - worst case'!$MB$2:$MB$200=F$4),0),$E116-1973)</f>
        <v>574194</v>
      </c>
      <c r="G116" cm="1">
        <f t="array" ref="G116">INDEX('GMW - worst case'!$A$2:$MC$200,MATCH(1,('GMW - worst case'!$MC$2:$MC$200=G$3)*('GMW - worst case'!$MB$2:$MB$200=G$4),0),$E116-1973)</f>
        <v>347001</v>
      </c>
      <c r="H116" cm="1">
        <f t="array" ref="H116">INDEX('GMW - worst case'!$A$2:$MC$200,MATCH(1,('GMW - worst case'!$MC$2:$MC$200=H$3)*('GMW - worst case'!$MB$2:$MB$200=H$4),0),$E116-1973)</f>
        <v>81.8</v>
      </c>
      <c r="I116" cm="1">
        <f t="array" ref="I116">INDEX('GMW - worst case'!$A$2:$MC$200,MATCH(1,('GMW - worst case'!$MC$2:$MC$200=I$3)*('GMW - worst case'!$MB$2:$MB$200=I$4),0),$E116-1973)</f>
        <v>5.3923079999999999</v>
      </c>
      <c r="J116" t="e" cm="1">
        <f t="array" ref="J116">INDEX('GMW - worst case'!$A$2:$MC$200,MATCH(1,('GMW - worst case'!$MC$2:$MC$200=J$3)*('GMW - worst case'!$MB$2:$MB$200=J$4),0),$E116-1973)</f>
        <v>#N/A</v>
      </c>
      <c r="K116" t="e" cm="1">
        <f t="array" ref="K116">INDEX('GMW - worst case'!$A$2:$MC$200,MATCH(1,('GMW - worst case'!$MC$2:$MC$200=K$3)*('GMW - worst case'!$MB$2:$MB$200=K$4),0),$E116-1973)</f>
        <v>#N/A</v>
      </c>
      <c r="L116" t="e" cm="1">
        <f t="array" ref="L116">INDEX('GMW - worst case'!$A$2:$MC$200,MATCH(1,('GMW - worst case'!$MC$2:$MC$200=L$3)*('GMW - worst case'!$MB$2:$MB$200=L$4),0),$E116-1973)</f>
        <v>#N/A</v>
      </c>
      <c r="M116" t="e" cm="1">
        <f t="array" ref="M116">INDEX('GMW - worst case'!$A$2:$MC$200,MATCH(1,('GMW - worst case'!$MC$2:$MC$200=M$3)*('GMW - worst case'!$MB$2:$MB$200=M$4),0),$E116-1973)</f>
        <v>#N/A</v>
      </c>
      <c r="N116" t="e" cm="1">
        <f t="array" ref="N116">INDEX('GMW - worst case'!$A$2:$MC$200,MATCH(1,('GMW - worst case'!$MC$2:$MC$200=N$3)*('GMW - worst case'!$MB$2:$MB$200=N$4),0),$E116-1973)</f>
        <v>#N/A</v>
      </c>
      <c r="O116" t="e" cm="1">
        <f t="array" ref="O116">INDEX('GMW - worst case'!$A$2:$MC$200,MATCH(1,('GMW - worst case'!$MC$2:$MC$200=O$3)*('GMW - worst case'!$MB$2:$MB$200=O$4),0),$E116-1973)</f>
        <v>#N/A</v>
      </c>
      <c r="P116" t="e" cm="1">
        <f t="array" ref="P116">INDEX('GMW - worst case'!$A$2:$MC$200,MATCH(1,('GMW - worst case'!$MC$2:$MC$200=P$3)*('GMW - worst case'!$MB$2:$MB$200=P$4),0),$E116-1973)</f>
        <v>#N/A</v>
      </c>
      <c r="Q116" t="e" cm="1">
        <f t="array" ref="Q116">INDEX('GMW - worst case'!$A$2:$MC$200,MATCH(1,('GMW - worst case'!$MC$2:$MC$200=Q$3)*('GMW - worst case'!$MB$2:$MB$200=Q$4),0),$E116-1973)</f>
        <v>#N/A</v>
      </c>
      <c r="R116" t="e" cm="1">
        <f t="array" ref="R116">INDEX('GMW - worst case'!$A$2:$MC$200,MATCH(1,('GMW - worst case'!$MC$2:$MC$200=R$3)*('GMW - worst case'!$MB$2:$MB$200=R$4),0),$E116-1973)</f>
        <v>#N/A</v>
      </c>
      <c r="S116" t="e" cm="1">
        <f t="array" ref="S116">INDEX('GMW - worst case'!$A$2:$MC$200,MATCH(1,('GMW - worst case'!$MC$2:$MC$200=S$3)*('GMW - worst case'!$MB$2:$MB$200=S$4),0),$E116-1973)</f>
        <v>#N/A</v>
      </c>
    </row>
    <row r="117" spans="1:19" x14ac:dyDescent="0.25">
      <c r="B117">
        <f t="shared" si="9"/>
        <v>2007</v>
      </c>
      <c r="C117">
        <f t="shared" si="9"/>
        <v>2007</v>
      </c>
      <c r="E117">
        <f t="shared" si="6"/>
        <v>2090</v>
      </c>
      <c r="F117" cm="1">
        <f t="array" ref="F117">INDEX('GMW - worst case'!$A$2:$MC$200,MATCH(1,('GMW - worst case'!$MC$2:$MC$200=F$3)*('GMW - worst case'!$MB$2:$MB$200=F$4),0),$E117-1973)</f>
        <v>579605</v>
      </c>
      <c r="G117" cm="1">
        <f t="array" ref="G117">INDEX('GMW - worst case'!$A$2:$MC$200,MATCH(1,('GMW - worst case'!$MC$2:$MC$200=G$3)*('GMW - worst case'!$MB$2:$MB$200=G$4),0),$E117-1973)</f>
        <v>353872</v>
      </c>
      <c r="H117" cm="1">
        <f t="array" ref="H117">INDEX('GMW - worst case'!$A$2:$MC$200,MATCH(1,('GMW - worst case'!$MC$2:$MC$200=H$3)*('GMW - worst case'!$MB$2:$MB$200=H$4),0),$E117-1973)</f>
        <v>81.733329999999995</v>
      </c>
      <c r="I117" cm="1">
        <f t="array" ref="I117">INDEX('GMW - worst case'!$A$2:$MC$200,MATCH(1,('GMW - worst case'!$MC$2:$MC$200=I$3)*('GMW - worst case'!$MB$2:$MB$200=I$4),0),$E117-1973)</f>
        <v>5.738461</v>
      </c>
      <c r="J117" t="e" cm="1">
        <f t="array" ref="J117">INDEX('GMW - worst case'!$A$2:$MC$200,MATCH(1,('GMW - worst case'!$MC$2:$MC$200=J$3)*('GMW - worst case'!$MB$2:$MB$200=J$4),0),$E117-1973)</f>
        <v>#N/A</v>
      </c>
      <c r="K117" t="e" cm="1">
        <f t="array" ref="K117">INDEX('GMW - worst case'!$A$2:$MC$200,MATCH(1,('GMW - worst case'!$MC$2:$MC$200=K$3)*('GMW - worst case'!$MB$2:$MB$200=K$4),0),$E117-1973)</f>
        <v>#N/A</v>
      </c>
      <c r="L117" t="e" cm="1">
        <f t="array" ref="L117">INDEX('GMW - worst case'!$A$2:$MC$200,MATCH(1,('GMW - worst case'!$MC$2:$MC$200=L$3)*('GMW - worst case'!$MB$2:$MB$200=L$4),0),$E117-1973)</f>
        <v>#N/A</v>
      </c>
      <c r="M117" t="e" cm="1">
        <f t="array" ref="M117">INDEX('GMW - worst case'!$A$2:$MC$200,MATCH(1,('GMW - worst case'!$MC$2:$MC$200=M$3)*('GMW - worst case'!$MB$2:$MB$200=M$4),0),$E117-1973)</f>
        <v>#N/A</v>
      </c>
      <c r="N117" t="e" cm="1">
        <f t="array" ref="N117">INDEX('GMW - worst case'!$A$2:$MC$200,MATCH(1,('GMW - worst case'!$MC$2:$MC$200=N$3)*('GMW - worst case'!$MB$2:$MB$200=N$4),0),$E117-1973)</f>
        <v>#N/A</v>
      </c>
      <c r="O117" t="e" cm="1">
        <f t="array" ref="O117">INDEX('GMW - worst case'!$A$2:$MC$200,MATCH(1,('GMW - worst case'!$MC$2:$MC$200=O$3)*('GMW - worst case'!$MB$2:$MB$200=O$4),0),$E117-1973)</f>
        <v>#N/A</v>
      </c>
      <c r="P117" t="e" cm="1">
        <f t="array" ref="P117">INDEX('GMW - worst case'!$A$2:$MC$200,MATCH(1,('GMW - worst case'!$MC$2:$MC$200=P$3)*('GMW - worst case'!$MB$2:$MB$200=P$4),0),$E117-1973)</f>
        <v>#N/A</v>
      </c>
      <c r="Q117" t="e" cm="1">
        <f t="array" ref="Q117">INDEX('GMW - worst case'!$A$2:$MC$200,MATCH(1,('GMW - worst case'!$MC$2:$MC$200=Q$3)*('GMW - worst case'!$MB$2:$MB$200=Q$4),0),$E117-1973)</f>
        <v>#N/A</v>
      </c>
      <c r="R117" t="e" cm="1">
        <f t="array" ref="R117">INDEX('GMW - worst case'!$A$2:$MC$200,MATCH(1,('GMW - worst case'!$MC$2:$MC$200=R$3)*('GMW - worst case'!$MB$2:$MB$200=R$4),0),$E117-1973)</f>
        <v>#N/A</v>
      </c>
      <c r="S117" t="e" cm="1">
        <f t="array" ref="S117">INDEX('GMW - worst case'!$A$2:$MC$200,MATCH(1,('GMW - worst case'!$MC$2:$MC$200=S$3)*('GMW - worst case'!$MB$2:$MB$200=S$4),0),$E117-1973)</f>
        <v>#N/A</v>
      </c>
    </row>
    <row r="118" spans="1:19" x14ac:dyDescent="0.25">
      <c r="B118">
        <f t="shared" si="9"/>
        <v>2007</v>
      </c>
      <c r="C118">
        <f t="shared" si="9"/>
        <v>2007</v>
      </c>
      <c r="E118">
        <f t="shared" si="6"/>
        <v>2091</v>
      </c>
      <c r="F118" cm="1">
        <f t="array" ref="F118">INDEX('GMW - worst case'!$A$2:$MC$200,MATCH(1,('GMW - worst case'!$MC$2:$MC$200=F$3)*('GMW - worst case'!$MB$2:$MB$200=F$4),0),$E118-1973)</f>
        <v>584504</v>
      </c>
      <c r="G118" cm="1">
        <f t="array" ref="G118">INDEX('GMW - worst case'!$A$2:$MC$200,MATCH(1,('GMW - worst case'!$MC$2:$MC$200=G$3)*('GMW - worst case'!$MB$2:$MB$200=G$4),0),$E118-1973)</f>
        <v>353402</v>
      </c>
      <c r="H118" cm="1">
        <f t="array" ref="H118">INDEX('GMW - worst case'!$A$2:$MC$200,MATCH(1,('GMW - worst case'!$MC$2:$MC$200=H$3)*('GMW - worst case'!$MB$2:$MB$200=H$4),0),$E118-1973)</f>
        <v>82.6</v>
      </c>
      <c r="I118" cm="1">
        <f t="array" ref="I118">INDEX('GMW - worst case'!$A$2:$MC$200,MATCH(1,('GMW - worst case'!$MC$2:$MC$200=I$3)*('GMW - worst case'!$MB$2:$MB$200=I$4),0),$E118-1973)</f>
        <v>5.6818179999999998</v>
      </c>
      <c r="J118" t="e" cm="1">
        <f t="array" ref="J118">INDEX('GMW - worst case'!$A$2:$MC$200,MATCH(1,('GMW - worst case'!$MC$2:$MC$200=J$3)*('GMW - worst case'!$MB$2:$MB$200=J$4),0),$E118-1973)</f>
        <v>#N/A</v>
      </c>
      <c r="K118" t="e" cm="1">
        <f t="array" ref="K118">INDEX('GMW - worst case'!$A$2:$MC$200,MATCH(1,('GMW - worst case'!$MC$2:$MC$200=K$3)*('GMW - worst case'!$MB$2:$MB$200=K$4),0),$E118-1973)</f>
        <v>#N/A</v>
      </c>
      <c r="L118" t="e" cm="1">
        <f t="array" ref="L118">INDEX('GMW - worst case'!$A$2:$MC$200,MATCH(1,('GMW - worst case'!$MC$2:$MC$200=L$3)*('GMW - worst case'!$MB$2:$MB$200=L$4),0),$E118-1973)</f>
        <v>#N/A</v>
      </c>
      <c r="M118" t="e" cm="1">
        <f t="array" ref="M118">INDEX('GMW - worst case'!$A$2:$MC$200,MATCH(1,('GMW - worst case'!$MC$2:$MC$200=M$3)*('GMW - worst case'!$MB$2:$MB$200=M$4),0),$E118-1973)</f>
        <v>#N/A</v>
      </c>
      <c r="N118" t="e" cm="1">
        <f t="array" ref="N118">INDEX('GMW - worst case'!$A$2:$MC$200,MATCH(1,('GMW - worst case'!$MC$2:$MC$200=N$3)*('GMW - worst case'!$MB$2:$MB$200=N$4),0),$E118-1973)</f>
        <v>#N/A</v>
      </c>
      <c r="O118" t="e" cm="1">
        <f t="array" ref="O118">INDEX('GMW - worst case'!$A$2:$MC$200,MATCH(1,('GMW - worst case'!$MC$2:$MC$200=O$3)*('GMW - worst case'!$MB$2:$MB$200=O$4),0),$E118-1973)</f>
        <v>#N/A</v>
      </c>
      <c r="P118" t="e" cm="1">
        <f t="array" ref="P118">INDEX('GMW - worst case'!$A$2:$MC$200,MATCH(1,('GMW - worst case'!$MC$2:$MC$200=P$3)*('GMW - worst case'!$MB$2:$MB$200=P$4),0),$E118-1973)</f>
        <v>#N/A</v>
      </c>
      <c r="Q118" t="e" cm="1">
        <f t="array" ref="Q118">INDEX('GMW - worst case'!$A$2:$MC$200,MATCH(1,('GMW - worst case'!$MC$2:$MC$200=Q$3)*('GMW - worst case'!$MB$2:$MB$200=Q$4),0),$E118-1973)</f>
        <v>#N/A</v>
      </c>
      <c r="R118" t="e" cm="1">
        <f t="array" ref="R118">INDEX('GMW - worst case'!$A$2:$MC$200,MATCH(1,('GMW - worst case'!$MC$2:$MC$200=R$3)*('GMW - worst case'!$MB$2:$MB$200=R$4),0),$E118-1973)</f>
        <v>#N/A</v>
      </c>
      <c r="S118" t="e" cm="1">
        <f t="array" ref="S118">INDEX('GMW - worst case'!$A$2:$MC$200,MATCH(1,('GMW - worst case'!$MC$2:$MC$200=S$3)*('GMW - worst case'!$MB$2:$MB$200=S$4),0),$E118-1973)</f>
        <v>#N/A</v>
      </c>
    </row>
    <row r="119" spans="1:19" x14ac:dyDescent="0.25">
      <c r="A119">
        <v>2008</v>
      </c>
      <c r="B119">
        <f t="shared" si="9"/>
        <v>2008</v>
      </c>
      <c r="C119">
        <f t="shared" si="9"/>
        <v>2007</v>
      </c>
      <c r="D119">
        <f t="shared" si="9"/>
        <v>2007</v>
      </c>
      <c r="E119">
        <f t="shared" si="6"/>
        <v>2092</v>
      </c>
      <c r="F119" cm="1">
        <f t="array" ref="F119">INDEX('GMW - worst case'!$A$2:$MC$200,MATCH(1,('GMW - worst case'!$MC$2:$MC$200=F$3)*('GMW - worst case'!$MB$2:$MB$200=F$4),0),$E119-1973)</f>
        <v>586690</v>
      </c>
      <c r="G119" cm="1">
        <f t="array" ref="G119">INDEX('GMW - worst case'!$A$2:$MC$200,MATCH(1,('GMW - worst case'!$MC$2:$MC$200=G$3)*('GMW - worst case'!$MB$2:$MB$200=G$4),0),$E119-1973)</f>
        <v>355059</v>
      </c>
      <c r="H119" cm="1">
        <f t="array" ref="H119">INDEX('GMW - worst case'!$A$2:$MC$200,MATCH(1,('GMW - worst case'!$MC$2:$MC$200=H$3)*('GMW - worst case'!$MB$2:$MB$200=H$4),0),$E119-1973)</f>
        <v>82.933329999999998</v>
      </c>
      <c r="I119" cm="1">
        <f t="array" ref="I119">INDEX('GMW - worst case'!$A$2:$MC$200,MATCH(1,('GMW - worst case'!$MC$2:$MC$200=I$3)*('GMW - worst case'!$MB$2:$MB$200=I$4),0),$E119-1973)</f>
        <v>5.3538459999999999</v>
      </c>
      <c r="J119" t="e" cm="1">
        <f t="array" ref="J119">INDEX('GMW - worst case'!$A$2:$MC$200,MATCH(1,('GMW - worst case'!$MC$2:$MC$200=J$3)*('GMW - worst case'!$MB$2:$MB$200=J$4),0),$E119-1973)</f>
        <v>#N/A</v>
      </c>
      <c r="K119" t="e" cm="1">
        <f t="array" ref="K119">INDEX('GMW - worst case'!$A$2:$MC$200,MATCH(1,('GMW - worst case'!$MC$2:$MC$200=K$3)*('GMW - worst case'!$MB$2:$MB$200=K$4),0),$E119-1973)</f>
        <v>#N/A</v>
      </c>
      <c r="L119" t="e" cm="1">
        <f t="array" ref="L119">INDEX('GMW - worst case'!$A$2:$MC$200,MATCH(1,('GMW - worst case'!$MC$2:$MC$200=L$3)*('GMW - worst case'!$MB$2:$MB$200=L$4),0),$E119-1973)</f>
        <v>#N/A</v>
      </c>
      <c r="M119" t="e" cm="1">
        <f t="array" ref="M119">INDEX('GMW - worst case'!$A$2:$MC$200,MATCH(1,('GMW - worst case'!$MC$2:$MC$200=M$3)*('GMW - worst case'!$MB$2:$MB$200=M$4),0),$E119-1973)</f>
        <v>#N/A</v>
      </c>
      <c r="N119" t="e" cm="1">
        <f t="array" ref="N119">INDEX('GMW - worst case'!$A$2:$MC$200,MATCH(1,('GMW - worst case'!$MC$2:$MC$200=N$3)*('GMW - worst case'!$MB$2:$MB$200=N$4),0),$E119-1973)</f>
        <v>#N/A</v>
      </c>
      <c r="O119" t="e" cm="1">
        <f t="array" ref="O119">INDEX('GMW - worst case'!$A$2:$MC$200,MATCH(1,('GMW - worst case'!$MC$2:$MC$200=O$3)*('GMW - worst case'!$MB$2:$MB$200=O$4),0),$E119-1973)</f>
        <v>#N/A</v>
      </c>
      <c r="P119" t="e" cm="1">
        <f t="array" ref="P119">INDEX('GMW - worst case'!$A$2:$MC$200,MATCH(1,('GMW - worst case'!$MC$2:$MC$200=P$3)*('GMW - worst case'!$MB$2:$MB$200=P$4),0),$E119-1973)</f>
        <v>#N/A</v>
      </c>
      <c r="Q119" t="e" cm="1">
        <f t="array" ref="Q119">INDEX('GMW - worst case'!$A$2:$MC$200,MATCH(1,('GMW - worst case'!$MC$2:$MC$200=Q$3)*('GMW - worst case'!$MB$2:$MB$200=Q$4),0),$E119-1973)</f>
        <v>#N/A</v>
      </c>
      <c r="R119" t="e" cm="1">
        <f t="array" ref="R119">INDEX('GMW - worst case'!$A$2:$MC$200,MATCH(1,('GMW - worst case'!$MC$2:$MC$200=R$3)*('GMW - worst case'!$MB$2:$MB$200=R$4),0),$E119-1973)</f>
        <v>#N/A</v>
      </c>
      <c r="S119" t="e" cm="1">
        <f t="array" ref="S119">INDEX('GMW - worst case'!$A$2:$MC$200,MATCH(1,('GMW - worst case'!$MC$2:$MC$200=S$3)*('GMW - worst case'!$MB$2:$MB$200=S$4),0),$E119-1973)</f>
        <v>#N/A</v>
      </c>
    </row>
    <row r="120" spans="1:19" x14ac:dyDescent="0.25">
      <c r="B120">
        <f t="shared" si="9"/>
        <v>2008</v>
      </c>
      <c r="C120">
        <f t="shared" si="9"/>
        <v>2008</v>
      </c>
      <c r="E120">
        <f t="shared" si="6"/>
        <v>2093</v>
      </c>
      <c r="F120" cm="1">
        <f t="array" ref="F120">INDEX('GMW - worst case'!$A$2:$MC$200,MATCH(1,('GMW - worst case'!$MC$2:$MC$200=F$3)*('GMW - worst case'!$MB$2:$MB$200=F$4),0),$E120-1973)</f>
        <v>583541</v>
      </c>
      <c r="G120" cm="1">
        <f t="array" ref="G120">INDEX('GMW - worst case'!$A$2:$MC$200,MATCH(1,('GMW - worst case'!$MC$2:$MC$200=G$3)*('GMW - worst case'!$MB$2:$MB$200=G$4),0),$E120-1973)</f>
        <v>350021</v>
      </c>
      <c r="H120" cm="1">
        <f t="array" ref="H120">INDEX('GMW - worst case'!$A$2:$MC$200,MATCH(1,('GMW - worst case'!$MC$2:$MC$200=H$3)*('GMW - worst case'!$MB$2:$MB$200=H$4),0),$E120-1973)</f>
        <v>84.6</v>
      </c>
      <c r="I120" cm="1">
        <f t="array" ref="I120">INDEX('GMW - worst case'!$A$2:$MC$200,MATCH(1,('GMW - worst case'!$MC$2:$MC$200=I$3)*('GMW - worst case'!$MB$2:$MB$200=I$4),0),$E120-1973)</f>
        <v>5.026923</v>
      </c>
      <c r="J120" t="e" cm="1">
        <f t="array" ref="J120">INDEX('GMW - worst case'!$A$2:$MC$200,MATCH(1,('GMW - worst case'!$MC$2:$MC$200=J$3)*('GMW - worst case'!$MB$2:$MB$200=J$4),0),$E120-1973)</f>
        <v>#N/A</v>
      </c>
      <c r="K120" t="e" cm="1">
        <f t="array" ref="K120">INDEX('GMW - worst case'!$A$2:$MC$200,MATCH(1,('GMW - worst case'!$MC$2:$MC$200=K$3)*('GMW - worst case'!$MB$2:$MB$200=K$4),0),$E120-1973)</f>
        <v>#N/A</v>
      </c>
      <c r="L120" t="e" cm="1">
        <f t="array" ref="L120">INDEX('GMW - worst case'!$A$2:$MC$200,MATCH(1,('GMW - worst case'!$MC$2:$MC$200=L$3)*('GMW - worst case'!$MB$2:$MB$200=L$4),0),$E120-1973)</f>
        <v>#N/A</v>
      </c>
      <c r="M120" t="e" cm="1">
        <f t="array" ref="M120">INDEX('GMW - worst case'!$A$2:$MC$200,MATCH(1,('GMW - worst case'!$MC$2:$MC$200=M$3)*('GMW - worst case'!$MB$2:$MB$200=M$4),0),$E120-1973)</f>
        <v>#N/A</v>
      </c>
      <c r="N120" t="e" cm="1">
        <f t="array" ref="N120">INDEX('GMW - worst case'!$A$2:$MC$200,MATCH(1,('GMW - worst case'!$MC$2:$MC$200=N$3)*('GMW - worst case'!$MB$2:$MB$200=N$4),0),$E120-1973)</f>
        <v>#N/A</v>
      </c>
      <c r="O120" t="e" cm="1">
        <f t="array" ref="O120">INDEX('GMW - worst case'!$A$2:$MC$200,MATCH(1,('GMW - worst case'!$MC$2:$MC$200=O$3)*('GMW - worst case'!$MB$2:$MB$200=O$4),0),$E120-1973)</f>
        <v>#N/A</v>
      </c>
      <c r="P120" t="e" cm="1">
        <f t="array" ref="P120">INDEX('GMW - worst case'!$A$2:$MC$200,MATCH(1,('GMW - worst case'!$MC$2:$MC$200=P$3)*('GMW - worst case'!$MB$2:$MB$200=P$4),0),$E120-1973)</f>
        <v>#N/A</v>
      </c>
      <c r="Q120" t="e" cm="1">
        <f t="array" ref="Q120">INDEX('GMW - worst case'!$A$2:$MC$200,MATCH(1,('GMW - worst case'!$MC$2:$MC$200=Q$3)*('GMW - worst case'!$MB$2:$MB$200=Q$4),0),$E120-1973)</f>
        <v>#N/A</v>
      </c>
      <c r="R120" t="e" cm="1">
        <f t="array" ref="R120">INDEX('GMW - worst case'!$A$2:$MC$200,MATCH(1,('GMW - worst case'!$MC$2:$MC$200=R$3)*('GMW - worst case'!$MB$2:$MB$200=R$4),0),$E120-1973)</f>
        <v>#N/A</v>
      </c>
      <c r="S120" t="e" cm="1">
        <f t="array" ref="S120">INDEX('GMW - worst case'!$A$2:$MC$200,MATCH(1,('GMW - worst case'!$MC$2:$MC$200=S$3)*('GMW - worst case'!$MB$2:$MB$200=S$4),0),$E120-1973)</f>
        <v>#N/A</v>
      </c>
    </row>
    <row r="121" spans="1:19" x14ac:dyDescent="0.25">
      <c r="B121">
        <f t="shared" si="9"/>
        <v>2008</v>
      </c>
      <c r="C121">
        <f t="shared" si="9"/>
        <v>2008</v>
      </c>
      <c r="E121">
        <f t="shared" si="6"/>
        <v>2094</v>
      </c>
      <c r="F121" cm="1">
        <f t="array" ref="F121">INDEX('GMW - worst case'!$A$2:$MC$200,MATCH(1,('GMW - worst case'!$MC$2:$MC$200=F$3)*('GMW - worst case'!$MB$2:$MB$200=F$4),0),$E121-1973)</f>
        <v>573961</v>
      </c>
      <c r="G121" cm="1">
        <f t="array" ref="G121">INDEX('GMW - worst case'!$A$2:$MC$200,MATCH(1,('GMW - worst case'!$MC$2:$MC$200=G$3)*('GMW - worst case'!$MB$2:$MB$200=G$4),0),$E121-1973)</f>
        <v>344231</v>
      </c>
      <c r="H121" cm="1">
        <f t="array" ref="H121">INDEX('GMW - worst case'!$A$2:$MC$200,MATCH(1,('GMW - worst case'!$MC$2:$MC$200=H$3)*('GMW - worst case'!$MB$2:$MB$200=H$4),0),$E121-1973)</f>
        <v>85.633330000000001</v>
      </c>
      <c r="I121" cm="1">
        <f t="array" ref="I121">INDEX('GMW - worst case'!$A$2:$MC$200,MATCH(1,('GMW - worst case'!$MC$2:$MC$200=I$3)*('GMW - worst case'!$MB$2:$MB$200=I$4),0),$E121-1973)</f>
        <v>5</v>
      </c>
      <c r="J121" t="e" cm="1">
        <f t="array" ref="J121">INDEX('GMW - worst case'!$A$2:$MC$200,MATCH(1,('GMW - worst case'!$MC$2:$MC$200=J$3)*('GMW - worst case'!$MB$2:$MB$200=J$4),0),$E121-1973)</f>
        <v>#N/A</v>
      </c>
      <c r="K121" t="e" cm="1">
        <f t="array" ref="K121">INDEX('GMW - worst case'!$A$2:$MC$200,MATCH(1,('GMW - worst case'!$MC$2:$MC$200=K$3)*('GMW - worst case'!$MB$2:$MB$200=K$4),0),$E121-1973)</f>
        <v>#N/A</v>
      </c>
      <c r="L121" t="e" cm="1">
        <f t="array" ref="L121">INDEX('GMW - worst case'!$A$2:$MC$200,MATCH(1,('GMW - worst case'!$MC$2:$MC$200=L$3)*('GMW - worst case'!$MB$2:$MB$200=L$4),0),$E121-1973)</f>
        <v>#N/A</v>
      </c>
      <c r="M121" t="e" cm="1">
        <f t="array" ref="M121">INDEX('GMW - worst case'!$A$2:$MC$200,MATCH(1,('GMW - worst case'!$MC$2:$MC$200=M$3)*('GMW - worst case'!$MB$2:$MB$200=M$4),0),$E121-1973)</f>
        <v>#N/A</v>
      </c>
      <c r="N121" t="e" cm="1">
        <f t="array" ref="N121">INDEX('GMW - worst case'!$A$2:$MC$200,MATCH(1,('GMW - worst case'!$MC$2:$MC$200=N$3)*('GMW - worst case'!$MB$2:$MB$200=N$4),0),$E121-1973)</f>
        <v>#N/A</v>
      </c>
      <c r="O121" t="e" cm="1">
        <f t="array" ref="O121">INDEX('GMW - worst case'!$A$2:$MC$200,MATCH(1,('GMW - worst case'!$MC$2:$MC$200=O$3)*('GMW - worst case'!$MB$2:$MB$200=O$4),0),$E121-1973)</f>
        <v>#N/A</v>
      </c>
      <c r="P121" t="e" cm="1">
        <f t="array" ref="P121">INDEX('GMW - worst case'!$A$2:$MC$200,MATCH(1,('GMW - worst case'!$MC$2:$MC$200=P$3)*('GMW - worst case'!$MB$2:$MB$200=P$4),0),$E121-1973)</f>
        <v>#N/A</v>
      </c>
      <c r="Q121" t="e" cm="1">
        <f t="array" ref="Q121">INDEX('GMW - worst case'!$A$2:$MC$200,MATCH(1,('GMW - worst case'!$MC$2:$MC$200=Q$3)*('GMW - worst case'!$MB$2:$MB$200=Q$4),0),$E121-1973)</f>
        <v>#N/A</v>
      </c>
      <c r="R121" t="e" cm="1">
        <f t="array" ref="R121">INDEX('GMW - worst case'!$A$2:$MC$200,MATCH(1,('GMW - worst case'!$MC$2:$MC$200=R$3)*('GMW - worst case'!$MB$2:$MB$200=R$4),0),$E121-1973)</f>
        <v>#N/A</v>
      </c>
      <c r="S121" t="e" cm="1">
        <f t="array" ref="S121">INDEX('GMW - worst case'!$A$2:$MC$200,MATCH(1,('GMW - worst case'!$MC$2:$MC$200=S$3)*('GMW - worst case'!$MB$2:$MB$200=S$4),0),$E121-1973)</f>
        <v>#N/A</v>
      </c>
    </row>
    <row r="122" spans="1:19" x14ac:dyDescent="0.25">
      <c r="B122">
        <f t="shared" si="9"/>
        <v>2008</v>
      </c>
      <c r="C122">
        <f t="shared" si="9"/>
        <v>2008</v>
      </c>
      <c r="E122">
        <f t="shared" si="6"/>
        <v>2095</v>
      </c>
      <c r="F122" cm="1">
        <f t="array" ref="F122">INDEX('GMW - worst case'!$A$2:$MC$200,MATCH(1,('GMW - worst case'!$MC$2:$MC$200=F$3)*('GMW - worst case'!$MB$2:$MB$200=F$4),0),$E122-1973)</f>
        <v>561816</v>
      </c>
      <c r="G122" cm="1">
        <f t="array" ref="G122">INDEX('GMW - worst case'!$A$2:$MC$200,MATCH(1,('GMW - worst case'!$MC$2:$MC$200=G$3)*('GMW - worst case'!$MB$2:$MB$200=G$4),0),$E122-1973)</f>
        <v>335303</v>
      </c>
      <c r="H122" cm="1">
        <f t="array" ref="H122">INDEX('GMW - worst case'!$A$2:$MC$200,MATCH(1,('GMW - worst case'!$MC$2:$MC$200=H$3)*('GMW - worst case'!$MB$2:$MB$200=H$4),0),$E122-1973)</f>
        <v>85.733329999999995</v>
      </c>
      <c r="I122" cm="1">
        <f t="array" ref="I122">INDEX('GMW - worst case'!$A$2:$MC$200,MATCH(1,('GMW - worst case'!$MC$2:$MC$200=I$3)*('GMW - worst case'!$MB$2:$MB$200=I$4),0),$E122-1973)</f>
        <v>3.325758</v>
      </c>
      <c r="J122" t="e" cm="1">
        <f t="array" ref="J122">INDEX('GMW - worst case'!$A$2:$MC$200,MATCH(1,('GMW - worst case'!$MC$2:$MC$200=J$3)*('GMW - worst case'!$MB$2:$MB$200=J$4),0),$E122-1973)</f>
        <v>#N/A</v>
      </c>
      <c r="K122" t="e" cm="1">
        <f t="array" ref="K122">INDEX('GMW - worst case'!$A$2:$MC$200,MATCH(1,('GMW - worst case'!$MC$2:$MC$200=K$3)*('GMW - worst case'!$MB$2:$MB$200=K$4),0),$E122-1973)</f>
        <v>#N/A</v>
      </c>
      <c r="L122" t="e" cm="1">
        <f t="array" ref="L122">INDEX('GMW - worst case'!$A$2:$MC$200,MATCH(1,('GMW - worst case'!$MC$2:$MC$200=L$3)*('GMW - worst case'!$MB$2:$MB$200=L$4),0),$E122-1973)</f>
        <v>#N/A</v>
      </c>
      <c r="M122" t="e" cm="1">
        <f t="array" ref="M122">INDEX('GMW - worst case'!$A$2:$MC$200,MATCH(1,('GMW - worst case'!$MC$2:$MC$200=M$3)*('GMW - worst case'!$MB$2:$MB$200=M$4),0),$E122-1973)</f>
        <v>#N/A</v>
      </c>
      <c r="N122" t="e" cm="1">
        <f t="array" ref="N122">INDEX('GMW - worst case'!$A$2:$MC$200,MATCH(1,('GMW - worst case'!$MC$2:$MC$200=N$3)*('GMW - worst case'!$MB$2:$MB$200=N$4),0),$E122-1973)</f>
        <v>#N/A</v>
      </c>
      <c r="O122" t="e" cm="1">
        <f t="array" ref="O122">INDEX('GMW - worst case'!$A$2:$MC$200,MATCH(1,('GMW - worst case'!$MC$2:$MC$200=O$3)*('GMW - worst case'!$MB$2:$MB$200=O$4),0),$E122-1973)</f>
        <v>#N/A</v>
      </c>
      <c r="P122" t="e" cm="1">
        <f t="array" ref="P122">INDEX('GMW - worst case'!$A$2:$MC$200,MATCH(1,('GMW - worst case'!$MC$2:$MC$200=P$3)*('GMW - worst case'!$MB$2:$MB$200=P$4),0),$E122-1973)</f>
        <v>#N/A</v>
      </c>
      <c r="Q122" t="e" cm="1">
        <f t="array" ref="Q122">INDEX('GMW - worst case'!$A$2:$MC$200,MATCH(1,('GMW - worst case'!$MC$2:$MC$200=Q$3)*('GMW - worst case'!$MB$2:$MB$200=Q$4),0),$E122-1973)</f>
        <v>#N/A</v>
      </c>
      <c r="R122" t="e" cm="1">
        <f t="array" ref="R122">INDEX('GMW - worst case'!$A$2:$MC$200,MATCH(1,('GMW - worst case'!$MC$2:$MC$200=R$3)*('GMW - worst case'!$MB$2:$MB$200=R$4),0),$E122-1973)</f>
        <v>#N/A</v>
      </c>
      <c r="S122" t="e" cm="1">
        <f t="array" ref="S122">INDEX('GMW - worst case'!$A$2:$MC$200,MATCH(1,('GMW - worst case'!$MC$2:$MC$200=S$3)*('GMW - worst case'!$MB$2:$MB$200=S$4),0),$E122-1973)</f>
        <v>#N/A</v>
      </c>
    </row>
    <row r="123" spans="1:19" x14ac:dyDescent="0.25">
      <c r="A123">
        <v>2009</v>
      </c>
      <c r="B123">
        <f t="shared" si="9"/>
        <v>2009</v>
      </c>
      <c r="C123">
        <f t="shared" si="9"/>
        <v>2008</v>
      </c>
      <c r="D123">
        <f t="shared" si="9"/>
        <v>2008</v>
      </c>
      <c r="E123">
        <f t="shared" si="6"/>
        <v>2096</v>
      </c>
      <c r="F123" cm="1">
        <f t="array" ref="F123">INDEX('GMW - worst case'!$A$2:$MC$200,MATCH(1,('GMW - worst case'!$MC$2:$MC$200=F$3)*('GMW - worst case'!$MB$2:$MB$200=F$4),0),$E123-1973)</f>
        <v>550451</v>
      </c>
      <c r="G123" cm="1">
        <f t="array" ref="G123">INDEX('GMW - worst case'!$A$2:$MC$200,MATCH(1,('GMW - worst case'!$MC$2:$MC$200=G$3)*('GMW - worst case'!$MB$2:$MB$200=G$4),0),$E123-1973)</f>
        <v>333667</v>
      </c>
      <c r="H123" cm="1">
        <f t="array" ref="H123">INDEX('GMW - worst case'!$A$2:$MC$200,MATCH(1,('GMW - worst case'!$MC$2:$MC$200=H$3)*('GMW - worst case'!$MB$2:$MB$200=H$4),0),$E123-1973)</f>
        <v>85.433329999999998</v>
      </c>
      <c r="I123" cm="1">
        <f t="array" ref="I123">INDEX('GMW - worst case'!$A$2:$MC$200,MATCH(1,('GMW - worst case'!$MC$2:$MC$200=I$3)*('GMW - worst case'!$MB$2:$MB$200=I$4),0),$E123-1973)</f>
        <v>1.0859380000000001</v>
      </c>
      <c r="J123" t="e" cm="1">
        <f t="array" ref="J123">INDEX('GMW - worst case'!$A$2:$MC$200,MATCH(1,('GMW - worst case'!$MC$2:$MC$200=J$3)*('GMW - worst case'!$MB$2:$MB$200=J$4),0),$E123-1973)</f>
        <v>#N/A</v>
      </c>
      <c r="K123" t="e" cm="1">
        <f t="array" ref="K123">INDEX('GMW - worst case'!$A$2:$MC$200,MATCH(1,('GMW - worst case'!$MC$2:$MC$200=K$3)*('GMW - worst case'!$MB$2:$MB$200=K$4),0),$E123-1973)</f>
        <v>#N/A</v>
      </c>
      <c r="L123" t="e" cm="1">
        <f t="array" ref="L123">INDEX('GMW - worst case'!$A$2:$MC$200,MATCH(1,('GMW - worst case'!$MC$2:$MC$200=L$3)*('GMW - worst case'!$MB$2:$MB$200=L$4),0),$E123-1973)</f>
        <v>#N/A</v>
      </c>
      <c r="M123" t="e" cm="1">
        <f t="array" ref="M123">INDEX('GMW - worst case'!$A$2:$MC$200,MATCH(1,('GMW - worst case'!$MC$2:$MC$200=M$3)*('GMW - worst case'!$MB$2:$MB$200=M$4),0),$E123-1973)</f>
        <v>#N/A</v>
      </c>
      <c r="N123" t="e" cm="1">
        <f t="array" ref="N123">INDEX('GMW - worst case'!$A$2:$MC$200,MATCH(1,('GMW - worst case'!$MC$2:$MC$200=N$3)*('GMW - worst case'!$MB$2:$MB$200=N$4),0),$E123-1973)</f>
        <v>#N/A</v>
      </c>
      <c r="O123" t="e" cm="1">
        <f t="array" ref="O123">INDEX('GMW - worst case'!$A$2:$MC$200,MATCH(1,('GMW - worst case'!$MC$2:$MC$200=O$3)*('GMW - worst case'!$MB$2:$MB$200=O$4),0),$E123-1973)</f>
        <v>#N/A</v>
      </c>
      <c r="P123" t="e" cm="1">
        <f t="array" ref="P123">INDEX('GMW - worst case'!$A$2:$MC$200,MATCH(1,('GMW - worst case'!$MC$2:$MC$200=P$3)*('GMW - worst case'!$MB$2:$MB$200=P$4),0),$E123-1973)</f>
        <v>#N/A</v>
      </c>
      <c r="Q123" t="e" cm="1">
        <f t="array" ref="Q123">INDEX('GMW - worst case'!$A$2:$MC$200,MATCH(1,('GMW - worst case'!$MC$2:$MC$200=Q$3)*('GMW - worst case'!$MB$2:$MB$200=Q$4),0),$E123-1973)</f>
        <v>#N/A</v>
      </c>
      <c r="R123" t="e" cm="1">
        <f t="array" ref="R123">INDEX('GMW - worst case'!$A$2:$MC$200,MATCH(1,('GMW - worst case'!$MC$2:$MC$200=R$3)*('GMW - worst case'!$MB$2:$MB$200=R$4),0),$E123-1973)</f>
        <v>#N/A</v>
      </c>
      <c r="S123" t="e" cm="1">
        <f t="array" ref="S123">INDEX('GMW - worst case'!$A$2:$MC$200,MATCH(1,('GMW - worst case'!$MC$2:$MC$200=S$3)*('GMW - worst case'!$MB$2:$MB$200=S$4),0),$E123-1973)</f>
        <v>#N/A</v>
      </c>
    </row>
    <row r="124" spans="1:19" x14ac:dyDescent="0.25">
      <c r="B124">
        <f t="shared" ref="B124:D139" si="10">+B120+1</f>
        <v>2009</v>
      </c>
      <c r="C124">
        <f t="shared" si="10"/>
        <v>2009</v>
      </c>
      <c r="E124">
        <f t="shared" si="6"/>
        <v>2097</v>
      </c>
      <c r="F124" cm="1">
        <f t="array" ref="F124">INDEX('GMW - worst case'!$A$2:$MC$200,MATCH(1,('GMW - worst case'!$MC$2:$MC$200=F$3)*('GMW - worst case'!$MB$2:$MB$200=F$4),0),$E124-1973)</f>
        <v>548859</v>
      </c>
      <c r="G124" cm="1">
        <f t="array" ref="G124">INDEX('GMW - worst case'!$A$2:$MC$200,MATCH(1,('GMW - worst case'!$MC$2:$MC$200=G$3)*('GMW - worst case'!$MB$2:$MB$200=G$4),0),$E124-1973)</f>
        <v>332958</v>
      </c>
      <c r="H124" cm="1">
        <f t="array" ref="H124">INDEX('GMW - worst case'!$A$2:$MC$200,MATCH(1,('GMW - worst case'!$MC$2:$MC$200=H$3)*('GMW - worst case'!$MB$2:$MB$200=H$4),0),$E124-1973)</f>
        <v>86.366669999999999</v>
      </c>
      <c r="I124" cm="1">
        <f t="array" ref="I124">INDEX('GMW - worst case'!$A$2:$MC$200,MATCH(1,('GMW - worst case'!$MC$2:$MC$200=I$3)*('GMW - worst case'!$MB$2:$MB$200=I$4),0),$E124-1973)</f>
        <v>0.5</v>
      </c>
      <c r="J124" t="e" cm="1">
        <f t="array" ref="J124">INDEX('GMW - worst case'!$A$2:$MC$200,MATCH(1,('GMW - worst case'!$MC$2:$MC$200=J$3)*('GMW - worst case'!$MB$2:$MB$200=J$4),0),$E124-1973)</f>
        <v>#N/A</v>
      </c>
      <c r="K124" t="e" cm="1">
        <f t="array" ref="K124">INDEX('GMW - worst case'!$A$2:$MC$200,MATCH(1,('GMW - worst case'!$MC$2:$MC$200=K$3)*('GMW - worst case'!$MB$2:$MB$200=K$4),0),$E124-1973)</f>
        <v>#N/A</v>
      </c>
      <c r="L124" t="e" cm="1">
        <f t="array" ref="L124">INDEX('GMW - worst case'!$A$2:$MC$200,MATCH(1,('GMW - worst case'!$MC$2:$MC$200=L$3)*('GMW - worst case'!$MB$2:$MB$200=L$4),0),$E124-1973)</f>
        <v>#N/A</v>
      </c>
      <c r="M124" t="e" cm="1">
        <f t="array" ref="M124">INDEX('GMW - worst case'!$A$2:$MC$200,MATCH(1,('GMW - worst case'!$MC$2:$MC$200=M$3)*('GMW - worst case'!$MB$2:$MB$200=M$4),0),$E124-1973)</f>
        <v>#N/A</v>
      </c>
      <c r="N124" t="e" cm="1">
        <f t="array" ref="N124">INDEX('GMW - worst case'!$A$2:$MC$200,MATCH(1,('GMW - worst case'!$MC$2:$MC$200=N$3)*('GMW - worst case'!$MB$2:$MB$200=N$4),0),$E124-1973)</f>
        <v>#N/A</v>
      </c>
      <c r="O124" t="e" cm="1">
        <f t="array" ref="O124">INDEX('GMW - worst case'!$A$2:$MC$200,MATCH(1,('GMW - worst case'!$MC$2:$MC$200=O$3)*('GMW - worst case'!$MB$2:$MB$200=O$4),0),$E124-1973)</f>
        <v>#N/A</v>
      </c>
      <c r="P124" t="e" cm="1">
        <f t="array" ref="P124">INDEX('GMW - worst case'!$A$2:$MC$200,MATCH(1,('GMW - worst case'!$MC$2:$MC$200=P$3)*('GMW - worst case'!$MB$2:$MB$200=P$4),0),$E124-1973)</f>
        <v>#N/A</v>
      </c>
      <c r="Q124" t="e" cm="1">
        <f t="array" ref="Q124">INDEX('GMW - worst case'!$A$2:$MC$200,MATCH(1,('GMW - worst case'!$MC$2:$MC$200=Q$3)*('GMW - worst case'!$MB$2:$MB$200=Q$4),0),$E124-1973)</f>
        <v>#N/A</v>
      </c>
      <c r="R124" t="e" cm="1">
        <f t="array" ref="R124">INDEX('GMW - worst case'!$A$2:$MC$200,MATCH(1,('GMW - worst case'!$MC$2:$MC$200=R$3)*('GMW - worst case'!$MB$2:$MB$200=R$4),0),$E124-1973)</f>
        <v>#N/A</v>
      </c>
      <c r="S124" t="e" cm="1">
        <f t="array" ref="S124">INDEX('GMW - worst case'!$A$2:$MC$200,MATCH(1,('GMW - worst case'!$MC$2:$MC$200=S$3)*('GMW - worst case'!$MB$2:$MB$200=S$4),0),$E124-1973)</f>
        <v>#N/A</v>
      </c>
    </row>
    <row r="125" spans="1:19" x14ac:dyDescent="0.25">
      <c r="B125">
        <f t="shared" si="10"/>
        <v>2009</v>
      </c>
      <c r="C125">
        <f t="shared" si="10"/>
        <v>2009</v>
      </c>
      <c r="E125">
        <f t="shared" si="6"/>
        <v>2098</v>
      </c>
      <c r="F125" cm="1">
        <f t="array" ref="F125">INDEX('GMW - worst case'!$A$2:$MC$200,MATCH(1,('GMW - worst case'!$MC$2:$MC$200=F$3)*('GMW - worst case'!$MB$2:$MB$200=F$4),0),$E125-1973)</f>
        <v>549540</v>
      </c>
      <c r="G125" cm="1">
        <f t="array" ref="G125">INDEX('GMW - worst case'!$A$2:$MC$200,MATCH(1,('GMW - worst case'!$MC$2:$MC$200=G$3)*('GMW - worst case'!$MB$2:$MB$200=G$4),0),$E125-1973)</f>
        <v>333656</v>
      </c>
      <c r="H125" cm="1">
        <f t="array" ref="H125">INDEX('GMW - worst case'!$A$2:$MC$200,MATCH(1,('GMW - worst case'!$MC$2:$MC$200=H$3)*('GMW - worst case'!$MB$2:$MB$200=H$4),0),$E125-1973)</f>
        <v>86.933329999999998</v>
      </c>
      <c r="I125" cm="1">
        <f t="array" ref="I125">INDEX('GMW - worst case'!$A$2:$MC$200,MATCH(1,('GMW - worst case'!$MC$2:$MC$200=I$3)*('GMW - worst case'!$MB$2:$MB$200=I$4),0),$E125-1973)</f>
        <v>0.5</v>
      </c>
      <c r="J125" t="e" cm="1">
        <f t="array" ref="J125">INDEX('GMW - worst case'!$A$2:$MC$200,MATCH(1,('GMW - worst case'!$MC$2:$MC$200=J$3)*('GMW - worst case'!$MB$2:$MB$200=J$4),0),$E125-1973)</f>
        <v>#N/A</v>
      </c>
      <c r="K125" t="e" cm="1">
        <f t="array" ref="K125">INDEX('GMW - worst case'!$A$2:$MC$200,MATCH(1,('GMW - worst case'!$MC$2:$MC$200=K$3)*('GMW - worst case'!$MB$2:$MB$200=K$4),0),$E125-1973)</f>
        <v>#N/A</v>
      </c>
      <c r="L125" t="e" cm="1">
        <f t="array" ref="L125">INDEX('GMW - worst case'!$A$2:$MC$200,MATCH(1,('GMW - worst case'!$MC$2:$MC$200=L$3)*('GMW - worst case'!$MB$2:$MB$200=L$4),0),$E125-1973)</f>
        <v>#N/A</v>
      </c>
      <c r="M125" t="e" cm="1">
        <f t="array" ref="M125">INDEX('GMW - worst case'!$A$2:$MC$200,MATCH(1,('GMW - worst case'!$MC$2:$MC$200=M$3)*('GMW - worst case'!$MB$2:$MB$200=M$4),0),$E125-1973)</f>
        <v>#N/A</v>
      </c>
      <c r="N125" t="e" cm="1">
        <f t="array" ref="N125">INDEX('GMW - worst case'!$A$2:$MC$200,MATCH(1,('GMW - worst case'!$MC$2:$MC$200=N$3)*('GMW - worst case'!$MB$2:$MB$200=N$4),0),$E125-1973)</f>
        <v>#N/A</v>
      </c>
      <c r="O125" t="e" cm="1">
        <f t="array" ref="O125">INDEX('GMW - worst case'!$A$2:$MC$200,MATCH(1,('GMW - worst case'!$MC$2:$MC$200=O$3)*('GMW - worst case'!$MB$2:$MB$200=O$4),0),$E125-1973)</f>
        <v>#N/A</v>
      </c>
      <c r="P125" t="e" cm="1">
        <f t="array" ref="P125">INDEX('GMW - worst case'!$A$2:$MC$200,MATCH(1,('GMW - worst case'!$MC$2:$MC$200=P$3)*('GMW - worst case'!$MB$2:$MB$200=P$4),0),$E125-1973)</f>
        <v>#N/A</v>
      </c>
      <c r="Q125" t="e" cm="1">
        <f t="array" ref="Q125">INDEX('GMW - worst case'!$A$2:$MC$200,MATCH(1,('GMW - worst case'!$MC$2:$MC$200=Q$3)*('GMW - worst case'!$MB$2:$MB$200=Q$4),0),$E125-1973)</f>
        <v>#N/A</v>
      </c>
      <c r="R125" t="e" cm="1">
        <f t="array" ref="R125">INDEX('GMW - worst case'!$A$2:$MC$200,MATCH(1,('GMW - worst case'!$MC$2:$MC$200=R$3)*('GMW - worst case'!$MB$2:$MB$200=R$4),0),$E125-1973)</f>
        <v>#N/A</v>
      </c>
      <c r="S125" t="e" cm="1">
        <f t="array" ref="S125">INDEX('GMW - worst case'!$A$2:$MC$200,MATCH(1,('GMW - worst case'!$MC$2:$MC$200=S$3)*('GMW - worst case'!$MB$2:$MB$200=S$4),0),$E125-1973)</f>
        <v>#N/A</v>
      </c>
    </row>
    <row r="126" spans="1:19" x14ac:dyDescent="0.25">
      <c r="B126">
        <f t="shared" si="10"/>
        <v>2009</v>
      </c>
      <c r="C126">
        <f t="shared" si="10"/>
        <v>2009</v>
      </c>
      <c r="E126">
        <f t="shared" si="6"/>
        <v>2099</v>
      </c>
      <c r="F126" cm="1">
        <f t="array" ref="F126">INDEX('GMW - worst case'!$A$2:$MC$200,MATCH(1,('GMW - worst case'!$MC$2:$MC$200=F$3)*('GMW - worst case'!$MB$2:$MB$200=F$4),0),$E126-1973)</f>
        <v>551372</v>
      </c>
      <c r="G126" cm="1">
        <f t="array" ref="G126">INDEX('GMW - worst case'!$A$2:$MC$200,MATCH(1,('GMW - worst case'!$MC$2:$MC$200=G$3)*('GMW - worst case'!$MB$2:$MB$200=G$4),0),$E126-1973)</f>
        <v>336375</v>
      </c>
      <c r="H126" cm="1">
        <f t="array" ref="H126">INDEX('GMW - worst case'!$A$2:$MC$200,MATCH(1,('GMW - worst case'!$MC$2:$MC$200=H$3)*('GMW - worst case'!$MB$2:$MB$200=H$4),0),$E126-1973)</f>
        <v>87.566670000000002</v>
      </c>
      <c r="I126" cm="1">
        <f t="array" ref="I126">INDEX('GMW - worst case'!$A$2:$MC$200,MATCH(1,('GMW - worst case'!$MC$2:$MC$200=I$3)*('GMW - worst case'!$MB$2:$MB$200=I$4),0),$E126-1973)</f>
        <v>0.5</v>
      </c>
      <c r="J126" t="e" cm="1">
        <f t="array" ref="J126">INDEX('GMW - worst case'!$A$2:$MC$200,MATCH(1,('GMW - worst case'!$MC$2:$MC$200=J$3)*('GMW - worst case'!$MB$2:$MB$200=J$4),0),$E126-1973)</f>
        <v>#N/A</v>
      </c>
      <c r="K126" t="e" cm="1">
        <f t="array" ref="K126">INDEX('GMW - worst case'!$A$2:$MC$200,MATCH(1,('GMW - worst case'!$MC$2:$MC$200=K$3)*('GMW - worst case'!$MB$2:$MB$200=K$4),0),$E126-1973)</f>
        <v>#N/A</v>
      </c>
      <c r="L126" t="e" cm="1">
        <f t="array" ref="L126">INDEX('GMW - worst case'!$A$2:$MC$200,MATCH(1,('GMW - worst case'!$MC$2:$MC$200=L$3)*('GMW - worst case'!$MB$2:$MB$200=L$4),0),$E126-1973)</f>
        <v>#N/A</v>
      </c>
      <c r="M126" t="e" cm="1">
        <f t="array" ref="M126">INDEX('GMW - worst case'!$A$2:$MC$200,MATCH(1,('GMW - worst case'!$MC$2:$MC$200=M$3)*('GMW - worst case'!$MB$2:$MB$200=M$4),0),$E126-1973)</f>
        <v>#N/A</v>
      </c>
      <c r="N126" t="e" cm="1">
        <f t="array" ref="N126">INDEX('GMW - worst case'!$A$2:$MC$200,MATCH(1,('GMW - worst case'!$MC$2:$MC$200=N$3)*('GMW - worst case'!$MB$2:$MB$200=N$4),0),$E126-1973)</f>
        <v>#N/A</v>
      </c>
      <c r="O126" t="e" cm="1">
        <f t="array" ref="O126">INDEX('GMW - worst case'!$A$2:$MC$200,MATCH(1,('GMW - worst case'!$MC$2:$MC$200=O$3)*('GMW - worst case'!$MB$2:$MB$200=O$4),0),$E126-1973)</f>
        <v>#N/A</v>
      </c>
      <c r="P126" t="e" cm="1">
        <f t="array" ref="P126">INDEX('GMW - worst case'!$A$2:$MC$200,MATCH(1,('GMW - worst case'!$MC$2:$MC$200=P$3)*('GMW - worst case'!$MB$2:$MB$200=P$4),0),$E126-1973)</f>
        <v>#N/A</v>
      </c>
      <c r="Q126" t="e" cm="1">
        <f t="array" ref="Q126">INDEX('GMW - worst case'!$A$2:$MC$200,MATCH(1,('GMW - worst case'!$MC$2:$MC$200=Q$3)*('GMW - worst case'!$MB$2:$MB$200=Q$4),0),$E126-1973)</f>
        <v>#N/A</v>
      </c>
      <c r="R126" t="e" cm="1">
        <f t="array" ref="R126">INDEX('GMW - worst case'!$A$2:$MC$200,MATCH(1,('GMW - worst case'!$MC$2:$MC$200=R$3)*('GMW - worst case'!$MB$2:$MB$200=R$4),0),$E126-1973)</f>
        <v>#N/A</v>
      </c>
      <c r="S126" t="e" cm="1">
        <f t="array" ref="S126">INDEX('GMW - worst case'!$A$2:$MC$200,MATCH(1,('GMW - worst case'!$MC$2:$MC$200=S$3)*('GMW - worst case'!$MB$2:$MB$200=S$4),0),$E126-1973)</f>
        <v>#N/A</v>
      </c>
    </row>
    <row r="127" spans="1:19" x14ac:dyDescent="0.25">
      <c r="A127">
        <v>2010</v>
      </c>
      <c r="B127">
        <f t="shared" si="10"/>
        <v>2010</v>
      </c>
      <c r="C127">
        <f t="shared" si="10"/>
        <v>2009</v>
      </c>
      <c r="D127">
        <f t="shared" si="10"/>
        <v>2009</v>
      </c>
      <c r="E127">
        <f t="shared" si="6"/>
        <v>2100</v>
      </c>
      <c r="F127" cm="1">
        <f t="array" ref="F127">INDEX('GMW - worst case'!$A$2:$MC$200,MATCH(1,('GMW - worst case'!$MC$2:$MC$200=F$3)*('GMW - worst case'!$MB$2:$MB$200=F$4),0),$E127-1973)</f>
        <v>556002</v>
      </c>
      <c r="G127" cm="1">
        <f t="array" ref="G127">INDEX('GMW - worst case'!$A$2:$MC$200,MATCH(1,('GMW - worst case'!$MC$2:$MC$200=G$3)*('GMW - worst case'!$MB$2:$MB$200=G$4),0),$E127-1973)</f>
        <v>335932</v>
      </c>
      <c r="H127" cm="1">
        <f t="array" ref="H127">INDEX('GMW - worst case'!$A$2:$MC$200,MATCH(1,('GMW - worst case'!$MC$2:$MC$200=H$3)*('GMW - worst case'!$MB$2:$MB$200=H$4),0),$E127-1973)</f>
        <v>88.233329999999995</v>
      </c>
      <c r="I127" cm="1">
        <f t="array" ref="I127">INDEX('GMW - worst case'!$A$2:$MC$200,MATCH(1,('GMW - worst case'!$MC$2:$MC$200=I$3)*('GMW - worst case'!$MB$2:$MB$200=I$4),0),$E127-1973)</f>
        <v>0.5</v>
      </c>
      <c r="J127" t="e" cm="1">
        <f t="array" ref="J127">INDEX('GMW - worst case'!$A$2:$MC$200,MATCH(1,('GMW - worst case'!$MC$2:$MC$200=J$3)*('GMW - worst case'!$MB$2:$MB$200=J$4),0),$E127-1973)</f>
        <v>#N/A</v>
      </c>
      <c r="K127" t="e" cm="1">
        <f t="array" ref="K127">INDEX('GMW - worst case'!$A$2:$MC$200,MATCH(1,('GMW - worst case'!$MC$2:$MC$200=K$3)*('GMW - worst case'!$MB$2:$MB$200=K$4),0),$E127-1973)</f>
        <v>#N/A</v>
      </c>
      <c r="L127" t="e" cm="1">
        <f t="array" ref="L127">INDEX('GMW - worst case'!$A$2:$MC$200,MATCH(1,('GMW - worst case'!$MC$2:$MC$200=L$3)*('GMW - worst case'!$MB$2:$MB$200=L$4),0),$E127-1973)</f>
        <v>#N/A</v>
      </c>
      <c r="M127" t="e" cm="1">
        <f t="array" ref="M127">INDEX('GMW - worst case'!$A$2:$MC$200,MATCH(1,('GMW - worst case'!$MC$2:$MC$200=M$3)*('GMW - worst case'!$MB$2:$MB$200=M$4),0),$E127-1973)</f>
        <v>#N/A</v>
      </c>
      <c r="N127" t="e" cm="1">
        <f t="array" ref="N127">INDEX('GMW - worst case'!$A$2:$MC$200,MATCH(1,('GMW - worst case'!$MC$2:$MC$200=N$3)*('GMW - worst case'!$MB$2:$MB$200=N$4),0),$E127-1973)</f>
        <v>#N/A</v>
      </c>
      <c r="O127" t="e" cm="1">
        <f t="array" ref="O127">INDEX('GMW - worst case'!$A$2:$MC$200,MATCH(1,('GMW - worst case'!$MC$2:$MC$200=O$3)*('GMW - worst case'!$MB$2:$MB$200=O$4),0),$E127-1973)</f>
        <v>#N/A</v>
      </c>
      <c r="P127" t="e" cm="1">
        <f t="array" ref="P127">INDEX('GMW - worst case'!$A$2:$MC$200,MATCH(1,('GMW - worst case'!$MC$2:$MC$200=P$3)*('GMW - worst case'!$MB$2:$MB$200=P$4),0),$E127-1973)</f>
        <v>#N/A</v>
      </c>
      <c r="Q127" t="e" cm="1">
        <f t="array" ref="Q127">INDEX('GMW - worst case'!$A$2:$MC$200,MATCH(1,('GMW - worst case'!$MC$2:$MC$200=Q$3)*('GMW - worst case'!$MB$2:$MB$200=Q$4),0),$E127-1973)</f>
        <v>#N/A</v>
      </c>
      <c r="R127" t="e" cm="1">
        <f t="array" ref="R127">INDEX('GMW - worst case'!$A$2:$MC$200,MATCH(1,('GMW - worst case'!$MC$2:$MC$200=R$3)*('GMW - worst case'!$MB$2:$MB$200=R$4),0),$E127-1973)</f>
        <v>#N/A</v>
      </c>
      <c r="S127" t="e" cm="1">
        <f t="array" ref="S127">INDEX('GMW - worst case'!$A$2:$MC$200,MATCH(1,('GMW - worst case'!$MC$2:$MC$200=S$3)*('GMW - worst case'!$MB$2:$MB$200=S$4),0),$E127-1973)</f>
        <v>#N/A</v>
      </c>
    </row>
    <row r="128" spans="1:19" x14ac:dyDescent="0.25">
      <c r="B128">
        <f t="shared" si="10"/>
        <v>2010</v>
      </c>
      <c r="C128">
        <f t="shared" si="10"/>
        <v>2010</v>
      </c>
      <c r="E128">
        <f t="shared" si="6"/>
        <v>2101</v>
      </c>
      <c r="F128" cm="1">
        <f t="array" ref="F128">INDEX('GMW - worst case'!$A$2:$MC$200,MATCH(1,('GMW - worst case'!$MC$2:$MC$200=F$3)*('GMW - worst case'!$MB$2:$MB$200=F$4),0),$E128-1973)</f>
        <v>562353</v>
      </c>
      <c r="G128" cm="1">
        <f t="array" ref="G128">INDEX('GMW - worst case'!$A$2:$MC$200,MATCH(1,('GMW - worst case'!$MC$2:$MC$200=G$3)*('GMW - worst case'!$MB$2:$MB$200=G$4),0),$E128-1973)</f>
        <v>345407</v>
      </c>
      <c r="H128" cm="1">
        <f t="array" ref="H128">INDEX('GMW - worst case'!$A$2:$MC$200,MATCH(1,('GMW - worst case'!$MC$2:$MC$200=H$3)*('GMW - worst case'!$MB$2:$MB$200=H$4),0),$E128-1973)</f>
        <v>89.366669999999999</v>
      </c>
      <c r="I128" cm="1">
        <f t="array" ref="I128">INDEX('GMW - worst case'!$A$2:$MC$200,MATCH(1,('GMW - worst case'!$MC$2:$MC$200=I$3)*('GMW - worst case'!$MB$2:$MB$200=I$4),0),$E128-1973)</f>
        <v>0.5</v>
      </c>
      <c r="J128" t="e" cm="1">
        <f t="array" ref="J128">INDEX('GMW - worst case'!$A$2:$MC$200,MATCH(1,('GMW - worst case'!$MC$2:$MC$200=J$3)*('GMW - worst case'!$MB$2:$MB$200=J$4),0),$E128-1973)</f>
        <v>#N/A</v>
      </c>
      <c r="K128" t="e" cm="1">
        <f t="array" ref="K128">INDEX('GMW - worst case'!$A$2:$MC$200,MATCH(1,('GMW - worst case'!$MC$2:$MC$200=K$3)*('GMW - worst case'!$MB$2:$MB$200=K$4),0),$E128-1973)</f>
        <v>#N/A</v>
      </c>
      <c r="L128" t="e" cm="1">
        <f t="array" ref="L128">INDEX('GMW - worst case'!$A$2:$MC$200,MATCH(1,('GMW - worst case'!$MC$2:$MC$200=L$3)*('GMW - worst case'!$MB$2:$MB$200=L$4),0),$E128-1973)</f>
        <v>#N/A</v>
      </c>
      <c r="M128" t="e" cm="1">
        <f t="array" ref="M128">INDEX('GMW - worst case'!$A$2:$MC$200,MATCH(1,('GMW - worst case'!$MC$2:$MC$200=M$3)*('GMW - worst case'!$MB$2:$MB$200=M$4),0),$E128-1973)</f>
        <v>#N/A</v>
      </c>
      <c r="N128" t="e" cm="1">
        <f t="array" ref="N128">INDEX('GMW - worst case'!$A$2:$MC$200,MATCH(1,('GMW - worst case'!$MC$2:$MC$200=N$3)*('GMW - worst case'!$MB$2:$MB$200=N$4),0),$E128-1973)</f>
        <v>#N/A</v>
      </c>
      <c r="O128" t="e" cm="1">
        <f t="array" ref="O128">INDEX('GMW - worst case'!$A$2:$MC$200,MATCH(1,('GMW - worst case'!$MC$2:$MC$200=O$3)*('GMW - worst case'!$MB$2:$MB$200=O$4),0),$E128-1973)</f>
        <v>#N/A</v>
      </c>
      <c r="P128" t="e" cm="1">
        <f t="array" ref="P128">INDEX('GMW - worst case'!$A$2:$MC$200,MATCH(1,('GMW - worst case'!$MC$2:$MC$200=P$3)*('GMW - worst case'!$MB$2:$MB$200=P$4),0),$E128-1973)</f>
        <v>#N/A</v>
      </c>
      <c r="Q128" t="e" cm="1">
        <f t="array" ref="Q128">INDEX('GMW - worst case'!$A$2:$MC$200,MATCH(1,('GMW - worst case'!$MC$2:$MC$200=Q$3)*('GMW - worst case'!$MB$2:$MB$200=Q$4),0),$E128-1973)</f>
        <v>#N/A</v>
      </c>
      <c r="R128" t="e" cm="1">
        <f t="array" ref="R128">INDEX('GMW - worst case'!$A$2:$MC$200,MATCH(1,('GMW - worst case'!$MC$2:$MC$200=R$3)*('GMW - worst case'!$MB$2:$MB$200=R$4),0),$E128-1973)</f>
        <v>#N/A</v>
      </c>
      <c r="S128" t="e" cm="1">
        <f t="array" ref="S128">INDEX('GMW - worst case'!$A$2:$MC$200,MATCH(1,('GMW - worst case'!$MC$2:$MC$200=S$3)*('GMW - worst case'!$MB$2:$MB$200=S$4),0),$E128-1973)</f>
        <v>#N/A</v>
      </c>
    </row>
    <row r="129" spans="1:19" x14ac:dyDescent="0.25">
      <c r="B129">
        <f t="shared" si="10"/>
        <v>2010</v>
      </c>
      <c r="C129">
        <f t="shared" si="10"/>
        <v>2010</v>
      </c>
      <c r="E129">
        <f t="shared" si="6"/>
        <v>2102</v>
      </c>
      <c r="F129" cm="1">
        <f t="array" ref="F129">INDEX('GMW - worst case'!$A$2:$MC$200,MATCH(1,('GMW - worst case'!$MC$2:$MC$200=F$3)*('GMW - worst case'!$MB$2:$MB$200=F$4),0),$E129-1973)</f>
        <v>565659</v>
      </c>
      <c r="G129" cm="1">
        <f t="array" ref="G129">INDEX('GMW - worst case'!$A$2:$MC$200,MATCH(1,('GMW - worst case'!$MC$2:$MC$200=G$3)*('GMW - worst case'!$MB$2:$MB$200=G$4),0),$E129-1973)</f>
        <v>346142</v>
      </c>
      <c r="H129" cm="1">
        <f t="array" ref="H129">INDEX('GMW - worst case'!$A$2:$MC$200,MATCH(1,('GMW - worst case'!$MC$2:$MC$200=H$3)*('GMW - worst case'!$MB$2:$MB$200=H$4),0),$E129-1973)</f>
        <v>89.633330000000001</v>
      </c>
      <c r="I129" cm="1">
        <f t="array" ref="I129">INDEX('GMW - worst case'!$A$2:$MC$200,MATCH(1,('GMW - worst case'!$MC$2:$MC$200=I$3)*('GMW - worst case'!$MB$2:$MB$200=I$4),0),$E129-1973)</f>
        <v>0.5</v>
      </c>
      <c r="J129" t="e" cm="1">
        <f t="array" ref="J129">INDEX('GMW - worst case'!$A$2:$MC$200,MATCH(1,('GMW - worst case'!$MC$2:$MC$200=J$3)*('GMW - worst case'!$MB$2:$MB$200=J$4),0),$E129-1973)</f>
        <v>#N/A</v>
      </c>
      <c r="K129" t="e" cm="1">
        <f t="array" ref="K129">INDEX('GMW - worst case'!$A$2:$MC$200,MATCH(1,('GMW - worst case'!$MC$2:$MC$200=K$3)*('GMW - worst case'!$MB$2:$MB$200=K$4),0),$E129-1973)</f>
        <v>#N/A</v>
      </c>
      <c r="L129" t="e" cm="1">
        <f t="array" ref="L129">INDEX('GMW - worst case'!$A$2:$MC$200,MATCH(1,('GMW - worst case'!$MC$2:$MC$200=L$3)*('GMW - worst case'!$MB$2:$MB$200=L$4),0),$E129-1973)</f>
        <v>#N/A</v>
      </c>
      <c r="M129" t="e" cm="1">
        <f t="array" ref="M129">INDEX('GMW - worst case'!$A$2:$MC$200,MATCH(1,('GMW - worst case'!$MC$2:$MC$200=M$3)*('GMW - worst case'!$MB$2:$MB$200=M$4),0),$E129-1973)</f>
        <v>#N/A</v>
      </c>
      <c r="N129" t="e" cm="1">
        <f t="array" ref="N129">INDEX('GMW - worst case'!$A$2:$MC$200,MATCH(1,('GMW - worst case'!$MC$2:$MC$200=N$3)*('GMW - worst case'!$MB$2:$MB$200=N$4),0),$E129-1973)</f>
        <v>#N/A</v>
      </c>
      <c r="O129" t="e" cm="1">
        <f t="array" ref="O129">INDEX('GMW - worst case'!$A$2:$MC$200,MATCH(1,('GMW - worst case'!$MC$2:$MC$200=O$3)*('GMW - worst case'!$MB$2:$MB$200=O$4),0),$E129-1973)</f>
        <v>#N/A</v>
      </c>
      <c r="P129" t="e" cm="1">
        <f t="array" ref="P129">INDEX('GMW - worst case'!$A$2:$MC$200,MATCH(1,('GMW - worst case'!$MC$2:$MC$200=P$3)*('GMW - worst case'!$MB$2:$MB$200=P$4),0),$E129-1973)</f>
        <v>#N/A</v>
      </c>
      <c r="Q129" t="e" cm="1">
        <f t="array" ref="Q129">INDEX('GMW - worst case'!$A$2:$MC$200,MATCH(1,('GMW - worst case'!$MC$2:$MC$200=Q$3)*('GMW - worst case'!$MB$2:$MB$200=Q$4),0),$E129-1973)</f>
        <v>#N/A</v>
      </c>
      <c r="R129" t="e" cm="1">
        <f t="array" ref="R129">INDEX('GMW - worst case'!$A$2:$MC$200,MATCH(1,('GMW - worst case'!$MC$2:$MC$200=R$3)*('GMW - worst case'!$MB$2:$MB$200=R$4),0),$E129-1973)</f>
        <v>#N/A</v>
      </c>
      <c r="S129" t="e" cm="1">
        <f t="array" ref="S129">INDEX('GMW - worst case'!$A$2:$MC$200,MATCH(1,('GMW - worst case'!$MC$2:$MC$200=S$3)*('GMW - worst case'!$MB$2:$MB$200=S$4),0),$E129-1973)</f>
        <v>#N/A</v>
      </c>
    </row>
    <row r="130" spans="1:19" x14ac:dyDescent="0.25">
      <c r="B130">
        <f t="shared" si="10"/>
        <v>2010</v>
      </c>
      <c r="C130">
        <f t="shared" si="10"/>
        <v>2010</v>
      </c>
      <c r="E130">
        <f t="shared" si="6"/>
        <v>2103</v>
      </c>
      <c r="F130" cm="1">
        <f t="array" ref="F130">INDEX('GMW - worst case'!$A$2:$MC$200,MATCH(1,('GMW - worst case'!$MC$2:$MC$200=F$3)*('GMW - worst case'!$MB$2:$MB$200=F$4),0),$E130-1973)</f>
        <v>565945</v>
      </c>
      <c r="G130" cm="1">
        <f t="array" ref="G130">INDEX('GMW - worst case'!$A$2:$MC$200,MATCH(1,('GMW - worst case'!$MC$2:$MC$200=G$3)*('GMW - worst case'!$MB$2:$MB$200=G$4),0),$E130-1973)</f>
        <v>345426</v>
      </c>
      <c r="H130" cm="1">
        <f t="array" ref="H130">INDEX('GMW - worst case'!$A$2:$MC$200,MATCH(1,('GMW - worst case'!$MC$2:$MC$200=H$3)*('GMW - worst case'!$MB$2:$MB$200=H$4),0),$E130-1973)</f>
        <v>90.5</v>
      </c>
      <c r="I130" cm="1">
        <f t="array" ref="I130">INDEX('GMW - worst case'!$A$2:$MC$200,MATCH(1,('GMW - worst case'!$MC$2:$MC$200=I$3)*('GMW - worst case'!$MB$2:$MB$200=I$4),0),$E130-1973)</f>
        <v>0.5</v>
      </c>
      <c r="J130" t="e" cm="1">
        <f t="array" ref="J130">INDEX('GMW - worst case'!$A$2:$MC$200,MATCH(1,('GMW - worst case'!$MC$2:$MC$200=J$3)*('GMW - worst case'!$MB$2:$MB$200=J$4),0),$E130-1973)</f>
        <v>#N/A</v>
      </c>
      <c r="K130" t="e" cm="1">
        <f t="array" ref="K130">INDEX('GMW - worst case'!$A$2:$MC$200,MATCH(1,('GMW - worst case'!$MC$2:$MC$200=K$3)*('GMW - worst case'!$MB$2:$MB$200=K$4),0),$E130-1973)</f>
        <v>#N/A</v>
      </c>
      <c r="L130" t="e" cm="1">
        <f t="array" ref="L130">INDEX('GMW - worst case'!$A$2:$MC$200,MATCH(1,('GMW - worst case'!$MC$2:$MC$200=L$3)*('GMW - worst case'!$MB$2:$MB$200=L$4),0),$E130-1973)</f>
        <v>#N/A</v>
      </c>
      <c r="M130" t="e" cm="1">
        <f t="array" ref="M130">INDEX('GMW - worst case'!$A$2:$MC$200,MATCH(1,('GMW - worst case'!$MC$2:$MC$200=M$3)*('GMW - worst case'!$MB$2:$MB$200=M$4),0),$E130-1973)</f>
        <v>#N/A</v>
      </c>
      <c r="N130" t="e" cm="1">
        <f t="array" ref="N130">INDEX('GMW - worst case'!$A$2:$MC$200,MATCH(1,('GMW - worst case'!$MC$2:$MC$200=N$3)*('GMW - worst case'!$MB$2:$MB$200=N$4),0),$E130-1973)</f>
        <v>#N/A</v>
      </c>
      <c r="O130" t="e" cm="1">
        <f t="array" ref="O130">INDEX('GMW - worst case'!$A$2:$MC$200,MATCH(1,('GMW - worst case'!$MC$2:$MC$200=O$3)*('GMW - worst case'!$MB$2:$MB$200=O$4),0),$E130-1973)</f>
        <v>#N/A</v>
      </c>
      <c r="P130" t="e" cm="1">
        <f t="array" ref="P130">INDEX('GMW - worst case'!$A$2:$MC$200,MATCH(1,('GMW - worst case'!$MC$2:$MC$200=P$3)*('GMW - worst case'!$MB$2:$MB$200=P$4),0),$E130-1973)</f>
        <v>#N/A</v>
      </c>
      <c r="Q130" t="e" cm="1">
        <f t="array" ref="Q130">INDEX('GMW - worst case'!$A$2:$MC$200,MATCH(1,('GMW - worst case'!$MC$2:$MC$200=Q$3)*('GMW - worst case'!$MB$2:$MB$200=Q$4),0),$E130-1973)</f>
        <v>#N/A</v>
      </c>
      <c r="R130" t="e" cm="1">
        <f t="array" ref="R130">INDEX('GMW - worst case'!$A$2:$MC$200,MATCH(1,('GMW - worst case'!$MC$2:$MC$200=R$3)*('GMW - worst case'!$MB$2:$MB$200=R$4),0),$E130-1973)</f>
        <v>#N/A</v>
      </c>
      <c r="S130" t="e" cm="1">
        <f t="array" ref="S130">INDEX('GMW - worst case'!$A$2:$MC$200,MATCH(1,('GMW - worst case'!$MC$2:$MC$200=S$3)*('GMW - worst case'!$MB$2:$MB$200=S$4),0),$E130-1973)</f>
        <v>#N/A</v>
      </c>
    </row>
    <row r="131" spans="1:19" x14ac:dyDescent="0.25">
      <c r="A131">
        <v>2011</v>
      </c>
      <c r="B131">
        <f t="shared" si="10"/>
        <v>2011</v>
      </c>
      <c r="C131">
        <f t="shared" si="10"/>
        <v>2010</v>
      </c>
      <c r="D131">
        <f t="shared" si="10"/>
        <v>2010</v>
      </c>
      <c r="E131">
        <f t="shared" si="6"/>
        <v>2104</v>
      </c>
      <c r="F131" cm="1">
        <f t="array" ref="F131">INDEX('GMW - worst case'!$A$2:$MC$200,MATCH(1,('GMW - worst case'!$MC$2:$MC$200=F$3)*('GMW - worst case'!$MB$2:$MB$200=F$4),0),$E131-1973)</f>
        <v>566873</v>
      </c>
      <c r="G131" cm="1">
        <f t="array" ref="G131">INDEX('GMW - worst case'!$A$2:$MC$200,MATCH(1,('GMW - worst case'!$MC$2:$MC$200=G$3)*('GMW - worst case'!$MB$2:$MB$200=G$4),0),$E131-1973)</f>
        <v>342009</v>
      </c>
      <c r="H131" cm="1">
        <f t="array" ref="H131">INDEX('GMW - worst case'!$A$2:$MC$200,MATCH(1,('GMW - worst case'!$MC$2:$MC$200=H$3)*('GMW - worst case'!$MB$2:$MB$200=H$4),0),$E131-1973)</f>
        <v>91.833340000000007</v>
      </c>
      <c r="I131" cm="1">
        <f t="array" ref="I131">INDEX('GMW - worst case'!$A$2:$MC$200,MATCH(1,('GMW - worst case'!$MC$2:$MC$200=I$3)*('GMW - worst case'!$MB$2:$MB$200=I$4),0),$E131-1973)</f>
        <v>0.5</v>
      </c>
      <c r="J131" t="e" cm="1">
        <f t="array" ref="J131">INDEX('GMW - worst case'!$A$2:$MC$200,MATCH(1,('GMW - worst case'!$MC$2:$MC$200=J$3)*('GMW - worst case'!$MB$2:$MB$200=J$4),0),$E131-1973)</f>
        <v>#N/A</v>
      </c>
      <c r="K131" t="e" cm="1">
        <f t="array" ref="K131">INDEX('GMW - worst case'!$A$2:$MC$200,MATCH(1,('GMW - worst case'!$MC$2:$MC$200=K$3)*('GMW - worst case'!$MB$2:$MB$200=K$4),0),$E131-1973)</f>
        <v>#N/A</v>
      </c>
      <c r="L131" t="e" cm="1">
        <f t="array" ref="L131">INDEX('GMW - worst case'!$A$2:$MC$200,MATCH(1,('GMW - worst case'!$MC$2:$MC$200=L$3)*('GMW - worst case'!$MB$2:$MB$200=L$4),0),$E131-1973)</f>
        <v>#N/A</v>
      </c>
      <c r="M131" t="e" cm="1">
        <f t="array" ref="M131">INDEX('GMW - worst case'!$A$2:$MC$200,MATCH(1,('GMW - worst case'!$MC$2:$MC$200=M$3)*('GMW - worst case'!$MB$2:$MB$200=M$4),0),$E131-1973)</f>
        <v>#N/A</v>
      </c>
      <c r="N131" t="e" cm="1">
        <f t="array" ref="N131">INDEX('GMW - worst case'!$A$2:$MC$200,MATCH(1,('GMW - worst case'!$MC$2:$MC$200=N$3)*('GMW - worst case'!$MB$2:$MB$200=N$4),0),$E131-1973)</f>
        <v>#N/A</v>
      </c>
      <c r="O131" t="e" cm="1">
        <f t="array" ref="O131">INDEX('GMW - worst case'!$A$2:$MC$200,MATCH(1,('GMW - worst case'!$MC$2:$MC$200=O$3)*('GMW - worst case'!$MB$2:$MB$200=O$4),0),$E131-1973)</f>
        <v>#N/A</v>
      </c>
      <c r="P131" t="e" cm="1">
        <f t="array" ref="P131">INDEX('GMW - worst case'!$A$2:$MC$200,MATCH(1,('GMW - worst case'!$MC$2:$MC$200=P$3)*('GMW - worst case'!$MB$2:$MB$200=P$4),0),$E131-1973)</f>
        <v>#N/A</v>
      </c>
      <c r="Q131" t="e" cm="1">
        <f t="array" ref="Q131">INDEX('GMW - worst case'!$A$2:$MC$200,MATCH(1,('GMW - worst case'!$MC$2:$MC$200=Q$3)*('GMW - worst case'!$MB$2:$MB$200=Q$4),0),$E131-1973)</f>
        <v>#N/A</v>
      </c>
      <c r="R131" t="e" cm="1">
        <f t="array" ref="R131">INDEX('GMW - worst case'!$A$2:$MC$200,MATCH(1,('GMW - worst case'!$MC$2:$MC$200=R$3)*('GMW - worst case'!$MB$2:$MB$200=R$4),0),$E131-1973)</f>
        <v>#N/A</v>
      </c>
      <c r="S131" t="e" cm="1">
        <f t="array" ref="S131">INDEX('GMW - worst case'!$A$2:$MC$200,MATCH(1,('GMW - worst case'!$MC$2:$MC$200=S$3)*('GMW - worst case'!$MB$2:$MB$200=S$4),0),$E131-1973)</f>
        <v>#N/A</v>
      </c>
    </row>
    <row r="132" spans="1:19" x14ac:dyDescent="0.25">
      <c r="B132">
        <f t="shared" si="10"/>
        <v>2011</v>
      </c>
      <c r="C132">
        <f t="shared" si="10"/>
        <v>2011</v>
      </c>
      <c r="E132">
        <f t="shared" si="6"/>
        <v>2105</v>
      </c>
      <c r="F132" cm="1">
        <f t="array" ref="F132">INDEX('GMW - worst case'!$A$2:$MC$200,MATCH(1,('GMW - worst case'!$MC$2:$MC$200=F$3)*('GMW - worst case'!$MB$2:$MB$200=F$4),0),$E132-1973)</f>
        <v>566601</v>
      </c>
      <c r="G132" cm="1">
        <f t="array" ref="G132">INDEX('GMW - worst case'!$A$2:$MC$200,MATCH(1,('GMW - worst case'!$MC$2:$MC$200=G$3)*('GMW - worst case'!$MB$2:$MB$200=G$4),0),$E132-1973)</f>
        <v>340153</v>
      </c>
      <c r="H132" cm="1">
        <f t="array" ref="H132">INDEX('GMW - worst case'!$A$2:$MC$200,MATCH(1,('GMW - worst case'!$MC$2:$MC$200=H$3)*('GMW - worst case'!$MB$2:$MB$200=H$4),0),$E132-1973)</f>
        <v>93.3</v>
      </c>
      <c r="I132" cm="1">
        <f t="array" ref="I132">INDEX('GMW - worst case'!$A$2:$MC$200,MATCH(1,('GMW - worst case'!$MC$2:$MC$200=I$3)*('GMW - worst case'!$MB$2:$MB$200=I$4),0),$E132-1973)</f>
        <v>0.5</v>
      </c>
      <c r="J132" t="e" cm="1">
        <f t="array" ref="J132">INDEX('GMW - worst case'!$A$2:$MC$200,MATCH(1,('GMW - worst case'!$MC$2:$MC$200=J$3)*('GMW - worst case'!$MB$2:$MB$200=J$4),0),$E132-1973)</f>
        <v>#N/A</v>
      </c>
      <c r="K132" t="e" cm="1">
        <f t="array" ref="K132">INDEX('GMW - worst case'!$A$2:$MC$200,MATCH(1,('GMW - worst case'!$MC$2:$MC$200=K$3)*('GMW - worst case'!$MB$2:$MB$200=K$4),0),$E132-1973)</f>
        <v>#N/A</v>
      </c>
      <c r="L132" t="e" cm="1">
        <f t="array" ref="L132">INDEX('GMW - worst case'!$A$2:$MC$200,MATCH(1,('GMW - worst case'!$MC$2:$MC$200=L$3)*('GMW - worst case'!$MB$2:$MB$200=L$4),0),$E132-1973)</f>
        <v>#N/A</v>
      </c>
      <c r="M132" t="e" cm="1">
        <f t="array" ref="M132">INDEX('GMW - worst case'!$A$2:$MC$200,MATCH(1,('GMW - worst case'!$MC$2:$MC$200=M$3)*('GMW - worst case'!$MB$2:$MB$200=M$4),0),$E132-1973)</f>
        <v>#N/A</v>
      </c>
      <c r="N132" t="e" cm="1">
        <f t="array" ref="N132">INDEX('GMW - worst case'!$A$2:$MC$200,MATCH(1,('GMW - worst case'!$MC$2:$MC$200=N$3)*('GMW - worst case'!$MB$2:$MB$200=N$4),0),$E132-1973)</f>
        <v>#N/A</v>
      </c>
      <c r="O132" t="e" cm="1">
        <f t="array" ref="O132">INDEX('GMW - worst case'!$A$2:$MC$200,MATCH(1,('GMW - worst case'!$MC$2:$MC$200=O$3)*('GMW - worst case'!$MB$2:$MB$200=O$4),0),$E132-1973)</f>
        <v>#N/A</v>
      </c>
      <c r="P132" t="e" cm="1">
        <f t="array" ref="P132">INDEX('GMW - worst case'!$A$2:$MC$200,MATCH(1,('GMW - worst case'!$MC$2:$MC$200=P$3)*('GMW - worst case'!$MB$2:$MB$200=P$4),0),$E132-1973)</f>
        <v>#N/A</v>
      </c>
      <c r="Q132" t="e" cm="1">
        <f t="array" ref="Q132">INDEX('GMW - worst case'!$A$2:$MC$200,MATCH(1,('GMW - worst case'!$MC$2:$MC$200=Q$3)*('GMW - worst case'!$MB$2:$MB$200=Q$4),0),$E132-1973)</f>
        <v>#N/A</v>
      </c>
      <c r="R132" t="e" cm="1">
        <f t="array" ref="R132">INDEX('GMW - worst case'!$A$2:$MC$200,MATCH(1,('GMW - worst case'!$MC$2:$MC$200=R$3)*('GMW - worst case'!$MB$2:$MB$200=R$4),0),$E132-1973)</f>
        <v>#N/A</v>
      </c>
      <c r="S132" t="e" cm="1">
        <f t="array" ref="S132">INDEX('GMW - worst case'!$A$2:$MC$200,MATCH(1,('GMW - worst case'!$MC$2:$MC$200=S$3)*('GMW - worst case'!$MB$2:$MB$200=S$4),0),$E132-1973)</f>
        <v>#N/A</v>
      </c>
    </row>
    <row r="133" spans="1:19" x14ac:dyDescent="0.25">
      <c r="B133">
        <f t="shared" si="10"/>
        <v>2011</v>
      </c>
      <c r="C133">
        <f t="shared" si="10"/>
        <v>2011</v>
      </c>
      <c r="E133">
        <f t="shared" si="6"/>
        <v>2106</v>
      </c>
      <c r="F133" cm="1">
        <f t="array" ref="F133">INDEX('GMW - worst case'!$A$2:$MC$200,MATCH(1,('GMW - worst case'!$MC$2:$MC$200=F$3)*('GMW - worst case'!$MB$2:$MB$200=F$4),0),$E133-1973)</f>
        <v>567586</v>
      </c>
      <c r="G133" cm="1">
        <f t="array" ref="G133">INDEX('GMW - worst case'!$A$2:$MC$200,MATCH(1,('GMW - worst case'!$MC$2:$MC$200=G$3)*('GMW - worst case'!$MB$2:$MB$200=G$4),0),$E133-1973)</f>
        <v>340755</v>
      </c>
      <c r="H133" cm="1">
        <f t="array" ref="H133">INDEX('GMW - worst case'!$A$2:$MC$200,MATCH(1,('GMW - worst case'!$MC$2:$MC$200=H$3)*('GMW - worst case'!$MB$2:$MB$200=H$4),0),$E133-1973)</f>
        <v>93.833340000000007</v>
      </c>
      <c r="I133" cm="1">
        <f t="array" ref="I133">INDEX('GMW - worst case'!$A$2:$MC$200,MATCH(1,('GMW - worst case'!$MC$2:$MC$200=I$3)*('GMW - worst case'!$MB$2:$MB$200=I$4),0),$E133-1973)</f>
        <v>0.5</v>
      </c>
      <c r="J133" t="e" cm="1">
        <f t="array" ref="J133">INDEX('GMW - worst case'!$A$2:$MC$200,MATCH(1,('GMW - worst case'!$MC$2:$MC$200=J$3)*('GMW - worst case'!$MB$2:$MB$200=J$4),0),$E133-1973)</f>
        <v>#N/A</v>
      </c>
      <c r="K133" t="e" cm="1">
        <f t="array" ref="K133">INDEX('GMW - worst case'!$A$2:$MC$200,MATCH(1,('GMW - worst case'!$MC$2:$MC$200=K$3)*('GMW - worst case'!$MB$2:$MB$200=K$4),0),$E133-1973)</f>
        <v>#N/A</v>
      </c>
      <c r="L133" t="e" cm="1">
        <f t="array" ref="L133">INDEX('GMW - worst case'!$A$2:$MC$200,MATCH(1,('GMW - worst case'!$MC$2:$MC$200=L$3)*('GMW - worst case'!$MB$2:$MB$200=L$4),0),$E133-1973)</f>
        <v>#N/A</v>
      </c>
      <c r="M133" t="e" cm="1">
        <f t="array" ref="M133">INDEX('GMW - worst case'!$A$2:$MC$200,MATCH(1,('GMW - worst case'!$MC$2:$MC$200=M$3)*('GMW - worst case'!$MB$2:$MB$200=M$4),0),$E133-1973)</f>
        <v>#N/A</v>
      </c>
      <c r="N133" t="e" cm="1">
        <f t="array" ref="N133">INDEX('GMW - worst case'!$A$2:$MC$200,MATCH(1,('GMW - worst case'!$MC$2:$MC$200=N$3)*('GMW - worst case'!$MB$2:$MB$200=N$4),0),$E133-1973)</f>
        <v>#N/A</v>
      </c>
      <c r="O133" t="e" cm="1">
        <f t="array" ref="O133">INDEX('GMW - worst case'!$A$2:$MC$200,MATCH(1,('GMW - worst case'!$MC$2:$MC$200=O$3)*('GMW - worst case'!$MB$2:$MB$200=O$4),0),$E133-1973)</f>
        <v>#N/A</v>
      </c>
      <c r="P133" t="e" cm="1">
        <f t="array" ref="P133">INDEX('GMW - worst case'!$A$2:$MC$200,MATCH(1,('GMW - worst case'!$MC$2:$MC$200=P$3)*('GMW - worst case'!$MB$2:$MB$200=P$4),0),$E133-1973)</f>
        <v>#N/A</v>
      </c>
      <c r="Q133" t="e" cm="1">
        <f t="array" ref="Q133">INDEX('GMW - worst case'!$A$2:$MC$200,MATCH(1,('GMW - worst case'!$MC$2:$MC$200=Q$3)*('GMW - worst case'!$MB$2:$MB$200=Q$4),0),$E133-1973)</f>
        <v>#N/A</v>
      </c>
      <c r="R133" t="e" cm="1">
        <f t="array" ref="R133">INDEX('GMW - worst case'!$A$2:$MC$200,MATCH(1,('GMW - worst case'!$MC$2:$MC$200=R$3)*('GMW - worst case'!$MB$2:$MB$200=R$4),0),$E133-1973)</f>
        <v>#N/A</v>
      </c>
      <c r="S133" t="e" cm="1">
        <f t="array" ref="S133">INDEX('GMW - worst case'!$A$2:$MC$200,MATCH(1,('GMW - worst case'!$MC$2:$MC$200=S$3)*('GMW - worst case'!$MB$2:$MB$200=S$4),0),$E133-1973)</f>
        <v>#N/A</v>
      </c>
    </row>
    <row r="134" spans="1:19" x14ac:dyDescent="0.25">
      <c r="B134">
        <f t="shared" si="10"/>
        <v>2011</v>
      </c>
      <c r="C134">
        <f t="shared" si="10"/>
        <v>2011</v>
      </c>
      <c r="E134">
        <f t="shared" si="6"/>
        <v>2107</v>
      </c>
      <c r="F134" cm="1">
        <f t="array" ref="F134">INDEX('GMW - worst case'!$A$2:$MC$200,MATCH(1,('GMW - worst case'!$MC$2:$MC$200=F$3)*('GMW - worst case'!$MB$2:$MB$200=F$4),0),$E134-1973)</f>
        <v>568056</v>
      </c>
      <c r="G134" cm="1">
        <f t="array" ref="G134">INDEX('GMW - worst case'!$A$2:$MC$200,MATCH(1,('GMW - worst case'!$MC$2:$MC$200=G$3)*('GMW - worst case'!$MB$2:$MB$200=G$4),0),$E134-1973)</f>
        <v>341255</v>
      </c>
      <c r="H134" cm="1">
        <f t="array" ref="H134">INDEX('GMW - worst case'!$A$2:$MC$200,MATCH(1,('GMW - worst case'!$MC$2:$MC$200=H$3)*('GMW - worst case'!$MB$2:$MB$200=H$4),0),$E134-1973)</f>
        <v>94.733329999999995</v>
      </c>
      <c r="I134" cm="1">
        <f t="array" ref="I134">INDEX('GMW - worst case'!$A$2:$MC$200,MATCH(1,('GMW - worst case'!$MC$2:$MC$200=I$3)*('GMW - worst case'!$MB$2:$MB$200=I$4),0),$E134-1973)</f>
        <v>0.5</v>
      </c>
      <c r="J134" t="e" cm="1">
        <f t="array" ref="J134">INDEX('GMW - worst case'!$A$2:$MC$200,MATCH(1,('GMW - worst case'!$MC$2:$MC$200=J$3)*('GMW - worst case'!$MB$2:$MB$200=J$4),0),$E134-1973)</f>
        <v>#N/A</v>
      </c>
      <c r="K134" t="e" cm="1">
        <f t="array" ref="K134">INDEX('GMW - worst case'!$A$2:$MC$200,MATCH(1,('GMW - worst case'!$MC$2:$MC$200=K$3)*('GMW - worst case'!$MB$2:$MB$200=K$4),0),$E134-1973)</f>
        <v>#N/A</v>
      </c>
      <c r="L134" t="e" cm="1">
        <f t="array" ref="L134">INDEX('GMW - worst case'!$A$2:$MC$200,MATCH(1,('GMW - worst case'!$MC$2:$MC$200=L$3)*('GMW - worst case'!$MB$2:$MB$200=L$4),0),$E134-1973)</f>
        <v>#N/A</v>
      </c>
      <c r="M134" t="e" cm="1">
        <f t="array" ref="M134">INDEX('GMW - worst case'!$A$2:$MC$200,MATCH(1,('GMW - worst case'!$MC$2:$MC$200=M$3)*('GMW - worst case'!$MB$2:$MB$200=M$4),0),$E134-1973)</f>
        <v>#N/A</v>
      </c>
      <c r="N134" t="e" cm="1">
        <f t="array" ref="N134">INDEX('GMW - worst case'!$A$2:$MC$200,MATCH(1,('GMW - worst case'!$MC$2:$MC$200=N$3)*('GMW - worst case'!$MB$2:$MB$200=N$4),0),$E134-1973)</f>
        <v>#N/A</v>
      </c>
      <c r="O134" t="e" cm="1">
        <f t="array" ref="O134">INDEX('GMW - worst case'!$A$2:$MC$200,MATCH(1,('GMW - worst case'!$MC$2:$MC$200=O$3)*('GMW - worst case'!$MB$2:$MB$200=O$4),0),$E134-1973)</f>
        <v>#N/A</v>
      </c>
      <c r="P134" t="e" cm="1">
        <f t="array" ref="P134">INDEX('GMW - worst case'!$A$2:$MC$200,MATCH(1,('GMW - worst case'!$MC$2:$MC$200=P$3)*('GMW - worst case'!$MB$2:$MB$200=P$4),0),$E134-1973)</f>
        <v>#N/A</v>
      </c>
      <c r="Q134" t="e" cm="1">
        <f t="array" ref="Q134">INDEX('GMW - worst case'!$A$2:$MC$200,MATCH(1,('GMW - worst case'!$MC$2:$MC$200=Q$3)*('GMW - worst case'!$MB$2:$MB$200=Q$4),0),$E134-1973)</f>
        <v>#N/A</v>
      </c>
      <c r="R134" t="e" cm="1">
        <f t="array" ref="R134">INDEX('GMW - worst case'!$A$2:$MC$200,MATCH(1,('GMW - worst case'!$MC$2:$MC$200=R$3)*('GMW - worst case'!$MB$2:$MB$200=R$4),0),$E134-1973)</f>
        <v>#N/A</v>
      </c>
      <c r="S134" t="e" cm="1">
        <f t="array" ref="S134">INDEX('GMW - worst case'!$A$2:$MC$200,MATCH(1,('GMW - worst case'!$MC$2:$MC$200=S$3)*('GMW - worst case'!$MB$2:$MB$200=S$4),0),$E134-1973)</f>
        <v>#N/A</v>
      </c>
    </row>
    <row r="135" spans="1:19" x14ac:dyDescent="0.25">
      <c r="A135">
        <v>2012</v>
      </c>
      <c r="B135">
        <f t="shared" si="10"/>
        <v>2012</v>
      </c>
      <c r="C135">
        <f t="shared" si="10"/>
        <v>2011</v>
      </c>
      <c r="D135">
        <f t="shared" si="10"/>
        <v>2011</v>
      </c>
      <c r="E135">
        <f t="shared" si="6"/>
        <v>2108</v>
      </c>
      <c r="F135" cm="1">
        <f t="array" ref="F135">INDEX('GMW - worst case'!$A$2:$MC$200,MATCH(1,('GMW - worst case'!$MC$2:$MC$200=F$3)*('GMW - worst case'!$MB$2:$MB$200=F$4),0),$E135-1973)</f>
        <v>573416</v>
      </c>
      <c r="G135" cm="1">
        <f t="array" ref="G135">INDEX('GMW - worst case'!$A$2:$MC$200,MATCH(1,('GMW - worst case'!$MC$2:$MC$200=G$3)*('GMW - worst case'!$MB$2:$MB$200=G$4),0),$E135-1973)</f>
        <v>341708</v>
      </c>
      <c r="H135" cm="1">
        <f t="array" ref="H135">INDEX('GMW - worst case'!$A$2:$MC$200,MATCH(1,('GMW - worst case'!$MC$2:$MC$200=H$3)*('GMW - worst case'!$MB$2:$MB$200=H$4),0),$E135-1973)</f>
        <v>95.033330000000007</v>
      </c>
      <c r="I135" cm="1">
        <f t="array" ref="I135">INDEX('GMW - worst case'!$A$2:$MC$200,MATCH(1,('GMW - worst case'!$MC$2:$MC$200=I$3)*('GMW - worst case'!$MB$2:$MB$200=I$4),0),$E135-1973)</f>
        <v>0.5</v>
      </c>
      <c r="J135" t="e" cm="1">
        <f t="array" ref="J135">INDEX('GMW - worst case'!$A$2:$MC$200,MATCH(1,('GMW - worst case'!$MC$2:$MC$200=J$3)*('GMW - worst case'!$MB$2:$MB$200=J$4),0),$E135-1973)</f>
        <v>#N/A</v>
      </c>
      <c r="K135" t="e" cm="1">
        <f t="array" ref="K135">INDEX('GMW - worst case'!$A$2:$MC$200,MATCH(1,('GMW - worst case'!$MC$2:$MC$200=K$3)*('GMW - worst case'!$MB$2:$MB$200=K$4),0),$E135-1973)</f>
        <v>#N/A</v>
      </c>
      <c r="L135" t="e" cm="1">
        <f t="array" ref="L135">INDEX('GMW - worst case'!$A$2:$MC$200,MATCH(1,('GMW - worst case'!$MC$2:$MC$200=L$3)*('GMW - worst case'!$MB$2:$MB$200=L$4),0),$E135-1973)</f>
        <v>#N/A</v>
      </c>
      <c r="M135" t="e" cm="1">
        <f t="array" ref="M135">INDEX('GMW - worst case'!$A$2:$MC$200,MATCH(1,('GMW - worst case'!$MC$2:$MC$200=M$3)*('GMW - worst case'!$MB$2:$MB$200=M$4),0),$E135-1973)</f>
        <v>#N/A</v>
      </c>
      <c r="N135" t="e" cm="1">
        <f t="array" ref="N135">INDEX('GMW - worst case'!$A$2:$MC$200,MATCH(1,('GMW - worst case'!$MC$2:$MC$200=N$3)*('GMW - worst case'!$MB$2:$MB$200=N$4),0),$E135-1973)</f>
        <v>#N/A</v>
      </c>
      <c r="O135" t="e" cm="1">
        <f t="array" ref="O135">INDEX('GMW - worst case'!$A$2:$MC$200,MATCH(1,('GMW - worst case'!$MC$2:$MC$200=O$3)*('GMW - worst case'!$MB$2:$MB$200=O$4),0),$E135-1973)</f>
        <v>#N/A</v>
      </c>
      <c r="P135" t="e" cm="1">
        <f t="array" ref="P135">INDEX('GMW - worst case'!$A$2:$MC$200,MATCH(1,('GMW - worst case'!$MC$2:$MC$200=P$3)*('GMW - worst case'!$MB$2:$MB$200=P$4),0),$E135-1973)</f>
        <v>#N/A</v>
      </c>
      <c r="Q135" t="e" cm="1">
        <f t="array" ref="Q135">INDEX('GMW - worst case'!$A$2:$MC$200,MATCH(1,('GMW - worst case'!$MC$2:$MC$200=Q$3)*('GMW - worst case'!$MB$2:$MB$200=Q$4),0),$E135-1973)</f>
        <v>#N/A</v>
      </c>
      <c r="R135" t="e" cm="1">
        <f t="array" ref="R135">INDEX('GMW - worst case'!$A$2:$MC$200,MATCH(1,('GMW - worst case'!$MC$2:$MC$200=R$3)*('GMW - worst case'!$MB$2:$MB$200=R$4),0),$E135-1973)</f>
        <v>#N/A</v>
      </c>
      <c r="S135" t="e" cm="1">
        <f t="array" ref="S135">INDEX('GMW - worst case'!$A$2:$MC$200,MATCH(1,('GMW - worst case'!$MC$2:$MC$200=S$3)*('GMW - worst case'!$MB$2:$MB$200=S$4),0),$E135-1973)</f>
        <v>#N/A</v>
      </c>
    </row>
    <row r="136" spans="1:19" x14ac:dyDescent="0.25">
      <c r="B136">
        <f t="shared" si="10"/>
        <v>2012</v>
      </c>
      <c r="C136">
        <f t="shared" si="10"/>
        <v>2012</v>
      </c>
      <c r="E136">
        <f t="shared" si="6"/>
        <v>2109</v>
      </c>
      <c r="F136" cm="1">
        <f t="array" ref="F136">INDEX('GMW - worst case'!$A$2:$MC$200,MATCH(1,('GMW - worst case'!$MC$2:$MC$200=F$3)*('GMW - worst case'!$MB$2:$MB$200=F$4),0),$E136-1973)</f>
        <v>573112</v>
      </c>
      <c r="G136" cm="1">
        <f t="array" ref="G136">INDEX('GMW - worst case'!$A$2:$MC$200,MATCH(1,('GMW - worst case'!$MC$2:$MC$200=G$3)*('GMW - worst case'!$MB$2:$MB$200=G$4),0),$E136-1973)</f>
        <v>345006</v>
      </c>
      <c r="H136" cm="1">
        <f t="array" ref="H136">INDEX('GMW - worst case'!$A$2:$MC$200,MATCH(1,('GMW - worst case'!$MC$2:$MC$200=H$3)*('GMW - worst case'!$MB$2:$MB$200=H$4),0),$E136-1973)</f>
        <v>95.8</v>
      </c>
      <c r="I136" cm="1">
        <f t="array" ref="I136">INDEX('GMW - worst case'!$A$2:$MC$200,MATCH(1,('GMW - worst case'!$MC$2:$MC$200=I$3)*('GMW - worst case'!$MB$2:$MB$200=I$4),0),$E136-1973)</f>
        <v>0.5</v>
      </c>
      <c r="J136" t="e" cm="1">
        <f t="array" ref="J136">INDEX('GMW - worst case'!$A$2:$MC$200,MATCH(1,('GMW - worst case'!$MC$2:$MC$200=J$3)*('GMW - worst case'!$MB$2:$MB$200=J$4),0),$E136-1973)</f>
        <v>#N/A</v>
      </c>
      <c r="K136" t="e" cm="1">
        <f t="array" ref="K136">INDEX('GMW - worst case'!$A$2:$MC$200,MATCH(1,('GMW - worst case'!$MC$2:$MC$200=K$3)*('GMW - worst case'!$MB$2:$MB$200=K$4),0),$E136-1973)</f>
        <v>#N/A</v>
      </c>
      <c r="L136" t="e" cm="1">
        <f t="array" ref="L136">INDEX('GMW - worst case'!$A$2:$MC$200,MATCH(1,('GMW - worst case'!$MC$2:$MC$200=L$3)*('GMW - worst case'!$MB$2:$MB$200=L$4),0),$E136-1973)</f>
        <v>#N/A</v>
      </c>
      <c r="M136" t="e" cm="1">
        <f t="array" ref="M136">INDEX('GMW - worst case'!$A$2:$MC$200,MATCH(1,('GMW - worst case'!$MC$2:$MC$200=M$3)*('GMW - worst case'!$MB$2:$MB$200=M$4),0),$E136-1973)</f>
        <v>#N/A</v>
      </c>
      <c r="N136" t="e" cm="1">
        <f t="array" ref="N136">INDEX('GMW - worst case'!$A$2:$MC$200,MATCH(1,('GMW - worst case'!$MC$2:$MC$200=N$3)*('GMW - worst case'!$MB$2:$MB$200=N$4),0),$E136-1973)</f>
        <v>#N/A</v>
      </c>
      <c r="O136" t="e" cm="1">
        <f t="array" ref="O136">INDEX('GMW - worst case'!$A$2:$MC$200,MATCH(1,('GMW - worst case'!$MC$2:$MC$200=O$3)*('GMW - worst case'!$MB$2:$MB$200=O$4),0),$E136-1973)</f>
        <v>#N/A</v>
      </c>
      <c r="P136" t="e" cm="1">
        <f t="array" ref="P136">INDEX('GMW - worst case'!$A$2:$MC$200,MATCH(1,('GMW - worst case'!$MC$2:$MC$200=P$3)*('GMW - worst case'!$MB$2:$MB$200=P$4),0),$E136-1973)</f>
        <v>#N/A</v>
      </c>
      <c r="Q136" t="e" cm="1">
        <f t="array" ref="Q136">INDEX('GMW - worst case'!$A$2:$MC$200,MATCH(1,('GMW - worst case'!$MC$2:$MC$200=Q$3)*('GMW - worst case'!$MB$2:$MB$200=Q$4),0),$E136-1973)</f>
        <v>#N/A</v>
      </c>
      <c r="R136" t="e" cm="1">
        <f t="array" ref="R136">INDEX('GMW - worst case'!$A$2:$MC$200,MATCH(1,('GMW - worst case'!$MC$2:$MC$200=R$3)*('GMW - worst case'!$MB$2:$MB$200=R$4),0),$E136-1973)</f>
        <v>#N/A</v>
      </c>
      <c r="S136" t="e" cm="1">
        <f t="array" ref="S136">INDEX('GMW - worst case'!$A$2:$MC$200,MATCH(1,('GMW - worst case'!$MC$2:$MC$200=S$3)*('GMW - worst case'!$MB$2:$MB$200=S$4),0),$E136-1973)</f>
        <v>#N/A</v>
      </c>
    </row>
    <row r="137" spans="1:19" x14ac:dyDescent="0.25">
      <c r="B137">
        <f t="shared" si="10"/>
        <v>2012</v>
      </c>
      <c r="C137">
        <f t="shared" si="10"/>
        <v>2012</v>
      </c>
      <c r="E137">
        <f t="shared" ref="E137:E200" si="11">+E136+1</f>
        <v>2110</v>
      </c>
      <c r="F137" cm="1">
        <f t="array" ref="F137">INDEX('GMW - worst case'!$A$2:$MC$200,MATCH(1,('GMW - worst case'!$MC$2:$MC$200=F$3)*('GMW - worst case'!$MB$2:$MB$200=F$4),0),$E137-1973)</f>
        <v>579051</v>
      </c>
      <c r="G137" cm="1">
        <f t="array" ref="G137">INDEX('GMW - worst case'!$A$2:$MC$200,MATCH(1,('GMW - worst case'!$MC$2:$MC$200=G$3)*('GMW - worst case'!$MB$2:$MB$200=G$4),0),$E137-1973)</f>
        <v>349895</v>
      </c>
      <c r="H137" cm="1">
        <f t="array" ref="H137">INDEX('GMW - worst case'!$A$2:$MC$200,MATCH(1,('GMW - worst case'!$MC$2:$MC$200=H$3)*('GMW - worst case'!$MB$2:$MB$200=H$4),0),$E137-1973)</f>
        <v>96.066670000000002</v>
      </c>
      <c r="I137" cm="1">
        <f t="array" ref="I137">INDEX('GMW - worst case'!$A$2:$MC$200,MATCH(1,('GMW - worst case'!$MC$2:$MC$200=I$3)*('GMW - worst case'!$MB$2:$MB$200=I$4),0),$E137-1973)</f>
        <v>0.5</v>
      </c>
      <c r="J137" t="e" cm="1">
        <f t="array" ref="J137">INDEX('GMW - worst case'!$A$2:$MC$200,MATCH(1,('GMW - worst case'!$MC$2:$MC$200=J$3)*('GMW - worst case'!$MB$2:$MB$200=J$4),0),$E137-1973)</f>
        <v>#N/A</v>
      </c>
      <c r="K137" t="e" cm="1">
        <f t="array" ref="K137">INDEX('GMW - worst case'!$A$2:$MC$200,MATCH(1,('GMW - worst case'!$MC$2:$MC$200=K$3)*('GMW - worst case'!$MB$2:$MB$200=K$4),0),$E137-1973)</f>
        <v>#N/A</v>
      </c>
      <c r="L137" t="e" cm="1">
        <f t="array" ref="L137">INDEX('GMW - worst case'!$A$2:$MC$200,MATCH(1,('GMW - worst case'!$MC$2:$MC$200=L$3)*('GMW - worst case'!$MB$2:$MB$200=L$4),0),$E137-1973)</f>
        <v>#N/A</v>
      </c>
      <c r="M137" t="e" cm="1">
        <f t="array" ref="M137">INDEX('GMW - worst case'!$A$2:$MC$200,MATCH(1,('GMW - worst case'!$MC$2:$MC$200=M$3)*('GMW - worst case'!$MB$2:$MB$200=M$4),0),$E137-1973)</f>
        <v>#N/A</v>
      </c>
      <c r="N137" t="e" cm="1">
        <f t="array" ref="N137">INDEX('GMW - worst case'!$A$2:$MC$200,MATCH(1,('GMW - worst case'!$MC$2:$MC$200=N$3)*('GMW - worst case'!$MB$2:$MB$200=N$4),0),$E137-1973)</f>
        <v>#N/A</v>
      </c>
      <c r="O137" t="e" cm="1">
        <f t="array" ref="O137">INDEX('GMW - worst case'!$A$2:$MC$200,MATCH(1,('GMW - worst case'!$MC$2:$MC$200=O$3)*('GMW - worst case'!$MB$2:$MB$200=O$4),0),$E137-1973)</f>
        <v>#N/A</v>
      </c>
      <c r="P137" t="e" cm="1">
        <f t="array" ref="P137">INDEX('GMW - worst case'!$A$2:$MC$200,MATCH(1,('GMW - worst case'!$MC$2:$MC$200=P$3)*('GMW - worst case'!$MB$2:$MB$200=P$4),0),$E137-1973)</f>
        <v>#N/A</v>
      </c>
      <c r="Q137" t="e" cm="1">
        <f t="array" ref="Q137">INDEX('GMW - worst case'!$A$2:$MC$200,MATCH(1,('GMW - worst case'!$MC$2:$MC$200=Q$3)*('GMW - worst case'!$MB$2:$MB$200=Q$4),0),$E137-1973)</f>
        <v>#N/A</v>
      </c>
      <c r="R137" t="e" cm="1">
        <f t="array" ref="R137">INDEX('GMW - worst case'!$A$2:$MC$200,MATCH(1,('GMW - worst case'!$MC$2:$MC$200=R$3)*('GMW - worst case'!$MB$2:$MB$200=R$4),0),$E137-1973)</f>
        <v>#N/A</v>
      </c>
      <c r="S137" t="e" cm="1">
        <f t="array" ref="S137">INDEX('GMW - worst case'!$A$2:$MC$200,MATCH(1,('GMW - worst case'!$MC$2:$MC$200=S$3)*('GMW - worst case'!$MB$2:$MB$200=S$4),0),$E137-1973)</f>
        <v>#N/A</v>
      </c>
    </row>
    <row r="138" spans="1:19" x14ac:dyDescent="0.25">
      <c r="B138">
        <f t="shared" si="10"/>
        <v>2012</v>
      </c>
      <c r="C138">
        <f t="shared" si="10"/>
        <v>2012</v>
      </c>
      <c r="E138">
        <f t="shared" si="11"/>
        <v>2111</v>
      </c>
      <c r="F138" cm="1">
        <f t="array" ref="F138">INDEX('GMW - worst case'!$A$2:$MC$200,MATCH(1,('GMW - worst case'!$MC$2:$MC$200=F$3)*('GMW - worst case'!$MB$2:$MB$200=F$4),0),$E138-1973)</f>
        <v>578215</v>
      </c>
      <c r="G138" cm="1">
        <f t="array" ref="G138">INDEX('GMW - worst case'!$A$2:$MC$200,MATCH(1,('GMW - worst case'!$MC$2:$MC$200=G$3)*('GMW - worst case'!$MB$2:$MB$200=G$4),0),$E138-1973)</f>
        <v>355752</v>
      </c>
      <c r="H138" cm="1">
        <f t="array" ref="H138">INDEX('GMW - worst case'!$A$2:$MC$200,MATCH(1,('GMW - worst case'!$MC$2:$MC$200=H$3)*('GMW - worst case'!$MB$2:$MB$200=H$4),0),$E138-1973)</f>
        <v>97.266670000000005</v>
      </c>
      <c r="I138" cm="1">
        <f t="array" ref="I138">INDEX('GMW - worst case'!$A$2:$MC$200,MATCH(1,('GMW - worst case'!$MC$2:$MC$200=I$3)*('GMW - worst case'!$MB$2:$MB$200=I$4),0),$E138-1973)</f>
        <v>0.5</v>
      </c>
      <c r="J138" t="e" cm="1">
        <f t="array" ref="J138">INDEX('GMW - worst case'!$A$2:$MC$200,MATCH(1,('GMW - worst case'!$MC$2:$MC$200=J$3)*('GMW - worst case'!$MB$2:$MB$200=J$4),0),$E138-1973)</f>
        <v>#N/A</v>
      </c>
      <c r="K138" t="e" cm="1">
        <f t="array" ref="K138">INDEX('GMW - worst case'!$A$2:$MC$200,MATCH(1,('GMW - worst case'!$MC$2:$MC$200=K$3)*('GMW - worst case'!$MB$2:$MB$200=K$4),0),$E138-1973)</f>
        <v>#N/A</v>
      </c>
      <c r="L138" t="e" cm="1">
        <f t="array" ref="L138">INDEX('GMW - worst case'!$A$2:$MC$200,MATCH(1,('GMW - worst case'!$MC$2:$MC$200=L$3)*('GMW - worst case'!$MB$2:$MB$200=L$4),0),$E138-1973)</f>
        <v>#N/A</v>
      </c>
      <c r="M138" t="e" cm="1">
        <f t="array" ref="M138">INDEX('GMW - worst case'!$A$2:$MC$200,MATCH(1,('GMW - worst case'!$MC$2:$MC$200=M$3)*('GMW - worst case'!$MB$2:$MB$200=M$4),0),$E138-1973)</f>
        <v>#N/A</v>
      </c>
      <c r="N138" t="e" cm="1">
        <f t="array" ref="N138">INDEX('GMW - worst case'!$A$2:$MC$200,MATCH(1,('GMW - worst case'!$MC$2:$MC$200=N$3)*('GMW - worst case'!$MB$2:$MB$200=N$4),0),$E138-1973)</f>
        <v>#N/A</v>
      </c>
      <c r="O138" t="e" cm="1">
        <f t="array" ref="O138">INDEX('GMW - worst case'!$A$2:$MC$200,MATCH(1,('GMW - worst case'!$MC$2:$MC$200=O$3)*('GMW - worst case'!$MB$2:$MB$200=O$4),0),$E138-1973)</f>
        <v>#N/A</v>
      </c>
      <c r="P138" t="e" cm="1">
        <f t="array" ref="P138">INDEX('GMW - worst case'!$A$2:$MC$200,MATCH(1,('GMW - worst case'!$MC$2:$MC$200=P$3)*('GMW - worst case'!$MB$2:$MB$200=P$4),0),$E138-1973)</f>
        <v>#N/A</v>
      </c>
      <c r="Q138" t="e" cm="1">
        <f t="array" ref="Q138">INDEX('GMW - worst case'!$A$2:$MC$200,MATCH(1,('GMW - worst case'!$MC$2:$MC$200=Q$3)*('GMW - worst case'!$MB$2:$MB$200=Q$4),0),$E138-1973)</f>
        <v>#N/A</v>
      </c>
      <c r="R138" t="e" cm="1">
        <f t="array" ref="R138">INDEX('GMW - worst case'!$A$2:$MC$200,MATCH(1,('GMW - worst case'!$MC$2:$MC$200=R$3)*('GMW - worst case'!$MB$2:$MB$200=R$4),0),$E138-1973)</f>
        <v>#N/A</v>
      </c>
      <c r="S138" t="e" cm="1">
        <f t="array" ref="S138">INDEX('GMW - worst case'!$A$2:$MC$200,MATCH(1,('GMW - worst case'!$MC$2:$MC$200=S$3)*('GMW - worst case'!$MB$2:$MB$200=S$4),0),$E138-1973)</f>
        <v>#N/A</v>
      </c>
    </row>
    <row r="139" spans="1:19" x14ac:dyDescent="0.25">
      <c r="A139">
        <v>2013</v>
      </c>
      <c r="B139">
        <f t="shared" si="10"/>
        <v>2013</v>
      </c>
      <c r="C139">
        <f t="shared" si="10"/>
        <v>2012</v>
      </c>
      <c r="D139">
        <f t="shared" si="10"/>
        <v>2012</v>
      </c>
      <c r="E139">
        <f t="shared" si="11"/>
        <v>2112</v>
      </c>
      <c r="F139" cm="1">
        <f t="array" ref="F139">INDEX('GMW - worst case'!$A$2:$MC$200,MATCH(1,('GMW - worst case'!$MC$2:$MC$200=F$3)*('GMW - worst case'!$MB$2:$MB$200=F$4),0),$E139-1973)</f>
        <v>579749</v>
      </c>
      <c r="G139" cm="1">
        <f t="array" ref="G139">INDEX('GMW - worst case'!$A$2:$MC$200,MATCH(1,('GMW - worst case'!$MC$2:$MC$200=G$3)*('GMW - worst case'!$MB$2:$MB$200=G$4),0),$E139-1973)</f>
        <v>352851</v>
      </c>
      <c r="H139" cm="1">
        <f t="array" ref="H139">INDEX('GMW - worst case'!$A$2:$MC$200,MATCH(1,('GMW - worst case'!$MC$2:$MC$200=H$3)*('GMW - worst case'!$MB$2:$MB$200=H$4),0),$E139-1973)</f>
        <v>97.666659999999993</v>
      </c>
      <c r="I139" cm="1">
        <f t="array" ref="I139">INDEX('GMW - worst case'!$A$2:$MC$200,MATCH(1,('GMW - worst case'!$MC$2:$MC$200=I$3)*('GMW - worst case'!$MB$2:$MB$200=I$4),0),$E139-1973)</f>
        <v>0.5</v>
      </c>
      <c r="J139" t="e" cm="1">
        <f t="array" ref="J139">INDEX('GMW - worst case'!$A$2:$MC$200,MATCH(1,('GMW - worst case'!$MC$2:$MC$200=J$3)*('GMW - worst case'!$MB$2:$MB$200=J$4),0),$E139-1973)</f>
        <v>#N/A</v>
      </c>
      <c r="K139" t="e" cm="1">
        <f t="array" ref="K139">INDEX('GMW - worst case'!$A$2:$MC$200,MATCH(1,('GMW - worst case'!$MC$2:$MC$200=K$3)*('GMW - worst case'!$MB$2:$MB$200=K$4),0),$E139-1973)</f>
        <v>#N/A</v>
      </c>
      <c r="L139" t="e" cm="1">
        <f t="array" ref="L139">INDEX('GMW - worst case'!$A$2:$MC$200,MATCH(1,('GMW - worst case'!$MC$2:$MC$200=L$3)*('GMW - worst case'!$MB$2:$MB$200=L$4),0),$E139-1973)</f>
        <v>#N/A</v>
      </c>
      <c r="M139" t="e" cm="1">
        <f t="array" ref="M139">INDEX('GMW - worst case'!$A$2:$MC$200,MATCH(1,('GMW - worst case'!$MC$2:$MC$200=M$3)*('GMW - worst case'!$MB$2:$MB$200=M$4),0),$E139-1973)</f>
        <v>#N/A</v>
      </c>
      <c r="N139" t="e" cm="1">
        <f t="array" ref="N139">INDEX('GMW - worst case'!$A$2:$MC$200,MATCH(1,('GMW - worst case'!$MC$2:$MC$200=N$3)*('GMW - worst case'!$MB$2:$MB$200=N$4),0),$E139-1973)</f>
        <v>#N/A</v>
      </c>
      <c r="O139" t="e" cm="1">
        <f t="array" ref="O139">INDEX('GMW - worst case'!$A$2:$MC$200,MATCH(1,('GMW - worst case'!$MC$2:$MC$200=O$3)*('GMW - worst case'!$MB$2:$MB$200=O$4),0),$E139-1973)</f>
        <v>#N/A</v>
      </c>
      <c r="P139" t="e" cm="1">
        <f t="array" ref="P139">INDEX('GMW - worst case'!$A$2:$MC$200,MATCH(1,('GMW - worst case'!$MC$2:$MC$200=P$3)*('GMW - worst case'!$MB$2:$MB$200=P$4),0),$E139-1973)</f>
        <v>#N/A</v>
      </c>
      <c r="Q139" t="e" cm="1">
        <f t="array" ref="Q139">INDEX('GMW - worst case'!$A$2:$MC$200,MATCH(1,('GMW - worst case'!$MC$2:$MC$200=Q$3)*('GMW - worst case'!$MB$2:$MB$200=Q$4),0),$E139-1973)</f>
        <v>#N/A</v>
      </c>
      <c r="R139" t="e" cm="1">
        <f t="array" ref="R139">INDEX('GMW - worst case'!$A$2:$MC$200,MATCH(1,('GMW - worst case'!$MC$2:$MC$200=R$3)*('GMW - worst case'!$MB$2:$MB$200=R$4),0),$E139-1973)</f>
        <v>#N/A</v>
      </c>
      <c r="S139" t="e" cm="1">
        <f t="array" ref="S139">INDEX('GMW - worst case'!$A$2:$MC$200,MATCH(1,('GMW - worst case'!$MC$2:$MC$200=S$3)*('GMW - worst case'!$MB$2:$MB$200=S$4),0),$E139-1973)</f>
        <v>#N/A</v>
      </c>
    </row>
    <row r="140" spans="1:19" x14ac:dyDescent="0.25">
      <c r="B140">
        <f t="shared" ref="B140:D155" si="12">+B136+1</f>
        <v>2013</v>
      </c>
      <c r="C140">
        <f t="shared" si="12"/>
        <v>2013</v>
      </c>
      <c r="E140">
        <f t="shared" si="11"/>
        <v>2113</v>
      </c>
      <c r="F140" cm="1">
        <f t="array" ref="F140">INDEX('GMW - worst case'!$A$2:$MC$200,MATCH(1,('GMW - worst case'!$MC$2:$MC$200=F$3)*('GMW - worst case'!$MB$2:$MB$200=F$4),0),$E140-1973)</f>
        <v>583605</v>
      </c>
      <c r="G140" cm="1">
        <f t="array" ref="G140">INDEX('GMW - worst case'!$A$2:$MC$200,MATCH(1,('GMW - worst case'!$MC$2:$MC$200=G$3)*('GMW - worst case'!$MB$2:$MB$200=G$4),0),$E140-1973)</f>
        <v>355308</v>
      </c>
      <c r="H140" cm="1">
        <f t="array" ref="H140">INDEX('GMW - worst case'!$A$2:$MC$200,MATCH(1,('GMW - worst case'!$MC$2:$MC$200=H$3)*('GMW - worst case'!$MB$2:$MB$200=H$4),0),$E140-1973)</f>
        <v>98.366669999999999</v>
      </c>
      <c r="I140" cm="1">
        <f t="array" ref="I140">INDEX('GMW - worst case'!$A$2:$MC$200,MATCH(1,('GMW - worst case'!$MC$2:$MC$200=I$3)*('GMW - worst case'!$MB$2:$MB$200=I$4),0),$E140-1973)</f>
        <v>0.5</v>
      </c>
      <c r="J140" t="e" cm="1">
        <f t="array" ref="J140">INDEX('GMW - worst case'!$A$2:$MC$200,MATCH(1,('GMW - worst case'!$MC$2:$MC$200=J$3)*('GMW - worst case'!$MB$2:$MB$200=J$4),0),$E140-1973)</f>
        <v>#N/A</v>
      </c>
      <c r="K140" t="e" cm="1">
        <f t="array" ref="K140">INDEX('GMW - worst case'!$A$2:$MC$200,MATCH(1,('GMW - worst case'!$MC$2:$MC$200=K$3)*('GMW - worst case'!$MB$2:$MB$200=K$4),0),$E140-1973)</f>
        <v>#N/A</v>
      </c>
      <c r="L140" t="e" cm="1">
        <f t="array" ref="L140">INDEX('GMW - worst case'!$A$2:$MC$200,MATCH(1,('GMW - worst case'!$MC$2:$MC$200=L$3)*('GMW - worst case'!$MB$2:$MB$200=L$4),0),$E140-1973)</f>
        <v>#N/A</v>
      </c>
      <c r="M140" t="e" cm="1">
        <f t="array" ref="M140">INDEX('GMW - worst case'!$A$2:$MC$200,MATCH(1,('GMW - worst case'!$MC$2:$MC$200=M$3)*('GMW - worst case'!$MB$2:$MB$200=M$4),0),$E140-1973)</f>
        <v>#N/A</v>
      </c>
      <c r="N140" t="e" cm="1">
        <f t="array" ref="N140">INDEX('GMW - worst case'!$A$2:$MC$200,MATCH(1,('GMW - worst case'!$MC$2:$MC$200=N$3)*('GMW - worst case'!$MB$2:$MB$200=N$4),0),$E140-1973)</f>
        <v>#N/A</v>
      </c>
      <c r="O140" t="e" cm="1">
        <f t="array" ref="O140">INDEX('GMW - worst case'!$A$2:$MC$200,MATCH(1,('GMW - worst case'!$MC$2:$MC$200=O$3)*('GMW - worst case'!$MB$2:$MB$200=O$4),0),$E140-1973)</f>
        <v>#N/A</v>
      </c>
      <c r="P140" t="e" cm="1">
        <f t="array" ref="P140">INDEX('GMW - worst case'!$A$2:$MC$200,MATCH(1,('GMW - worst case'!$MC$2:$MC$200=P$3)*('GMW - worst case'!$MB$2:$MB$200=P$4),0),$E140-1973)</f>
        <v>#N/A</v>
      </c>
      <c r="Q140" t="e" cm="1">
        <f t="array" ref="Q140">INDEX('GMW - worst case'!$A$2:$MC$200,MATCH(1,('GMW - worst case'!$MC$2:$MC$200=Q$3)*('GMW - worst case'!$MB$2:$MB$200=Q$4),0),$E140-1973)</f>
        <v>#N/A</v>
      </c>
      <c r="R140" t="e" cm="1">
        <f t="array" ref="R140">INDEX('GMW - worst case'!$A$2:$MC$200,MATCH(1,('GMW - worst case'!$MC$2:$MC$200=R$3)*('GMW - worst case'!$MB$2:$MB$200=R$4),0),$E140-1973)</f>
        <v>#N/A</v>
      </c>
      <c r="S140" t="e" cm="1">
        <f t="array" ref="S140">INDEX('GMW - worst case'!$A$2:$MC$200,MATCH(1,('GMW - worst case'!$MC$2:$MC$200=S$3)*('GMW - worst case'!$MB$2:$MB$200=S$4),0),$E140-1973)</f>
        <v>#N/A</v>
      </c>
    </row>
    <row r="141" spans="1:19" x14ac:dyDescent="0.25">
      <c r="B141">
        <f t="shared" si="12"/>
        <v>2013</v>
      </c>
      <c r="C141">
        <f t="shared" si="12"/>
        <v>2013</v>
      </c>
      <c r="E141">
        <f t="shared" si="11"/>
        <v>2114</v>
      </c>
      <c r="F141" cm="1">
        <f t="array" ref="F141">INDEX('GMW - worst case'!$A$2:$MC$200,MATCH(1,('GMW - worst case'!$MC$2:$MC$200=F$3)*('GMW - worst case'!$MB$2:$MB$200=F$4),0),$E141-1973)</f>
        <v>588076</v>
      </c>
      <c r="G141" cm="1">
        <f t="array" ref="G141">INDEX('GMW - worst case'!$A$2:$MC$200,MATCH(1,('GMW - worst case'!$MC$2:$MC$200=G$3)*('GMW - worst case'!$MB$2:$MB$200=G$4),0),$E141-1973)</f>
        <v>359151</v>
      </c>
      <c r="H141" cm="1">
        <f t="array" ref="H141">INDEX('GMW - worst case'!$A$2:$MC$200,MATCH(1,('GMW - worst case'!$MC$2:$MC$200=H$3)*('GMW - worst case'!$MB$2:$MB$200=H$4),0),$E141-1973)</f>
        <v>98.7</v>
      </c>
      <c r="I141" cm="1">
        <f t="array" ref="I141">INDEX('GMW - worst case'!$A$2:$MC$200,MATCH(1,('GMW - worst case'!$MC$2:$MC$200=I$3)*('GMW - worst case'!$MB$2:$MB$200=I$4),0),$E141-1973)</f>
        <v>0.5</v>
      </c>
      <c r="J141" t="e" cm="1">
        <f t="array" ref="J141">INDEX('GMW - worst case'!$A$2:$MC$200,MATCH(1,('GMW - worst case'!$MC$2:$MC$200=J$3)*('GMW - worst case'!$MB$2:$MB$200=J$4),0),$E141-1973)</f>
        <v>#N/A</v>
      </c>
      <c r="K141" t="e" cm="1">
        <f t="array" ref="K141">INDEX('GMW - worst case'!$A$2:$MC$200,MATCH(1,('GMW - worst case'!$MC$2:$MC$200=K$3)*('GMW - worst case'!$MB$2:$MB$200=K$4),0),$E141-1973)</f>
        <v>#N/A</v>
      </c>
      <c r="L141" t="e" cm="1">
        <f t="array" ref="L141">INDEX('GMW - worst case'!$A$2:$MC$200,MATCH(1,('GMW - worst case'!$MC$2:$MC$200=L$3)*('GMW - worst case'!$MB$2:$MB$200=L$4),0),$E141-1973)</f>
        <v>#N/A</v>
      </c>
      <c r="M141" t="e" cm="1">
        <f t="array" ref="M141">INDEX('GMW - worst case'!$A$2:$MC$200,MATCH(1,('GMW - worst case'!$MC$2:$MC$200=M$3)*('GMW - worst case'!$MB$2:$MB$200=M$4),0),$E141-1973)</f>
        <v>#N/A</v>
      </c>
      <c r="N141" t="e" cm="1">
        <f t="array" ref="N141">INDEX('GMW - worst case'!$A$2:$MC$200,MATCH(1,('GMW - worst case'!$MC$2:$MC$200=N$3)*('GMW - worst case'!$MB$2:$MB$200=N$4),0),$E141-1973)</f>
        <v>#N/A</v>
      </c>
      <c r="O141" t="e" cm="1">
        <f t="array" ref="O141">INDEX('GMW - worst case'!$A$2:$MC$200,MATCH(1,('GMW - worst case'!$MC$2:$MC$200=O$3)*('GMW - worst case'!$MB$2:$MB$200=O$4),0),$E141-1973)</f>
        <v>#N/A</v>
      </c>
      <c r="P141" t="e" cm="1">
        <f t="array" ref="P141">INDEX('GMW - worst case'!$A$2:$MC$200,MATCH(1,('GMW - worst case'!$MC$2:$MC$200=P$3)*('GMW - worst case'!$MB$2:$MB$200=P$4),0),$E141-1973)</f>
        <v>#N/A</v>
      </c>
      <c r="Q141" t="e" cm="1">
        <f t="array" ref="Q141">INDEX('GMW - worst case'!$A$2:$MC$200,MATCH(1,('GMW - worst case'!$MC$2:$MC$200=Q$3)*('GMW - worst case'!$MB$2:$MB$200=Q$4),0),$E141-1973)</f>
        <v>#N/A</v>
      </c>
      <c r="R141" t="e" cm="1">
        <f t="array" ref="R141">INDEX('GMW - worst case'!$A$2:$MC$200,MATCH(1,('GMW - worst case'!$MC$2:$MC$200=R$3)*('GMW - worst case'!$MB$2:$MB$200=R$4),0),$E141-1973)</f>
        <v>#N/A</v>
      </c>
      <c r="S141" t="e" cm="1">
        <f t="array" ref="S141">INDEX('GMW - worst case'!$A$2:$MC$200,MATCH(1,('GMW - worst case'!$MC$2:$MC$200=S$3)*('GMW - worst case'!$MB$2:$MB$200=S$4),0),$E141-1973)</f>
        <v>#N/A</v>
      </c>
    </row>
    <row r="142" spans="1:19" x14ac:dyDescent="0.25">
      <c r="B142">
        <f t="shared" si="12"/>
        <v>2013</v>
      </c>
      <c r="C142">
        <f t="shared" si="12"/>
        <v>2013</v>
      </c>
      <c r="E142">
        <f t="shared" si="11"/>
        <v>2115</v>
      </c>
      <c r="F142" cm="1">
        <f t="array" ref="F142">INDEX('GMW - worst case'!$A$2:$MC$200,MATCH(1,('GMW - worst case'!$MC$2:$MC$200=F$3)*('GMW - worst case'!$MB$2:$MB$200=F$4),0),$E142-1973)</f>
        <v>591954</v>
      </c>
      <c r="G142" cm="1">
        <f t="array" ref="G142">INDEX('GMW - worst case'!$A$2:$MC$200,MATCH(1,('GMW - worst case'!$MC$2:$MC$200=G$3)*('GMW - worst case'!$MB$2:$MB$200=G$4),0),$E142-1973)</f>
        <v>360080</v>
      </c>
      <c r="H142" cm="1">
        <f t="array" ref="H142">INDEX('GMW - worst case'!$A$2:$MC$200,MATCH(1,('GMW - worst case'!$MC$2:$MC$200=H$3)*('GMW - worst case'!$MB$2:$MB$200=H$4),0),$E142-1973)</f>
        <v>99.3</v>
      </c>
      <c r="I142" cm="1">
        <f t="array" ref="I142">INDEX('GMW - worst case'!$A$2:$MC$200,MATCH(1,('GMW - worst case'!$MC$2:$MC$200=I$3)*('GMW - worst case'!$MB$2:$MB$200=I$4),0),$E142-1973)</f>
        <v>0.5</v>
      </c>
      <c r="J142" t="e" cm="1">
        <f t="array" ref="J142">INDEX('GMW - worst case'!$A$2:$MC$200,MATCH(1,('GMW - worst case'!$MC$2:$MC$200=J$3)*('GMW - worst case'!$MB$2:$MB$200=J$4),0),$E142-1973)</f>
        <v>#N/A</v>
      </c>
      <c r="K142" t="e" cm="1">
        <f t="array" ref="K142">INDEX('GMW - worst case'!$A$2:$MC$200,MATCH(1,('GMW - worst case'!$MC$2:$MC$200=K$3)*('GMW - worst case'!$MB$2:$MB$200=K$4),0),$E142-1973)</f>
        <v>#N/A</v>
      </c>
      <c r="L142" t="e" cm="1">
        <f t="array" ref="L142">INDEX('GMW - worst case'!$A$2:$MC$200,MATCH(1,('GMW - worst case'!$MC$2:$MC$200=L$3)*('GMW - worst case'!$MB$2:$MB$200=L$4),0),$E142-1973)</f>
        <v>#N/A</v>
      </c>
      <c r="M142" t="e" cm="1">
        <f t="array" ref="M142">INDEX('GMW - worst case'!$A$2:$MC$200,MATCH(1,('GMW - worst case'!$MC$2:$MC$200=M$3)*('GMW - worst case'!$MB$2:$MB$200=M$4),0),$E142-1973)</f>
        <v>#N/A</v>
      </c>
      <c r="N142" t="e" cm="1">
        <f t="array" ref="N142">INDEX('GMW - worst case'!$A$2:$MC$200,MATCH(1,('GMW - worst case'!$MC$2:$MC$200=N$3)*('GMW - worst case'!$MB$2:$MB$200=N$4),0),$E142-1973)</f>
        <v>#N/A</v>
      </c>
      <c r="O142" t="e" cm="1">
        <f t="array" ref="O142">INDEX('GMW - worst case'!$A$2:$MC$200,MATCH(1,('GMW - worst case'!$MC$2:$MC$200=O$3)*('GMW - worst case'!$MB$2:$MB$200=O$4),0),$E142-1973)</f>
        <v>#N/A</v>
      </c>
      <c r="P142" t="e" cm="1">
        <f t="array" ref="P142">INDEX('GMW - worst case'!$A$2:$MC$200,MATCH(1,('GMW - worst case'!$MC$2:$MC$200=P$3)*('GMW - worst case'!$MB$2:$MB$200=P$4),0),$E142-1973)</f>
        <v>#N/A</v>
      </c>
      <c r="Q142" t="e" cm="1">
        <f t="array" ref="Q142">INDEX('GMW - worst case'!$A$2:$MC$200,MATCH(1,('GMW - worst case'!$MC$2:$MC$200=Q$3)*('GMW - worst case'!$MB$2:$MB$200=Q$4),0),$E142-1973)</f>
        <v>#N/A</v>
      </c>
      <c r="R142" t="e" cm="1">
        <f t="array" ref="R142">INDEX('GMW - worst case'!$A$2:$MC$200,MATCH(1,('GMW - worst case'!$MC$2:$MC$200=R$3)*('GMW - worst case'!$MB$2:$MB$200=R$4),0),$E142-1973)</f>
        <v>#N/A</v>
      </c>
      <c r="S142" t="e" cm="1">
        <f t="array" ref="S142">INDEX('GMW - worst case'!$A$2:$MC$200,MATCH(1,('GMW - worst case'!$MC$2:$MC$200=S$3)*('GMW - worst case'!$MB$2:$MB$200=S$4),0),$E142-1973)</f>
        <v>#N/A</v>
      </c>
    </row>
    <row r="143" spans="1:19" x14ac:dyDescent="0.25">
      <c r="A143">
        <v>2014</v>
      </c>
      <c r="B143">
        <f t="shared" si="12"/>
        <v>2014</v>
      </c>
      <c r="C143">
        <f t="shared" si="12"/>
        <v>2013</v>
      </c>
      <c r="D143">
        <f t="shared" si="12"/>
        <v>2013</v>
      </c>
      <c r="E143">
        <f t="shared" si="11"/>
        <v>2116</v>
      </c>
      <c r="F143" cm="1">
        <f t="array" ref="F143">INDEX('GMW - worst case'!$A$2:$MC$200,MATCH(1,('GMW - worst case'!$MC$2:$MC$200=F$3)*('GMW - worst case'!$MB$2:$MB$200=F$4),0),$E143-1973)</f>
        <v>596696</v>
      </c>
      <c r="G143" cm="1">
        <f t="array" ref="G143">INDEX('GMW - worst case'!$A$2:$MC$200,MATCH(1,('GMW - worst case'!$MC$2:$MC$200=G$3)*('GMW - worst case'!$MB$2:$MB$200=G$4),0),$E143-1973)</f>
        <v>361463</v>
      </c>
      <c r="H143" cm="1">
        <f t="array" ref="H143">INDEX('GMW - worst case'!$A$2:$MC$200,MATCH(1,('GMW - worst case'!$MC$2:$MC$200=H$3)*('GMW - worst case'!$MB$2:$MB$200=H$4),0),$E143-1973)</f>
        <v>99.4</v>
      </c>
      <c r="I143" cm="1">
        <f t="array" ref="I143">INDEX('GMW - worst case'!$A$2:$MC$200,MATCH(1,('GMW - worst case'!$MC$2:$MC$200=I$3)*('GMW - worst case'!$MB$2:$MB$200=I$4),0),$E143-1973)</f>
        <v>0.5</v>
      </c>
      <c r="J143" t="e" cm="1">
        <f t="array" ref="J143">INDEX('GMW - worst case'!$A$2:$MC$200,MATCH(1,('GMW - worst case'!$MC$2:$MC$200=J$3)*('GMW - worst case'!$MB$2:$MB$200=J$4),0),$E143-1973)</f>
        <v>#N/A</v>
      </c>
      <c r="K143" t="e" cm="1">
        <f t="array" ref="K143">INDEX('GMW - worst case'!$A$2:$MC$200,MATCH(1,('GMW - worst case'!$MC$2:$MC$200=K$3)*('GMW - worst case'!$MB$2:$MB$200=K$4),0),$E143-1973)</f>
        <v>#N/A</v>
      </c>
      <c r="L143" t="e" cm="1">
        <f t="array" ref="L143">INDEX('GMW - worst case'!$A$2:$MC$200,MATCH(1,('GMW - worst case'!$MC$2:$MC$200=L$3)*('GMW - worst case'!$MB$2:$MB$200=L$4),0),$E143-1973)</f>
        <v>#N/A</v>
      </c>
      <c r="M143" t="e" cm="1">
        <f t="array" ref="M143">INDEX('GMW - worst case'!$A$2:$MC$200,MATCH(1,('GMW - worst case'!$MC$2:$MC$200=M$3)*('GMW - worst case'!$MB$2:$MB$200=M$4),0),$E143-1973)</f>
        <v>#N/A</v>
      </c>
      <c r="N143" t="e" cm="1">
        <f t="array" ref="N143">INDEX('GMW - worst case'!$A$2:$MC$200,MATCH(1,('GMW - worst case'!$MC$2:$MC$200=N$3)*('GMW - worst case'!$MB$2:$MB$200=N$4),0),$E143-1973)</f>
        <v>#N/A</v>
      </c>
      <c r="O143" t="e" cm="1">
        <f t="array" ref="O143">INDEX('GMW - worst case'!$A$2:$MC$200,MATCH(1,('GMW - worst case'!$MC$2:$MC$200=O$3)*('GMW - worst case'!$MB$2:$MB$200=O$4),0),$E143-1973)</f>
        <v>#N/A</v>
      </c>
      <c r="P143" t="e" cm="1">
        <f t="array" ref="P143">INDEX('GMW - worst case'!$A$2:$MC$200,MATCH(1,('GMW - worst case'!$MC$2:$MC$200=P$3)*('GMW - worst case'!$MB$2:$MB$200=P$4),0),$E143-1973)</f>
        <v>#N/A</v>
      </c>
      <c r="Q143" t="e" cm="1">
        <f t="array" ref="Q143">INDEX('GMW - worst case'!$A$2:$MC$200,MATCH(1,('GMW - worst case'!$MC$2:$MC$200=Q$3)*('GMW - worst case'!$MB$2:$MB$200=Q$4),0),$E143-1973)</f>
        <v>#N/A</v>
      </c>
      <c r="R143" t="e" cm="1">
        <f t="array" ref="R143">INDEX('GMW - worst case'!$A$2:$MC$200,MATCH(1,('GMW - worst case'!$MC$2:$MC$200=R$3)*('GMW - worst case'!$MB$2:$MB$200=R$4),0),$E143-1973)</f>
        <v>#N/A</v>
      </c>
      <c r="S143" t="e" cm="1">
        <f t="array" ref="S143">INDEX('GMW - worst case'!$A$2:$MC$200,MATCH(1,('GMW - worst case'!$MC$2:$MC$200=S$3)*('GMW - worst case'!$MB$2:$MB$200=S$4),0),$E143-1973)</f>
        <v>#N/A</v>
      </c>
    </row>
    <row r="144" spans="1:19" x14ac:dyDescent="0.25">
      <c r="B144">
        <f t="shared" si="12"/>
        <v>2014</v>
      </c>
      <c r="C144">
        <f t="shared" si="12"/>
        <v>2014</v>
      </c>
      <c r="E144">
        <f t="shared" si="11"/>
        <v>2117</v>
      </c>
      <c r="F144" cm="1">
        <f t="array" ref="F144">INDEX('GMW - worst case'!$A$2:$MC$200,MATCH(1,('GMW - worst case'!$MC$2:$MC$200=F$3)*('GMW - worst case'!$MB$2:$MB$200=F$4),0),$E144-1973)</f>
        <v>602310</v>
      </c>
      <c r="G144" cm="1">
        <f t="array" ref="G144">INDEX('GMW - worst case'!$A$2:$MC$200,MATCH(1,('GMW - worst case'!$MC$2:$MC$200=G$3)*('GMW - worst case'!$MB$2:$MB$200=G$4),0),$E144-1973)</f>
        <v>364739</v>
      </c>
      <c r="H144" cm="1">
        <f t="array" ref="H144">INDEX('GMW - worst case'!$A$2:$MC$200,MATCH(1,('GMW - worst case'!$MC$2:$MC$200=H$3)*('GMW - worst case'!$MB$2:$MB$200=H$4),0),$E144-1973)</f>
        <v>100.1</v>
      </c>
      <c r="I144" cm="1">
        <f t="array" ref="I144">INDEX('GMW - worst case'!$A$2:$MC$200,MATCH(1,('GMW - worst case'!$MC$2:$MC$200=I$3)*('GMW - worst case'!$MB$2:$MB$200=I$4),0),$E144-1973)</f>
        <v>0.5</v>
      </c>
      <c r="J144" t="e" cm="1">
        <f t="array" ref="J144">INDEX('GMW - worst case'!$A$2:$MC$200,MATCH(1,('GMW - worst case'!$MC$2:$MC$200=J$3)*('GMW - worst case'!$MB$2:$MB$200=J$4),0),$E144-1973)</f>
        <v>#N/A</v>
      </c>
      <c r="K144" t="e" cm="1">
        <f t="array" ref="K144">INDEX('GMW - worst case'!$A$2:$MC$200,MATCH(1,('GMW - worst case'!$MC$2:$MC$200=K$3)*('GMW - worst case'!$MB$2:$MB$200=K$4),0),$E144-1973)</f>
        <v>#N/A</v>
      </c>
      <c r="L144" t="e" cm="1">
        <f t="array" ref="L144">INDEX('GMW - worst case'!$A$2:$MC$200,MATCH(1,('GMW - worst case'!$MC$2:$MC$200=L$3)*('GMW - worst case'!$MB$2:$MB$200=L$4),0),$E144-1973)</f>
        <v>#N/A</v>
      </c>
      <c r="M144" t="e" cm="1">
        <f t="array" ref="M144">INDEX('GMW - worst case'!$A$2:$MC$200,MATCH(1,('GMW - worst case'!$MC$2:$MC$200=M$3)*('GMW - worst case'!$MB$2:$MB$200=M$4),0),$E144-1973)</f>
        <v>#N/A</v>
      </c>
      <c r="N144" t="e" cm="1">
        <f t="array" ref="N144">INDEX('GMW - worst case'!$A$2:$MC$200,MATCH(1,('GMW - worst case'!$MC$2:$MC$200=N$3)*('GMW - worst case'!$MB$2:$MB$200=N$4),0),$E144-1973)</f>
        <v>#N/A</v>
      </c>
      <c r="O144" t="e" cm="1">
        <f t="array" ref="O144">INDEX('GMW - worst case'!$A$2:$MC$200,MATCH(1,('GMW - worst case'!$MC$2:$MC$200=O$3)*('GMW - worst case'!$MB$2:$MB$200=O$4),0),$E144-1973)</f>
        <v>#N/A</v>
      </c>
      <c r="P144" t="e" cm="1">
        <f t="array" ref="P144">INDEX('GMW - worst case'!$A$2:$MC$200,MATCH(1,('GMW - worst case'!$MC$2:$MC$200=P$3)*('GMW - worst case'!$MB$2:$MB$200=P$4),0),$E144-1973)</f>
        <v>#N/A</v>
      </c>
      <c r="Q144" t="e" cm="1">
        <f t="array" ref="Q144">INDEX('GMW - worst case'!$A$2:$MC$200,MATCH(1,('GMW - worst case'!$MC$2:$MC$200=Q$3)*('GMW - worst case'!$MB$2:$MB$200=Q$4),0),$E144-1973)</f>
        <v>#N/A</v>
      </c>
      <c r="R144" t="e" cm="1">
        <f t="array" ref="R144">INDEX('GMW - worst case'!$A$2:$MC$200,MATCH(1,('GMW - worst case'!$MC$2:$MC$200=R$3)*('GMW - worst case'!$MB$2:$MB$200=R$4),0),$E144-1973)</f>
        <v>#N/A</v>
      </c>
      <c r="S144" t="e" cm="1">
        <f t="array" ref="S144">INDEX('GMW - worst case'!$A$2:$MC$200,MATCH(1,('GMW - worst case'!$MC$2:$MC$200=S$3)*('GMW - worst case'!$MB$2:$MB$200=S$4),0),$E144-1973)</f>
        <v>#N/A</v>
      </c>
    </row>
    <row r="145" spans="1:19" x14ac:dyDescent="0.25">
      <c r="B145">
        <f t="shared" si="12"/>
        <v>2014</v>
      </c>
      <c r="C145">
        <f t="shared" si="12"/>
        <v>2014</v>
      </c>
      <c r="E145">
        <f t="shared" si="11"/>
        <v>2118</v>
      </c>
      <c r="F145" cm="1">
        <f t="array" ref="F145">INDEX('GMW - worst case'!$A$2:$MC$200,MATCH(1,('GMW - worst case'!$MC$2:$MC$200=F$3)*('GMW - worst case'!$MB$2:$MB$200=F$4),0),$E145-1973)</f>
        <v>607213</v>
      </c>
      <c r="G145" cm="1">
        <f t="array" ref="G145">INDEX('GMW - worst case'!$A$2:$MC$200,MATCH(1,('GMW - worst case'!$MC$2:$MC$200=G$3)*('GMW - worst case'!$MB$2:$MB$200=G$4),0),$E145-1973)</f>
        <v>371275</v>
      </c>
      <c r="H145" cm="1">
        <f t="array" ref="H145">INDEX('GMW - worst case'!$A$2:$MC$200,MATCH(1,('GMW - worst case'!$MC$2:$MC$200=H$3)*('GMW - worst case'!$MB$2:$MB$200=H$4),0),$E145-1973)</f>
        <v>100.13330000000001</v>
      </c>
      <c r="I145" cm="1">
        <f t="array" ref="I145">INDEX('GMW - worst case'!$A$2:$MC$200,MATCH(1,('GMW - worst case'!$MC$2:$MC$200=I$3)*('GMW - worst case'!$MB$2:$MB$200=I$4),0),$E145-1973)</f>
        <v>0.5</v>
      </c>
      <c r="J145" t="e" cm="1">
        <f t="array" ref="J145">INDEX('GMW - worst case'!$A$2:$MC$200,MATCH(1,('GMW - worst case'!$MC$2:$MC$200=J$3)*('GMW - worst case'!$MB$2:$MB$200=J$4),0),$E145-1973)</f>
        <v>#N/A</v>
      </c>
      <c r="K145" t="e" cm="1">
        <f t="array" ref="K145">INDEX('GMW - worst case'!$A$2:$MC$200,MATCH(1,('GMW - worst case'!$MC$2:$MC$200=K$3)*('GMW - worst case'!$MB$2:$MB$200=K$4),0),$E145-1973)</f>
        <v>#N/A</v>
      </c>
      <c r="L145" t="e" cm="1">
        <f t="array" ref="L145">INDEX('GMW - worst case'!$A$2:$MC$200,MATCH(1,('GMW - worst case'!$MC$2:$MC$200=L$3)*('GMW - worst case'!$MB$2:$MB$200=L$4),0),$E145-1973)</f>
        <v>#N/A</v>
      </c>
      <c r="M145" t="e" cm="1">
        <f t="array" ref="M145">INDEX('GMW - worst case'!$A$2:$MC$200,MATCH(1,('GMW - worst case'!$MC$2:$MC$200=M$3)*('GMW - worst case'!$MB$2:$MB$200=M$4),0),$E145-1973)</f>
        <v>#N/A</v>
      </c>
      <c r="N145" t="e" cm="1">
        <f t="array" ref="N145">INDEX('GMW - worst case'!$A$2:$MC$200,MATCH(1,('GMW - worst case'!$MC$2:$MC$200=N$3)*('GMW - worst case'!$MB$2:$MB$200=N$4),0),$E145-1973)</f>
        <v>#N/A</v>
      </c>
      <c r="O145" t="e" cm="1">
        <f t="array" ref="O145">INDEX('GMW - worst case'!$A$2:$MC$200,MATCH(1,('GMW - worst case'!$MC$2:$MC$200=O$3)*('GMW - worst case'!$MB$2:$MB$200=O$4),0),$E145-1973)</f>
        <v>#N/A</v>
      </c>
      <c r="P145" t="e" cm="1">
        <f t="array" ref="P145">INDEX('GMW - worst case'!$A$2:$MC$200,MATCH(1,('GMW - worst case'!$MC$2:$MC$200=P$3)*('GMW - worst case'!$MB$2:$MB$200=P$4),0),$E145-1973)</f>
        <v>#N/A</v>
      </c>
      <c r="Q145" t="e" cm="1">
        <f t="array" ref="Q145">INDEX('GMW - worst case'!$A$2:$MC$200,MATCH(1,('GMW - worst case'!$MC$2:$MC$200=Q$3)*('GMW - worst case'!$MB$2:$MB$200=Q$4),0),$E145-1973)</f>
        <v>#N/A</v>
      </c>
      <c r="R145" t="e" cm="1">
        <f t="array" ref="R145">INDEX('GMW - worst case'!$A$2:$MC$200,MATCH(1,('GMW - worst case'!$MC$2:$MC$200=R$3)*('GMW - worst case'!$MB$2:$MB$200=R$4),0),$E145-1973)</f>
        <v>#N/A</v>
      </c>
      <c r="S145" t="e" cm="1">
        <f t="array" ref="S145">INDEX('GMW - worst case'!$A$2:$MC$200,MATCH(1,('GMW - worst case'!$MC$2:$MC$200=S$3)*('GMW - worst case'!$MB$2:$MB$200=S$4),0),$E145-1973)</f>
        <v>#N/A</v>
      </c>
    </row>
    <row r="146" spans="1:19" x14ac:dyDescent="0.25">
      <c r="B146">
        <f t="shared" si="12"/>
        <v>2014</v>
      </c>
      <c r="C146">
        <f t="shared" si="12"/>
        <v>2014</v>
      </c>
      <c r="E146">
        <f t="shared" si="11"/>
        <v>2119</v>
      </c>
      <c r="F146" cm="1">
        <f t="array" ref="F146">INDEX('GMW - worst case'!$A$2:$MC$200,MATCH(1,('GMW - worst case'!$MC$2:$MC$200=F$3)*('GMW - worst case'!$MB$2:$MB$200=F$4),0),$E146-1973)</f>
        <v>611220</v>
      </c>
      <c r="G146" cm="1">
        <f t="array" ref="G146">INDEX('GMW - worst case'!$A$2:$MC$200,MATCH(1,('GMW - worst case'!$MC$2:$MC$200=G$3)*('GMW - worst case'!$MB$2:$MB$200=G$4),0),$E146-1973)</f>
        <v>374107</v>
      </c>
      <c r="H146" cm="1">
        <f t="array" ref="H146">INDEX('GMW - worst case'!$A$2:$MC$200,MATCH(1,('GMW - worst case'!$MC$2:$MC$200=H$3)*('GMW - worst case'!$MB$2:$MB$200=H$4),0),$E146-1973)</f>
        <v>100.2</v>
      </c>
      <c r="I146" cm="1">
        <f t="array" ref="I146">INDEX('GMW - worst case'!$A$2:$MC$200,MATCH(1,('GMW - worst case'!$MC$2:$MC$200=I$3)*('GMW - worst case'!$MB$2:$MB$200=I$4),0),$E146-1973)</f>
        <v>0.5</v>
      </c>
      <c r="J146" t="e" cm="1">
        <f t="array" ref="J146">INDEX('GMW - worst case'!$A$2:$MC$200,MATCH(1,('GMW - worst case'!$MC$2:$MC$200=J$3)*('GMW - worst case'!$MB$2:$MB$200=J$4),0),$E146-1973)</f>
        <v>#N/A</v>
      </c>
      <c r="K146" t="e" cm="1">
        <f t="array" ref="K146">INDEX('GMW - worst case'!$A$2:$MC$200,MATCH(1,('GMW - worst case'!$MC$2:$MC$200=K$3)*('GMW - worst case'!$MB$2:$MB$200=K$4),0),$E146-1973)</f>
        <v>#N/A</v>
      </c>
      <c r="L146" t="e" cm="1">
        <f t="array" ref="L146">INDEX('GMW - worst case'!$A$2:$MC$200,MATCH(1,('GMW - worst case'!$MC$2:$MC$200=L$3)*('GMW - worst case'!$MB$2:$MB$200=L$4),0),$E146-1973)</f>
        <v>#N/A</v>
      </c>
      <c r="M146" t="e" cm="1">
        <f t="array" ref="M146">INDEX('GMW - worst case'!$A$2:$MC$200,MATCH(1,('GMW - worst case'!$MC$2:$MC$200=M$3)*('GMW - worst case'!$MB$2:$MB$200=M$4),0),$E146-1973)</f>
        <v>#N/A</v>
      </c>
      <c r="N146" t="e" cm="1">
        <f t="array" ref="N146">INDEX('GMW - worst case'!$A$2:$MC$200,MATCH(1,('GMW - worst case'!$MC$2:$MC$200=N$3)*('GMW - worst case'!$MB$2:$MB$200=N$4),0),$E146-1973)</f>
        <v>#N/A</v>
      </c>
      <c r="O146" t="e" cm="1">
        <f t="array" ref="O146">INDEX('GMW - worst case'!$A$2:$MC$200,MATCH(1,('GMW - worst case'!$MC$2:$MC$200=O$3)*('GMW - worst case'!$MB$2:$MB$200=O$4),0),$E146-1973)</f>
        <v>#N/A</v>
      </c>
      <c r="P146" t="e" cm="1">
        <f t="array" ref="P146">INDEX('GMW - worst case'!$A$2:$MC$200,MATCH(1,('GMW - worst case'!$MC$2:$MC$200=P$3)*('GMW - worst case'!$MB$2:$MB$200=P$4),0),$E146-1973)</f>
        <v>#N/A</v>
      </c>
      <c r="Q146" t="e" cm="1">
        <f t="array" ref="Q146">INDEX('GMW - worst case'!$A$2:$MC$200,MATCH(1,('GMW - worst case'!$MC$2:$MC$200=Q$3)*('GMW - worst case'!$MB$2:$MB$200=Q$4),0),$E146-1973)</f>
        <v>#N/A</v>
      </c>
      <c r="R146" t="e" cm="1">
        <f t="array" ref="R146">INDEX('GMW - worst case'!$A$2:$MC$200,MATCH(1,('GMW - worst case'!$MC$2:$MC$200=R$3)*('GMW - worst case'!$MB$2:$MB$200=R$4),0),$E146-1973)</f>
        <v>#N/A</v>
      </c>
      <c r="S146" t="e" cm="1">
        <f t="array" ref="S146">INDEX('GMW - worst case'!$A$2:$MC$200,MATCH(1,('GMW - worst case'!$MC$2:$MC$200=S$3)*('GMW - worst case'!$MB$2:$MB$200=S$4),0),$E146-1973)</f>
        <v>#N/A</v>
      </c>
    </row>
    <row r="147" spans="1:19" x14ac:dyDescent="0.25">
      <c r="A147">
        <v>2015</v>
      </c>
      <c r="B147">
        <f t="shared" si="12"/>
        <v>2015</v>
      </c>
      <c r="C147">
        <f t="shared" si="12"/>
        <v>2014</v>
      </c>
      <c r="D147">
        <f t="shared" si="12"/>
        <v>2014</v>
      </c>
      <c r="E147">
        <f t="shared" si="11"/>
        <v>2120</v>
      </c>
      <c r="F147" cm="1">
        <f t="array" ref="F147">INDEX('GMW - worst case'!$A$2:$MC$200,MATCH(1,('GMW - worst case'!$MC$2:$MC$200=F$3)*('GMW - worst case'!$MB$2:$MB$200=F$4),0),$E147-1973)</f>
        <v>613076</v>
      </c>
      <c r="G147" cm="1">
        <f t="array" ref="G147">INDEX('GMW - worst case'!$A$2:$MC$200,MATCH(1,('GMW - worst case'!$MC$2:$MC$200=G$3)*('GMW - worst case'!$MB$2:$MB$200=G$4),0),$E147-1973)</f>
        <v>375994</v>
      </c>
      <c r="H147" cm="1">
        <f t="array" ref="H147">INDEX('GMW - worst case'!$A$2:$MC$200,MATCH(1,('GMW - worst case'!$MC$2:$MC$200=H$3)*('GMW - worst case'!$MB$2:$MB$200=H$4),0),$E147-1973)</f>
        <v>99.5</v>
      </c>
      <c r="I147" cm="1">
        <f t="array" ref="I147">INDEX('GMW - worst case'!$A$2:$MC$200,MATCH(1,('GMW - worst case'!$MC$2:$MC$200=I$3)*('GMW - worst case'!$MB$2:$MB$200=I$4),0),$E147-1973)</f>
        <v>0.5</v>
      </c>
      <c r="J147" t="e" cm="1">
        <f t="array" ref="J147">INDEX('GMW - worst case'!$A$2:$MC$200,MATCH(1,('GMW - worst case'!$MC$2:$MC$200=J$3)*('GMW - worst case'!$MB$2:$MB$200=J$4),0),$E147-1973)</f>
        <v>#N/A</v>
      </c>
      <c r="K147" t="e" cm="1">
        <f t="array" ref="K147">INDEX('GMW - worst case'!$A$2:$MC$200,MATCH(1,('GMW - worst case'!$MC$2:$MC$200=K$3)*('GMW - worst case'!$MB$2:$MB$200=K$4),0),$E147-1973)</f>
        <v>#N/A</v>
      </c>
      <c r="L147" t="e" cm="1">
        <f t="array" ref="L147">INDEX('GMW - worst case'!$A$2:$MC$200,MATCH(1,('GMW - worst case'!$MC$2:$MC$200=L$3)*('GMW - worst case'!$MB$2:$MB$200=L$4),0),$E147-1973)</f>
        <v>#N/A</v>
      </c>
      <c r="M147" t="e" cm="1">
        <f t="array" ref="M147">INDEX('GMW - worst case'!$A$2:$MC$200,MATCH(1,('GMW - worst case'!$MC$2:$MC$200=M$3)*('GMW - worst case'!$MB$2:$MB$200=M$4),0),$E147-1973)</f>
        <v>#N/A</v>
      </c>
      <c r="N147" t="e" cm="1">
        <f t="array" ref="N147">INDEX('GMW - worst case'!$A$2:$MC$200,MATCH(1,('GMW - worst case'!$MC$2:$MC$200=N$3)*('GMW - worst case'!$MB$2:$MB$200=N$4),0),$E147-1973)</f>
        <v>#N/A</v>
      </c>
      <c r="O147" t="e" cm="1">
        <f t="array" ref="O147">INDEX('GMW - worst case'!$A$2:$MC$200,MATCH(1,('GMW - worst case'!$MC$2:$MC$200=O$3)*('GMW - worst case'!$MB$2:$MB$200=O$4),0),$E147-1973)</f>
        <v>#N/A</v>
      </c>
      <c r="P147" t="e" cm="1">
        <f t="array" ref="P147">INDEX('GMW - worst case'!$A$2:$MC$200,MATCH(1,('GMW - worst case'!$MC$2:$MC$200=P$3)*('GMW - worst case'!$MB$2:$MB$200=P$4),0),$E147-1973)</f>
        <v>#N/A</v>
      </c>
      <c r="Q147" t="e" cm="1">
        <f t="array" ref="Q147">INDEX('GMW - worst case'!$A$2:$MC$200,MATCH(1,('GMW - worst case'!$MC$2:$MC$200=Q$3)*('GMW - worst case'!$MB$2:$MB$200=Q$4),0),$E147-1973)</f>
        <v>#N/A</v>
      </c>
      <c r="R147" t="e" cm="1">
        <f t="array" ref="R147">INDEX('GMW - worst case'!$A$2:$MC$200,MATCH(1,('GMW - worst case'!$MC$2:$MC$200=R$3)*('GMW - worst case'!$MB$2:$MB$200=R$4),0),$E147-1973)</f>
        <v>#N/A</v>
      </c>
      <c r="S147" t="e" cm="1">
        <f t="array" ref="S147">INDEX('GMW - worst case'!$A$2:$MC$200,MATCH(1,('GMW - worst case'!$MC$2:$MC$200=S$3)*('GMW - worst case'!$MB$2:$MB$200=S$4),0),$E147-1973)</f>
        <v>#N/A</v>
      </c>
    </row>
    <row r="148" spans="1:19" x14ac:dyDescent="0.25">
      <c r="B148">
        <f t="shared" si="12"/>
        <v>2015</v>
      </c>
      <c r="C148">
        <f t="shared" si="12"/>
        <v>2015</v>
      </c>
      <c r="E148">
        <f t="shared" si="11"/>
        <v>2121</v>
      </c>
      <c r="F148" cm="1">
        <f t="array" ref="F148">INDEX('GMW - worst case'!$A$2:$MC$200,MATCH(1,('GMW - worst case'!$MC$2:$MC$200=F$3)*('GMW - worst case'!$MB$2:$MB$200=F$4),0),$E148-1973)</f>
        <v>615875</v>
      </c>
      <c r="G148" cm="1">
        <f t="array" ref="G148">INDEX('GMW - worst case'!$A$2:$MC$200,MATCH(1,('GMW - worst case'!$MC$2:$MC$200=G$3)*('GMW - worst case'!$MB$2:$MB$200=G$4),0),$E148-1973)</f>
        <v>377177</v>
      </c>
      <c r="H148" cm="1">
        <f t="array" ref="H148">INDEX('GMW - worst case'!$A$2:$MC$200,MATCH(1,('GMW - worst case'!$MC$2:$MC$200=H$3)*('GMW - worst case'!$MB$2:$MB$200=H$4),0),$E148-1973)</f>
        <v>100.0667</v>
      </c>
      <c r="I148" cm="1">
        <f t="array" ref="I148">INDEX('GMW - worst case'!$A$2:$MC$200,MATCH(1,('GMW - worst case'!$MC$2:$MC$200=I$3)*('GMW - worst case'!$MB$2:$MB$200=I$4),0),$E148-1973)</f>
        <v>0.5</v>
      </c>
      <c r="J148" t="e" cm="1">
        <f t="array" ref="J148">INDEX('GMW - worst case'!$A$2:$MC$200,MATCH(1,('GMW - worst case'!$MC$2:$MC$200=J$3)*('GMW - worst case'!$MB$2:$MB$200=J$4),0),$E148-1973)</f>
        <v>#N/A</v>
      </c>
      <c r="K148" t="e" cm="1">
        <f t="array" ref="K148">INDEX('GMW - worst case'!$A$2:$MC$200,MATCH(1,('GMW - worst case'!$MC$2:$MC$200=K$3)*('GMW - worst case'!$MB$2:$MB$200=K$4),0),$E148-1973)</f>
        <v>#N/A</v>
      </c>
      <c r="L148" t="e" cm="1">
        <f t="array" ref="L148">INDEX('GMW - worst case'!$A$2:$MC$200,MATCH(1,('GMW - worst case'!$MC$2:$MC$200=L$3)*('GMW - worst case'!$MB$2:$MB$200=L$4),0),$E148-1973)</f>
        <v>#N/A</v>
      </c>
      <c r="M148" t="e" cm="1">
        <f t="array" ref="M148">INDEX('GMW - worst case'!$A$2:$MC$200,MATCH(1,('GMW - worst case'!$MC$2:$MC$200=M$3)*('GMW - worst case'!$MB$2:$MB$200=M$4),0),$E148-1973)</f>
        <v>#N/A</v>
      </c>
      <c r="N148" t="e" cm="1">
        <f t="array" ref="N148">INDEX('GMW - worst case'!$A$2:$MC$200,MATCH(1,('GMW - worst case'!$MC$2:$MC$200=N$3)*('GMW - worst case'!$MB$2:$MB$200=N$4),0),$E148-1973)</f>
        <v>#N/A</v>
      </c>
      <c r="O148" t="e" cm="1">
        <f t="array" ref="O148">INDEX('GMW - worst case'!$A$2:$MC$200,MATCH(1,('GMW - worst case'!$MC$2:$MC$200=O$3)*('GMW - worst case'!$MB$2:$MB$200=O$4),0),$E148-1973)</f>
        <v>#N/A</v>
      </c>
      <c r="P148" t="e" cm="1">
        <f t="array" ref="P148">INDEX('GMW - worst case'!$A$2:$MC$200,MATCH(1,('GMW - worst case'!$MC$2:$MC$200=P$3)*('GMW - worst case'!$MB$2:$MB$200=P$4),0),$E148-1973)</f>
        <v>#N/A</v>
      </c>
      <c r="Q148" t="e" cm="1">
        <f t="array" ref="Q148">INDEX('GMW - worst case'!$A$2:$MC$200,MATCH(1,('GMW - worst case'!$MC$2:$MC$200=Q$3)*('GMW - worst case'!$MB$2:$MB$200=Q$4),0),$E148-1973)</f>
        <v>#N/A</v>
      </c>
      <c r="R148" t="e" cm="1">
        <f t="array" ref="R148">INDEX('GMW - worst case'!$A$2:$MC$200,MATCH(1,('GMW - worst case'!$MC$2:$MC$200=R$3)*('GMW - worst case'!$MB$2:$MB$200=R$4),0),$E148-1973)</f>
        <v>#N/A</v>
      </c>
      <c r="S148" t="e" cm="1">
        <f t="array" ref="S148">INDEX('GMW - worst case'!$A$2:$MC$200,MATCH(1,('GMW - worst case'!$MC$2:$MC$200=S$3)*('GMW - worst case'!$MB$2:$MB$200=S$4),0),$E148-1973)</f>
        <v>#N/A</v>
      </c>
    </row>
    <row r="149" spans="1:19" x14ac:dyDescent="0.25">
      <c r="B149">
        <f t="shared" si="12"/>
        <v>2015</v>
      </c>
      <c r="C149">
        <f t="shared" si="12"/>
        <v>2015</v>
      </c>
      <c r="E149">
        <f t="shared" si="11"/>
        <v>2122</v>
      </c>
      <c r="F149" cm="1">
        <f t="array" ref="F149">INDEX('GMW - worst case'!$A$2:$MC$200,MATCH(1,('GMW - worst case'!$MC$2:$MC$200=F$3)*('GMW - worst case'!$MB$2:$MB$200=F$4),0),$E149-1973)</f>
        <v>618263</v>
      </c>
      <c r="G149" cm="1">
        <f t="array" ref="G149">INDEX('GMW - worst case'!$A$2:$MC$200,MATCH(1,('GMW - worst case'!$MC$2:$MC$200=G$3)*('GMW - worst case'!$MB$2:$MB$200=G$4),0),$E149-1973)</f>
        <v>381986</v>
      </c>
      <c r="H149" cm="1">
        <f t="array" ref="H149">INDEX('GMW - worst case'!$A$2:$MC$200,MATCH(1,('GMW - worst case'!$MC$2:$MC$200=H$3)*('GMW - worst case'!$MB$2:$MB$200=H$4),0),$E149-1973)</f>
        <v>100.16670000000001</v>
      </c>
      <c r="I149" cm="1">
        <f t="array" ref="I149">INDEX('GMW - worst case'!$A$2:$MC$200,MATCH(1,('GMW - worst case'!$MC$2:$MC$200=I$3)*('GMW - worst case'!$MB$2:$MB$200=I$4),0),$E149-1973)</f>
        <v>0.5</v>
      </c>
      <c r="J149" t="e" cm="1">
        <f t="array" ref="J149">INDEX('GMW - worst case'!$A$2:$MC$200,MATCH(1,('GMW - worst case'!$MC$2:$MC$200=J$3)*('GMW - worst case'!$MB$2:$MB$200=J$4),0),$E149-1973)</f>
        <v>#N/A</v>
      </c>
      <c r="K149" t="e" cm="1">
        <f t="array" ref="K149">INDEX('GMW - worst case'!$A$2:$MC$200,MATCH(1,('GMW - worst case'!$MC$2:$MC$200=K$3)*('GMW - worst case'!$MB$2:$MB$200=K$4),0),$E149-1973)</f>
        <v>#N/A</v>
      </c>
      <c r="L149" t="e" cm="1">
        <f t="array" ref="L149">INDEX('GMW - worst case'!$A$2:$MC$200,MATCH(1,('GMW - worst case'!$MC$2:$MC$200=L$3)*('GMW - worst case'!$MB$2:$MB$200=L$4),0),$E149-1973)</f>
        <v>#N/A</v>
      </c>
      <c r="M149" t="e" cm="1">
        <f t="array" ref="M149">INDEX('GMW - worst case'!$A$2:$MC$200,MATCH(1,('GMW - worst case'!$MC$2:$MC$200=M$3)*('GMW - worst case'!$MB$2:$MB$200=M$4),0),$E149-1973)</f>
        <v>#N/A</v>
      </c>
      <c r="N149" t="e" cm="1">
        <f t="array" ref="N149">INDEX('GMW - worst case'!$A$2:$MC$200,MATCH(1,('GMW - worst case'!$MC$2:$MC$200=N$3)*('GMW - worst case'!$MB$2:$MB$200=N$4),0),$E149-1973)</f>
        <v>#N/A</v>
      </c>
      <c r="O149" t="e" cm="1">
        <f t="array" ref="O149">INDEX('GMW - worst case'!$A$2:$MC$200,MATCH(1,('GMW - worst case'!$MC$2:$MC$200=O$3)*('GMW - worst case'!$MB$2:$MB$200=O$4),0),$E149-1973)</f>
        <v>#N/A</v>
      </c>
      <c r="P149" t="e" cm="1">
        <f t="array" ref="P149">INDEX('GMW - worst case'!$A$2:$MC$200,MATCH(1,('GMW - worst case'!$MC$2:$MC$200=P$3)*('GMW - worst case'!$MB$2:$MB$200=P$4),0),$E149-1973)</f>
        <v>#N/A</v>
      </c>
      <c r="Q149" t="e" cm="1">
        <f t="array" ref="Q149">INDEX('GMW - worst case'!$A$2:$MC$200,MATCH(1,('GMW - worst case'!$MC$2:$MC$200=Q$3)*('GMW - worst case'!$MB$2:$MB$200=Q$4),0),$E149-1973)</f>
        <v>#N/A</v>
      </c>
      <c r="R149" t="e" cm="1">
        <f t="array" ref="R149">INDEX('GMW - worst case'!$A$2:$MC$200,MATCH(1,('GMW - worst case'!$MC$2:$MC$200=R$3)*('GMW - worst case'!$MB$2:$MB$200=R$4),0),$E149-1973)</f>
        <v>#N/A</v>
      </c>
      <c r="S149" t="e" cm="1">
        <f t="array" ref="S149">INDEX('GMW - worst case'!$A$2:$MC$200,MATCH(1,('GMW - worst case'!$MC$2:$MC$200=S$3)*('GMW - worst case'!$MB$2:$MB$200=S$4),0),$E149-1973)</f>
        <v>#N/A</v>
      </c>
    </row>
    <row r="150" spans="1:19" x14ac:dyDescent="0.25">
      <c r="B150">
        <f t="shared" si="12"/>
        <v>2015</v>
      </c>
      <c r="C150">
        <f t="shared" si="12"/>
        <v>2015</v>
      </c>
      <c r="E150">
        <f t="shared" si="11"/>
        <v>2123</v>
      </c>
      <c r="F150" cm="1">
        <f t="array" ref="F150">INDEX('GMW - worst case'!$A$2:$MC$200,MATCH(1,('GMW - worst case'!$MC$2:$MC$200=F$3)*('GMW - worst case'!$MB$2:$MB$200=F$4),0),$E150-1973)</f>
        <v>621968</v>
      </c>
      <c r="G150" cm="1">
        <f t="array" ref="G150">INDEX('GMW - worst case'!$A$2:$MC$200,MATCH(1,('GMW - worst case'!$MC$2:$MC$200=G$3)*('GMW - worst case'!$MB$2:$MB$200=G$4),0),$E150-1973)</f>
        <v>381066</v>
      </c>
      <c r="H150" cm="1">
        <f t="array" ref="H150">INDEX('GMW - worst case'!$A$2:$MC$200,MATCH(1,('GMW - worst case'!$MC$2:$MC$200=H$3)*('GMW - worst case'!$MB$2:$MB$200=H$4),0),$E150-1973)</f>
        <v>100.3</v>
      </c>
      <c r="I150" cm="1">
        <f t="array" ref="I150">INDEX('GMW - worst case'!$A$2:$MC$200,MATCH(1,('GMW - worst case'!$MC$2:$MC$200=I$3)*('GMW - worst case'!$MB$2:$MB$200=I$4),0),$E150-1973)</f>
        <v>0.5</v>
      </c>
      <c r="J150" t="e" cm="1">
        <f t="array" ref="J150">INDEX('GMW - worst case'!$A$2:$MC$200,MATCH(1,('GMW - worst case'!$MC$2:$MC$200=J$3)*('GMW - worst case'!$MB$2:$MB$200=J$4),0),$E150-1973)</f>
        <v>#N/A</v>
      </c>
      <c r="K150" t="e" cm="1">
        <f t="array" ref="K150">INDEX('GMW - worst case'!$A$2:$MC$200,MATCH(1,('GMW - worst case'!$MC$2:$MC$200=K$3)*('GMW - worst case'!$MB$2:$MB$200=K$4),0),$E150-1973)</f>
        <v>#N/A</v>
      </c>
      <c r="L150" t="e" cm="1">
        <f t="array" ref="L150">INDEX('GMW - worst case'!$A$2:$MC$200,MATCH(1,('GMW - worst case'!$MC$2:$MC$200=L$3)*('GMW - worst case'!$MB$2:$MB$200=L$4),0),$E150-1973)</f>
        <v>#N/A</v>
      </c>
      <c r="M150" t="e" cm="1">
        <f t="array" ref="M150">INDEX('GMW - worst case'!$A$2:$MC$200,MATCH(1,('GMW - worst case'!$MC$2:$MC$200=M$3)*('GMW - worst case'!$MB$2:$MB$200=M$4),0),$E150-1973)</f>
        <v>#N/A</v>
      </c>
      <c r="N150" t="e" cm="1">
        <f t="array" ref="N150">INDEX('GMW - worst case'!$A$2:$MC$200,MATCH(1,('GMW - worst case'!$MC$2:$MC$200=N$3)*('GMW - worst case'!$MB$2:$MB$200=N$4),0),$E150-1973)</f>
        <v>#N/A</v>
      </c>
      <c r="O150" t="e" cm="1">
        <f t="array" ref="O150">INDEX('GMW - worst case'!$A$2:$MC$200,MATCH(1,('GMW - worst case'!$MC$2:$MC$200=O$3)*('GMW - worst case'!$MB$2:$MB$200=O$4),0),$E150-1973)</f>
        <v>#N/A</v>
      </c>
      <c r="P150" t="e" cm="1">
        <f t="array" ref="P150">INDEX('GMW - worst case'!$A$2:$MC$200,MATCH(1,('GMW - worst case'!$MC$2:$MC$200=P$3)*('GMW - worst case'!$MB$2:$MB$200=P$4),0),$E150-1973)</f>
        <v>#N/A</v>
      </c>
      <c r="Q150" t="e" cm="1">
        <f t="array" ref="Q150">INDEX('GMW - worst case'!$A$2:$MC$200,MATCH(1,('GMW - worst case'!$MC$2:$MC$200=Q$3)*('GMW - worst case'!$MB$2:$MB$200=Q$4),0),$E150-1973)</f>
        <v>#N/A</v>
      </c>
      <c r="R150" t="e" cm="1">
        <f t="array" ref="R150">INDEX('GMW - worst case'!$A$2:$MC$200,MATCH(1,('GMW - worst case'!$MC$2:$MC$200=R$3)*('GMW - worst case'!$MB$2:$MB$200=R$4),0),$E150-1973)</f>
        <v>#N/A</v>
      </c>
      <c r="S150" t="e" cm="1">
        <f t="array" ref="S150">INDEX('GMW - worst case'!$A$2:$MC$200,MATCH(1,('GMW - worst case'!$MC$2:$MC$200=S$3)*('GMW - worst case'!$MB$2:$MB$200=S$4),0),$E150-1973)</f>
        <v>#N/A</v>
      </c>
    </row>
    <row r="151" spans="1:19" x14ac:dyDescent="0.25">
      <c r="A151">
        <v>2016</v>
      </c>
      <c r="B151">
        <f t="shared" si="12"/>
        <v>2016</v>
      </c>
      <c r="C151">
        <f t="shared" si="12"/>
        <v>2015</v>
      </c>
      <c r="D151">
        <f t="shared" si="12"/>
        <v>2015</v>
      </c>
      <c r="E151">
        <f t="shared" si="11"/>
        <v>2124</v>
      </c>
      <c r="F151" cm="1">
        <f t="array" ref="F151">INDEX('GMW - worst case'!$A$2:$MC$200,MATCH(1,('GMW - worst case'!$MC$2:$MC$200=F$3)*('GMW - worst case'!$MB$2:$MB$200=F$4),0),$E151-1973)</f>
        <v>625099</v>
      </c>
      <c r="G151" cm="1">
        <f t="array" ref="G151">INDEX('GMW - worst case'!$A$2:$MC$200,MATCH(1,('GMW - worst case'!$MC$2:$MC$200=G$3)*('GMW - worst case'!$MB$2:$MB$200=G$4),0),$E151-1973)</f>
        <v>388934</v>
      </c>
      <c r="H151" cm="1">
        <f t="array" ref="H151">INDEX('GMW - worst case'!$A$2:$MC$200,MATCH(1,('GMW - worst case'!$MC$2:$MC$200=H$3)*('GMW - worst case'!$MB$2:$MB$200=H$4),0),$E151-1973)</f>
        <v>99.833340000000007</v>
      </c>
      <c r="I151" cm="1">
        <f t="array" ref="I151">INDEX('GMW - worst case'!$A$2:$MC$200,MATCH(1,('GMW - worst case'!$MC$2:$MC$200=I$3)*('GMW - worst case'!$MB$2:$MB$200=I$4),0),$E151-1973)</f>
        <v>0.5</v>
      </c>
      <c r="J151" t="e" cm="1">
        <f t="array" ref="J151">INDEX('GMW - worst case'!$A$2:$MC$200,MATCH(1,('GMW - worst case'!$MC$2:$MC$200=J$3)*('GMW - worst case'!$MB$2:$MB$200=J$4),0),$E151-1973)</f>
        <v>#N/A</v>
      </c>
      <c r="K151" t="e" cm="1">
        <f t="array" ref="K151">INDEX('GMW - worst case'!$A$2:$MC$200,MATCH(1,('GMW - worst case'!$MC$2:$MC$200=K$3)*('GMW - worst case'!$MB$2:$MB$200=K$4),0),$E151-1973)</f>
        <v>#N/A</v>
      </c>
      <c r="L151" t="e" cm="1">
        <f t="array" ref="L151">INDEX('GMW - worst case'!$A$2:$MC$200,MATCH(1,('GMW - worst case'!$MC$2:$MC$200=L$3)*('GMW - worst case'!$MB$2:$MB$200=L$4),0),$E151-1973)</f>
        <v>#N/A</v>
      </c>
      <c r="M151" t="e" cm="1">
        <f t="array" ref="M151">INDEX('GMW - worst case'!$A$2:$MC$200,MATCH(1,('GMW - worst case'!$MC$2:$MC$200=M$3)*('GMW - worst case'!$MB$2:$MB$200=M$4),0),$E151-1973)</f>
        <v>#N/A</v>
      </c>
      <c r="N151" t="e" cm="1">
        <f t="array" ref="N151">INDEX('GMW - worst case'!$A$2:$MC$200,MATCH(1,('GMW - worst case'!$MC$2:$MC$200=N$3)*('GMW - worst case'!$MB$2:$MB$200=N$4),0),$E151-1973)</f>
        <v>#N/A</v>
      </c>
      <c r="O151" t="e" cm="1">
        <f t="array" ref="O151">INDEX('GMW - worst case'!$A$2:$MC$200,MATCH(1,('GMW - worst case'!$MC$2:$MC$200=O$3)*('GMW - worst case'!$MB$2:$MB$200=O$4),0),$E151-1973)</f>
        <v>#N/A</v>
      </c>
      <c r="P151" t="e" cm="1">
        <f t="array" ref="P151">INDEX('GMW - worst case'!$A$2:$MC$200,MATCH(1,('GMW - worst case'!$MC$2:$MC$200=P$3)*('GMW - worst case'!$MB$2:$MB$200=P$4),0),$E151-1973)</f>
        <v>#N/A</v>
      </c>
      <c r="Q151" t="e" cm="1">
        <f t="array" ref="Q151">INDEX('GMW - worst case'!$A$2:$MC$200,MATCH(1,('GMW - worst case'!$MC$2:$MC$200=Q$3)*('GMW - worst case'!$MB$2:$MB$200=Q$4),0),$E151-1973)</f>
        <v>#N/A</v>
      </c>
      <c r="R151" t="e" cm="1">
        <f t="array" ref="R151">INDEX('GMW - worst case'!$A$2:$MC$200,MATCH(1,('GMW - worst case'!$MC$2:$MC$200=R$3)*('GMW - worst case'!$MB$2:$MB$200=R$4),0),$E151-1973)</f>
        <v>#N/A</v>
      </c>
      <c r="S151" t="e" cm="1">
        <f t="array" ref="S151">INDEX('GMW - worst case'!$A$2:$MC$200,MATCH(1,('GMW - worst case'!$MC$2:$MC$200=S$3)*('GMW - worst case'!$MB$2:$MB$200=S$4),0),$E151-1973)</f>
        <v>#N/A</v>
      </c>
    </row>
    <row r="152" spans="1:19" x14ac:dyDescent="0.25">
      <c r="B152">
        <f t="shared" si="12"/>
        <v>2016</v>
      </c>
      <c r="C152">
        <f t="shared" si="12"/>
        <v>2016</v>
      </c>
      <c r="E152">
        <f t="shared" si="11"/>
        <v>2125</v>
      </c>
      <c r="F152" cm="1">
        <f t="array" ref="F152">INDEX('GMW - worst case'!$A$2:$MC$200,MATCH(1,('GMW - worst case'!$MC$2:$MC$200=F$3)*('GMW - worst case'!$MB$2:$MB$200=F$4),0),$E152-1973)</f>
        <v>629697</v>
      </c>
      <c r="G152" cm="1">
        <f t="array" ref="G152">INDEX('GMW - worst case'!$A$2:$MC$200,MATCH(1,('GMW - worst case'!$MC$2:$MC$200=G$3)*('GMW - worst case'!$MB$2:$MB$200=G$4),0),$E152-1973)</f>
        <v>392507</v>
      </c>
      <c r="H152" cm="1">
        <f t="array" ref="H152">INDEX('GMW - worst case'!$A$2:$MC$200,MATCH(1,('GMW - worst case'!$MC$2:$MC$200=H$3)*('GMW - worst case'!$MB$2:$MB$200=H$4),0),$E152-1973)</f>
        <v>100.4</v>
      </c>
      <c r="I152" cm="1">
        <f t="array" ref="I152">INDEX('GMW - worst case'!$A$2:$MC$200,MATCH(1,('GMW - worst case'!$MC$2:$MC$200=I$3)*('GMW - worst case'!$MB$2:$MB$200=I$4),0),$E152-1973)</f>
        <v>0.5</v>
      </c>
      <c r="J152" t="e" cm="1">
        <f t="array" ref="J152">INDEX('GMW - worst case'!$A$2:$MC$200,MATCH(1,('GMW - worst case'!$MC$2:$MC$200=J$3)*('GMW - worst case'!$MB$2:$MB$200=J$4),0),$E152-1973)</f>
        <v>#N/A</v>
      </c>
      <c r="K152" t="e" cm="1">
        <f t="array" ref="K152">INDEX('GMW - worst case'!$A$2:$MC$200,MATCH(1,('GMW - worst case'!$MC$2:$MC$200=K$3)*('GMW - worst case'!$MB$2:$MB$200=K$4),0),$E152-1973)</f>
        <v>#N/A</v>
      </c>
      <c r="L152" t="e" cm="1">
        <f t="array" ref="L152">INDEX('GMW - worst case'!$A$2:$MC$200,MATCH(1,('GMW - worst case'!$MC$2:$MC$200=L$3)*('GMW - worst case'!$MB$2:$MB$200=L$4),0),$E152-1973)</f>
        <v>#N/A</v>
      </c>
      <c r="M152" t="e" cm="1">
        <f t="array" ref="M152">INDEX('GMW - worst case'!$A$2:$MC$200,MATCH(1,('GMW - worst case'!$MC$2:$MC$200=M$3)*('GMW - worst case'!$MB$2:$MB$200=M$4),0),$E152-1973)</f>
        <v>#N/A</v>
      </c>
      <c r="N152" t="e" cm="1">
        <f t="array" ref="N152">INDEX('GMW - worst case'!$A$2:$MC$200,MATCH(1,('GMW - worst case'!$MC$2:$MC$200=N$3)*('GMW - worst case'!$MB$2:$MB$200=N$4),0),$E152-1973)</f>
        <v>#N/A</v>
      </c>
      <c r="O152" t="e" cm="1">
        <f t="array" ref="O152">INDEX('GMW - worst case'!$A$2:$MC$200,MATCH(1,('GMW - worst case'!$MC$2:$MC$200=O$3)*('GMW - worst case'!$MB$2:$MB$200=O$4),0),$E152-1973)</f>
        <v>#N/A</v>
      </c>
      <c r="P152" t="e" cm="1">
        <f t="array" ref="P152">INDEX('GMW - worst case'!$A$2:$MC$200,MATCH(1,('GMW - worst case'!$MC$2:$MC$200=P$3)*('GMW - worst case'!$MB$2:$MB$200=P$4),0),$E152-1973)</f>
        <v>#N/A</v>
      </c>
      <c r="Q152" t="e" cm="1">
        <f t="array" ref="Q152">INDEX('GMW - worst case'!$A$2:$MC$200,MATCH(1,('GMW - worst case'!$MC$2:$MC$200=Q$3)*('GMW - worst case'!$MB$2:$MB$200=Q$4),0),$E152-1973)</f>
        <v>#N/A</v>
      </c>
      <c r="R152" t="e" cm="1">
        <f t="array" ref="R152">INDEX('GMW - worst case'!$A$2:$MC$200,MATCH(1,('GMW - worst case'!$MC$2:$MC$200=R$3)*('GMW - worst case'!$MB$2:$MB$200=R$4),0),$E152-1973)</f>
        <v>#N/A</v>
      </c>
      <c r="S152" t="e" cm="1">
        <f t="array" ref="S152">INDEX('GMW - worst case'!$A$2:$MC$200,MATCH(1,('GMW - worst case'!$MC$2:$MC$200=S$3)*('GMW - worst case'!$MB$2:$MB$200=S$4),0),$E152-1973)</f>
        <v>#N/A</v>
      </c>
    </row>
    <row r="153" spans="1:19" x14ac:dyDescent="0.25">
      <c r="B153">
        <f t="shared" si="12"/>
        <v>2016</v>
      </c>
      <c r="C153">
        <f t="shared" si="12"/>
        <v>2016</v>
      </c>
      <c r="E153">
        <f t="shared" si="11"/>
        <v>2126</v>
      </c>
      <c r="F153" cm="1">
        <f t="array" ref="F153">INDEX('GMW - worst case'!$A$2:$MC$200,MATCH(1,('GMW - worst case'!$MC$2:$MC$200=F$3)*('GMW - worst case'!$MB$2:$MB$200=F$4),0),$E153-1973)</f>
        <v>632477</v>
      </c>
      <c r="G153" cm="1">
        <f t="array" ref="G153">INDEX('GMW - worst case'!$A$2:$MC$200,MATCH(1,('GMW - worst case'!$MC$2:$MC$200=G$3)*('GMW - worst case'!$MB$2:$MB$200=G$4),0),$E153-1973)</f>
        <v>395501</v>
      </c>
      <c r="H153" cm="1">
        <f t="array" ref="H153">INDEX('GMW - worst case'!$A$2:$MC$200,MATCH(1,('GMW - worst case'!$MC$2:$MC$200=H$3)*('GMW - worst case'!$MB$2:$MB$200=H$4),0),$E153-1973)</f>
        <v>100.86669999999999</v>
      </c>
      <c r="I153" cm="1">
        <f t="array" ref="I153">INDEX('GMW - worst case'!$A$2:$MC$200,MATCH(1,('GMW - worst case'!$MC$2:$MC$200=I$3)*('GMW - worst case'!$MB$2:$MB$200=I$4),0),$E153-1973)</f>
        <v>0.34090910000000002</v>
      </c>
      <c r="J153" t="e" cm="1">
        <f t="array" ref="J153">INDEX('GMW - worst case'!$A$2:$MC$200,MATCH(1,('GMW - worst case'!$MC$2:$MC$200=J$3)*('GMW - worst case'!$MB$2:$MB$200=J$4),0),$E153-1973)</f>
        <v>#N/A</v>
      </c>
      <c r="K153" t="e" cm="1">
        <f t="array" ref="K153">INDEX('GMW - worst case'!$A$2:$MC$200,MATCH(1,('GMW - worst case'!$MC$2:$MC$200=K$3)*('GMW - worst case'!$MB$2:$MB$200=K$4),0),$E153-1973)</f>
        <v>#N/A</v>
      </c>
      <c r="L153" t="e" cm="1">
        <f t="array" ref="L153">INDEX('GMW - worst case'!$A$2:$MC$200,MATCH(1,('GMW - worst case'!$MC$2:$MC$200=L$3)*('GMW - worst case'!$MB$2:$MB$200=L$4),0),$E153-1973)</f>
        <v>#N/A</v>
      </c>
      <c r="M153" t="e" cm="1">
        <f t="array" ref="M153">INDEX('GMW - worst case'!$A$2:$MC$200,MATCH(1,('GMW - worst case'!$MC$2:$MC$200=M$3)*('GMW - worst case'!$MB$2:$MB$200=M$4),0),$E153-1973)</f>
        <v>#N/A</v>
      </c>
      <c r="N153" t="e" cm="1">
        <f t="array" ref="N153">INDEX('GMW - worst case'!$A$2:$MC$200,MATCH(1,('GMW - worst case'!$MC$2:$MC$200=N$3)*('GMW - worst case'!$MB$2:$MB$200=N$4),0),$E153-1973)</f>
        <v>#N/A</v>
      </c>
      <c r="O153" t="e" cm="1">
        <f t="array" ref="O153">INDEX('GMW - worst case'!$A$2:$MC$200,MATCH(1,('GMW - worst case'!$MC$2:$MC$200=O$3)*('GMW - worst case'!$MB$2:$MB$200=O$4),0),$E153-1973)</f>
        <v>#N/A</v>
      </c>
      <c r="P153" t="e" cm="1">
        <f t="array" ref="P153">INDEX('GMW - worst case'!$A$2:$MC$200,MATCH(1,('GMW - worst case'!$MC$2:$MC$200=P$3)*('GMW - worst case'!$MB$2:$MB$200=P$4),0),$E153-1973)</f>
        <v>#N/A</v>
      </c>
      <c r="Q153" t="e" cm="1">
        <f t="array" ref="Q153">INDEX('GMW - worst case'!$A$2:$MC$200,MATCH(1,('GMW - worst case'!$MC$2:$MC$200=Q$3)*('GMW - worst case'!$MB$2:$MB$200=Q$4),0),$E153-1973)</f>
        <v>#N/A</v>
      </c>
      <c r="R153" t="e" cm="1">
        <f t="array" ref="R153">INDEX('GMW - worst case'!$A$2:$MC$200,MATCH(1,('GMW - worst case'!$MC$2:$MC$200=R$3)*('GMW - worst case'!$MB$2:$MB$200=R$4),0),$E153-1973)</f>
        <v>#N/A</v>
      </c>
      <c r="S153" t="e" cm="1">
        <f t="array" ref="S153">INDEX('GMW - worst case'!$A$2:$MC$200,MATCH(1,('GMW - worst case'!$MC$2:$MC$200=S$3)*('GMW - worst case'!$MB$2:$MB$200=S$4),0),$E153-1973)</f>
        <v>#N/A</v>
      </c>
    </row>
    <row r="154" spans="1:19" x14ac:dyDescent="0.25">
      <c r="B154">
        <f t="shared" si="12"/>
        <v>2016</v>
      </c>
      <c r="C154">
        <f t="shared" si="12"/>
        <v>2016</v>
      </c>
      <c r="E154">
        <f t="shared" si="11"/>
        <v>2127</v>
      </c>
      <c r="F154" cm="1">
        <f t="array" ref="F154">INDEX('GMW - worst case'!$A$2:$MC$200,MATCH(1,('GMW - worst case'!$MC$2:$MC$200=F$3)*('GMW - worst case'!$MB$2:$MB$200=F$4),0),$E154-1973)</f>
        <v>636392</v>
      </c>
      <c r="G154" cm="1">
        <f t="array" ref="G154">INDEX('GMW - worst case'!$A$2:$MC$200,MATCH(1,('GMW - worst case'!$MC$2:$MC$200=G$3)*('GMW - worst case'!$MB$2:$MB$200=G$4),0),$E154-1973)</f>
        <v>395973</v>
      </c>
      <c r="H154" cm="1">
        <f t="array" ref="H154">INDEX('GMW - worst case'!$A$2:$MC$200,MATCH(1,('GMW - worst case'!$MC$2:$MC$200=H$3)*('GMW - worst case'!$MB$2:$MB$200=H$4),0),$E154-1973)</f>
        <v>101.5</v>
      </c>
      <c r="I154" cm="1">
        <f t="array" ref="I154">INDEX('GMW - worst case'!$A$2:$MC$200,MATCH(1,('GMW - worst case'!$MC$2:$MC$200=I$3)*('GMW - worst case'!$MB$2:$MB$200=I$4),0),$E154-1973)</f>
        <v>0.25</v>
      </c>
      <c r="J154" t="e" cm="1">
        <f t="array" ref="J154">INDEX('GMW - worst case'!$A$2:$MC$200,MATCH(1,('GMW - worst case'!$MC$2:$MC$200=J$3)*('GMW - worst case'!$MB$2:$MB$200=J$4),0),$E154-1973)</f>
        <v>#N/A</v>
      </c>
      <c r="K154" t="e" cm="1">
        <f t="array" ref="K154">INDEX('GMW - worst case'!$A$2:$MC$200,MATCH(1,('GMW - worst case'!$MC$2:$MC$200=K$3)*('GMW - worst case'!$MB$2:$MB$200=K$4),0),$E154-1973)</f>
        <v>#N/A</v>
      </c>
      <c r="L154" t="e" cm="1">
        <f t="array" ref="L154">INDEX('GMW - worst case'!$A$2:$MC$200,MATCH(1,('GMW - worst case'!$MC$2:$MC$200=L$3)*('GMW - worst case'!$MB$2:$MB$200=L$4),0),$E154-1973)</f>
        <v>#N/A</v>
      </c>
      <c r="M154" t="e" cm="1">
        <f t="array" ref="M154">INDEX('GMW - worst case'!$A$2:$MC$200,MATCH(1,('GMW - worst case'!$MC$2:$MC$200=M$3)*('GMW - worst case'!$MB$2:$MB$200=M$4),0),$E154-1973)</f>
        <v>#N/A</v>
      </c>
      <c r="N154" t="e" cm="1">
        <f t="array" ref="N154">INDEX('GMW - worst case'!$A$2:$MC$200,MATCH(1,('GMW - worst case'!$MC$2:$MC$200=N$3)*('GMW - worst case'!$MB$2:$MB$200=N$4),0),$E154-1973)</f>
        <v>#N/A</v>
      </c>
      <c r="O154" t="e" cm="1">
        <f t="array" ref="O154">INDEX('GMW - worst case'!$A$2:$MC$200,MATCH(1,('GMW - worst case'!$MC$2:$MC$200=O$3)*('GMW - worst case'!$MB$2:$MB$200=O$4),0),$E154-1973)</f>
        <v>#N/A</v>
      </c>
      <c r="P154" t="e" cm="1">
        <f t="array" ref="P154">INDEX('GMW - worst case'!$A$2:$MC$200,MATCH(1,('GMW - worst case'!$MC$2:$MC$200=P$3)*('GMW - worst case'!$MB$2:$MB$200=P$4),0),$E154-1973)</f>
        <v>#N/A</v>
      </c>
      <c r="Q154" t="e" cm="1">
        <f t="array" ref="Q154">INDEX('GMW - worst case'!$A$2:$MC$200,MATCH(1,('GMW - worst case'!$MC$2:$MC$200=Q$3)*('GMW - worst case'!$MB$2:$MB$200=Q$4),0),$E154-1973)</f>
        <v>#N/A</v>
      </c>
      <c r="R154" t="e" cm="1">
        <f t="array" ref="R154">INDEX('GMW - worst case'!$A$2:$MC$200,MATCH(1,('GMW - worst case'!$MC$2:$MC$200=R$3)*('GMW - worst case'!$MB$2:$MB$200=R$4),0),$E154-1973)</f>
        <v>#N/A</v>
      </c>
      <c r="S154" t="e" cm="1">
        <f t="array" ref="S154">INDEX('GMW - worst case'!$A$2:$MC$200,MATCH(1,('GMW - worst case'!$MC$2:$MC$200=S$3)*('GMW - worst case'!$MB$2:$MB$200=S$4),0),$E154-1973)</f>
        <v>#N/A</v>
      </c>
    </row>
    <row r="155" spans="1:19" x14ac:dyDescent="0.25">
      <c r="A155">
        <v>2017</v>
      </c>
      <c r="B155">
        <f t="shared" si="12"/>
        <v>2017</v>
      </c>
      <c r="C155">
        <f t="shared" si="12"/>
        <v>2016</v>
      </c>
      <c r="D155">
        <f t="shared" si="12"/>
        <v>2016</v>
      </c>
      <c r="E155">
        <f t="shared" si="11"/>
        <v>2128</v>
      </c>
      <c r="F155" cm="1">
        <f t="array" ref="F155">INDEX('GMW - worst case'!$A$2:$MC$200,MATCH(1,('GMW - worst case'!$MC$2:$MC$200=F$3)*('GMW - worst case'!$MB$2:$MB$200=F$4),0),$E155-1973)</f>
        <v>642463</v>
      </c>
      <c r="G155" cm="1">
        <f t="array" ref="G155">INDEX('GMW - worst case'!$A$2:$MC$200,MATCH(1,('GMW - worst case'!$MC$2:$MC$200=G$3)*('GMW - worst case'!$MB$2:$MB$200=G$4),0),$E155-1973)</f>
        <v>399124</v>
      </c>
      <c r="H155" cm="1">
        <f t="array" ref="H155">INDEX('GMW - worst case'!$A$2:$MC$200,MATCH(1,('GMW - worst case'!$MC$2:$MC$200=H$3)*('GMW - worst case'!$MB$2:$MB$200=H$4),0),$E155-1973)</f>
        <v>102</v>
      </c>
      <c r="I155" cm="1">
        <f t="array" ref="I155">INDEX('GMW - worst case'!$A$2:$MC$200,MATCH(1,('GMW - worst case'!$MC$2:$MC$200=I$3)*('GMW - worst case'!$MB$2:$MB$200=I$4),0),$E155-1973)</f>
        <v>0.25</v>
      </c>
      <c r="J155" t="e" cm="1">
        <f t="array" ref="J155">INDEX('GMW - worst case'!$A$2:$MC$200,MATCH(1,('GMW - worst case'!$MC$2:$MC$200=J$3)*('GMW - worst case'!$MB$2:$MB$200=J$4),0),$E155-1973)</f>
        <v>#N/A</v>
      </c>
      <c r="K155" t="e" cm="1">
        <f t="array" ref="K155">INDEX('GMW - worst case'!$A$2:$MC$200,MATCH(1,('GMW - worst case'!$MC$2:$MC$200=K$3)*('GMW - worst case'!$MB$2:$MB$200=K$4),0),$E155-1973)</f>
        <v>#N/A</v>
      </c>
      <c r="L155" t="e" cm="1">
        <f t="array" ref="L155">INDEX('GMW - worst case'!$A$2:$MC$200,MATCH(1,('GMW - worst case'!$MC$2:$MC$200=L$3)*('GMW - worst case'!$MB$2:$MB$200=L$4),0),$E155-1973)</f>
        <v>#N/A</v>
      </c>
      <c r="M155" t="e" cm="1">
        <f t="array" ref="M155">INDEX('GMW - worst case'!$A$2:$MC$200,MATCH(1,('GMW - worst case'!$MC$2:$MC$200=M$3)*('GMW - worst case'!$MB$2:$MB$200=M$4),0),$E155-1973)</f>
        <v>#N/A</v>
      </c>
      <c r="N155" t="e" cm="1">
        <f t="array" ref="N155">INDEX('GMW - worst case'!$A$2:$MC$200,MATCH(1,('GMW - worst case'!$MC$2:$MC$200=N$3)*('GMW - worst case'!$MB$2:$MB$200=N$4),0),$E155-1973)</f>
        <v>#N/A</v>
      </c>
      <c r="O155" t="e" cm="1">
        <f t="array" ref="O155">INDEX('GMW - worst case'!$A$2:$MC$200,MATCH(1,('GMW - worst case'!$MC$2:$MC$200=O$3)*('GMW - worst case'!$MB$2:$MB$200=O$4),0),$E155-1973)</f>
        <v>#N/A</v>
      </c>
      <c r="P155" t="e" cm="1">
        <f t="array" ref="P155">INDEX('GMW - worst case'!$A$2:$MC$200,MATCH(1,('GMW - worst case'!$MC$2:$MC$200=P$3)*('GMW - worst case'!$MB$2:$MB$200=P$4),0),$E155-1973)</f>
        <v>#N/A</v>
      </c>
      <c r="Q155" t="e" cm="1">
        <f t="array" ref="Q155">INDEX('GMW - worst case'!$A$2:$MC$200,MATCH(1,('GMW - worst case'!$MC$2:$MC$200=Q$3)*('GMW - worst case'!$MB$2:$MB$200=Q$4),0),$E155-1973)</f>
        <v>#N/A</v>
      </c>
      <c r="R155" t="e" cm="1">
        <f t="array" ref="R155">INDEX('GMW - worst case'!$A$2:$MC$200,MATCH(1,('GMW - worst case'!$MC$2:$MC$200=R$3)*('GMW - worst case'!$MB$2:$MB$200=R$4),0),$E155-1973)</f>
        <v>#N/A</v>
      </c>
      <c r="S155" t="e" cm="1">
        <f t="array" ref="S155">INDEX('GMW - worst case'!$A$2:$MC$200,MATCH(1,('GMW - worst case'!$MC$2:$MC$200=S$3)*('GMW - worst case'!$MB$2:$MB$200=S$4),0),$E155-1973)</f>
        <v>#N/A</v>
      </c>
    </row>
    <row r="156" spans="1:19" x14ac:dyDescent="0.25">
      <c r="B156">
        <f t="shared" ref="B156:D171" si="13">+B152+1</f>
        <v>2017</v>
      </c>
      <c r="C156">
        <f t="shared" si="13"/>
        <v>2017</v>
      </c>
      <c r="E156">
        <f t="shared" si="11"/>
        <v>2129</v>
      </c>
      <c r="F156" cm="1">
        <f t="array" ref="F156">INDEX('GMW - worst case'!$A$2:$MC$200,MATCH(1,('GMW - worst case'!$MC$2:$MC$200=F$3)*('GMW - worst case'!$MB$2:$MB$200=F$4),0),$E156-1973)</f>
        <v>647944</v>
      </c>
      <c r="G156" cm="1">
        <f t="array" ref="G156">INDEX('GMW - worst case'!$A$2:$MC$200,MATCH(1,('GMW - worst case'!$MC$2:$MC$200=G$3)*('GMW - worst case'!$MB$2:$MB$200=G$4),0),$E156-1973)</f>
        <v>399139</v>
      </c>
      <c r="H156" cm="1">
        <f t="array" ref="H156">INDEX('GMW - worst case'!$A$2:$MC$200,MATCH(1,('GMW - worst case'!$MC$2:$MC$200=H$3)*('GMW - worst case'!$MB$2:$MB$200=H$4),0),$E156-1973)</f>
        <v>103.16670000000001</v>
      </c>
      <c r="I156" cm="1">
        <f t="array" ref="I156">INDEX('GMW - worst case'!$A$2:$MC$200,MATCH(1,('GMW - worst case'!$MC$2:$MC$200=I$3)*('GMW - worst case'!$MB$2:$MB$200=I$4),0),$E156-1973)</f>
        <v>0.25</v>
      </c>
      <c r="J156" t="e" cm="1">
        <f t="array" ref="J156">INDEX('GMW - worst case'!$A$2:$MC$200,MATCH(1,('GMW - worst case'!$MC$2:$MC$200=J$3)*('GMW - worst case'!$MB$2:$MB$200=J$4),0),$E156-1973)</f>
        <v>#N/A</v>
      </c>
      <c r="K156" t="e" cm="1">
        <f t="array" ref="K156">INDEX('GMW - worst case'!$A$2:$MC$200,MATCH(1,('GMW - worst case'!$MC$2:$MC$200=K$3)*('GMW - worst case'!$MB$2:$MB$200=K$4),0),$E156-1973)</f>
        <v>#N/A</v>
      </c>
      <c r="L156" t="e" cm="1">
        <f t="array" ref="L156">INDEX('GMW - worst case'!$A$2:$MC$200,MATCH(1,('GMW - worst case'!$MC$2:$MC$200=L$3)*('GMW - worst case'!$MB$2:$MB$200=L$4),0),$E156-1973)</f>
        <v>#N/A</v>
      </c>
      <c r="M156" t="e" cm="1">
        <f t="array" ref="M156">INDEX('GMW - worst case'!$A$2:$MC$200,MATCH(1,('GMW - worst case'!$MC$2:$MC$200=M$3)*('GMW - worst case'!$MB$2:$MB$200=M$4),0),$E156-1973)</f>
        <v>#N/A</v>
      </c>
      <c r="N156" t="e" cm="1">
        <f t="array" ref="N156">INDEX('GMW - worst case'!$A$2:$MC$200,MATCH(1,('GMW - worst case'!$MC$2:$MC$200=N$3)*('GMW - worst case'!$MB$2:$MB$200=N$4),0),$E156-1973)</f>
        <v>#N/A</v>
      </c>
      <c r="O156" t="e" cm="1">
        <f t="array" ref="O156">INDEX('GMW - worst case'!$A$2:$MC$200,MATCH(1,('GMW - worst case'!$MC$2:$MC$200=O$3)*('GMW - worst case'!$MB$2:$MB$200=O$4),0),$E156-1973)</f>
        <v>#N/A</v>
      </c>
      <c r="P156" t="e" cm="1">
        <f t="array" ref="P156">INDEX('GMW - worst case'!$A$2:$MC$200,MATCH(1,('GMW - worst case'!$MC$2:$MC$200=P$3)*('GMW - worst case'!$MB$2:$MB$200=P$4),0),$E156-1973)</f>
        <v>#N/A</v>
      </c>
      <c r="Q156" t="e" cm="1">
        <f t="array" ref="Q156">INDEX('GMW - worst case'!$A$2:$MC$200,MATCH(1,('GMW - worst case'!$MC$2:$MC$200=Q$3)*('GMW - worst case'!$MB$2:$MB$200=Q$4),0),$E156-1973)</f>
        <v>#N/A</v>
      </c>
      <c r="R156" t="e" cm="1">
        <f t="array" ref="R156">INDEX('GMW - worst case'!$A$2:$MC$200,MATCH(1,('GMW - worst case'!$MC$2:$MC$200=R$3)*('GMW - worst case'!$MB$2:$MB$200=R$4),0),$E156-1973)</f>
        <v>#N/A</v>
      </c>
      <c r="S156" t="e" cm="1">
        <f t="array" ref="S156">INDEX('GMW - worst case'!$A$2:$MC$200,MATCH(1,('GMW - worst case'!$MC$2:$MC$200=S$3)*('GMW - worst case'!$MB$2:$MB$200=S$4),0),$E156-1973)</f>
        <v>#N/A</v>
      </c>
    </row>
    <row r="157" spans="1:19" x14ac:dyDescent="0.25">
      <c r="B157">
        <f t="shared" si="13"/>
        <v>2017</v>
      </c>
      <c r="C157">
        <f t="shared" si="13"/>
        <v>2017</v>
      </c>
      <c r="E157">
        <f t="shared" si="11"/>
        <v>2130</v>
      </c>
      <c r="F157" cm="1">
        <f t="array" ref="F157">INDEX('GMW - worst case'!$A$2:$MC$200,MATCH(1,('GMW - worst case'!$MC$2:$MC$200=F$3)*('GMW - worst case'!$MB$2:$MB$200=F$4),0),$E157-1973)</f>
        <v>652329</v>
      </c>
      <c r="G157" cm="1">
        <f t="array" ref="G157">INDEX('GMW - worst case'!$A$2:$MC$200,MATCH(1,('GMW - worst case'!$MC$2:$MC$200=G$3)*('GMW - worst case'!$MB$2:$MB$200=G$4),0),$E157-1973)</f>
        <v>401714</v>
      </c>
      <c r="H157" cm="1">
        <f t="array" ref="H157">INDEX('GMW - worst case'!$A$2:$MC$200,MATCH(1,('GMW - worst case'!$MC$2:$MC$200=H$3)*('GMW - worst case'!$MB$2:$MB$200=H$4),0),$E157-1973)</f>
        <v>103.7</v>
      </c>
      <c r="I157" cm="1">
        <f t="array" ref="I157">INDEX('GMW - worst case'!$A$2:$MC$200,MATCH(1,('GMW - worst case'!$MC$2:$MC$200=I$3)*('GMW - worst case'!$MB$2:$MB$200=I$4),0),$E157-1973)</f>
        <v>0.25</v>
      </c>
      <c r="J157" t="e" cm="1">
        <f t="array" ref="J157">INDEX('GMW - worst case'!$A$2:$MC$200,MATCH(1,('GMW - worst case'!$MC$2:$MC$200=J$3)*('GMW - worst case'!$MB$2:$MB$200=J$4),0),$E157-1973)</f>
        <v>#N/A</v>
      </c>
      <c r="K157" t="e" cm="1">
        <f t="array" ref="K157">INDEX('GMW - worst case'!$A$2:$MC$200,MATCH(1,('GMW - worst case'!$MC$2:$MC$200=K$3)*('GMW - worst case'!$MB$2:$MB$200=K$4),0),$E157-1973)</f>
        <v>#N/A</v>
      </c>
      <c r="L157" t="e" cm="1">
        <f t="array" ref="L157">INDEX('GMW - worst case'!$A$2:$MC$200,MATCH(1,('GMW - worst case'!$MC$2:$MC$200=L$3)*('GMW - worst case'!$MB$2:$MB$200=L$4),0),$E157-1973)</f>
        <v>#N/A</v>
      </c>
      <c r="M157" t="e" cm="1">
        <f t="array" ref="M157">INDEX('GMW - worst case'!$A$2:$MC$200,MATCH(1,('GMW - worst case'!$MC$2:$MC$200=M$3)*('GMW - worst case'!$MB$2:$MB$200=M$4),0),$E157-1973)</f>
        <v>#N/A</v>
      </c>
      <c r="N157" t="e" cm="1">
        <f t="array" ref="N157">INDEX('GMW - worst case'!$A$2:$MC$200,MATCH(1,('GMW - worst case'!$MC$2:$MC$200=N$3)*('GMW - worst case'!$MB$2:$MB$200=N$4),0),$E157-1973)</f>
        <v>#N/A</v>
      </c>
      <c r="O157" t="e" cm="1">
        <f t="array" ref="O157">INDEX('GMW - worst case'!$A$2:$MC$200,MATCH(1,('GMW - worst case'!$MC$2:$MC$200=O$3)*('GMW - worst case'!$MB$2:$MB$200=O$4),0),$E157-1973)</f>
        <v>#N/A</v>
      </c>
      <c r="P157" t="e" cm="1">
        <f t="array" ref="P157">INDEX('GMW - worst case'!$A$2:$MC$200,MATCH(1,('GMW - worst case'!$MC$2:$MC$200=P$3)*('GMW - worst case'!$MB$2:$MB$200=P$4),0),$E157-1973)</f>
        <v>#N/A</v>
      </c>
      <c r="Q157" t="e" cm="1">
        <f t="array" ref="Q157">INDEX('GMW - worst case'!$A$2:$MC$200,MATCH(1,('GMW - worst case'!$MC$2:$MC$200=Q$3)*('GMW - worst case'!$MB$2:$MB$200=Q$4),0),$E157-1973)</f>
        <v>#N/A</v>
      </c>
      <c r="R157" t="e" cm="1">
        <f t="array" ref="R157">INDEX('GMW - worst case'!$A$2:$MC$200,MATCH(1,('GMW - worst case'!$MC$2:$MC$200=R$3)*('GMW - worst case'!$MB$2:$MB$200=R$4),0),$E157-1973)</f>
        <v>#N/A</v>
      </c>
      <c r="S157" t="e" cm="1">
        <f t="array" ref="S157">INDEX('GMW - worst case'!$A$2:$MC$200,MATCH(1,('GMW - worst case'!$MC$2:$MC$200=S$3)*('GMW - worst case'!$MB$2:$MB$200=S$4),0),$E157-1973)</f>
        <v>#N/A</v>
      </c>
    </row>
    <row r="158" spans="1:19" x14ac:dyDescent="0.25">
      <c r="B158">
        <f t="shared" si="13"/>
        <v>2017</v>
      </c>
      <c r="C158">
        <f t="shared" si="13"/>
        <v>2017</v>
      </c>
      <c r="E158">
        <f t="shared" si="11"/>
        <v>2131</v>
      </c>
      <c r="F158" cm="1">
        <f t="array" ref="F158">INDEX('GMW - worst case'!$A$2:$MC$200,MATCH(1,('GMW - worst case'!$MC$2:$MC$200=F$3)*('GMW - worst case'!$MB$2:$MB$200=F$4),0),$E158-1973)</f>
        <v>657225</v>
      </c>
      <c r="G158" cm="1">
        <f t="array" ref="G158">INDEX('GMW - worst case'!$A$2:$MC$200,MATCH(1,('GMW - worst case'!$MC$2:$MC$200=G$3)*('GMW - worst case'!$MB$2:$MB$200=G$4),0),$E158-1973)</f>
        <v>403747</v>
      </c>
      <c r="H158" cm="1">
        <f t="array" ref="H158">INDEX('GMW - worst case'!$A$2:$MC$200,MATCH(1,('GMW - worst case'!$MC$2:$MC$200=H$3)*('GMW - worst case'!$MB$2:$MB$200=H$4),0),$E158-1973)</f>
        <v>104.5667</v>
      </c>
      <c r="I158" cm="1">
        <f t="array" ref="I158">INDEX('GMW - worst case'!$A$2:$MC$200,MATCH(1,('GMW - worst case'!$MC$2:$MC$200=I$3)*('GMW - worst case'!$MB$2:$MB$200=I$4),0),$E158-1973)</f>
        <v>0.41153849999999997</v>
      </c>
      <c r="J158" t="e" cm="1">
        <f t="array" ref="J158">INDEX('GMW - worst case'!$A$2:$MC$200,MATCH(1,('GMW - worst case'!$MC$2:$MC$200=J$3)*('GMW - worst case'!$MB$2:$MB$200=J$4),0),$E158-1973)</f>
        <v>#N/A</v>
      </c>
      <c r="K158" t="e" cm="1">
        <f t="array" ref="K158">INDEX('GMW - worst case'!$A$2:$MC$200,MATCH(1,('GMW - worst case'!$MC$2:$MC$200=K$3)*('GMW - worst case'!$MB$2:$MB$200=K$4),0),$E158-1973)</f>
        <v>#N/A</v>
      </c>
      <c r="L158" t="e" cm="1">
        <f t="array" ref="L158">INDEX('GMW - worst case'!$A$2:$MC$200,MATCH(1,('GMW - worst case'!$MC$2:$MC$200=L$3)*('GMW - worst case'!$MB$2:$MB$200=L$4),0),$E158-1973)</f>
        <v>#N/A</v>
      </c>
      <c r="M158" t="e" cm="1">
        <f t="array" ref="M158">INDEX('GMW - worst case'!$A$2:$MC$200,MATCH(1,('GMW - worst case'!$MC$2:$MC$200=M$3)*('GMW - worst case'!$MB$2:$MB$200=M$4),0),$E158-1973)</f>
        <v>#N/A</v>
      </c>
      <c r="N158" t="e" cm="1">
        <f t="array" ref="N158">INDEX('GMW - worst case'!$A$2:$MC$200,MATCH(1,('GMW - worst case'!$MC$2:$MC$200=N$3)*('GMW - worst case'!$MB$2:$MB$200=N$4),0),$E158-1973)</f>
        <v>#N/A</v>
      </c>
      <c r="O158" t="e" cm="1">
        <f t="array" ref="O158">INDEX('GMW - worst case'!$A$2:$MC$200,MATCH(1,('GMW - worst case'!$MC$2:$MC$200=O$3)*('GMW - worst case'!$MB$2:$MB$200=O$4),0),$E158-1973)</f>
        <v>#N/A</v>
      </c>
      <c r="P158" t="e" cm="1">
        <f t="array" ref="P158">INDEX('GMW - worst case'!$A$2:$MC$200,MATCH(1,('GMW - worst case'!$MC$2:$MC$200=P$3)*('GMW - worst case'!$MB$2:$MB$200=P$4),0),$E158-1973)</f>
        <v>#N/A</v>
      </c>
      <c r="Q158" t="e" cm="1">
        <f t="array" ref="Q158">INDEX('GMW - worst case'!$A$2:$MC$200,MATCH(1,('GMW - worst case'!$MC$2:$MC$200=Q$3)*('GMW - worst case'!$MB$2:$MB$200=Q$4),0),$E158-1973)</f>
        <v>#N/A</v>
      </c>
      <c r="R158" t="e" cm="1">
        <f t="array" ref="R158">INDEX('GMW - worst case'!$A$2:$MC$200,MATCH(1,('GMW - worst case'!$MC$2:$MC$200=R$3)*('GMW - worst case'!$MB$2:$MB$200=R$4),0),$E158-1973)</f>
        <v>#N/A</v>
      </c>
      <c r="S158" t="e" cm="1">
        <f t="array" ref="S158">INDEX('GMW - worst case'!$A$2:$MC$200,MATCH(1,('GMW - worst case'!$MC$2:$MC$200=S$3)*('GMW - worst case'!$MB$2:$MB$200=S$4),0),$E158-1973)</f>
        <v>#N/A</v>
      </c>
    </row>
    <row r="159" spans="1:19" x14ac:dyDescent="0.25">
      <c r="A159">
        <v>2018</v>
      </c>
      <c r="B159">
        <f t="shared" si="13"/>
        <v>2018</v>
      </c>
      <c r="C159">
        <f t="shared" si="13"/>
        <v>2017</v>
      </c>
      <c r="D159">
        <f t="shared" si="13"/>
        <v>2017</v>
      </c>
      <c r="E159">
        <f t="shared" si="11"/>
        <v>2132</v>
      </c>
      <c r="F159" cm="1">
        <f t="array" ref="F159">INDEX('GMW - worst case'!$A$2:$MC$200,MATCH(1,('GMW - worst case'!$MC$2:$MC$200=F$3)*('GMW - worst case'!$MB$2:$MB$200=F$4),0),$E159-1973)</f>
        <v>657741</v>
      </c>
      <c r="G159" cm="1">
        <f t="array" ref="G159">INDEX('GMW - worst case'!$A$2:$MC$200,MATCH(1,('GMW - worst case'!$MC$2:$MC$200=G$3)*('GMW - worst case'!$MB$2:$MB$200=G$4),0),$E159-1973)</f>
        <v>406073</v>
      </c>
      <c r="H159" cm="1">
        <f t="array" ref="H159">INDEX('GMW - worst case'!$A$2:$MC$200,MATCH(1,('GMW - worst case'!$MC$2:$MC$200=H$3)*('GMW - worst case'!$MB$2:$MB$200=H$4),0),$E159-1973)</f>
        <v>104.7667</v>
      </c>
      <c r="I159" cm="1">
        <f t="array" ref="I159">INDEX('GMW - worst case'!$A$2:$MC$200,MATCH(1,('GMW - worst case'!$MC$2:$MC$200=I$3)*('GMW - worst case'!$MB$2:$MB$200=I$4),0),$E159-1973)</f>
        <v>0.5</v>
      </c>
      <c r="J159" t="e" cm="1">
        <f t="array" ref="J159">INDEX('GMW - worst case'!$A$2:$MC$200,MATCH(1,('GMW - worst case'!$MC$2:$MC$200=J$3)*('GMW - worst case'!$MB$2:$MB$200=J$4),0),$E159-1973)</f>
        <v>#N/A</v>
      </c>
      <c r="K159" t="e" cm="1">
        <f t="array" ref="K159">INDEX('GMW - worst case'!$A$2:$MC$200,MATCH(1,('GMW - worst case'!$MC$2:$MC$200=K$3)*('GMW - worst case'!$MB$2:$MB$200=K$4),0),$E159-1973)</f>
        <v>#N/A</v>
      </c>
      <c r="L159" t="e" cm="1">
        <f t="array" ref="L159">INDEX('GMW - worst case'!$A$2:$MC$200,MATCH(1,('GMW - worst case'!$MC$2:$MC$200=L$3)*('GMW - worst case'!$MB$2:$MB$200=L$4),0),$E159-1973)</f>
        <v>#N/A</v>
      </c>
      <c r="M159" t="e" cm="1">
        <f t="array" ref="M159">INDEX('GMW - worst case'!$A$2:$MC$200,MATCH(1,('GMW - worst case'!$MC$2:$MC$200=M$3)*('GMW - worst case'!$MB$2:$MB$200=M$4),0),$E159-1973)</f>
        <v>#N/A</v>
      </c>
      <c r="N159" t="e" cm="1">
        <f t="array" ref="N159">INDEX('GMW - worst case'!$A$2:$MC$200,MATCH(1,('GMW - worst case'!$MC$2:$MC$200=N$3)*('GMW - worst case'!$MB$2:$MB$200=N$4),0),$E159-1973)</f>
        <v>#N/A</v>
      </c>
      <c r="O159" t="e" cm="1">
        <f t="array" ref="O159">INDEX('GMW - worst case'!$A$2:$MC$200,MATCH(1,('GMW - worst case'!$MC$2:$MC$200=O$3)*('GMW - worst case'!$MB$2:$MB$200=O$4),0),$E159-1973)</f>
        <v>#N/A</v>
      </c>
      <c r="P159" t="e" cm="1">
        <f t="array" ref="P159">INDEX('GMW - worst case'!$A$2:$MC$200,MATCH(1,('GMW - worst case'!$MC$2:$MC$200=P$3)*('GMW - worst case'!$MB$2:$MB$200=P$4),0),$E159-1973)</f>
        <v>#N/A</v>
      </c>
      <c r="Q159" t="e" cm="1">
        <f t="array" ref="Q159">INDEX('GMW - worst case'!$A$2:$MC$200,MATCH(1,('GMW - worst case'!$MC$2:$MC$200=Q$3)*('GMW - worst case'!$MB$2:$MB$200=Q$4),0),$E159-1973)</f>
        <v>#N/A</v>
      </c>
      <c r="R159" t="e" cm="1">
        <f t="array" ref="R159">INDEX('GMW - worst case'!$A$2:$MC$200,MATCH(1,('GMW - worst case'!$MC$2:$MC$200=R$3)*('GMW - worst case'!$MB$2:$MB$200=R$4),0),$E159-1973)</f>
        <v>#N/A</v>
      </c>
      <c r="S159" t="e" cm="1">
        <f t="array" ref="S159">INDEX('GMW - worst case'!$A$2:$MC$200,MATCH(1,('GMW - worst case'!$MC$2:$MC$200=S$3)*('GMW - worst case'!$MB$2:$MB$200=S$4),0),$E159-1973)</f>
        <v>#N/A</v>
      </c>
    </row>
    <row r="160" spans="1:19" x14ac:dyDescent="0.25">
      <c r="B160">
        <f t="shared" si="13"/>
        <v>2018</v>
      </c>
      <c r="C160">
        <f t="shared" si="13"/>
        <v>2018</v>
      </c>
      <c r="E160">
        <f t="shared" si="11"/>
        <v>2133</v>
      </c>
      <c r="F160" cm="1">
        <f t="array" ref="F160">INDEX('GMW - worst case'!$A$2:$MC$200,MATCH(1,('GMW - worst case'!$MC$2:$MC$200=F$3)*('GMW - worst case'!$MB$2:$MB$200=F$4),0),$E160-1973)</f>
        <v>659172</v>
      </c>
      <c r="G160" cm="1">
        <f t="array" ref="G160">INDEX('GMW - worst case'!$A$2:$MC$200,MATCH(1,('GMW - worst case'!$MC$2:$MC$200=G$3)*('GMW - worst case'!$MB$2:$MB$200=G$4),0),$E160-1973)</f>
        <v>404497</v>
      </c>
      <c r="H160" cm="1">
        <f t="array" ref="H160">INDEX('GMW - worst case'!$A$2:$MC$200,MATCH(1,('GMW - worst case'!$MC$2:$MC$200=H$3)*('GMW - worst case'!$MB$2:$MB$200=H$4),0),$E160-1973)</f>
        <v>105.66670000000001</v>
      </c>
      <c r="I160" cm="1">
        <f t="array" ref="I160">INDEX('GMW - worst case'!$A$2:$MC$200,MATCH(1,('GMW - worst case'!$MC$2:$MC$200=I$3)*('GMW - worst case'!$MB$2:$MB$200=I$4),0),$E160-1973)</f>
        <v>0.5</v>
      </c>
      <c r="J160" t="e" cm="1">
        <f t="array" ref="J160">INDEX('GMW - worst case'!$A$2:$MC$200,MATCH(1,('GMW - worst case'!$MC$2:$MC$200=J$3)*('GMW - worst case'!$MB$2:$MB$200=J$4),0),$E160-1973)</f>
        <v>#N/A</v>
      </c>
      <c r="K160" t="e" cm="1">
        <f t="array" ref="K160">INDEX('GMW - worst case'!$A$2:$MC$200,MATCH(1,('GMW - worst case'!$MC$2:$MC$200=K$3)*('GMW - worst case'!$MB$2:$MB$200=K$4),0),$E160-1973)</f>
        <v>#N/A</v>
      </c>
      <c r="L160" t="e" cm="1">
        <f t="array" ref="L160">INDEX('GMW - worst case'!$A$2:$MC$200,MATCH(1,('GMW - worst case'!$MC$2:$MC$200=L$3)*('GMW - worst case'!$MB$2:$MB$200=L$4),0),$E160-1973)</f>
        <v>#N/A</v>
      </c>
      <c r="M160" t="e" cm="1">
        <f t="array" ref="M160">INDEX('GMW - worst case'!$A$2:$MC$200,MATCH(1,('GMW - worst case'!$MC$2:$MC$200=M$3)*('GMW - worst case'!$MB$2:$MB$200=M$4),0),$E160-1973)</f>
        <v>#N/A</v>
      </c>
      <c r="N160" t="e" cm="1">
        <f t="array" ref="N160">INDEX('GMW - worst case'!$A$2:$MC$200,MATCH(1,('GMW - worst case'!$MC$2:$MC$200=N$3)*('GMW - worst case'!$MB$2:$MB$200=N$4),0),$E160-1973)</f>
        <v>#N/A</v>
      </c>
      <c r="O160" t="e" cm="1">
        <f t="array" ref="O160">INDEX('GMW - worst case'!$A$2:$MC$200,MATCH(1,('GMW - worst case'!$MC$2:$MC$200=O$3)*('GMW - worst case'!$MB$2:$MB$200=O$4),0),$E160-1973)</f>
        <v>#N/A</v>
      </c>
      <c r="P160" t="e" cm="1">
        <f t="array" ref="P160">INDEX('GMW - worst case'!$A$2:$MC$200,MATCH(1,('GMW - worst case'!$MC$2:$MC$200=P$3)*('GMW - worst case'!$MB$2:$MB$200=P$4),0),$E160-1973)</f>
        <v>#N/A</v>
      </c>
      <c r="Q160" t="e" cm="1">
        <f t="array" ref="Q160">INDEX('GMW - worst case'!$A$2:$MC$200,MATCH(1,('GMW - worst case'!$MC$2:$MC$200=Q$3)*('GMW - worst case'!$MB$2:$MB$200=Q$4),0),$E160-1973)</f>
        <v>#N/A</v>
      </c>
      <c r="R160" t="e" cm="1">
        <f t="array" ref="R160">INDEX('GMW - worst case'!$A$2:$MC$200,MATCH(1,('GMW - worst case'!$MC$2:$MC$200=R$3)*('GMW - worst case'!$MB$2:$MB$200=R$4),0),$E160-1973)</f>
        <v>#N/A</v>
      </c>
      <c r="S160" t="e" cm="1">
        <f t="array" ref="S160">INDEX('GMW - worst case'!$A$2:$MC$200,MATCH(1,('GMW - worst case'!$MC$2:$MC$200=S$3)*('GMW - worst case'!$MB$2:$MB$200=S$4),0),$E160-1973)</f>
        <v>#N/A</v>
      </c>
    </row>
    <row r="161" spans="1:19" x14ac:dyDescent="0.25">
      <c r="B161">
        <f t="shared" si="13"/>
        <v>2018</v>
      </c>
      <c r="C161">
        <f t="shared" si="13"/>
        <v>2018</v>
      </c>
      <c r="E161">
        <f t="shared" si="11"/>
        <v>2134</v>
      </c>
      <c r="F161" cm="1">
        <f t="array" ref="F161">INDEX('GMW - worst case'!$A$2:$MC$200,MATCH(1,('GMW - worst case'!$MC$2:$MC$200=F$3)*('GMW - worst case'!$MB$2:$MB$200=F$4),0),$E161-1973)</f>
        <v>661262</v>
      </c>
      <c r="G161" cm="1">
        <f t="array" ref="G161">INDEX('GMW - worst case'!$A$2:$MC$200,MATCH(1,('GMW - worst case'!$MC$2:$MC$200=G$3)*('GMW - worst case'!$MB$2:$MB$200=G$4),0),$E161-1973)</f>
        <v>408017</v>
      </c>
      <c r="H161" cm="1">
        <f t="array" ref="H161">INDEX('GMW - worst case'!$A$2:$MC$200,MATCH(1,('GMW - worst case'!$MC$2:$MC$200=H$3)*('GMW - worst case'!$MB$2:$MB$200=H$4),0),$E161-1973)</f>
        <v>106.3</v>
      </c>
      <c r="I161" cm="1">
        <f t="array" ref="I161">INDEX('GMW - worst case'!$A$2:$MC$200,MATCH(1,('GMW - worst case'!$MC$2:$MC$200=I$3)*('GMW - worst case'!$MB$2:$MB$200=I$4),0),$E161-1973)</f>
        <v>0.66153850000000003</v>
      </c>
      <c r="J161" t="e" cm="1">
        <f t="array" ref="J161">INDEX('GMW - worst case'!$A$2:$MC$200,MATCH(1,('GMW - worst case'!$MC$2:$MC$200=J$3)*('GMW - worst case'!$MB$2:$MB$200=J$4),0),$E161-1973)</f>
        <v>#N/A</v>
      </c>
      <c r="K161" t="e" cm="1">
        <f t="array" ref="K161">INDEX('GMW - worst case'!$A$2:$MC$200,MATCH(1,('GMW - worst case'!$MC$2:$MC$200=K$3)*('GMW - worst case'!$MB$2:$MB$200=K$4),0),$E161-1973)</f>
        <v>#N/A</v>
      </c>
      <c r="L161" t="e" cm="1">
        <f t="array" ref="L161">INDEX('GMW - worst case'!$A$2:$MC$200,MATCH(1,('GMW - worst case'!$MC$2:$MC$200=L$3)*('GMW - worst case'!$MB$2:$MB$200=L$4),0),$E161-1973)</f>
        <v>#N/A</v>
      </c>
      <c r="M161" t="e" cm="1">
        <f t="array" ref="M161">INDEX('GMW - worst case'!$A$2:$MC$200,MATCH(1,('GMW - worst case'!$MC$2:$MC$200=M$3)*('GMW - worst case'!$MB$2:$MB$200=M$4),0),$E161-1973)</f>
        <v>#N/A</v>
      </c>
      <c r="N161" t="e" cm="1">
        <f t="array" ref="N161">INDEX('GMW - worst case'!$A$2:$MC$200,MATCH(1,('GMW - worst case'!$MC$2:$MC$200=N$3)*('GMW - worst case'!$MB$2:$MB$200=N$4),0),$E161-1973)</f>
        <v>#N/A</v>
      </c>
      <c r="O161" t="e" cm="1">
        <f t="array" ref="O161">INDEX('GMW - worst case'!$A$2:$MC$200,MATCH(1,('GMW - worst case'!$MC$2:$MC$200=O$3)*('GMW - worst case'!$MB$2:$MB$200=O$4),0),$E161-1973)</f>
        <v>#N/A</v>
      </c>
      <c r="P161" t="e" cm="1">
        <f t="array" ref="P161">INDEX('GMW - worst case'!$A$2:$MC$200,MATCH(1,('GMW - worst case'!$MC$2:$MC$200=P$3)*('GMW - worst case'!$MB$2:$MB$200=P$4),0),$E161-1973)</f>
        <v>#N/A</v>
      </c>
      <c r="Q161" t="e" cm="1">
        <f t="array" ref="Q161">INDEX('GMW - worst case'!$A$2:$MC$200,MATCH(1,('GMW - worst case'!$MC$2:$MC$200=Q$3)*('GMW - worst case'!$MB$2:$MB$200=Q$4),0),$E161-1973)</f>
        <v>#N/A</v>
      </c>
      <c r="R161" t="e" cm="1">
        <f t="array" ref="R161">INDEX('GMW - worst case'!$A$2:$MC$200,MATCH(1,('GMW - worst case'!$MC$2:$MC$200=R$3)*('GMW - worst case'!$MB$2:$MB$200=R$4),0),$E161-1973)</f>
        <v>#N/A</v>
      </c>
      <c r="S161" t="e" cm="1">
        <f t="array" ref="S161">INDEX('GMW - worst case'!$A$2:$MC$200,MATCH(1,('GMW - worst case'!$MC$2:$MC$200=S$3)*('GMW - worst case'!$MB$2:$MB$200=S$4),0),$E161-1973)</f>
        <v>#N/A</v>
      </c>
    </row>
    <row r="162" spans="1:19" x14ac:dyDescent="0.25">
      <c r="B162">
        <f t="shared" si="13"/>
        <v>2018</v>
      </c>
      <c r="C162">
        <f t="shared" si="13"/>
        <v>2018</v>
      </c>
      <c r="E162">
        <f t="shared" si="11"/>
        <v>2135</v>
      </c>
      <c r="F162" cm="1">
        <f t="array" ref="F162">INDEX('GMW - worst case'!$A$2:$MC$200,MATCH(1,('GMW - worst case'!$MC$2:$MC$200=F$3)*('GMW - worst case'!$MB$2:$MB$200=F$4),0),$E162-1973)</f>
        <v>662120</v>
      </c>
      <c r="G162" cm="1">
        <f t="array" ref="G162">INDEX('GMW - worst case'!$A$2:$MC$200,MATCH(1,('GMW - worst case'!$MC$2:$MC$200=G$3)*('GMW - worst case'!$MB$2:$MB$200=G$4),0),$E162-1973)</f>
        <v>412655</v>
      </c>
      <c r="H162" cm="1">
        <f t="array" ref="H162">INDEX('GMW - worst case'!$A$2:$MC$200,MATCH(1,('GMW - worst case'!$MC$2:$MC$200=H$3)*('GMW - worst case'!$MB$2:$MB$200=H$4),0),$E162-1973)</f>
        <v>106.9333</v>
      </c>
      <c r="I162" cm="1">
        <f t="array" ref="I162">INDEX('GMW - worst case'!$A$2:$MC$200,MATCH(1,('GMW - worst case'!$MC$2:$MC$200=I$3)*('GMW - worst case'!$MB$2:$MB$200=I$4),0),$E162-1973)</f>
        <v>0.75</v>
      </c>
      <c r="J162" t="e" cm="1">
        <f t="array" ref="J162">INDEX('GMW - worst case'!$A$2:$MC$200,MATCH(1,('GMW - worst case'!$MC$2:$MC$200=J$3)*('GMW - worst case'!$MB$2:$MB$200=J$4),0),$E162-1973)</f>
        <v>#N/A</v>
      </c>
      <c r="K162" t="e" cm="1">
        <f t="array" ref="K162">INDEX('GMW - worst case'!$A$2:$MC$200,MATCH(1,('GMW - worst case'!$MC$2:$MC$200=K$3)*('GMW - worst case'!$MB$2:$MB$200=K$4),0),$E162-1973)</f>
        <v>#N/A</v>
      </c>
      <c r="L162" t="e" cm="1">
        <f t="array" ref="L162">INDEX('GMW - worst case'!$A$2:$MC$200,MATCH(1,('GMW - worst case'!$MC$2:$MC$200=L$3)*('GMW - worst case'!$MB$2:$MB$200=L$4),0),$E162-1973)</f>
        <v>#N/A</v>
      </c>
      <c r="M162" t="e" cm="1">
        <f t="array" ref="M162">INDEX('GMW - worst case'!$A$2:$MC$200,MATCH(1,('GMW - worst case'!$MC$2:$MC$200=M$3)*('GMW - worst case'!$MB$2:$MB$200=M$4),0),$E162-1973)</f>
        <v>#N/A</v>
      </c>
      <c r="N162" t="e" cm="1">
        <f t="array" ref="N162">INDEX('GMW - worst case'!$A$2:$MC$200,MATCH(1,('GMW - worst case'!$MC$2:$MC$200=N$3)*('GMW - worst case'!$MB$2:$MB$200=N$4),0),$E162-1973)</f>
        <v>#N/A</v>
      </c>
      <c r="O162" t="e" cm="1">
        <f t="array" ref="O162">INDEX('GMW - worst case'!$A$2:$MC$200,MATCH(1,('GMW - worst case'!$MC$2:$MC$200=O$3)*('GMW - worst case'!$MB$2:$MB$200=O$4),0),$E162-1973)</f>
        <v>#N/A</v>
      </c>
      <c r="P162" t="e" cm="1">
        <f t="array" ref="P162">INDEX('GMW - worst case'!$A$2:$MC$200,MATCH(1,('GMW - worst case'!$MC$2:$MC$200=P$3)*('GMW - worst case'!$MB$2:$MB$200=P$4),0),$E162-1973)</f>
        <v>#N/A</v>
      </c>
      <c r="Q162" t="e" cm="1">
        <f t="array" ref="Q162">INDEX('GMW - worst case'!$A$2:$MC$200,MATCH(1,('GMW - worst case'!$MC$2:$MC$200=Q$3)*('GMW - worst case'!$MB$2:$MB$200=Q$4),0),$E162-1973)</f>
        <v>#N/A</v>
      </c>
      <c r="R162" t="e" cm="1">
        <f t="array" ref="R162">INDEX('GMW - worst case'!$A$2:$MC$200,MATCH(1,('GMW - worst case'!$MC$2:$MC$200=R$3)*('GMW - worst case'!$MB$2:$MB$200=R$4),0),$E162-1973)</f>
        <v>#N/A</v>
      </c>
      <c r="S162" t="e" cm="1">
        <f t="array" ref="S162">INDEX('GMW - worst case'!$A$2:$MC$200,MATCH(1,('GMW - worst case'!$MC$2:$MC$200=S$3)*('GMW - worst case'!$MB$2:$MB$200=S$4),0),$E162-1973)</f>
        <v>#N/A</v>
      </c>
    </row>
    <row r="163" spans="1:19" x14ac:dyDescent="0.25">
      <c r="A163">
        <v>2019</v>
      </c>
      <c r="B163">
        <f t="shared" si="13"/>
        <v>2019</v>
      </c>
      <c r="C163">
        <f t="shared" si="13"/>
        <v>2018</v>
      </c>
      <c r="D163">
        <f t="shared" si="13"/>
        <v>2018</v>
      </c>
      <c r="E163">
        <f t="shared" si="11"/>
        <v>2136</v>
      </c>
      <c r="F163" cm="1">
        <f t="array" ref="F163">INDEX('GMW - worst case'!$A$2:$MC$200,MATCH(1,('GMW - worst case'!$MC$2:$MC$200=F$3)*('GMW - worst case'!$MB$2:$MB$200=F$4),0),$E163-1973)</f>
        <v>665456</v>
      </c>
      <c r="G163" cm="1">
        <f t="array" ref="G163">INDEX('GMW - worst case'!$A$2:$MC$200,MATCH(1,('GMW - worst case'!$MC$2:$MC$200=G$3)*('GMW - worst case'!$MB$2:$MB$200=G$4),0),$E163-1973)</f>
        <v>412090</v>
      </c>
      <c r="H163" cm="1">
        <f t="array" ref="H163">INDEX('GMW - worst case'!$A$2:$MC$200,MATCH(1,('GMW - worst case'!$MC$2:$MC$200=H$3)*('GMW - worst case'!$MB$2:$MB$200=H$4),0),$E163-1973)</f>
        <v>106.7</v>
      </c>
      <c r="I163" cm="1">
        <f t="array" ref="I163">INDEX('GMW - worst case'!$A$2:$MC$200,MATCH(1,('GMW - worst case'!$MC$2:$MC$200=I$3)*('GMW - worst case'!$MB$2:$MB$200=I$4),0),$E163-1973)</f>
        <v>0.75</v>
      </c>
      <c r="J163" t="e" cm="1">
        <f t="array" ref="J163">INDEX('GMW - worst case'!$A$2:$MC$200,MATCH(1,('GMW - worst case'!$MC$2:$MC$200=J$3)*('GMW - worst case'!$MB$2:$MB$200=J$4),0),$E163-1973)</f>
        <v>#N/A</v>
      </c>
      <c r="K163" t="e" cm="1">
        <f t="array" ref="K163">INDEX('GMW - worst case'!$A$2:$MC$200,MATCH(1,('GMW - worst case'!$MC$2:$MC$200=K$3)*('GMW - worst case'!$MB$2:$MB$200=K$4),0),$E163-1973)</f>
        <v>#N/A</v>
      </c>
      <c r="L163" t="e" cm="1">
        <f t="array" ref="L163">INDEX('GMW - worst case'!$A$2:$MC$200,MATCH(1,('GMW - worst case'!$MC$2:$MC$200=L$3)*('GMW - worst case'!$MB$2:$MB$200=L$4),0),$E163-1973)</f>
        <v>#N/A</v>
      </c>
      <c r="M163" t="e" cm="1">
        <f t="array" ref="M163">INDEX('GMW - worst case'!$A$2:$MC$200,MATCH(1,('GMW - worst case'!$MC$2:$MC$200=M$3)*('GMW - worst case'!$MB$2:$MB$200=M$4),0),$E163-1973)</f>
        <v>#N/A</v>
      </c>
      <c r="N163" t="e" cm="1">
        <f t="array" ref="N163">INDEX('GMW - worst case'!$A$2:$MC$200,MATCH(1,('GMW - worst case'!$MC$2:$MC$200=N$3)*('GMW - worst case'!$MB$2:$MB$200=N$4),0),$E163-1973)</f>
        <v>#N/A</v>
      </c>
      <c r="O163" t="e" cm="1">
        <f t="array" ref="O163">INDEX('GMW - worst case'!$A$2:$MC$200,MATCH(1,('GMW - worst case'!$MC$2:$MC$200=O$3)*('GMW - worst case'!$MB$2:$MB$200=O$4),0),$E163-1973)</f>
        <v>#N/A</v>
      </c>
      <c r="P163" t="e" cm="1">
        <f t="array" ref="P163">INDEX('GMW - worst case'!$A$2:$MC$200,MATCH(1,('GMW - worst case'!$MC$2:$MC$200=P$3)*('GMW - worst case'!$MB$2:$MB$200=P$4),0),$E163-1973)</f>
        <v>#N/A</v>
      </c>
      <c r="Q163" t="e" cm="1">
        <f t="array" ref="Q163">INDEX('GMW - worst case'!$A$2:$MC$200,MATCH(1,('GMW - worst case'!$MC$2:$MC$200=Q$3)*('GMW - worst case'!$MB$2:$MB$200=Q$4),0),$E163-1973)</f>
        <v>#N/A</v>
      </c>
      <c r="R163" t="e" cm="1">
        <f t="array" ref="R163">INDEX('GMW - worst case'!$A$2:$MC$200,MATCH(1,('GMW - worst case'!$MC$2:$MC$200=R$3)*('GMW - worst case'!$MB$2:$MB$200=R$4),0),$E163-1973)</f>
        <v>#N/A</v>
      </c>
      <c r="S163" t="e" cm="1">
        <f t="array" ref="S163">INDEX('GMW - worst case'!$A$2:$MC$200,MATCH(1,('GMW - worst case'!$MC$2:$MC$200=S$3)*('GMW - worst case'!$MB$2:$MB$200=S$4),0),$E163-1973)</f>
        <v>#N/A</v>
      </c>
    </row>
    <row r="164" spans="1:19" x14ac:dyDescent="0.25">
      <c r="B164">
        <f t="shared" si="13"/>
        <v>2019</v>
      </c>
      <c r="C164">
        <f t="shared" si="13"/>
        <v>2019</v>
      </c>
      <c r="E164">
        <f t="shared" si="11"/>
        <v>2137</v>
      </c>
      <c r="F164" cm="1">
        <f t="array" ref="F164">INDEX('GMW - worst case'!$A$2:$MC$200,MATCH(1,('GMW - worst case'!$MC$2:$MC$200=F$3)*('GMW - worst case'!$MB$2:$MB$200=F$4),0),$E164-1973)</f>
        <v>666875</v>
      </c>
      <c r="G164" cm="1">
        <f t="array" ref="G164">INDEX('GMW - worst case'!$A$2:$MC$200,MATCH(1,('GMW - worst case'!$MC$2:$MC$200=G$3)*('GMW - worst case'!$MB$2:$MB$200=G$4),0),$E164-1973)</f>
        <v>413136</v>
      </c>
      <c r="H164" cm="1">
        <f t="array" ref="H164">INDEX('GMW - worst case'!$A$2:$MC$200,MATCH(1,('GMW - worst case'!$MC$2:$MC$200=H$3)*('GMW - worst case'!$MB$2:$MB$200=H$4),0),$E164-1973)</f>
        <v>107.8</v>
      </c>
      <c r="I164" cm="1">
        <f t="array" ref="I164">INDEX('GMW - worst case'!$A$2:$MC$200,MATCH(1,('GMW - worst case'!$MC$2:$MC$200=I$3)*('GMW - worst case'!$MB$2:$MB$200=I$4),0),$E164-1973)</f>
        <v>0.75</v>
      </c>
      <c r="J164" t="e" cm="1">
        <f t="array" ref="J164">INDEX('GMW - worst case'!$A$2:$MC$200,MATCH(1,('GMW - worst case'!$MC$2:$MC$200=J$3)*('GMW - worst case'!$MB$2:$MB$200=J$4),0),$E164-1973)</f>
        <v>#N/A</v>
      </c>
      <c r="K164" t="e" cm="1">
        <f t="array" ref="K164">INDEX('GMW - worst case'!$A$2:$MC$200,MATCH(1,('GMW - worst case'!$MC$2:$MC$200=K$3)*('GMW - worst case'!$MB$2:$MB$200=K$4),0),$E164-1973)</f>
        <v>#N/A</v>
      </c>
      <c r="L164" t="e" cm="1">
        <f t="array" ref="L164">INDEX('GMW - worst case'!$A$2:$MC$200,MATCH(1,('GMW - worst case'!$MC$2:$MC$200=L$3)*('GMW - worst case'!$MB$2:$MB$200=L$4),0),$E164-1973)</f>
        <v>#N/A</v>
      </c>
      <c r="M164" t="e" cm="1">
        <f t="array" ref="M164">INDEX('GMW - worst case'!$A$2:$MC$200,MATCH(1,('GMW - worst case'!$MC$2:$MC$200=M$3)*('GMW - worst case'!$MB$2:$MB$200=M$4),0),$E164-1973)</f>
        <v>#N/A</v>
      </c>
      <c r="N164" t="e" cm="1">
        <f t="array" ref="N164">INDEX('GMW - worst case'!$A$2:$MC$200,MATCH(1,('GMW - worst case'!$MC$2:$MC$200=N$3)*('GMW - worst case'!$MB$2:$MB$200=N$4),0),$E164-1973)</f>
        <v>#N/A</v>
      </c>
      <c r="O164" t="e" cm="1">
        <f t="array" ref="O164">INDEX('GMW - worst case'!$A$2:$MC$200,MATCH(1,('GMW - worst case'!$MC$2:$MC$200=O$3)*('GMW - worst case'!$MB$2:$MB$200=O$4),0),$E164-1973)</f>
        <v>#N/A</v>
      </c>
      <c r="P164" t="e" cm="1">
        <f t="array" ref="P164">INDEX('GMW - worst case'!$A$2:$MC$200,MATCH(1,('GMW - worst case'!$MC$2:$MC$200=P$3)*('GMW - worst case'!$MB$2:$MB$200=P$4),0),$E164-1973)</f>
        <v>#N/A</v>
      </c>
      <c r="Q164" t="e" cm="1">
        <f t="array" ref="Q164">INDEX('GMW - worst case'!$A$2:$MC$200,MATCH(1,('GMW - worst case'!$MC$2:$MC$200=Q$3)*('GMW - worst case'!$MB$2:$MB$200=Q$4),0),$E164-1973)</f>
        <v>#N/A</v>
      </c>
      <c r="R164" t="e" cm="1">
        <f t="array" ref="R164">INDEX('GMW - worst case'!$A$2:$MC$200,MATCH(1,('GMW - worst case'!$MC$2:$MC$200=R$3)*('GMW - worst case'!$MB$2:$MB$200=R$4),0),$E164-1973)</f>
        <v>#N/A</v>
      </c>
      <c r="S164" t="e" cm="1">
        <f t="array" ref="S164">INDEX('GMW - worst case'!$A$2:$MC$200,MATCH(1,('GMW - worst case'!$MC$2:$MC$200=S$3)*('GMW - worst case'!$MB$2:$MB$200=S$4),0),$E164-1973)</f>
        <v>#N/A</v>
      </c>
    </row>
    <row r="165" spans="1:19" x14ac:dyDescent="0.25">
      <c r="B165">
        <f t="shared" si="13"/>
        <v>2019</v>
      </c>
      <c r="C165">
        <f t="shared" si="13"/>
        <v>2019</v>
      </c>
      <c r="E165">
        <f t="shared" si="11"/>
        <v>2138</v>
      </c>
      <c r="F165" cm="1">
        <f t="array" ref="F165">INDEX('GMW - worst case'!$A$2:$MC$200,MATCH(1,('GMW - worst case'!$MC$2:$MC$200=F$3)*('GMW - worst case'!$MB$2:$MB$200=F$4),0),$E165-1973)</f>
        <v>670547</v>
      </c>
      <c r="G165" cm="1">
        <f t="array" ref="G165">INDEX('GMW - worst case'!$A$2:$MC$200,MATCH(1,('GMW - worst case'!$MC$2:$MC$200=G$3)*('GMW - worst case'!$MB$2:$MB$200=G$4),0),$E165-1973)</f>
        <v>412951</v>
      </c>
      <c r="H165" cm="1">
        <f t="array" ref="H165">INDEX('GMW - worst case'!$A$2:$MC$200,MATCH(1,('GMW - worst case'!$MC$2:$MC$200=H$3)*('GMW - worst case'!$MB$2:$MB$200=H$4),0),$E165-1973)</f>
        <v>108.2667</v>
      </c>
      <c r="I165" cm="1">
        <f t="array" ref="I165">INDEX('GMW - worst case'!$A$2:$MC$200,MATCH(1,('GMW - worst case'!$MC$2:$MC$200=I$3)*('GMW - worst case'!$MB$2:$MB$200=I$4),0),$E165-1973)</f>
        <v>0.75</v>
      </c>
      <c r="J165" t="e" cm="1">
        <f t="array" ref="J165">INDEX('GMW - worst case'!$A$2:$MC$200,MATCH(1,('GMW - worst case'!$MC$2:$MC$200=J$3)*('GMW - worst case'!$MB$2:$MB$200=J$4),0),$E165-1973)</f>
        <v>#N/A</v>
      </c>
      <c r="K165" t="e" cm="1">
        <f t="array" ref="K165">INDEX('GMW - worst case'!$A$2:$MC$200,MATCH(1,('GMW - worst case'!$MC$2:$MC$200=K$3)*('GMW - worst case'!$MB$2:$MB$200=K$4),0),$E165-1973)</f>
        <v>#N/A</v>
      </c>
      <c r="L165" t="e" cm="1">
        <f t="array" ref="L165">INDEX('GMW - worst case'!$A$2:$MC$200,MATCH(1,('GMW - worst case'!$MC$2:$MC$200=L$3)*('GMW - worst case'!$MB$2:$MB$200=L$4),0),$E165-1973)</f>
        <v>#N/A</v>
      </c>
      <c r="M165" t="e" cm="1">
        <f t="array" ref="M165">INDEX('GMW - worst case'!$A$2:$MC$200,MATCH(1,('GMW - worst case'!$MC$2:$MC$200=M$3)*('GMW - worst case'!$MB$2:$MB$200=M$4),0),$E165-1973)</f>
        <v>#N/A</v>
      </c>
      <c r="N165" t="e" cm="1">
        <f t="array" ref="N165">INDEX('GMW - worst case'!$A$2:$MC$200,MATCH(1,('GMW - worst case'!$MC$2:$MC$200=N$3)*('GMW - worst case'!$MB$2:$MB$200=N$4),0),$E165-1973)</f>
        <v>#N/A</v>
      </c>
      <c r="O165" t="e" cm="1">
        <f t="array" ref="O165">INDEX('GMW - worst case'!$A$2:$MC$200,MATCH(1,('GMW - worst case'!$MC$2:$MC$200=O$3)*('GMW - worst case'!$MB$2:$MB$200=O$4),0),$E165-1973)</f>
        <v>#N/A</v>
      </c>
      <c r="P165" t="e" cm="1">
        <f t="array" ref="P165">INDEX('GMW - worst case'!$A$2:$MC$200,MATCH(1,('GMW - worst case'!$MC$2:$MC$200=P$3)*('GMW - worst case'!$MB$2:$MB$200=P$4),0),$E165-1973)</f>
        <v>#N/A</v>
      </c>
      <c r="Q165" t="e" cm="1">
        <f t="array" ref="Q165">INDEX('GMW - worst case'!$A$2:$MC$200,MATCH(1,('GMW - worst case'!$MC$2:$MC$200=Q$3)*('GMW - worst case'!$MB$2:$MB$200=Q$4),0),$E165-1973)</f>
        <v>#N/A</v>
      </c>
      <c r="R165" t="e" cm="1">
        <f t="array" ref="R165">INDEX('GMW - worst case'!$A$2:$MC$200,MATCH(1,('GMW - worst case'!$MC$2:$MC$200=R$3)*('GMW - worst case'!$MB$2:$MB$200=R$4),0),$E165-1973)</f>
        <v>#N/A</v>
      </c>
      <c r="S165" t="e" cm="1">
        <f t="array" ref="S165">INDEX('GMW - worst case'!$A$2:$MC$200,MATCH(1,('GMW - worst case'!$MC$2:$MC$200=S$3)*('GMW - worst case'!$MB$2:$MB$200=S$4),0),$E165-1973)</f>
        <v>#N/A</v>
      </c>
    </row>
    <row r="166" spans="1:19" x14ac:dyDescent="0.25">
      <c r="B166">
        <f t="shared" si="13"/>
        <v>2019</v>
      </c>
      <c r="C166">
        <f t="shared" si="13"/>
        <v>2019</v>
      </c>
      <c r="E166">
        <f t="shared" si="11"/>
        <v>2139</v>
      </c>
      <c r="F166" cm="1">
        <f t="array" ref="F166">INDEX('GMW - worst case'!$A$2:$MC$200,MATCH(1,('GMW - worst case'!$MC$2:$MC$200=F$3)*('GMW - worst case'!$MB$2:$MB$200=F$4),0),$E166-1973)</f>
        <v>670587</v>
      </c>
      <c r="G166" cm="1">
        <f t="array" ref="G166">INDEX('GMW - worst case'!$A$2:$MC$200,MATCH(1,('GMW - worst case'!$MC$2:$MC$200=G$3)*('GMW - worst case'!$MB$2:$MB$200=G$4),0),$E166-1973)</f>
        <v>412487</v>
      </c>
      <c r="H166" cm="1">
        <f t="array" ref="H166">INDEX('GMW - worst case'!$A$2:$MC$200,MATCH(1,('GMW - worst case'!$MC$2:$MC$200=H$3)*('GMW - worst case'!$MB$2:$MB$200=H$4),0),$E166-1973)</f>
        <v>108.4333</v>
      </c>
      <c r="I166" cm="1">
        <f t="array" ref="I166">INDEX('GMW - worst case'!$A$2:$MC$200,MATCH(1,('GMW - worst case'!$MC$2:$MC$200=I$3)*('GMW - worst case'!$MB$2:$MB$200=I$4),0),$E166-1973)</f>
        <v>0.75</v>
      </c>
      <c r="J166" t="e" cm="1">
        <f t="array" ref="J166">INDEX('GMW - worst case'!$A$2:$MC$200,MATCH(1,('GMW - worst case'!$MC$2:$MC$200=J$3)*('GMW - worst case'!$MB$2:$MB$200=J$4),0),$E166-1973)</f>
        <v>#N/A</v>
      </c>
      <c r="K166" t="e" cm="1">
        <f t="array" ref="K166">INDEX('GMW - worst case'!$A$2:$MC$200,MATCH(1,('GMW - worst case'!$MC$2:$MC$200=K$3)*('GMW - worst case'!$MB$2:$MB$200=K$4),0),$E166-1973)</f>
        <v>#N/A</v>
      </c>
      <c r="L166" t="e" cm="1">
        <f t="array" ref="L166">INDEX('GMW - worst case'!$A$2:$MC$200,MATCH(1,('GMW - worst case'!$MC$2:$MC$200=L$3)*('GMW - worst case'!$MB$2:$MB$200=L$4),0),$E166-1973)</f>
        <v>#N/A</v>
      </c>
      <c r="M166" t="e" cm="1">
        <f t="array" ref="M166">INDEX('GMW - worst case'!$A$2:$MC$200,MATCH(1,('GMW - worst case'!$MC$2:$MC$200=M$3)*('GMW - worst case'!$MB$2:$MB$200=M$4),0),$E166-1973)</f>
        <v>#N/A</v>
      </c>
      <c r="N166" t="e" cm="1">
        <f t="array" ref="N166">INDEX('GMW - worst case'!$A$2:$MC$200,MATCH(1,('GMW - worst case'!$MC$2:$MC$200=N$3)*('GMW - worst case'!$MB$2:$MB$200=N$4),0),$E166-1973)</f>
        <v>#N/A</v>
      </c>
      <c r="O166" t="e" cm="1">
        <f t="array" ref="O166">INDEX('GMW - worst case'!$A$2:$MC$200,MATCH(1,('GMW - worst case'!$MC$2:$MC$200=O$3)*('GMW - worst case'!$MB$2:$MB$200=O$4),0),$E166-1973)</f>
        <v>#N/A</v>
      </c>
      <c r="P166" t="e" cm="1">
        <f t="array" ref="P166">INDEX('GMW - worst case'!$A$2:$MC$200,MATCH(1,('GMW - worst case'!$MC$2:$MC$200=P$3)*('GMW - worst case'!$MB$2:$MB$200=P$4),0),$E166-1973)</f>
        <v>#N/A</v>
      </c>
      <c r="Q166" t="e" cm="1">
        <f t="array" ref="Q166">INDEX('GMW - worst case'!$A$2:$MC$200,MATCH(1,('GMW - worst case'!$MC$2:$MC$200=Q$3)*('GMW - worst case'!$MB$2:$MB$200=Q$4),0),$E166-1973)</f>
        <v>#N/A</v>
      </c>
      <c r="R166" t="e" cm="1">
        <f t="array" ref="R166">INDEX('GMW - worst case'!$A$2:$MC$200,MATCH(1,('GMW - worst case'!$MC$2:$MC$200=R$3)*('GMW - worst case'!$MB$2:$MB$200=R$4),0),$E166-1973)</f>
        <v>#N/A</v>
      </c>
      <c r="S166" t="e" cm="1">
        <f t="array" ref="S166">INDEX('GMW - worst case'!$A$2:$MC$200,MATCH(1,('GMW - worst case'!$MC$2:$MC$200=S$3)*('GMW - worst case'!$MB$2:$MB$200=S$4),0),$E166-1973)</f>
        <v>#N/A</v>
      </c>
    </row>
    <row r="167" spans="1:19" x14ac:dyDescent="0.25">
      <c r="A167">
        <v>2020</v>
      </c>
      <c r="B167">
        <f t="shared" si="13"/>
        <v>2020</v>
      </c>
      <c r="C167">
        <f t="shared" si="13"/>
        <v>2019</v>
      </c>
      <c r="D167">
        <f t="shared" si="13"/>
        <v>2019</v>
      </c>
      <c r="E167">
        <f t="shared" si="11"/>
        <v>2140</v>
      </c>
      <c r="F167" cm="1">
        <f t="array" ref="F167">INDEX('GMW - worst case'!$A$2:$MC$200,MATCH(1,('GMW - worst case'!$MC$2:$MC$200=F$3)*('GMW - worst case'!$MB$2:$MB$200=F$4),0),$E167-1973)</f>
        <v>652180</v>
      </c>
      <c r="G167" cm="1">
        <f t="array" ref="G167">INDEX('GMW - worst case'!$A$2:$MC$200,MATCH(1,('GMW - worst case'!$MC$2:$MC$200=G$3)*('GMW - worst case'!$MB$2:$MB$200=G$4),0),$E167-1973)</f>
        <v>400748</v>
      </c>
      <c r="H167" cm="1">
        <f t="array" ref="H167">INDEX('GMW - worst case'!$A$2:$MC$200,MATCH(1,('GMW - worst case'!$MC$2:$MC$200=H$3)*('GMW - worst case'!$MB$2:$MB$200=H$4),0),$E167-1973)</f>
        <v>108.4667</v>
      </c>
      <c r="I167" cm="1">
        <f t="array" ref="I167">INDEX('GMW - worst case'!$A$2:$MC$200,MATCH(1,('GMW - worst case'!$MC$2:$MC$200=I$3)*('GMW - worst case'!$MB$2:$MB$200=I$4),0),$E167-1973)</f>
        <v>0.61384620000000001</v>
      </c>
      <c r="J167" t="e" cm="1">
        <f t="array" ref="J167">INDEX('GMW - worst case'!$A$2:$MC$200,MATCH(1,('GMW - worst case'!$MC$2:$MC$200=J$3)*('GMW - worst case'!$MB$2:$MB$200=J$4),0),$E167-1973)</f>
        <v>#N/A</v>
      </c>
      <c r="K167" t="e" cm="1">
        <f t="array" ref="K167">INDEX('GMW - worst case'!$A$2:$MC$200,MATCH(1,('GMW - worst case'!$MC$2:$MC$200=K$3)*('GMW - worst case'!$MB$2:$MB$200=K$4),0),$E167-1973)</f>
        <v>#N/A</v>
      </c>
      <c r="L167" t="e" cm="1">
        <f t="array" ref="L167">INDEX('GMW - worst case'!$A$2:$MC$200,MATCH(1,('GMW - worst case'!$MC$2:$MC$200=L$3)*('GMW - worst case'!$MB$2:$MB$200=L$4),0),$E167-1973)</f>
        <v>#N/A</v>
      </c>
      <c r="M167" t="e" cm="1">
        <f t="array" ref="M167">INDEX('GMW - worst case'!$A$2:$MC$200,MATCH(1,('GMW - worst case'!$MC$2:$MC$200=M$3)*('GMW - worst case'!$MB$2:$MB$200=M$4),0),$E167-1973)</f>
        <v>#N/A</v>
      </c>
      <c r="N167" t="e" cm="1">
        <f t="array" ref="N167">INDEX('GMW - worst case'!$A$2:$MC$200,MATCH(1,('GMW - worst case'!$MC$2:$MC$200=N$3)*('GMW - worst case'!$MB$2:$MB$200=N$4),0),$E167-1973)</f>
        <v>#N/A</v>
      </c>
      <c r="O167" t="e" cm="1">
        <f t="array" ref="O167">INDEX('GMW - worst case'!$A$2:$MC$200,MATCH(1,('GMW - worst case'!$MC$2:$MC$200=O$3)*('GMW - worst case'!$MB$2:$MB$200=O$4),0),$E167-1973)</f>
        <v>#N/A</v>
      </c>
      <c r="P167" t="e" cm="1">
        <f t="array" ref="P167">INDEX('GMW - worst case'!$A$2:$MC$200,MATCH(1,('GMW - worst case'!$MC$2:$MC$200=P$3)*('GMW - worst case'!$MB$2:$MB$200=P$4),0),$E167-1973)</f>
        <v>#N/A</v>
      </c>
      <c r="Q167" t="e" cm="1">
        <f t="array" ref="Q167">INDEX('GMW - worst case'!$A$2:$MC$200,MATCH(1,('GMW - worst case'!$MC$2:$MC$200=Q$3)*('GMW - worst case'!$MB$2:$MB$200=Q$4),0),$E167-1973)</f>
        <v>#N/A</v>
      </c>
      <c r="R167" t="e" cm="1">
        <f t="array" ref="R167">INDEX('GMW - worst case'!$A$2:$MC$200,MATCH(1,('GMW - worst case'!$MC$2:$MC$200=R$3)*('GMW - worst case'!$MB$2:$MB$200=R$4),0),$E167-1973)</f>
        <v>#N/A</v>
      </c>
      <c r="S167" t="e" cm="1">
        <f t="array" ref="S167">INDEX('GMW - worst case'!$A$2:$MC$200,MATCH(1,('GMW - worst case'!$MC$2:$MC$200=S$3)*('GMW - worst case'!$MB$2:$MB$200=S$4),0),$E167-1973)</f>
        <v>#N/A</v>
      </c>
    </row>
    <row r="168" spans="1:19" x14ac:dyDescent="0.25">
      <c r="B168">
        <f t="shared" si="13"/>
        <v>2020</v>
      </c>
      <c r="C168">
        <f t="shared" si="13"/>
        <v>2020</v>
      </c>
      <c r="E168">
        <f t="shared" si="11"/>
        <v>2141</v>
      </c>
      <c r="F168" cm="1">
        <f t="array" ref="F168">INDEX('GMW - worst case'!$A$2:$MC$200,MATCH(1,('GMW - worst case'!$MC$2:$MC$200=F$3)*('GMW - worst case'!$MB$2:$MB$200=F$4),0),$E168-1973)</f>
        <v>522356</v>
      </c>
      <c r="G168" cm="1">
        <f t="array" ref="G168">INDEX('GMW - worst case'!$A$2:$MC$200,MATCH(1,('GMW - worst case'!$MC$2:$MC$200=G$3)*('GMW - worst case'!$MB$2:$MB$200=G$4),0),$E168-1973)</f>
        <v>308486</v>
      </c>
      <c r="H168" cm="1">
        <f t="array" ref="H168">INDEX('GMW - worst case'!$A$2:$MC$200,MATCH(1,('GMW - worst case'!$MC$2:$MC$200=H$3)*('GMW - worst case'!$MB$2:$MB$200=H$4),0),$E168-1973)</f>
        <v>108.5333</v>
      </c>
      <c r="I168" cm="1">
        <f t="array" ref="I168">INDEX('GMW - worst case'!$A$2:$MC$200,MATCH(1,('GMW - worst case'!$MC$2:$MC$200=I$3)*('GMW - worst case'!$MB$2:$MB$200=I$4),0),$E168-1973)</f>
        <v>0.1</v>
      </c>
      <c r="J168" t="e" cm="1">
        <f t="array" ref="J168">INDEX('GMW - worst case'!$A$2:$MC$200,MATCH(1,('GMW - worst case'!$MC$2:$MC$200=J$3)*('GMW - worst case'!$MB$2:$MB$200=J$4),0),$E168-1973)</f>
        <v>#N/A</v>
      </c>
      <c r="K168" t="e" cm="1">
        <f t="array" ref="K168">INDEX('GMW - worst case'!$A$2:$MC$200,MATCH(1,('GMW - worst case'!$MC$2:$MC$200=K$3)*('GMW - worst case'!$MB$2:$MB$200=K$4),0),$E168-1973)</f>
        <v>#N/A</v>
      </c>
      <c r="L168" t="e" cm="1">
        <f t="array" ref="L168">INDEX('GMW - worst case'!$A$2:$MC$200,MATCH(1,('GMW - worst case'!$MC$2:$MC$200=L$3)*('GMW - worst case'!$MB$2:$MB$200=L$4),0),$E168-1973)</f>
        <v>#N/A</v>
      </c>
      <c r="M168" t="e" cm="1">
        <f t="array" ref="M168">INDEX('GMW - worst case'!$A$2:$MC$200,MATCH(1,('GMW - worst case'!$MC$2:$MC$200=M$3)*('GMW - worst case'!$MB$2:$MB$200=M$4),0),$E168-1973)</f>
        <v>#N/A</v>
      </c>
      <c r="N168" t="e" cm="1">
        <f t="array" ref="N168">INDEX('GMW - worst case'!$A$2:$MC$200,MATCH(1,('GMW - worst case'!$MC$2:$MC$200=N$3)*('GMW - worst case'!$MB$2:$MB$200=N$4),0),$E168-1973)</f>
        <v>#N/A</v>
      </c>
      <c r="O168" t="e" cm="1">
        <f t="array" ref="O168">INDEX('GMW - worst case'!$A$2:$MC$200,MATCH(1,('GMW - worst case'!$MC$2:$MC$200=O$3)*('GMW - worst case'!$MB$2:$MB$200=O$4),0),$E168-1973)</f>
        <v>#N/A</v>
      </c>
      <c r="P168" t="e" cm="1">
        <f t="array" ref="P168">INDEX('GMW - worst case'!$A$2:$MC$200,MATCH(1,('GMW - worst case'!$MC$2:$MC$200=P$3)*('GMW - worst case'!$MB$2:$MB$200=P$4),0),$E168-1973)</f>
        <v>#N/A</v>
      </c>
      <c r="Q168" t="e" cm="1">
        <f t="array" ref="Q168">INDEX('GMW - worst case'!$A$2:$MC$200,MATCH(1,('GMW - worst case'!$MC$2:$MC$200=Q$3)*('GMW - worst case'!$MB$2:$MB$200=Q$4),0),$E168-1973)</f>
        <v>#N/A</v>
      </c>
      <c r="R168" t="e" cm="1">
        <f t="array" ref="R168">INDEX('GMW - worst case'!$A$2:$MC$200,MATCH(1,('GMW - worst case'!$MC$2:$MC$200=R$3)*('GMW - worst case'!$MB$2:$MB$200=R$4),0),$E168-1973)</f>
        <v>#N/A</v>
      </c>
      <c r="S168" t="e" cm="1">
        <f t="array" ref="S168">INDEX('GMW - worst case'!$A$2:$MC$200,MATCH(1,('GMW - worst case'!$MC$2:$MC$200=S$3)*('GMW - worst case'!$MB$2:$MB$200=S$4),0),$E168-1973)</f>
        <v>#N/A</v>
      </c>
    </row>
    <row r="169" spans="1:19" x14ac:dyDescent="0.25">
      <c r="B169">
        <f t="shared" si="13"/>
        <v>2020</v>
      </c>
      <c r="C169">
        <f t="shared" si="13"/>
        <v>2020</v>
      </c>
      <c r="E169">
        <f t="shared" si="11"/>
        <v>2142</v>
      </c>
      <c r="F169" cm="1">
        <f t="array" ref="F169">INDEX('GMW - worst case'!$A$2:$MC$200,MATCH(1,('GMW - worst case'!$MC$2:$MC$200=F$3)*('GMW - worst case'!$MB$2:$MB$200=F$4),0),$E169-1973)</f>
        <v>610972</v>
      </c>
      <c r="G169" cm="1">
        <f t="array" ref="G169">INDEX('GMW - worst case'!$A$2:$MC$200,MATCH(1,('GMW - worst case'!$MC$2:$MC$200=G$3)*('GMW - worst case'!$MB$2:$MB$200=G$4),0),$E169-1973)</f>
        <v>369291</v>
      </c>
      <c r="H169" cm="1">
        <f t="array" ref="H169">INDEX('GMW - worst case'!$A$2:$MC$200,MATCH(1,('GMW - worst case'!$MC$2:$MC$200=H$3)*('GMW - worst case'!$MB$2:$MB$200=H$4),0),$E169-1973)</f>
        <v>108.9333</v>
      </c>
      <c r="I169" cm="1">
        <f t="array" ref="I169">INDEX('GMW - worst case'!$A$2:$MC$200,MATCH(1,('GMW - worst case'!$MC$2:$MC$200=I$3)*('GMW - worst case'!$MB$2:$MB$200=I$4),0),$E169-1973)</f>
        <v>0.1</v>
      </c>
      <c r="J169" t="e" cm="1">
        <f t="array" ref="J169">INDEX('GMW - worst case'!$A$2:$MC$200,MATCH(1,('GMW - worst case'!$MC$2:$MC$200=J$3)*('GMW - worst case'!$MB$2:$MB$200=J$4),0),$E169-1973)</f>
        <v>#N/A</v>
      </c>
      <c r="K169" t="e" cm="1">
        <f t="array" ref="K169">INDEX('GMW - worst case'!$A$2:$MC$200,MATCH(1,('GMW - worst case'!$MC$2:$MC$200=K$3)*('GMW - worst case'!$MB$2:$MB$200=K$4),0),$E169-1973)</f>
        <v>#N/A</v>
      </c>
      <c r="L169" t="e" cm="1">
        <f t="array" ref="L169">INDEX('GMW - worst case'!$A$2:$MC$200,MATCH(1,('GMW - worst case'!$MC$2:$MC$200=L$3)*('GMW - worst case'!$MB$2:$MB$200=L$4),0),$E169-1973)</f>
        <v>#N/A</v>
      </c>
      <c r="M169" t="e" cm="1">
        <f t="array" ref="M169">INDEX('GMW - worst case'!$A$2:$MC$200,MATCH(1,('GMW - worst case'!$MC$2:$MC$200=M$3)*('GMW - worst case'!$MB$2:$MB$200=M$4),0),$E169-1973)</f>
        <v>#N/A</v>
      </c>
      <c r="N169" t="e" cm="1">
        <f t="array" ref="N169">INDEX('GMW - worst case'!$A$2:$MC$200,MATCH(1,('GMW - worst case'!$MC$2:$MC$200=N$3)*('GMW - worst case'!$MB$2:$MB$200=N$4),0),$E169-1973)</f>
        <v>#N/A</v>
      </c>
      <c r="O169" t="e" cm="1">
        <f t="array" ref="O169">INDEX('GMW - worst case'!$A$2:$MC$200,MATCH(1,('GMW - worst case'!$MC$2:$MC$200=O$3)*('GMW - worst case'!$MB$2:$MB$200=O$4),0),$E169-1973)</f>
        <v>#N/A</v>
      </c>
      <c r="P169" t="e" cm="1">
        <f t="array" ref="P169">INDEX('GMW - worst case'!$A$2:$MC$200,MATCH(1,('GMW - worst case'!$MC$2:$MC$200=P$3)*('GMW - worst case'!$MB$2:$MB$200=P$4),0),$E169-1973)</f>
        <v>#N/A</v>
      </c>
      <c r="Q169" t="e" cm="1">
        <f t="array" ref="Q169">INDEX('GMW - worst case'!$A$2:$MC$200,MATCH(1,('GMW - worst case'!$MC$2:$MC$200=Q$3)*('GMW - worst case'!$MB$2:$MB$200=Q$4),0),$E169-1973)</f>
        <v>#N/A</v>
      </c>
      <c r="R169" t="e" cm="1">
        <f t="array" ref="R169">INDEX('GMW - worst case'!$A$2:$MC$200,MATCH(1,('GMW - worst case'!$MC$2:$MC$200=R$3)*('GMW - worst case'!$MB$2:$MB$200=R$4),0),$E169-1973)</f>
        <v>#N/A</v>
      </c>
      <c r="S169" t="e" cm="1">
        <f t="array" ref="S169">INDEX('GMW - worst case'!$A$2:$MC$200,MATCH(1,('GMW - worst case'!$MC$2:$MC$200=S$3)*('GMW - worst case'!$MB$2:$MB$200=S$4),0),$E169-1973)</f>
        <v>#N/A</v>
      </c>
    </row>
    <row r="170" spans="1:19" x14ac:dyDescent="0.25">
      <c r="B170">
        <f t="shared" si="13"/>
        <v>2020</v>
      </c>
      <c r="C170">
        <f t="shared" si="13"/>
        <v>2020</v>
      </c>
      <c r="E170">
        <f t="shared" si="11"/>
        <v>2143</v>
      </c>
      <c r="F170" cm="1">
        <f t="array" ref="F170">INDEX('GMW - worst case'!$A$2:$MC$200,MATCH(1,('GMW - worst case'!$MC$2:$MC$200=F$3)*('GMW - worst case'!$MB$2:$MB$200=F$4),0),$E170-1973)</f>
        <v>619330</v>
      </c>
      <c r="G170" cm="1">
        <f t="array" ref="G170">INDEX('GMW - worst case'!$A$2:$MC$200,MATCH(1,('GMW - worst case'!$MC$2:$MC$200=G$3)*('GMW - worst case'!$MB$2:$MB$200=G$4),0),$E170-1973)</f>
        <v>362708</v>
      </c>
      <c r="H170" cm="1">
        <f t="array" ref="H170">INDEX('GMW - worst case'!$A$2:$MC$200,MATCH(1,('GMW - worst case'!$MC$2:$MC$200=H$3)*('GMW - worst case'!$MB$2:$MB$200=H$4),0),$E170-1973)</f>
        <v>109.0667</v>
      </c>
      <c r="I170" cm="1">
        <f t="array" ref="I170">INDEX('GMW - worst case'!$A$2:$MC$200,MATCH(1,('GMW - worst case'!$MC$2:$MC$200=I$3)*('GMW - worst case'!$MB$2:$MB$200=I$4),0),$E170-1973)</f>
        <v>0.1</v>
      </c>
      <c r="J170" t="e" cm="1">
        <f t="array" ref="J170">INDEX('GMW - worst case'!$A$2:$MC$200,MATCH(1,('GMW - worst case'!$MC$2:$MC$200=J$3)*('GMW - worst case'!$MB$2:$MB$200=J$4),0),$E170-1973)</f>
        <v>#N/A</v>
      </c>
      <c r="K170" t="e" cm="1">
        <f t="array" ref="K170">INDEX('GMW - worst case'!$A$2:$MC$200,MATCH(1,('GMW - worst case'!$MC$2:$MC$200=K$3)*('GMW - worst case'!$MB$2:$MB$200=K$4),0),$E170-1973)</f>
        <v>#N/A</v>
      </c>
      <c r="L170" t="e" cm="1">
        <f t="array" ref="L170">INDEX('GMW - worst case'!$A$2:$MC$200,MATCH(1,('GMW - worst case'!$MC$2:$MC$200=L$3)*('GMW - worst case'!$MB$2:$MB$200=L$4),0),$E170-1973)</f>
        <v>#N/A</v>
      </c>
      <c r="M170" t="e" cm="1">
        <f t="array" ref="M170">INDEX('GMW - worst case'!$A$2:$MC$200,MATCH(1,('GMW - worst case'!$MC$2:$MC$200=M$3)*('GMW - worst case'!$MB$2:$MB$200=M$4),0),$E170-1973)</f>
        <v>#N/A</v>
      </c>
      <c r="N170" t="e" cm="1">
        <f t="array" ref="N170">INDEX('GMW - worst case'!$A$2:$MC$200,MATCH(1,('GMW - worst case'!$MC$2:$MC$200=N$3)*('GMW - worst case'!$MB$2:$MB$200=N$4),0),$E170-1973)</f>
        <v>#N/A</v>
      </c>
      <c r="O170" t="e" cm="1">
        <f t="array" ref="O170">INDEX('GMW - worst case'!$A$2:$MC$200,MATCH(1,('GMW - worst case'!$MC$2:$MC$200=O$3)*('GMW - worst case'!$MB$2:$MB$200=O$4),0),$E170-1973)</f>
        <v>#N/A</v>
      </c>
      <c r="P170" t="e" cm="1">
        <f t="array" ref="P170">INDEX('GMW - worst case'!$A$2:$MC$200,MATCH(1,('GMW - worst case'!$MC$2:$MC$200=P$3)*('GMW - worst case'!$MB$2:$MB$200=P$4),0),$E170-1973)</f>
        <v>#N/A</v>
      </c>
      <c r="Q170" t="e" cm="1">
        <f t="array" ref="Q170">INDEX('GMW - worst case'!$A$2:$MC$200,MATCH(1,('GMW - worst case'!$MC$2:$MC$200=Q$3)*('GMW - worst case'!$MB$2:$MB$200=Q$4),0),$E170-1973)</f>
        <v>#N/A</v>
      </c>
      <c r="R170" t="e" cm="1">
        <f t="array" ref="R170">INDEX('GMW - worst case'!$A$2:$MC$200,MATCH(1,('GMW - worst case'!$MC$2:$MC$200=R$3)*('GMW - worst case'!$MB$2:$MB$200=R$4),0),$E170-1973)</f>
        <v>#N/A</v>
      </c>
      <c r="S170" t="e" cm="1">
        <f t="array" ref="S170">INDEX('GMW - worst case'!$A$2:$MC$200,MATCH(1,('GMW - worst case'!$MC$2:$MC$200=S$3)*('GMW - worst case'!$MB$2:$MB$200=S$4),0),$E170-1973)</f>
        <v>#N/A</v>
      </c>
    </row>
    <row r="171" spans="1:19" x14ac:dyDescent="0.25">
      <c r="A171">
        <v>2021</v>
      </c>
      <c r="B171">
        <f t="shared" si="13"/>
        <v>2021</v>
      </c>
      <c r="C171">
        <f t="shared" si="13"/>
        <v>2020</v>
      </c>
      <c r="D171">
        <f t="shared" si="13"/>
        <v>2020</v>
      </c>
      <c r="E171">
        <f t="shared" si="11"/>
        <v>2144</v>
      </c>
      <c r="F171" cm="1">
        <f t="array" ref="F171">INDEX('GMW - worst case'!$A$2:$MC$200,MATCH(1,('GMW - worst case'!$MC$2:$MC$200=F$3)*('GMW - worst case'!$MB$2:$MB$200=F$4),0),$E171-1973)</f>
        <v>612665</v>
      </c>
      <c r="G171" cm="1">
        <f t="array" ref="G171">INDEX('GMW - worst case'!$A$2:$MC$200,MATCH(1,('GMW - worst case'!$MC$2:$MC$200=G$3)*('GMW - worst case'!$MB$2:$MB$200=G$4),0),$E171-1973)</f>
        <v>349378</v>
      </c>
      <c r="H171" cm="1">
        <f t="array" ref="H171">INDEX('GMW - worst case'!$A$2:$MC$200,MATCH(1,('GMW - worst case'!$MC$2:$MC$200=H$3)*('GMW - worst case'!$MB$2:$MB$200=H$4),0),$E171-1973)</f>
        <v>109.16670000000001</v>
      </c>
      <c r="I171" cm="1">
        <f t="array" ref="I171">INDEX('GMW - worst case'!$A$2:$MC$200,MATCH(1,('GMW - worst case'!$MC$2:$MC$200=I$3)*('GMW - worst case'!$MB$2:$MB$200=I$4),0),$E171-1973)</f>
        <v>0.1</v>
      </c>
      <c r="J171" t="e" cm="1">
        <f t="array" ref="J171">INDEX('GMW - worst case'!$A$2:$MC$200,MATCH(1,('GMW - worst case'!$MC$2:$MC$200=J$3)*('GMW - worst case'!$MB$2:$MB$200=J$4),0),$E171-1973)</f>
        <v>#N/A</v>
      </c>
      <c r="K171" t="e" cm="1">
        <f t="array" ref="K171">INDEX('GMW - worst case'!$A$2:$MC$200,MATCH(1,('GMW - worst case'!$MC$2:$MC$200=K$3)*('GMW - worst case'!$MB$2:$MB$200=K$4),0),$E171-1973)</f>
        <v>#N/A</v>
      </c>
      <c r="L171" t="e" cm="1">
        <f t="array" ref="L171">INDEX('GMW - worst case'!$A$2:$MC$200,MATCH(1,('GMW - worst case'!$MC$2:$MC$200=L$3)*('GMW - worst case'!$MB$2:$MB$200=L$4),0),$E171-1973)</f>
        <v>#N/A</v>
      </c>
      <c r="M171" t="e" cm="1">
        <f t="array" ref="M171">INDEX('GMW - worst case'!$A$2:$MC$200,MATCH(1,('GMW - worst case'!$MC$2:$MC$200=M$3)*('GMW - worst case'!$MB$2:$MB$200=M$4),0),$E171-1973)</f>
        <v>#N/A</v>
      </c>
      <c r="N171" t="e" cm="1">
        <f t="array" ref="N171">INDEX('GMW - worst case'!$A$2:$MC$200,MATCH(1,('GMW - worst case'!$MC$2:$MC$200=N$3)*('GMW - worst case'!$MB$2:$MB$200=N$4),0),$E171-1973)</f>
        <v>#N/A</v>
      </c>
      <c r="O171" t="e" cm="1">
        <f t="array" ref="O171">INDEX('GMW - worst case'!$A$2:$MC$200,MATCH(1,('GMW - worst case'!$MC$2:$MC$200=O$3)*('GMW - worst case'!$MB$2:$MB$200=O$4),0),$E171-1973)</f>
        <v>#N/A</v>
      </c>
      <c r="P171" t="e" cm="1">
        <f t="array" ref="P171">INDEX('GMW - worst case'!$A$2:$MC$200,MATCH(1,('GMW - worst case'!$MC$2:$MC$200=P$3)*('GMW - worst case'!$MB$2:$MB$200=P$4),0),$E171-1973)</f>
        <v>#N/A</v>
      </c>
      <c r="Q171" t="e" cm="1">
        <f t="array" ref="Q171">INDEX('GMW - worst case'!$A$2:$MC$200,MATCH(1,('GMW - worst case'!$MC$2:$MC$200=Q$3)*('GMW - worst case'!$MB$2:$MB$200=Q$4),0),$E171-1973)</f>
        <v>#N/A</v>
      </c>
      <c r="R171" t="e" cm="1">
        <f t="array" ref="R171">INDEX('GMW - worst case'!$A$2:$MC$200,MATCH(1,('GMW - worst case'!$MC$2:$MC$200=R$3)*('GMW - worst case'!$MB$2:$MB$200=R$4),0),$E171-1973)</f>
        <v>#N/A</v>
      </c>
      <c r="S171" t="e" cm="1">
        <f t="array" ref="S171">INDEX('GMW - worst case'!$A$2:$MC$200,MATCH(1,('GMW - worst case'!$MC$2:$MC$200=S$3)*('GMW - worst case'!$MB$2:$MB$200=S$4),0),$E171-1973)</f>
        <v>#N/A</v>
      </c>
    </row>
    <row r="172" spans="1:19" x14ac:dyDescent="0.25">
      <c r="B172">
        <f t="shared" ref="B172:D187" si="14">+B168+1</f>
        <v>2021</v>
      </c>
      <c r="C172">
        <f t="shared" si="14"/>
        <v>2021</v>
      </c>
      <c r="E172">
        <f t="shared" si="11"/>
        <v>2145</v>
      </c>
      <c r="F172" cm="1">
        <f t="array" ref="F172">INDEX('GMW - worst case'!$A$2:$MC$200,MATCH(1,('GMW - worst case'!$MC$2:$MC$200=F$3)*('GMW - worst case'!$MB$2:$MB$200=F$4),0),$E172-1973)</f>
        <v>655443</v>
      </c>
      <c r="G172" cm="1">
        <f t="array" ref="G172">INDEX('GMW - worst case'!$A$2:$MC$200,MATCH(1,('GMW - worst case'!$MC$2:$MC$200=G$3)*('GMW - worst case'!$MB$2:$MB$200=G$4),0),$E172-1973)</f>
        <v>389324</v>
      </c>
      <c r="H172" cm="1">
        <f t="array" ref="H172">INDEX('GMW - worst case'!$A$2:$MC$200,MATCH(1,('GMW - worst case'!$MC$2:$MC$200=H$3)*('GMW - worst case'!$MB$2:$MB$200=H$4),0),$E172-1973)</f>
        <v>110.7333</v>
      </c>
      <c r="I172" cm="1">
        <f t="array" ref="I172">INDEX('GMW - worst case'!$A$2:$MC$200,MATCH(1,('GMW - worst case'!$MC$2:$MC$200=I$3)*('GMW - worst case'!$MB$2:$MB$200=I$4),0),$E172-1973)</f>
        <v>0.1</v>
      </c>
      <c r="J172" t="e" cm="1">
        <f t="array" ref="J172">INDEX('GMW - worst case'!$A$2:$MC$200,MATCH(1,('GMW - worst case'!$MC$2:$MC$200=J$3)*('GMW - worst case'!$MB$2:$MB$200=J$4),0),$E172-1973)</f>
        <v>#N/A</v>
      </c>
      <c r="K172" t="e" cm="1">
        <f t="array" ref="K172">INDEX('GMW - worst case'!$A$2:$MC$200,MATCH(1,('GMW - worst case'!$MC$2:$MC$200=K$3)*('GMW - worst case'!$MB$2:$MB$200=K$4),0),$E172-1973)</f>
        <v>#N/A</v>
      </c>
      <c r="L172" t="e" cm="1">
        <f t="array" ref="L172">INDEX('GMW - worst case'!$A$2:$MC$200,MATCH(1,('GMW - worst case'!$MC$2:$MC$200=L$3)*('GMW - worst case'!$MB$2:$MB$200=L$4),0),$E172-1973)</f>
        <v>#N/A</v>
      </c>
      <c r="M172" t="e" cm="1">
        <f t="array" ref="M172">INDEX('GMW - worst case'!$A$2:$MC$200,MATCH(1,('GMW - worst case'!$MC$2:$MC$200=M$3)*('GMW - worst case'!$MB$2:$MB$200=M$4),0),$E172-1973)</f>
        <v>#N/A</v>
      </c>
      <c r="N172" t="e" cm="1">
        <f t="array" ref="N172">INDEX('GMW - worst case'!$A$2:$MC$200,MATCH(1,('GMW - worst case'!$MC$2:$MC$200=N$3)*('GMW - worst case'!$MB$2:$MB$200=N$4),0),$E172-1973)</f>
        <v>#N/A</v>
      </c>
      <c r="O172" t="e" cm="1">
        <f t="array" ref="O172">INDEX('GMW - worst case'!$A$2:$MC$200,MATCH(1,('GMW - worst case'!$MC$2:$MC$200=O$3)*('GMW - worst case'!$MB$2:$MB$200=O$4),0),$E172-1973)</f>
        <v>#N/A</v>
      </c>
      <c r="P172" t="e" cm="1">
        <f t="array" ref="P172">INDEX('GMW - worst case'!$A$2:$MC$200,MATCH(1,('GMW - worst case'!$MC$2:$MC$200=P$3)*('GMW - worst case'!$MB$2:$MB$200=P$4),0),$E172-1973)</f>
        <v>#N/A</v>
      </c>
      <c r="Q172" t="e" cm="1">
        <f t="array" ref="Q172">INDEX('GMW - worst case'!$A$2:$MC$200,MATCH(1,('GMW - worst case'!$MC$2:$MC$200=Q$3)*('GMW - worst case'!$MB$2:$MB$200=Q$4),0),$E172-1973)</f>
        <v>#N/A</v>
      </c>
      <c r="R172" t="e" cm="1">
        <f t="array" ref="R172">INDEX('GMW - worst case'!$A$2:$MC$200,MATCH(1,('GMW - worst case'!$MC$2:$MC$200=R$3)*('GMW - worst case'!$MB$2:$MB$200=R$4),0),$E172-1973)</f>
        <v>#N/A</v>
      </c>
      <c r="S172" t="e" cm="1">
        <f t="array" ref="S172">INDEX('GMW - worst case'!$A$2:$MC$200,MATCH(1,('GMW - worst case'!$MC$2:$MC$200=S$3)*('GMW - worst case'!$MB$2:$MB$200=S$4),0),$E172-1973)</f>
        <v>#N/A</v>
      </c>
    </row>
    <row r="173" spans="1:19" x14ac:dyDescent="0.25">
      <c r="B173">
        <f t="shared" si="14"/>
        <v>2021</v>
      </c>
      <c r="C173">
        <f t="shared" si="14"/>
        <v>2021</v>
      </c>
      <c r="E173">
        <f t="shared" si="11"/>
        <v>2146</v>
      </c>
      <c r="F173" cm="1">
        <f t="array" ref="F173">INDEX('GMW - worst case'!$A$2:$MC$200,MATCH(1,('GMW - worst case'!$MC$2:$MC$200=F$3)*('GMW - worst case'!$MB$2:$MB$200=F$4),0),$E173-1973)</f>
        <v>666498</v>
      </c>
      <c r="G173" cm="1">
        <f t="array" ref="G173">INDEX('GMW - worst case'!$A$2:$MC$200,MATCH(1,('GMW - worst case'!$MC$2:$MC$200=G$3)*('GMW - worst case'!$MB$2:$MB$200=G$4),0),$E173-1973)</f>
        <v>401314</v>
      </c>
      <c r="H173" cm="1">
        <f t="array" ref="H173">INDEX('GMW - worst case'!$A$2:$MC$200,MATCH(1,('GMW - worst case'!$MC$2:$MC$200=H$3)*('GMW - worst case'!$MB$2:$MB$200=H$4),0),$E173-1973)</f>
        <v>111.9333</v>
      </c>
      <c r="I173" cm="1">
        <f t="array" ref="I173">INDEX('GMW - worst case'!$A$2:$MC$200,MATCH(1,('GMW - worst case'!$MC$2:$MC$200=I$3)*('GMW - worst case'!$MB$2:$MB$200=I$4),0),$E173-1973)</f>
        <v>0.1</v>
      </c>
      <c r="J173" t="e" cm="1">
        <f t="array" ref="J173">INDEX('GMW - worst case'!$A$2:$MC$200,MATCH(1,('GMW - worst case'!$MC$2:$MC$200=J$3)*('GMW - worst case'!$MB$2:$MB$200=J$4),0),$E173-1973)</f>
        <v>#N/A</v>
      </c>
      <c r="K173" t="e" cm="1">
        <f t="array" ref="K173">INDEX('GMW - worst case'!$A$2:$MC$200,MATCH(1,('GMW - worst case'!$MC$2:$MC$200=K$3)*('GMW - worst case'!$MB$2:$MB$200=K$4),0),$E173-1973)</f>
        <v>#N/A</v>
      </c>
      <c r="L173" t="e" cm="1">
        <f t="array" ref="L173">INDEX('GMW - worst case'!$A$2:$MC$200,MATCH(1,('GMW - worst case'!$MC$2:$MC$200=L$3)*('GMW - worst case'!$MB$2:$MB$200=L$4),0),$E173-1973)</f>
        <v>#N/A</v>
      </c>
      <c r="M173" t="e" cm="1">
        <f t="array" ref="M173">INDEX('GMW - worst case'!$A$2:$MC$200,MATCH(1,('GMW - worst case'!$MC$2:$MC$200=M$3)*('GMW - worst case'!$MB$2:$MB$200=M$4),0),$E173-1973)</f>
        <v>#N/A</v>
      </c>
      <c r="N173" t="e" cm="1">
        <f t="array" ref="N173">INDEX('GMW - worst case'!$A$2:$MC$200,MATCH(1,('GMW - worst case'!$MC$2:$MC$200=N$3)*('GMW - worst case'!$MB$2:$MB$200=N$4),0),$E173-1973)</f>
        <v>#N/A</v>
      </c>
      <c r="O173" t="e" cm="1">
        <f t="array" ref="O173">INDEX('GMW - worst case'!$A$2:$MC$200,MATCH(1,('GMW - worst case'!$MC$2:$MC$200=O$3)*('GMW - worst case'!$MB$2:$MB$200=O$4),0),$E173-1973)</f>
        <v>#N/A</v>
      </c>
      <c r="P173" t="e" cm="1">
        <f t="array" ref="P173">INDEX('GMW - worst case'!$A$2:$MC$200,MATCH(1,('GMW - worst case'!$MC$2:$MC$200=P$3)*('GMW - worst case'!$MB$2:$MB$200=P$4),0),$E173-1973)</f>
        <v>#N/A</v>
      </c>
      <c r="Q173" t="e" cm="1">
        <f t="array" ref="Q173">INDEX('GMW - worst case'!$A$2:$MC$200,MATCH(1,('GMW - worst case'!$MC$2:$MC$200=Q$3)*('GMW - worst case'!$MB$2:$MB$200=Q$4),0),$E173-1973)</f>
        <v>#N/A</v>
      </c>
      <c r="R173" t="e" cm="1">
        <f t="array" ref="R173">INDEX('GMW - worst case'!$A$2:$MC$200,MATCH(1,('GMW - worst case'!$MC$2:$MC$200=R$3)*('GMW - worst case'!$MB$2:$MB$200=R$4),0),$E173-1973)</f>
        <v>#N/A</v>
      </c>
      <c r="S173" t="e" cm="1">
        <f t="array" ref="S173">INDEX('GMW - worst case'!$A$2:$MC$200,MATCH(1,('GMW - worst case'!$MC$2:$MC$200=S$3)*('GMW - worst case'!$MB$2:$MB$200=S$4),0),$E173-1973)</f>
        <v>#N/A</v>
      </c>
    </row>
    <row r="174" spans="1:19" x14ac:dyDescent="0.25">
      <c r="B174">
        <f t="shared" si="14"/>
        <v>2021</v>
      </c>
      <c r="C174">
        <f t="shared" si="14"/>
        <v>2021</v>
      </c>
      <c r="E174">
        <f t="shared" si="11"/>
        <v>2147</v>
      </c>
      <c r="F174" cm="1">
        <f t="array" ref="F174">INDEX('GMW - worst case'!$A$2:$MC$200,MATCH(1,('GMW - worst case'!$MC$2:$MC$200=F$3)*('GMW - worst case'!$MB$2:$MB$200=F$4),0),$E174-1973)</f>
        <v>675680</v>
      </c>
      <c r="G174" cm="1">
        <f t="array" ref="G174">INDEX('GMW - worst case'!$A$2:$MC$200,MATCH(1,('GMW - worst case'!$MC$2:$MC$200=G$3)*('GMW - worst case'!$MB$2:$MB$200=G$4),0),$E174-1973)</f>
        <v>402019</v>
      </c>
      <c r="H174" cm="1">
        <f t="array" ref="H174">INDEX('GMW - worst case'!$A$2:$MC$200,MATCH(1,('GMW - worst case'!$MC$2:$MC$200=H$3)*('GMW - worst case'!$MB$2:$MB$200=H$4),0),$E174-1973)</f>
        <v>114.4</v>
      </c>
      <c r="I174" cm="1">
        <f t="array" ref="I174">INDEX('GMW - worst case'!$A$2:$MC$200,MATCH(1,('GMW - worst case'!$MC$2:$MC$200=I$3)*('GMW - worst case'!$MB$2:$MB$200=I$4),0),$E174-1973)</f>
        <v>0.12727269999999999</v>
      </c>
      <c r="J174" t="e" cm="1">
        <f t="array" ref="J174">INDEX('GMW - worst case'!$A$2:$MC$200,MATCH(1,('GMW - worst case'!$MC$2:$MC$200=J$3)*('GMW - worst case'!$MB$2:$MB$200=J$4),0),$E174-1973)</f>
        <v>#N/A</v>
      </c>
      <c r="K174" t="e" cm="1">
        <f t="array" ref="K174">INDEX('GMW - worst case'!$A$2:$MC$200,MATCH(1,('GMW - worst case'!$MC$2:$MC$200=K$3)*('GMW - worst case'!$MB$2:$MB$200=K$4),0),$E174-1973)</f>
        <v>#N/A</v>
      </c>
      <c r="L174" t="e" cm="1">
        <f t="array" ref="L174">INDEX('GMW - worst case'!$A$2:$MC$200,MATCH(1,('GMW - worst case'!$MC$2:$MC$200=L$3)*('GMW - worst case'!$MB$2:$MB$200=L$4),0),$E174-1973)</f>
        <v>#N/A</v>
      </c>
      <c r="M174" t="e" cm="1">
        <f t="array" ref="M174">INDEX('GMW - worst case'!$A$2:$MC$200,MATCH(1,('GMW - worst case'!$MC$2:$MC$200=M$3)*('GMW - worst case'!$MB$2:$MB$200=M$4),0),$E174-1973)</f>
        <v>#N/A</v>
      </c>
      <c r="N174" t="e" cm="1">
        <f t="array" ref="N174">INDEX('GMW - worst case'!$A$2:$MC$200,MATCH(1,('GMW - worst case'!$MC$2:$MC$200=N$3)*('GMW - worst case'!$MB$2:$MB$200=N$4),0),$E174-1973)</f>
        <v>#N/A</v>
      </c>
      <c r="O174" t="e" cm="1">
        <f t="array" ref="O174">INDEX('GMW - worst case'!$A$2:$MC$200,MATCH(1,('GMW - worst case'!$MC$2:$MC$200=O$3)*('GMW - worst case'!$MB$2:$MB$200=O$4),0),$E174-1973)</f>
        <v>#N/A</v>
      </c>
      <c r="P174" t="e" cm="1">
        <f t="array" ref="P174">INDEX('GMW - worst case'!$A$2:$MC$200,MATCH(1,('GMW - worst case'!$MC$2:$MC$200=P$3)*('GMW - worst case'!$MB$2:$MB$200=P$4),0),$E174-1973)</f>
        <v>#N/A</v>
      </c>
      <c r="Q174" t="e" cm="1">
        <f t="array" ref="Q174">INDEX('GMW - worst case'!$A$2:$MC$200,MATCH(1,('GMW - worst case'!$MC$2:$MC$200=Q$3)*('GMW - worst case'!$MB$2:$MB$200=Q$4),0),$E174-1973)</f>
        <v>#N/A</v>
      </c>
      <c r="R174" t="e" cm="1">
        <f t="array" ref="R174">INDEX('GMW - worst case'!$A$2:$MC$200,MATCH(1,('GMW - worst case'!$MC$2:$MC$200=R$3)*('GMW - worst case'!$MB$2:$MB$200=R$4),0),$E174-1973)</f>
        <v>#N/A</v>
      </c>
      <c r="S174" t="e" cm="1">
        <f t="array" ref="S174">INDEX('GMW - worst case'!$A$2:$MC$200,MATCH(1,('GMW - worst case'!$MC$2:$MC$200=S$3)*('GMW - worst case'!$MB$2:$MB$200=S$4),0),$E174-1973)</f>
        <v>#N/A</v>
      </c>
    </row>
    <row r="175" spans="1:19" x14ac:dyDescent="0.25">
      <c r="A175">
        <v>2022</v>
      </c>
      <c r="B175">
        <f t="shared" si="14"/>
        <v>2022</v>
      </c>
      <c r="C175">
        <f t="shared" si="14"/>
        <v>2021</v>
      </c>
      <c r="D175">
        <f t="shared" si="14"/>
        <v>2021</v>
      </c>
      <c r="E175">
        <f t="shared" si="11"/>
        <v>2148</v>
      </c>
      <c r="F175" cm="1">
        <f t="array" ref="F175">INDEX('GMW - worst case'!$A$2:$MC$200,MATCH(1,('GMW - worst case'!$MC$2:$MC$200=F$3)*('GMW - worst case'!$MB$2:$MB$200=F$4),0),$E175-1973)</f>
        <v>682527</v>
      </c>
      <c r="G175" cm="1">
        <f t="array" ref="G175">INDEX('GMW - worst case'!$A$2:$MC$200,MATCH(1,('GMW - worst case'!$MC$2:$MC$200=G$3)*('GMW - worst case'!$MB$2:$MB$200=G$4),0),$E175-1973)</f>
        <v>407981</v>
      </c>
      <c r="H175" cm="1">
        <f t="array" ref="H175">INDEX('GMW - worst case'!$A$2:$MC$200,MATCH(1,('GMW - worst case'!$MC$2:$MC$200=H$3)*('GMW - worst case'!$MB$2:$MB$200=H$4),0),$E175-1973)</f>
        <v>115.9333</v>
      </c>
      <c r="I175" cm="1">
        <f t="array" ref="I175">INDEX('GMW - worst case'!$A$2:$MC$200,MATCH(1,('GMW - worst case'!$MC$2:$MC$200=I$3)*('GMW - worst case'!$MB$2:$MB$200=I$4),0),$E175-1973)</f>
        <v>0.453125</v>
      </c>
      <c r="J175" t="e" cm="1">
        <f t="array" ref="J175">INDEX('GMW - worst case'!$A$2:$MC$200,MATCH(1,('GMW - worst case'!$MC$2:$MC$200=J$3)*('GMW - worst case'!$MB$2:$MB$200=J$4),0),$E175-1973)</f>
        <v>#N/A</v>
      </c>
      <c r="K175" t="e" cm="1">
        <f t="array" ref="K175">INDEX('GMW - worst case'!$A$2:$MC$200,MATCH(1,('GMW - worst case'!$MC$2:$MC$200=K$3)*('GMW - worst case'!$MB$2:$MB$200=K$4),0),$E175-1973)</f>
        <v>#N/A</v>
      </c>
      <c r="L175" t="e" cm="1">
        <f t="array" ref="L175">INDEX('GMW - worst case'!$A$2:$MC$200,MATCH(1,('GMW - worst case'!$MC$2:$MC$200=L$3)*('GMW - worst case'!$MB$2:$MB$200=L$4),0),$E175-1973)</f>
        <v>#N/A</v>
      </c>
      <c r="M175" t="e" cm="1">
        <f t="array" ref="M175">INDEX('GMW - worst case'!$A$2:$MC$200,MATCH(1,('GMW - worst case'!$MC$2:$MC$200=M$3)*('GMW - worst case'!$MB$2:$MB$200=M$4),0),$E175-1973)</f>
        <v>#N/A</v>
      </c>
      <c r="N175" t="e" cm="1">
        <f t="array" ref="N175">INDEX('GMW - worst case'!$A$2:$MC$200,MATCH(1,('GMW - worst case'!$MC$2:$MC$200=N$3)*('GMW - worst case'!$MB$2:$MB$200=N$4),0),$E175-1973)</f>
        <v>#N/A</v>
      </c>
      <c r="O175" t="e" cm="1">
        <f t="array" ref="O175">INDEX('GMW - worst case'!$A$2:$MC$200,MATCH(1,('GMW - worst case'!$MC$2:$MC$200=O$3)*('GMW - worst case'!$MB$2:$MB$200=O$4),0),$E175-1973)</f>
        <v>#N/A</v>
      </c>
      <c r="P175" t="e" cm="1">
        <f t="array" ref="P175">INDEX('GMW - worst case'!$A$2:$MC$200,MATCH(1,('GMW - worst case'!$MC$2:$MC$200=P$3)*('GMW - worst case'!$MB$2:$MB$200=P$4),0),$E175-1973)</f>
        <v>#N/A</v>
      </c>
      <c r="Q175" t="e" cm="1">
        <f t="array" ref="Q175">INDEX('GMW - worst case'!$A$2:$MC$200,MATCH(1,('GMW - worst case'!$MC$2:$MC$200=Q$3)*('GMW - worst case'!$MB$2:$MB$200=Q$4),0),$E175-1973)</f>
        <v>#N/A</v>
      </c>
      <c r="R175" t="e" cm="1">
        <f t="array" ref="R175">INDEX('GMW - worst case'!$A$2:$MC$200,MATCH(1,('GMW - worst case'!$MC$2:$MC$200=R$3)*('GMW - worst case'!$MB$2:$MB$200=R$4),0),$E175-1973)</f>
        <v>#N/A</v>
      </c>
      <c r="S175" t="e" cm="1">
        <f t="array" ref="S175">INDEX('GMW - worst case'!$A$2:$MC$200,MATCH(1,('GMW - worst case'!$MC$2:$MC$200=S$3)*('GMW - worst case'!$MB$2:$MB$200=S$4),0),$E175-1973)</f>
        <v>#N/A</v>
      </c>
    </row>
    <row r="176" spans="1:19" x14ac:dyDescent="0.25">
      <c r="B176">
        <f t="shared" si="14"/>
        <v>2022</v>
      </c>
      <c r="C176">
        <f t="shared" si="14"/>
        <v>2022</v>
      </c>
      <c r="E176">
        <f t="shared" si="11"/>
        <v>2149</v>
      </c>
      <c r="F176" cm="1">
        <f t="array" ref="F176">INDEX('GMW - worst case'!$A$2:$MC$200,MATCH(1,('GMW - worst case'!$MC$2:$MC$200=F$3)*('GMW - worst case'!$MB$2:$MB$200=F$4),0),$E176-1973)</f>
        <v>686335</v>
      </c>
      <c r="G176" cm="1">
        <f t="array" ref="G176">INDEX('GMW - worst case'!$A$2:$MC$200,MATCH(1,('GMW - worst case'!$MC$2:$MC$200=G$3)*('GMW - worst case'!$MB$2:$MB$200=G$4),0),$E176-1973)</f>
        <v>415833</v>
      </c>
      <c r="H176" cm="1">
        <f t="array" ref="H176">INDEX('GMW - worst case'!$A$2:$MC$200,MATCH(1,('GMW - worst case'!$MC$2:$MC$200=H$3)*('GMW - worst case'!$MB$2:$MB$200=H$4),0),$E176-1973)</f>
        <v>120.86669999999999</v>
      </c>
      <c r="I176" cm="1">
        <f t="array" ref="I176">INDEX('GMW - worst case'!$A$2:$MC$200,MATCH(1,('GMW - worst case'!$MC$2:$MC$200=I$3)*('GMW - worst case'!$MB$2:$MB$200=I$4),0),$E176-1973)</f>
        <v>0.95</v>
      </c>
      <c r="J176" t="e" cm="1">
        <f t="array" ref="J176">INDEX('GMW - worst case'!$A$2:$MC$200,MATCH(1,('GMW - worst case'!$MC$2:$MC$200=J$3)*('GMW - worst case'!$MB$2:$MB$200=J$4),0),$E176-1973)</f>
        <v>#N/A</v>
      </c>
      <c r="K176" t="e" cm="1">
        <f t="array" ref="K176">INDEX('GMW - worst case'!$A$2:$MC$200,MATCH(1,('GMW - worst case'!$MC$2:$MC$200=K$3)*('GMW - worst case'!$MB$2:$MB$200=K$4),0),$E176-1973)</f>
        <v>#N/A</v>
      </c>
      <c r="L176" t="e" cm="1">
        <f t="array" ref="L176">INDEX('GMW - worst case'!$A$2:$MC$200,MATCH(1,('GMW - worst case'!$MC$2:$MC$200=L$3)*('GMW - worst case'!$MB$2:$MB$200=L$4),0),$E176-1973)</f>
        <v>#N/A</v>
      </c>
      <c r="M176" t="e" cm="1">
        <f t="array" ref="M176">INDEX('GMW - worst case'!$A$2:$MC$200,MATCH(1,('GMW - worst case'!$MC$2:$MC$200=M$3)*('GMW - worst case'!$MB$2:$MB$200=M$4),0),$E176-1973)</f>
        <v>#N/A</v>
      </c>
      <c r="N176" t="e" cm="1">
        <f t="array" ref="N176">INDEX('GMW - worst case'!$A$2:$MC$200,MATCH(1,('GMW - worst case'!$MC$2:$MC$200=N$3)*('GMW - worst case'!$MB$2:$MB$200=N$4),0),$E176-1973)</f>
        <v>#N/A</v>
      </c>
      <c r="O176" t="e" cm="1">
        <f t="array" ref="O176">INDEX('GMW - worst case'!$A$2:$MC$200,MATCH(1,('GMW - worst case'!$MC$2:$MC$200=O$3)*('GMW - worst case'!$MB$2:$MB$200=O$4),0),$E176-1973)</f>
        <v>#N/A</v>
      </c>
      <c r="P176" t="e" cm="1">
        <f t="array" ref="P176">INDEX('GMW - worst case'!$A$2:$MC$200,MATCH(1,('GMW - worst case'!$MC$2:$MC$200=P$3)*('GMW - worst case'!$MB$2:$MB$200=P$4),0),$E176-1973)</f>
        <v>#N/A</v>
      </c>
      <c r="Q176" t="e" cm="1">
        <f t="array" ref="Q176">INDEX('GMW - worst case'!$A$2:$MC$200,MATCH(1,('GMW - worst case'!$MC$2:$MC$200=Q$3)*('GMW - worst case'!$MB$2:$MB$200=Q$4),0),$E176-1973)</f>
        <v>#N/A</v>
      </c>
      <c r="R176" t="e" cm="1">
        <f t="array" ref="R176">INDEX('GMW - worst case'!$A$2:$MC$200,MATCH(1,('GMW - worst case'!$MC$2:$MC$200=R$3)*('GMW - worst case'!$MB$2:$MB$200=R$4),0),$E176-1973)</f>
        <v>#N/A</v>
      </c>
      <c r="S176" t="e" cm="1">
        <f t="array" ref="S176">INDEX('GMW - worst case'!$A$2:$MC$200,MATCH(1,('GMW - worst case'!$MC$2:$MC$200=S$3)*('GMW - worst case'!$MB$2:$MB$200=S$4),0),$E176-1973)</f>
        <v>#N/A</v>
      </c>
    </row>
    <row r="177" spans="1:19" x14ac:dyDescent="0.25">
      <c r="B177">
        <f t="shared" si="14"/>
        <v>2022</v>
      </c>
      <c r="C177">
        <f t="shared" si="14"/>
        <v>2022</v>
      </c>
      <c r="E177">
        <f t="shared" si="11"/>
        <v>2150</v>
      </c>
      <c r="F177" cm="1">
        <f t="array" ref="F177">INDEX('GMW - worst case'!$A$2:$MC$200,MATCH(1,('GMW - worst case'!$MC$2:$MC$200=F$3)*('GMW - worst case'!$MB$2:$MB$200=F$4),0),$E177-1973)</f>
        <v>687029</v>
      </c>
      <c r="G177" cm="1">
        <f t="array" ref="G177">INDEX('GMW - worst case'!$A$2:$MC$200,MATCH(1,('GMW - worst case'!$MC$2:$MC$200=G$3)*('GMW - worst case'!$MB$2:$MB$200=G$4),0),$E177-1973)</f>
        <v>416076</v>
      </c>
      <c r="H177" cm="1">
        <f t="array" ref="H177">INDEX('GMW - worst case'!$A$2:$MC$200,MATCH(1,('GMW - worst case'!$MC$2:$MC$200=H$3)*('GMW - worst case'!$MB$2:$MB$200=H$4),0),$E177-1973)</f>
        <v>123.13330000000001</v>
      </c>
      <c r="I177" cm="1">
        <f t="array" ref="I177">INDEX('GMW - worst case'!$A$2:$MC$200,MATCH(1,('GMW - worst case'!$MC$2:$MC$200=I$3)*('GMW - worst case'!$MB$2:$MB$200=I$4),0),$E177-1973)</f>
        <v>1.6212120000000001</v>
      </c>
      <c r="J177" t="e" cm="1">
        <f t="array" ref="J177">INDEX('GMW - worst case'!$A$2:$MC$200,MATCH(1,('GMW - worst case'!$MC$2:$MC$200=J$3)*('GMW - worst case'!$MB$2:$MB$200=J$4),0),$E177-1973)</f>
        <v>#N/A</v>
      </c>
      <c r="K177" t="e" cm="1">
        <f t="array" ref="K177">INDEX('GMW - worst case'!$A$2:$MC$200,MATCH(1,('GMW - worst case'!$MC$2:$MC$200=K$3)*('GMW - worst case'!$MB$2:$MB$200=K$4),0),$E177-1973)</f>
        <v>#N/A</v>
      </c>
      <c r="L177" t="e" cm="1">
        <f t="array" ref="L177">INDEX('GMW - worst case'!$A$2:$MC$200,MATCH(1,('GMW - worst case'!$MC$2:$MC$200=L$3)*('GMW - worst case'!$MB$2:$MB$200=L$4),0),$E177-1973)</f>
        <v>#N/A</v>
      </c>
      <c r="M177" t="e" cm="1">
        <f t="array" ref="M177">INDEX('GMW - worst case'!$A$2:$MC$200,MATCH(1,('GMW - worst case'!$MC$2:$MC$200=M$3)*('GMW - worst case'!$MB$2:$MB$200=M$4),0),$E177-1973)</f>
        <v>#N/A</v>
      </c>
      <c r="N177" t="e" cm="1">
        <f t="array" ref="N177">INDEX('GMW - worst case'!$A$2:$MC$200,MATCH(1,('GMW - worst case'!$MC$2:$MC$200=N$3)*('GMW - worst case'!$MB$2:$MB$200=N$4),0),$E177-1973)</f>
        <v>#N/A</v>
      </c>
      <c r="O177" t="e" cm="1">
        <f t="array" ref="O177">INDEX('GMW - worst case'!$A$2:$MC$200,MATCH(1,('GMW - worst case'!$MC$2:$MC$200=O$3)*('GMW - worst case'!$MB$2:$MB$200=O$4),0),$E177-1973)</f>
        <v>#N/A</v>
      </c>
      <c r="P177" t="e" cm="1">
        <f t="array" ref="P177">INDEX('GMW - worst case'!$A$2:$MC$200,MATCH(1,('GMW - worst case'!$MC$2:$MC$200=P$3)*('GMW - worst case'!$MB$2:$MB$200=P$4),0),$E177-1973)</f>
        <v>#N/A</v>
      </c>
      <c r="Q177" t="e" cm="1">
        <f t="array" ref="Q177">INDEX('GMW - worst case'!$A$2:$MC$200,MATCH(1,('GMW - worst case'!$MC$2:$MC$200=Q$3)*('GMW - worst case'!$MB$2:$MB$200=Q$4),0),$E177-1973)</f>
        <v>#N/A</v>
      </c>
      <c r="R177" t="e" cm="1">
        <f t="array" ref="R177">INDEX('GMW - worst case'!$A$2:$MC$200,MATCH(1,('GMW - worst case'!$MC$2:$MC$200=R$3)*('GMW - worst case'!$MB$2:$MB$200=R$4),0),$E177-1973)</f>
        <v>#N/A</v>
      </c>
      <c r="S177" t="e" cm="1">
        <f t="array" ref="S177">INDEX('GMW - worst case'!$A$2:$MC$200,MATCH(1,('GMW - worst case'!$MC$2:$MC$200=S$3)*('GMW - worst case'!$MB$2:$MB$200=S$4),0),$E177-1973)</f>
        <v>#N/A</v>
      </c>
    </row>
    <row r="178" spans="1:19" x14ac:dyDescent="0.25">
      <c r="B178">
        <f t="shared" si="14"/>
        <v>2022</v>
      </c>
      <c r="C178">
        <f t="shared" si="14"/>
        <v>2022</v>
      </c>
      <c r="E178">
        <f t="shared" si="11"/>
        <v>2151</v>
      </c>
      <c r="F178" cm="1">
        <f t="array" ref="F178">INDEX('GMW - worst case'!$A$2:$MC$200,MATCH(1,('GMW - worst case'!$MC$2:$MC$200=F$3)*('GMW - worst case'!$MB$2:$MB$200=F$4),0),$E178-1973)</f>
        <v>688817</v>
      </c>
      <c r="G178" cm="1">
        <f t="array" ref="G178">INDEX('GMW - worst case'!$A$2:$MC$200,MATCH(1,('GMW - worst case'!$MC$2:$MC$200=G$3)*('GMW - worst case'!$MB$2:$MB$200=G$4),0),$E178-1973)</f>
        <v>417728</v>
      </c>
      <c r="H178" cm="1">
        <f t="array" ref="H178">INDEX('GMW - worst case'!$A$2:$MC$200,MATCH(1,('GMW - worst case'!$MC$2:$MC$200=H$3)*('GMW - worst case'!$MB$2:$MB$200=H$4),0),$E178-1973)</f>
        <v>126.7</v>
      </c>
      <c r="I178" cm="1">
        <f t="array" ref="I178">INDEX('GMW - worst case'!$A$2:$MC$200,MATCH(1,('GMW - worst case'!$MC$2:$MC$200=I$3)*('GMW - worst case'!$MB$2:$MB$200=I$4),0),$E178-1973)</f>
        <v>2.8269229999999999</v>
      </c>
      <c r="J178" t="e" cm="1">
        <f t="array" ref="J178">INDEX('GMW - worst case'!$A$2:$MC$200,MATCH(1,('GMW - worst case'!$MC$2:$MC$200=J$3)*('GMW - worst case'!$MB$2:$MB$200=J$4),0),$E178-1973)</f>
        <v>#N/A</v>
      </c>
      <c r="K178" t="e" cm="1">
        <f t="array" ref="K178">INDEX('GMW - worst case'!$A$2:$MC$200,MATCH(1,('GMW - worst case'!$MC$2:$MC$200=K$3)*('GMW - worst case'!$MB$2:$MB$200=K$4),0),$E178-1973)</f>
        <v>#N/A</v>
      </c>
      <c r="L178" t="e" cm="1">
        <f t="array" ref="L178">INDEX('GMW - worst case'!$A$2:$MC$200,MATCH(1,('GMW - worst case'!$MC$2:$MC$200=L$3)*('GMW - worst case'!$MB$2:$MB$200=L$4),0),$E178-1973)</f>
        <v>#N/A</v>
      </c>
      <c r="M178" t="e" cm="1">
        <f t="array" ref="M178">INDEX('GMW - worst case'!$A$2:$MC$200,MATCH(1,('GMW - worst case'!$MC$2:$MC$200=M$3)*('GMW - worst case'!$MB$2:$MB$200=M$4),0),$E178-1973)</f>
        <v>#N/A</v>
      </c>
      <c r="N178" t="e" cm="1">
        <f t="array" ref="N178">INDEX('GMW - worst case'!$A$2:$MC$200,MATCH(1,('GMW - worst case'!$MC$2:$MC$200=N$3)*('GMW - worst case'!$MB$2:$MB$200=N$4),0),$E178-1973)</f>
        <v>#N/A</v>
      </c>
      <c r="O178" t="e" cm="1">
        <f t="array" ref="O178">INDEX('GMW - worst case'!$A$2:$MC$200,MATCH(1,('GMW - worst case'!$MC$2:$MC$200=O$3)*('GMW - worst case'!$MB$2:$MB$200=O$4),0),$E178-1973)</f>
        <v>#N/A</v>
      </c>
      <c r="P178" t="e" cm="1">
        <f t="array" ref="P178">INDEX('GMW - worst case'!$A$2:$MC$200,MATCH(1,('GMW - worst case'!$MC$2:$MC$200=P$3)*('GMW - worst case'!$MB$2:$MB$200=P$4),0),$E178-1973)</f>
        <v>#N/A</v>
      </c>
      <c r="Q178" t="e" cm="1">
        <f t="array" ref="Q178">INDEX('GMW - worst case'!$A$2:$MC$200,MATCH(1,('GMW - worst case'!$MC$2:$MC$200=Q$3)*('GMW - worst case'!$MB$2:$MB$200=Q$4),0),$E178-1973)</f>
        <v>#N/A</v>
      </c>
      <c r="R178" t="e" cm="1">
        <f t="array" ref="R178">INDEX('GMW - worst case'!$A$2:$MC$200,MATCH(1,('GMW - worst case'!$MC$2:$MC$200=R$3)*('GMW - worst case'!$MB$2:$MB$200=R$4),0),$E178-1973)</f>
        <v>#N/A</v>
      </c>
      <c r="S178" t="e" cm="1">
        <f t="array" ref="S178">INDEX('GMW - worst case'!$A$2:$MC$200,MATCH(1,('GMW - worst case'!$MC$2:$MC$200=S$3)*('GMW - worst case'!$MB$2:$MB$200=S$4),0),$E178-1973)</f>
        <v>#N/A</v>
      </c>
    </row>
    <row r="179" spans="1:19" x14ac:dyDescent="0.25">
      <c r="A179">
        <v>2023</v>
      </c>
      <c r="B179">
        <f t="shared" si="14"/>
        <v>2023</v>
      </c>
      <c r="C179">
        <f t="shared" si="14"/>
        <v>2022</v>
      </c>
      <c r="D179">
        <f t="shared" si="14"/>
        <v>2022</v>
      </c>
      <c r="E179">
        <f t="shared" si="11"/>
        <v>2152</v>
      </c>
      <c r="F179" cm="1">
        <f t="array" ref="F179">INDEX('GMW - worst case'!$A$2:$MC$200,MATCH(1,('GMW - worst case'!$MC$2:$MC$200=F$3)*('GMW - worst case'!$MB$2:$MB$200=F$4),0),$E179-1973)</f>
        <v>689206</v>
      </c>
      <c r="G179" cm="1">
        <f t="array" ref="G179">INDEX('GMW - worst case'!$A$2:$MC$200,MATCH(1,('GMW - worst case'!$MC$2:$MC$200=G$3)*('GMW - worst case'!$MB$2:$MB$200=G$4),0),$E179-1973)</f>
        <v>415180</v>
      </c>
      <c r="H179" cm="1">
        <f t="array" ref="H179">INDEX('GMW - worst case'!$A$2:$MC$200,MATCH(1,('GMW - worst case'!$MC$2:$MC$200=H$3)*('GMW - worst case'!$MB$2:$MB$200=H$4),0),$E179-1973)</f>
        <v>127.7333</v>
      </c>
      <c r="I179" cm="1">
        <f t="array" ref="I179">INDEX('GMW - worst case'!$A$2:$MC$200,MATCH(1,('GMW - worst case'!$MC$2:$MC$200=I$3)*('GMW - worst case'!$MB$2:$MB$200=I$4),0),$E179-1973)</f>
        <v>3.85</v>
      </c>
      <c r="J179" t="e" cm="1">
        <f t="array" ref="J179">INDEX('GMW - worst case'!$A$2:$MC$200,MATCH(1,('GMW - worst case'!$MC$2:$MC$200=J$3)*('GMW - worst case'!$MB$2:$MB$200=J$4),0),$E179-1973)</f>
        <v>#N/A</v>
      </c>
      <c r="K179" t="e" cm="1">
        <f t="array" ref="K179">INDEX('GMW - worst case'!$A$2:$MC$200,MATCH(1,('GMW - worst case'!$MC$2:$MC$200=K$3)*('GMW - worst case'!$MB$2:$MB$200=K$4),0),$E179-1973)</f>
        <v>#N/A</v>
      </c>
      <c r="L179" t="e" cm="1">
        <f t="array" ref="L179">INDEX('GMW - worst case'!$A$2:$MC$200,MATCH(1,('GMW - worst case'!$MC$2:$MC$200=L$3)*('GMW - worst case'!$MB$2:$MB$200=L$4),0),$E179-1973)</f>
        <v>#N/A</v>
      </c>
      <c r="M179" t="e" cm="1">
        <f t="array" ref="M179">INDEX('GMW - worst case'!$A$2:$MC$200,MATCH(1,('GMW - worst case'!$MC$2:$MC$200=M$3)*('GMW - worst case'!$MB$2:$MB$200=M$4),0),$E179-1973)</f>
        <v>#N/A</v>
      </c>
      <c r="N179" t="e" cm="1">
        <f t="array" ref="N179">INDEX('GMW - worst case'!$A$2:$MC$200,MATCH(1,('GMW - worst case'!$MC$2:$MC$200=N$3)*('GMW - worst case'!$MB$2:$MB$200=N$4),0),$E179-1973)</f>
        <v>#N/A</v>
      </c>
      <c r="O179" t="e" cm="1">
        <f t="array" ref="O179">INDEX('GMW - worst case'!$A$2:$MC$200,MATCH(1,('GMW - worst case'!$MC$2:$MC$200=O$3)*('GMW - worst case'!$MB$2:$MB$200=O$4),0),$E179-1973)</f>
        <v>#N/A</v>
      </c>
      <c r="P179" t="e" cm="1">
        <f t="array" ref="P179">INDEX('GMW - worst case'!$A$2:$MC$200,MATCH(1,('GMW - worst case'!$MC$2:$MC$200=P$3)*('GMW - worst case'!$MB$2:$MB$200=P$4),0),$E179-1973)</f>
        <v>#N/A</v>
      </c>
      <c r="Q179" t="e" cm="1">
        <f t="array" ref="Q179">INDEX('GMW - worst case'!$A$2:$MC$200,MATCH(1,('GMW - worst case'!$MC$2:$MC$200=Q$3)*('GMW - worst case'!$MB$2:$MB$200=Q$4),0),$E179-1973)</f>
        <v>#N/A</v>
      </c>
      <c r="R179" t="e" cm="1">
        <f t="array" ref="R179">INDEX('GMW - worst case'!$A$2:$MC$200,MATCH(1,('GMW - worst case'!$MC$2:$MC$200=R$3)*('GMW - worst case'!$MB$2:$MB$200=R$4),0),$E179-1973)</f>
        <v>#N/A</v>
      </c>
      <c r="S179" t="e" cm="1">
        <f t="array" ref="S179">INDEX('GMW - worst case'!$A$2:$MC$200,MATCH(1,('GMW - worst case'!$MC$2:$MC$200=S$3)*('GMW - worst case'!$MB$2:$MB$200=S$4),0),$E179-1973)</f>
        <v>#N/A</v>
      </c>
    </row>
    <row r="180" spans="1:19" x14ac:dyDescent="0.25">
      <c r="B180">
        <f t="shared" si="14"/>
        <v>2023</v>
      </c>
      <c r="C180">
        <f t="shared" si="14"/>
        <v>2023</v>
      </c>
      <c r="E180">
        <f t="shared" si="11"/>
        <v>2153</v>
      </c>
      <c r="F180" cm="1">
        <f t="array" ref="F180">INDEX('GMW - worst case'!$A$2:$MC$200,MATCH(1,('GMW - worst case'!$MC$2:$MC$200=F$3)*('GMW - worst case'!$MB$2:$MB$200=F$4),0),$E180-1973)</f>
        <v>689491</v>
      </c>
      <c r="G180" cm="1">
        <f t="array" ref="G180">INDEX('GMW - worst case'!$A$2:$MC$200,MATCH(1,('GMW - worst case'!$MC$2:$MC$200=G$3)*('GMW - worst case'!$MB$2:$MB$200=G$4),0),$E180-1973)</f>
        <v>416034</v>
      </c>
      <c r="H180" cm="1">
        <f t="array" ref="H180">INDEX('GMW - worst case'!$A$2:$MC$200,MATCH(1,('GMW - worst case'!$MC$2:$MC$200=H$3)*('GMW - worst case'!$MB$2:$MB$200=H$4),0),$E180-1973)</f>
        <v>131.0667</v>
      </c>
      <c r="I180" cm="1">
        <f t="array" ref="I180">INDEX('GMW - worst case'!$A$2:$MC$200,MATCH(1,('GMW - worst case'!$MC$2:$MC$200=I$3)*('GMW - worst case'!$MB$2:$MB$200=I$4),0),$E180-1973)</f>
        <v>4.4461539999999999</v>
      </c>
      <c r="J180" t="e" cm="1">
        <f t="array" ref="J180">INDEX('GMW - worst case'!$A$2:$MC$200,MATCH(1,('GMW - worst case'!$MC$2:$MC$200=J$3)*('GMW - worst case'!$MB$2:$MB$200=J$4),0),$E180-1973)</f>
        <v>#N/A</v>
      </c>
      <c r="K180" t="e" cm="1">
        <f t="array" ref="K180">INDEX('GMW - worst case'!$A$2:$MC$200,MATCH(1,('GMW - worst case'!$MC$2:$MC$200=K$3)*('GMW - worst case'!$MB$2:$MB$200=K$4),0),$E180-1973)</f>
        <v>#N/A</v>
      </c>
      <c r="L180" t="e" cm="1">
        <f t="array" ref="L180">INDEX('GMW - worst case'!$A$2:$MC$200,MATCH(1,('GMW - worst case'!$MC$2:$MC$200=L$3)*('GMW - worst case'!$MB$2:$MB$200=L$4),0),$E180-1973)</f>
        <v>#N/A</v>
      </c>
      <c r="M180" t="e" cm="1">
        <f t="array" ref="M180">INDEX('GMW - worst case'!$A$2:$MC$200,MATCH(1,('GMW - worst case'!$MC$2:$MC$200=M$3)*('GMW - worst case'!$MB$2:$MB$200=M$4),0),$E180-1973)</f>
        <v>#N/A</v>
      </c>
      <c r="N180" t="e" cm="1">
        <f t="array" ref="N180">INDEX('GMW - worst case'!$A$2:$MC$200,MATCH(1,('GMW - worst case'!$MC$2:$MC$200=N$3)*('GMW - worst case'!$MB$2:$MB$200=N$4),0),$E180-1973)</f>
        <v>#N/A</v>
      </c>
      <c r="O180" t="e" cm="1">
        <f t="array" ref="O180">INDEX('GMW - worst case'!$A$2:$MC$200,MATCH(1,('GMW - worst case'!$MC$2:$MC$200=O$3)*('GMW - worst case'!$MB$2:$MB$200=O$4),0),$E180-1973)</f>
        <v>#N/A</v>
      </c>
      <c r="P180" t="e" cm="1">
        <f t="array" ref="P180">INDEX('GMW - worst case'!$A$2:$MC$200,MATCH(1,('GMW - worst case'!$MC$2:$MC$200=P$3)*('GMW - worst case'!$MB$2:$MB$200=P$4),0),$E180-1973)</f>
        <v>#N/A</v>
      </c>
      <c r="Q180" t="e" cm="1">
        <f t="array" ref="Q180">INDEX('GMW - worst case'!$A$2:$MC$200,MATCH(1,('GMW - worst case'!$MC$2:$MC$200=Q$3)*('GMW - worst case'!$MB$2:$MB$200=Q$4),0),$E180-1973)</f>
        <v>#N/A</v>
      </c>
      <c r="R180" t="e" cm="1">
        <f t="array" ref="R180">INDEX('GMW - worst case'!$A$2:$MC$200,MATCH(1,('GMW - worst case'!$MC$2:$MC$200=R$3)*('GMW - worst case'!$MB$2:$MB$200=R$4),0),$E180-1973)</f>
        <v>#N/A</v>
      </c>
      <c r="S180" t="e" cm="1">
        <f t="array" ref="S180">INDEX('GMW - worst case'!$A$2:$MC$200,MATCH(1,('GMW - worst case'!$MC$2:$MC$200=S$3)*('GMW - worst case'!$MB$2:$MB$200=S$4),0),$E180-1973)</f>
        <v>#N/A</v>
      </c>
    </row>
    <row r="181" spans="1:19" x14ac:dyDescent="0.25">
      <c r="B181">
        <f t="shared" si="14"/>
        <v>2023</v>
      </c>
      <c r="C181">
        <f t="shared" si="14"/>
        <v>2023</v>
      </c>
      <c r="E181">
        <f t="shared" si="11"/>
        <v>2154</v>
      </c>
      <c r="F181" cm="1">
        <f t="array" ref="F181">INDEX('GMW - worst case'!$A$2:$MC$200,MATCH(1,('GMW - worst case'!$MC$2:$MC$200=F$3)*('GMW - worst case'!$MB$2:$MB$200=F$4),0),$E181-1973)</f>
        <v>687839</v>
      </c>
      <c r="G181" cm="1">
        <f t="array" ref="G181">INDEX('GMW - worst case'!$A$2:$MC$200,MATCH(1,('GMW - worst case'!$MC$2:$MC$200=G$3)*('GMW - worst case'!$MB$2:$MB$200=G$4),0),$E181-1973)</f>
        <v>410873</v>
      </c>
      <c r="H181" cm="1">
        <f t="array" ref="H181">INDEX('GMW - worst case'!$A$2:$MC$200,MATCH(1,('GMW - worst case'!$MC$2:$MC$200=H$3)*('GMW - worst case'!$MB$2:$MB$200=H$4),0),$E181-1973)</f>
        <v>131.4</v>
      </c>
      <c r="I181" cm="1">
        <f t="array" ref="I181">INDEX('GMW - worst case'!$A$2:$MC$200,MATCH(1,('GMW - worst case'!$MC$2:$MC$200=I$3)*('GMW - worst case'!$MB$2:$MB$200=I$4),0),$E181-1973)</f>
        <v>5.1615390000000003</v>
      </c>
      <c r="J181" t="e" cm="1">
        <f t="array" ref="J181">INDEX('GMW - worst case'!$A$2:$MC$200,MATCH(1,('GMW - worst case'!$MC$2:$MC$200=J$3)*('GMW - worst case'!$MB$2:$MB$200=J$4),0),$E181-1973)</f>
        <v>#N/A</v>
      </c>
      <c r="K181" t="e" cm="1">
        <f t="array" ref="K181">INDEX('GMW - worst case'!$A$2:$MC$200,MATCH(1,('GMW - worst case'!$MC$2:$MC$200=K$3)*('GMW - worst case'!$MB$2:$MB$200=K$4),0),$E181-1973)</f>
        <v>#N/A</v>
      </c>
      <c r="L181" t="e" cm="1">
        <f t="array" ref="L181">INDEX('GMW - worst case'!$A$2:$MC$200,MATCH(1,('GMW - worst case'!$MC$2:$MC$200=L$3)*('GMW - worst case'!$MB$2:$MB$200=L$4),0),$E181-1973)</f>
        <v>#N/A</v>
      </c>
      <c r="M181" t="e" cm="1">
        <f t="array" ref="M181">INDEX('GMW - worst case'!$A$2:$MC$200,MATCH(1,('GMW - worst case'!$MC$2:$MC$200=M$3)*('GMW - worst case'!$MB$2:$MB$200=M$4),0),$E181-1973)</f>
        <v>#N/A</v>
      </c>
      <c r="N181" t="e" cm="1">
        <f t="array" ref="N181">INDEX('GMW - worst case'!$A$2:$MC$200,MATCH(1,('GMW - worst case'!$MC$2:$MC$200=N$3)*('GMW - worst case'!$MB$2:$MB$200=N$4),0),$E181-1973)</f>
        <v>#N/A</v>
      </c>
      <c r="O181" t="e" cm="1">
        <f t="array" ref="O181">INDEX('GMW - worst case'!$A$2:$MC$200,MATCH(1,('GMW - worst case'!$MC$2:$MC$200=O$3)*('GMW - worst case'!$MB$2:$MB$200=O$4),0),$E181-1973)</f>
        <v>#N/A</v>
      </c>
      <c r="P181" t="e" cm="1">
        <f t="array" ref="P181">INDEX('GMW - worst case'!$A$2:$MC$200,MATCH(1,('GMW - worst case'!$MC$2:$MC$200=P$3)*('GMW - worst case'!$MB$2:$MB$200=P$4),0),$E181-1973)</f>
        <v>#N/A</v>
      </c>
      <c r="Q181" t="e" cm="1">
        <f t="array" ref="Q181">INDEX('GMW - worst case'!$A$2:$MC$200,MATCH(1,('GMW - worst case'!$MC$2:$MC$200=Q$3)*('GMW - worst case'!$MB$2:$MB$200=Q$4),0),$E181-1973)</f>
        <v>#N/A</v>
      </c>
      <c r="R181" t="e" cm="1">
        <f t="array" ref="R181">INDEX('GMW - worst case'!$A$2:$MC$200,MATCH(1,('GMW - worst case'!$MC$2:$MC$200=R$3)*('GMW - worst case'!$MB$2:$MB$200=R$4),0),$E181-1973)</f>
        <v>#N/A</v>
      </c>
      <c r="S181" t="e" cm="1">
        <f t="array" ref="S181">INDEX('GMW - worst case'!$A$2:$MC$200,MATCH(1,('GMW - worst case'!$MC$2:$MC$200=S$3)*('GMW - worst case'!$MB$2:$MB$200=S$4),0),$E181-1973)</f>
        <v>#N/A</v>
      </c>
    </row>
    <row r="182" spans="1:19" x14ac:dyDescent="0.25">
      <c r="B182">
        <f t="shared" si="14"/>
        <v>2023</v>
      </c>
      <c r="C182">
        <f t="shared" si="14"/>
        <v>2023</v>
      </c>
      <c r="E182">
        <f t="shared" si="11"/>
        <v>2155</v>
      </c>
      <c r="F182" cm="1">
        <f t="array" ref="F182">INDEX('GMW - worst case'!$A$2:$MC$200,MATCH(1,('GMW - worst case'!$MC$2:$MC$200=F$3)*('GMW - worst case'!$MB$2:$MB$200=F$4),0),$E182-1973)</f>
        <v>685628</v>
      </c>
      <c r="G182" cm="1">
        <f t="array" ref="G182">INDEX('GMW - worst case'!$A$2:$MC$200,MATCH(1,('GMW - worst case'!$MC$2:$MC$200=G$3)*('GMW - worst case'!$MB$2:$MB$200=G$4),0),$E182-1973)</f>
        <v>410194</v>
      </c>
      <c r="H182" cm="1">
        <f t="array" ref="H182">INDEX('GMW - worst case'!$A$2:$MC$200,MATCH(1,('GMW - worst case'!$MC$2:$MC$200=H$3)*('GMW - worst case'!$MB$2:$MB$200=H$4),0),$E182-1973)</f>
        <v>131.9667</v>
      </c>
      <c r="I182" cm="1">
        <f t="array" ref="I182">INDEX('GMW - worst case'!$A$2:$MC$200,MATCH(1,('GMW - worst case'!$MC$2:$MC$200=I$3)*('GMW - worst case'!$MB$2:$MB$200=I$4),0),$E182-1973)</f>
        <v>5.25</v>
      </c>
      <c r="J182" t="e" cm="1">
        <f t="array" ref="J182">INDEX('GMW - worst case'!$A$2:$MC$200,MATCH(1,('GMW - worst case'!$MC$2:$MC$200=J$3)*('GMW - worst case'!$MB$2:$MB$200=J$4),0),$E182-1973)</f>
        <v>#N/A</v>
      </c>
      <c r="K182" t="e" cm="1">
        <f t="array" ref="K182">INDEX('GMW - worst case'!$A$2:$MC$200,MATCH(1,('GMW - worst case'!$MC$2:$MC$200=K$3)*('GMW - worst case'!$MB$2:$MB$200=K$4),0),$E182-1973)</f>
        <v>#N/A</v>
      </c>
      <c r="L182" t="e" cm="1">
        <f t="array" ref="L182">INDEX('GMW - worst case'!$A$2:$MC$200,MATCH(1,('GMW - worst case'!$MC$2:$MC$200=L$3)*('GMW - worst case'!$MB$2:$MB$200=L$4),0),$E182-1973)</f>
        <v>#N/A</v>
      </c>
      <c r="M182" t="e" cm="1">
        <f t="array" ref="M182">INDEX('GMW - worst case'!$A$2:$MC$200,MATCH(1,('GMW - worst case'!$MC$2:$MC$200=M$3)*('GMW - worst case'!$MB$2:$MB$200=M$4),0),$E182-1973)</f>
        <v>#N/A</v>
      </c>
      <c r="N182" t="e" cm="1">
        <f t="array" ref="N182">INDEX('GMW - worst case'!$A$2:$MC$200,MATCH(1,('GMW - worst case'!$MC$2:$MC$200=N$3)*('GMW - worst case'!$MB$2:$MB$200=N$4),0),$E182-1973)</f>
        <v>#N/A</v>
      </c>
      <c r="O182" t="e" cm="1">
        <f t="array" ref="O182">INDEX('GMW - worst case'!$A$2:$MC$200,MATCH(1,('GMW - worst case'!$MC$2:$MC$200=O$3)*('GMW - worst case'!$MB$2:$MB$200=O$4),0),$E182-1973)</f>
        <v>#N/A</v>
      </c>
      <c r="P182" t="e" cm="1">
        <f t="array" ref="P182">INDEX('GMW - worst case'!$A$2:$MC$200,MATCH(1,('GMW - worst case'!$MC$2:$MC$200=P$3)*('GMW - worst case'!$MB$2:$MB$200=P$4),0),$E182-1973)</f>
        <v>#N/A</v>
      </c>
      <c r="Q182" t="e" cm="1">
        <f t="array" ref="Q182">INDEX('GMW - worst case'!$A$2:$MC$200,MATCH(1,('GMW - worst case'!$MC$2:$MC$200=Q$3)*('GMW - worst case'!$MB$2:$MB$200=Q$4),0),$E182-1973)</f>
        <v>#N/A</v>
      </c>
      <c r="R182" t="e" cm="1">
        <f t="array" ref="R182">INDEX('GMW - worst case'!$A$2:$MC$200,MATCH(1,('GMW - worst case'!$MC$2:$MC$200=R$3)*('GMW - worst case'!$MB$2:$MB$200=R$4),0),$E182-1973)</f>
        <v>#N/A</v>
      </c>
      <c r="S182" t="e" cm="1">
        <f t="array" ref="S182">INDEX('GMW - worst case'!$A$2:$MC$200,MATCH(1,('GMW - worst case'!$MC$2:$MC$200=S$3)*('GMW - worst case'!$MB$2:$MB$200=S$4),0),$E182-1973)</f>
        <v>#N/A</v>
      </c>
    </row>
    <row r="183" spans="1:19" x14ac:dyDescent="0.25">
      <c r="A183">
        <v>2024</v>
      </c>
      <c r="B183">
        <f t="shared" si="14"/>
        <v>2024</v>
      </c>
      <c r="C183">
        <f t="shared" si="14"/>
        <v>2023</v>
      </c>
      <c r="D183">
        <f t="shared" si="14"/>
        <v>2023</v>
      </c>
      <c r="E183">
        <f t="shared" si="11"/>
        <v>2156</v>
      </c>
      <c r="F183" cm="1">
        <f t="array" ref="F183">INDEX('GMW - worst case'!$A$2:$MC$200,MATCH(1,('GMW - worst case'!$MC$2:$MC$200=F$3)*('GMW - worst case'!$MB$2:$MB$200=F$4),0),$E183-1973)</f>
        <v>691198</v>
      </c>
      <c r="G183" cm="1">
        <f t="array" ref="G183">INDEX('GMW - worst case'!$A$2:$MC$200,MATCH(1,('GMW - worst case'!$MC$2:$MC$200=G$3)*('GMW - worst case'!$MB$2:$MB$200=G$4),0),$E183-1973)</f>
        <v>411349</v>
      </c>
      <c r="H183" cm="1">
        <f t="array" ref="H183">INDEX('GMW - worst case'!$A$2:$MC$200,MATCH(1,('GMW - worst case'!$MC$2:$MC$200=H$3)*('GMW - worst case'!$MB$2:$MB$200=H$4),0),$E183-1973)</f>
        <v>132.26669999999999</v>
      </c>
      <c r="I183" cm="1">
        <f t="array" ref="I183">INDEX('GMW - worst case'!$A$2:$MC$200,MATCH(1,('GMW - worst case'!$MC$2:$MC$200=I$3)*('GMW - worst case'!$MB$2:$MB$200=I$4),0),$E183-1973)</f>
        <v>5.25</v>
      </c>
      <c r="J183" t="e" cm="1">
        <f t="array" ref="J183">INDEX('GMW - worst case'!$A$2:$MC$200,MATCH(1,('GMW - worst case'!$MC$2:$MC$200=J$3)*('GMW - worst case'!$MB$2:$MB$200=J$4),0),$E183-1973)</f>
        <v>#N/A</v>
      </c>
      <c r="K183" t="e" cm="1">
        <f t="array" ref="K183">INDEX('GMW - worst case'!$A$2:$MC$200,MATCH(1,('GMW - worst case'!$MC$2:$MC$200=K$3)*('GMW - worst case'!$MB$2:$MB$200=K$4),0),$E183-1973)</f>
        <v>#N/A</v>
      </c>
      <c r="L183" t="e" cm="1">
        <f t="array" ref="L183">INDEX('GMW - worst case'!$A$2:$MC$200,MATCH(1,('GMW - worst case'!$MC$2:$MC$200=L$3)*('GMW - worst case'!$MB$2:$MB$200=L$4),0),$E183-1973)</f>
        <v>#N/A</v>
      </c>
      <c r="M183" t="e" cm="1">
        <f t="array" ref="M183">INDEX('GMW - worst case'!$A$2:$MC$200,MATCH(1,('GMW - worst case'!$MC$2:$MC$200=M$3)*('GMW - worst case'!$MB$2:$MB$200=M$4),0),$E183-1973)</f>
        <v>#N/A</v>
      </c>
      <c r="N183" t="e" cm="1">
        <f t="array" ref="N183">INDEX('GMW - worst case'!$A$2:$MC$200,MATCH(1,('GMW - worst case'!$MC$2:$MC$200=N$3)*('GMW - worst case'!$MB$2:$MB$200=N$4),0),$E183-1973)</f>
        <v>#N/A</v>
      </c>
      <c r="O183" t="e" cm="1">
        <f t="array" ref="O183">INDEX('GMW - worst case'!$A$2:$MC$200,MATCH(1,('GMW - worst case'!$MC$2:$MC$200=O$3)*('GMW - worst case'!$MB$2:$MB$200=O$4),0),$E183-1973)</f>
        <v>#N/A</v>
      </c>
      <c r="P183" t="e" cm="1">
        <f t="array" ref="P183">INDEX('GMW - worst case'!$A$2:$MC$200,MATCH(1,('GMW - worst case'!$MC$2:$MC$200=P$3)*('GMW - worst case'!$MB$2:$MB$200=P$4),0),$E183-1973)</f>
        <v>#N/A</v>
      </c>
      <c r="Q183" t="e" cm="1">
        <f t="array" ref="Q183">INDEX('GMW - worst case'!$A$2:$MC$200,MATCH(1,('GMW - worst case'!$MC$2:$MC$200=Q$3)*('GMW - worst case'!$MB$2:$MB$200=Q$4),0),$E183-1973)</f>
        <v>#N/A</v>
      </c>
      <c r="R183" t="e" cm="1">
        <f t="array" ref="R183">INDEX('GMW - worst case'!$A$2:$MC$200,MATCH(1,('GMW - worst case'!$MC$2:$MC$200=R$3)*('GMW - worst case'!$MB$2:$MB$200=R$4),0),$E183-1973)</f>
        <v>#N/A</v>
      </c>
      <c r="S183" t="e" cm="1">
        <f t="array" ref="S183">INDEX('GMW - worst case'!$A$2:$MC$200,MATCH(1,('GMW - worst case'!$MC$2:$MC$200=S$3)*('GMW - worst case'!$MB$2:$MB$200=S$4),0),$E183-1973)</f>
        <v>#N/A</v>
      </c>
    </row>
    <row r="184" spans="1:19" x14ac:dyDescent="0.25">
      <c r="B184">
        <f t="shared" si="14"/>
        <v>2024</v>
      </c>
      <c r="C184">
        <f t="shared" si="14"/>
        <v>2024</v>
      </c>
      <c r="E184">
        <f t="shared" si="11"/>
        <v>2157</v>
      </c>
      <c r="F184" cm="1">
        <f t="array" ref="F184">INDEX('GMW - worst case'!$A$2:$MC$200,MATCH(1,('GMW - worst case'!$MC$2:$MC$200=F$3)*('GMW - worst case'!$MB$2:$MB$200=F$4),0),$E184-1973)</f>
        <v>695280</v>
      </c>
      <c r="G184" cm="1">
        <f t="array" ref="G184">INDEX('GMW - worst case'!$A$2:$MC$200,MATCH(1,('GMW - worst case'!$MC$2:$MC$200=G$3)*('GMW - worst case'!$MB$2:$MB$200=G$4),0),$E184-1973)</f>
        <v>411115</v>
      </c>
      <c r="H184" cm="1">
        <f t="array" ref="H184">INDEX('GMW - worst case'!$A$2:$MC$200,MATCH(1,('GMW - worst case'!$MC$2:$MC$200=H$3)*('GMW - worst case'!$MB$2:$MB$200=H$4),0),$E184-1973)</f>
        <v>133.83330000000001</v>
      </c>
      <c r="I184" cm="1">
        <f t="array" ref="I184">INDEX('GMW - worst case'!$A$2:$MC$200,MATCH(1,('GMW - worst case'!$MC$2:$MC$200=I$3)*('GMW - worst case'!$MB$2:$MB$200=I$4),0),$E184-1973)</f>
        <v>5.25</v>
      </c>
      <c r="J184" t="e" cm="1">
        <f t="array" ref="J184">INDEX('GMW - worst case'!$A$2:$MC$200,MATCH(1,('GMW - worst case'!$MC$2:$MC$200=J$3)*('GMW - worst case'!$MB$2:$MB$200=J$4),0),$E184-1973)</f>
        <v>#N/A</v>
      </c>
      <c r="K184" t="e" cm="1">
        <f t="array" ref="K184">INDEX('GMW - worst case'!$A$2:$MC$200,MATCH(1,('GMW - worst case'!$MC$2:$MC$200=K$3)*('GMW - worst case'!$MB$2:$MB$200=K$4),0),$E184-1973)</f>
        <v>#N/A</v>
      </c>
      <c r="L184" t="e" cm="1">
        <f t="array" ref="L184">INDEX('GMW - worst case'!$A$2:$MC$200,MATCH(1,('GMW - worst case'!$MC$2:$MC$200=L$3)*('GMW - worst case'!$MB$2:$MB$200=L$4),0),$E184-1973)</f>
        <v>#N/A</v>
      </c>
      <c r="M184" t="e" cm="1">
        <f t="array" ref="M184">INDEX('GMW - worst case'!$A$2:$MC$200,MATCH(1,('GMW - worst case'!$MC$2:$MC$200=M$3)*('GMW - worst case'!$MB$2:$MB$200=M$4),0),$E184-1973)</f>
        <v>#N/A</v>
      </c>
      <c r="N184" t="e" cm="1">
        <f t="array" ref="N184">INDEX('GMW - worst case'!$A$2:$MC$200,MATCH(1,('GMW - worst case'!$MC$2:$MC$200=N$3)*('GMW - worst case'!$MB$2:$MB$200=N$4),0),$E184-1973)</f>
        <v>#N/A</v>
      </c>
      <c r="O184" t="e" cm="1">
        <f t="array" ref="O184">INDEX('GMW - worst case'!$A$2:$MC$200,MATCH(1,('GMW - worst case'!$MC$2:$MC$200=O$3)*('GMW - worst case'!$MB$2:$MB$200=O$4),0),$E184-1973)</f>
        <v>#N/A</v>
      </c>
      <c r="P184" t="e" cm="1">
        <f t="array" ref="P184">INDEX('GMW - worst case'!$A$2:$MC$200,MATCH(1,('GMW - worst case'!$MC$2:$MC$200=P$3)*('GMW - worst case'!$MB$2:$MB$200=P$4),0),$E184-1973)</f>
        <v>#N/A</v>
      </c>
      <c r="Q184" t="e" cm="1">
        <f t="array" ref="Q184">INDEX('GMW - worst case'!$A$2:$MC$200,MATCH(1,('GMW - worst case'!$MC$2:$MC$200=Q$3)*('GMW - worst case'!$MB$2:$MB$200=Q$4),0),$E184-1973)</f>
        <v>#N/A</v>
      </c>
      <c r="R184" t="e" cm="1">
        <f t="array" ref="R184">INDEX('GMW - worst case'!$A$2:$MC$200,MATCH(1,('GMW - worst case'!$MC$2:$MC$200=R$3)*('GMW - worst case'!$MB$2:$MB$200=R$4),0),$E184-1973)</f>
        <v>#N/A</v>
      </c>
      <c r="S184" t="e" cm="1">
        <f t="array" ref="S184">INDEX('GMW - worst case'!$A$2:$MC$200,MATCH(1,('GMW - worst case'!$MC$2:$MC$200=S$3)*('GMW - worst case'!$MB$2:$MB$200=S$4),0),$E184-1973)</f>
        <v>#N/A</v>
      </c>
    </row>
    <row r="185" spans="1:19" x14ac:dyDescent="0.25">
      <c r="B185">
        <f t="shared" si="14"/>
        <v>2024</v>
      </c>
      <c r="C185">
        <f t="shared" si="14"/>
        <v>2024</v>
      </c>
      <c r="E185">
        <f t="shared" si="11"/>
        <v>2158</v>
      </c>
      <c r="F185" cm="1">
        <f t="array" ref="F185">INDEX('GMW - worst case'!$A$2:$MC$200,MATCH(1,('GMW - worst case'!$MC$2:$MC$200=F$3)*('GMW - worst case'!$MB$2:$MB$200=F$4),0),$E185-1973)</f>
        <v>696853</v>
      </c>
      <c r="G185" cm="1">
        <f t="array" ref="G185">INDEX('GMW - worst case'!$A$2:$MC$200,MATCH(1,('GMW - worst case'!$MC$2:$MC$200=G$3)*('GMW - worst case'!$MB$2:$MB$200=G$4),0),$E185-1973)</f>
        <v>413915</v>
      </c>
      <c r="H185" cm="1">
        <f t="array" ref="H185">INDEX('GMW - worst case'!$A$2:$MC$200,MATCH(1,('GMW - worst case'!$MC$2:$MC$200=H$3)*('GMW - worst case'!$MB$2:$MB$200=H$4),0),$E185-1973)</f>
        <v>134.1</v>
      </c>
      <c r="I185" cm="1">
        <f t="array" ref="I185">INDEX('GMW - worst case'!$A$2:$MC$200,MATCH(1,('GMW - worst case'!$MC$2:$MC$200=I$3)*('GMW - worst case'!$MB$2:$MB$200=I$4),0),$E185-1973)</f>
        <v>5.0871209999999998</v>
      </c>
      <c r="J185" t="e" cm="1">
        <f t="array" ref="J185">INDEX('GMW - worst case'!$A$2:$MC$200,MATCH(1,('GMW - worst case'!$MC$2:$MC$200=J$3)*('GMW - worst case'!$MB$2:$MB$200=J$4),0),$E185-1973)</f>
        <v>#N/A</v>
      </c>
      <c r="K185" t="e" cm="1">
        <f t="array" ref="K185">INDEX('GMW - worst case'!$A$2:$MC$200,MATCH(1,('GMW - worst case'!$MC$2:$MC$200=K$3)*('GMW - worst case'!$MB$2:$MB$200=K$4),0),$E185-1973)</f>
        <v>#N/A</v>
      </c>
      <c r="L185" t="e" cm="1">
        <f t="array" ref="L185">INDEX('GMW - worst case'!$A$2:$MC$200,MATCH(1,('GMW - worst case'!$MC$2:$MC$200=L$3)*('GMW - worst case'!$MB$2:$MB$200=L$4),0),$E185-1973)</f>
        <v>#N/A</v>
      </c>
      <c r="M185" t="e" cm="1">
        <f t="array" ref="M185">INDEX('GMW - worst case'!$A$2:$MC$200,MATCH(1,('GMW - worst case'!$MC$2:$MC$200=M$3)*('GMW - worst case'!$MB$2:$MB$200=M$4),0),$E185-1973)</f>
        <v>#N/A</v>
      </c>
      <c r="N185" t="e" cm="1">
        <f t="array" ref="N185">INDEX('GMW - worst case'!$A$2:$MC$200,MATCH(1,('GMW - worst case'!$MC$2:$MC$200=N$3)*('GMW - worst case'!$MB$2:$MB$200=N$4),0),$E185-1973)</f>
        <v>#N/A</v>
      </c>
      <c r="O185" t="e" cm="1">
        <f t="array" ref="O185">INDEX('GMW - worst case'!$A$2:$MC$200,MATCH(1,('GMW - worst case'!$MC$2:$MC$200=O$3)*('GMW - worst case'!$MB$2:$MB$200=O$4),0),$E185-1973)</f>
        <v>#N/A</v>
      </c>
      <c r="P185" t="e" cm="1">
        <f t="array" ref="P185">INDEX('GMW - worst case'!$A$2:$MC$200,MATCH(1,('GMW - worst case'!$MC$2:$MC$200=P$3)*('GMW - worst case'!$MB$2:$MB$200=P$4),0),$E185-1973)</f>
        <v>#N/A</v>
      </c>
      <c r="Q185" t="e" cm="1">
        <f t="array" ref="Q185">INDEX('GMW - worst case'!$A$2:$MC$200,MATCH(1,('GMW - worst case'!$MC$2:$MC$200=Q$3)*('GMW - worst case'!$MB$2:$MB$200=Q$4),0),$E185-1973)</f>
        <v>#N/A</v>
      </c>
      <c r="R185" t="e" cm="1">
        <f t="array" ref="R185">INDEX('GMW - worst case'!$A$2:$MC$200,MATCH(1,('GMW - worst case'!$MC$2:$MC$200=R$3)*('GMW - worst case'!$MB$2:$MB$200=R$4),0),$E185-1973)</f>
        <v>#N/A</v>
      </c>
      <c r="S185" t="e" cm="1">
        <f t="array" ref="S185">INDEX('GMW - worst case'!$A$2:$MC$200,MATCH(1,('GMW - worst case'!$MC$2:$MC$200=S$3)*('GMW - worst case'!$MB$2:$MB$200=S$4),0),$E185-1973)</f>
        <v>#N/A</v>
      </c>
    </row>
    <row r="186" spans="1:19" x14ac:dyDescent="0.25">
      <c r="B186">
        <f t="shared" si="14"/>
        <v>2024</v>
      </c>
      <c r="C186">
        <f t="shared" si="14"/>
        <v>2024</v>
      </c>
      <c r="E186">
        <f t="shared" si="11"/>
        <v>2159</v>
      </c>
      <c r="F186" cm="1">
        <f t="array" ref="F186">INDEX('GMW - worst case'!$A$2:$MC$200,MATCH(1,('GMW - worst case'!$MC$2:$MC$200=F$3)*('GMW - worst case'!$MB$2:$MB$200=F$4),0),$E186-1973)</f>
        <v>698780</v>
      </c>
      <c r="G186" cm="1">
        <f t="array" ref="G186">INDEX('GMW - worst case'!$A$2:$MC$200,MATCH(1,('GMW - worst case'!$MC$2:$MC$200=G$3)*('GMW - worst case'!$MB$2:$MB$200=G$4),0),$E186-1973)</f>
        <v>414482</v>
      </c>
      <c r="H186" cm="1">
        <f t="array" ref="H186">INDEX('GMW - worst case'!$A$2:$MC$200,MATCH(1,('GMW - worst case'!$MC$2:$MC$200=H$3)*('GMW - worst case'!$MB$2:$MB$200=H$4),0),$E186-1973)</f>
        <v>135.23330000000001</v>
      </c>
      <c r="I186" cm="1">
        <f t="array" ref="I186">INDEX('GMW - worst case'!$A$2:$MC$200,MATCH(1,('GMW - worst case'!$MC$2:$MC$200=I$3)*('GMW - worst case'!$MB$2:$MB$200=I$4),0),$E186-1973)</f>
        <v>4.8522730000000003</v>
      </c>
      <c r="J186" t="e" cm="1">
        <f t="array" ref="J186">INDEX('GMW - worst case'!$A$2:$MC$200,MATCH(1,('GMW - worst case'!$MC$2:$MC$200=J$3)*('GMW - worst case'!$MB$2:$MB$200=J$4),0),$E186-1973)</f>
        <v>#N/A</v>
      </c>
      <c r="K186" t="e" cm="1">
        <f t="array" ref="K186">INDEX('GMW - worst case'!$A$2:$MC$200,MATCH(1,('GMW - worst case'!$MC$2:$MC$200=K$3)*('GMW - worst case'!$MB$2:$MB$200=K$4),0),$E186-1973)</f>
        <v>#N/A</v>
      </c>
      <c r="L186" t="e" cm="1">
        <f t="array" ref="L186">INDEX('GMW - worst case'!$A$2:$MC$200,MATCH(1,('GMW - worst case'!$MC$2:$MC$200=L$3)*('GMW - worst case'!$MB$2:$MB$200=L$4),0),$E186-1973)</f>
        <v>#N/A</v>
      </c>
      <c r="M186" t="e" cm="1">
        <f t="array" ref="M186">INDEX('GMW - worst case'!$A$2:$MC$200,MATCH(1,('GMW - worst case'!$MC$2:$MC$200=M$3)*('GMW - worst case'!$MB$2:$MB$200=M$4),0),$E186-1973)</f>
        <v>#N/A</v>
      </c>
      <c r="N186" t="e" cm="1">
        <f t="array" ref="N186">INDEX('GMW - worst case'!$A$2:$MC$200,MATCH(1,('GMW - worst case'!$MC$2:$MC$200=N$3)*('GMW - worst case'!$MB$2:$MB$200=N$4),0),$E186-1973)</f>
        <v>#N/A</v>
      </c>
      <c r="O186" t="e" cm="1">
        <f t="array" ref="O186">INDEX('GMW - worst case'!$A$2:$MC$200,MATCH(1,('GMW - worst case'!$MC$2:$MC$200=O$3)*('GMW - worst case'!$MB$2:$MB$200=O$4),0),$E186-1973)</f>
        <v>#N/A</v>
      </c>
      <c r="P186" t="e" cm="1">
        <f t="array" ref="P186">INDEX('GMW - worst case'!$A$2:$MC$200,MATCH(1,('GMW - worst case'!$MC$2:$MC$200=P$3)*('GMW - worst case'!$MB$2:$MB$200=P$4),0),$E186-1973)</f>
        <v>#N/A</v>
      </c>
      <c r="Q186" t="e" cm="1">
        <f t="array" ref="Q186">INDEX('GMW - worst case'!$A$2:$MC$200,MATCH(1,('GMW - worst case'!$MC$2:$MC$200=Q$3)*('GMW - worst case'!$MB$2:$MB$200=Q$4),0),$E186-1973)</f>
        <v>#N/A</v>
      </c>
      <c r="R186" t="e" cm="1">
        <f t="array" ref="R186">INDEX('GMW - worst case'!$A$2:$MC$200,MATCH(1,('GMW - worst case'!$MC$2:$MC$200=R$3)*('GMW - worst case'!$MB$2:$MB$200=R$4),0),$E186-1973)</f>
        <v>#N/A</v>
      </c>
      <c r="S186" t="e" cm="1">
        <f t="array" ref="S186">INDEX('GMW - worst case'!$A$2:$MC$200,MATCH(1,('GMW - worst case'!$MC$2:$MC$200=S$3)*('GMW - worst case'!$MB$2:$MB$200=S$4),0),$E186-1973)</f>
        <v>#N/A</v>
      </c>
    </row>
    <row r="187" spans="1:19" x14ac:dyDescent="0.25">
      <c r="A187">
        <v>2025</v>
      </c>
      <c r="B187">
        <f t="shared" si="14"/>
        <v>2025</v>
      </c>
      <c r="C187">
        <f t="shared" si="14"/>
        <v>2024</v>
      </c>
      <c r="D187">
        <f t="shared" si="14"/>
        <v>2024</v>
      </c>
      <c r="E187">
        <f t="shared" si="11"/>
        <v>2160</v>
      </c>
      <c r="F187" cm="1">
        <f t="array" ref="F187">INDEX('GMW - worst case'!$A$2:$MC$200,MATCH(1,('GMW - worst case'!$MC$2:$MC$200=F$3)*('GMW - worst case'!$MB$2:$MB$200=F$4),0),$E187-1973)</f>
        <v>703373</v>
      </c>
      <c r="G187" cm="1">
        <f t="array" ref="G187">INDEX('GMW - worst case'!$A$2:$MC$200,MATCH(1,('GMW - worst case'!$MC$2:$MC$200=G$3)*('GMW - worst case'!$MB$2:$MB$200=G$4),0),$E187-1973)</f>
        <v>415670</v>
      </c>
      <c r="H187" cm="1">
        <f t="array" ref="H187">INDEX('GMW - worst case'!$A$2:$MC$200,MATCH(1,('GMW - worst case'!$MC$2:$MC$200=H$3)*('GMW - worst case'!$MB$2:$MB$200=H$4),0),$E187-1973)</f>
        <v>135.9667</v>
      </c>
      <c r="I187" cm="1">
        <f t="array" ref="I187">INDEX('GMW - worst case'!$A$2:$MC$200,MATCH(1,('GMW - worst case'!$MC$2:$MC$200=I$3)*('GMW - worst case'!$MB$2:$MB$200=I$4),0),$E187-1973)</f>
        <v>4.6015629999999996</v>
      </c>
      <c r="J187" t="e" cm="1">
        <f t="array" ref="J187">INDEX('GMW - worst case'!$A$2:$MC$200,MATCH(1,('GMW - worst case'!$MC$2:$MC$200=J$3)*('GMW - worst case'!$MB$2:$MB$200=J$4),0),$E187-1973)</f>
        <v>#N/A</v>
      </c>
      <c r="K187" t="e" cm="1">
        <f t="array" ref="K187">INDEX('GMW - worst case'!$A$2:$MC$200,MATCH(1,('GMW - worst case'!$MC$2:$MC$200=K$3)*('GMW - worst case'!$MB$2:$MB$200=K$4),0),$E187-1973)</f>
        <v>#N/A</v>
      </c>
      <c r="L187" t="e" cm="1">
        <f t="array" ref="L187">INDEX('GMW - worst case'!$A$2:$MC$200,MATCH(1,('GMW - worst case'!$MC$2:$MC$200=L$3)*('GMW - worst case'!$MB$2:$MB$200=L$4),0),$E187-1973)</f>
        <v>#N/A</v>
      </c>
      <c r="M187" t="e" cm="1">
        <f t="array" ref="M187">INDEX('GMW - worst case'!$A$2:$MC$200,MATCH(1,('GMW - worst case'!$MC$2:$MC$200=M$3)*('GMW - worst case'!$MB$2:$MB$200=M$4),0),$E187-1973)</f>
        <v>#N/A</v>
      </c>
      <c r="N187" t="e" cm="1">
        <f t="array" ref="N187">INDEX('GMW - worst case'!$A$2:$MC$200,MATCH(1,('GMW - worst case'!$MC$2:$MC$200=N$3)*('GMW - worst case'!$MB$2:$MB$200=N$4),0),$E187-1973)</f>
        <v>#N/A</v>
      </c>
      <c r="O187" t="e" cm="1">
        <f t="array" ref="O187">INDEX('GMW - worst case'!$A$2:$MC$200,MATCH(1,('GMW - worst case'!$MC$2:$MC$200=O$3)*('GMW - worst case'!$MB$2:$MB$200=O$4),0),$E187-1973)</f>
        <v>#N/A</v>
      </c>
      <c r="P187" t="e" cm="1">
        <f t="array" ref="P187">INDEX('GMW - worst case'!$A$2:$MC$200,MATCH(1,('GMW - worst case'!$MC$2:$MC$200=P$3)*('GMW - worst case'!$MB$2:$MB$200=P$4),0),$E187-1973)</f>
        <v>#N/A</v>
      </c>
      <c r="Q187" t="e" cm="1">
        <f t="array" ref="Q187">INDEX('GMW - worst case'!$A$2:$MC$200,MATCH(1,('GMW - worst case'!$MC$2:$MC$200=Q$3)*('GMW - worst case'!$MB$2:$MB$200=Q$4),0),$E187-1973)</f>
        <v>#N/A</v>
      </c>
      <c r="R187" t="e" cm="1">
        <f t="array" ref="R187">INDEX('GMW - worst case'!$A$2:$MC$200,MATCH(1,('GMW - worst case'!$MC$2:$MC$200=R$3)*('GMW - worst case'!$MB$2:$MB$200=R$4),0),$E187-1973)</f>
        <v>#N/A</v>
      </c>
      <c r="S187" t="e" cm="1">
        <f t="array" ref="S187">INDEX('GMW - worst case'!$A$2:$MC$200,MATCH(1,('GMW - worst case'!$MC$2:$MC$200=S$3)*('GMW - worst case'!$MB$2:$MB$200=S$4),0),$E187-1973)</f>
        <v>#N/A</v>
      </c>
    </row>
    <row r="188" spans="1:19" x14ac:dyDescent="0.25">
      <c r="B188">
        <f t="shared" ref="B188:D203" si="15">+B184+1</f>
        <v>2025</v>
      </c>
      <c r="C188">
        <f t="shared" si="15"/>
        <v>2025</v>
      </c>
      <c r="E188">
        <f t="shared" si="11"/>
        <v>2161</v>
      </c>
      <c r="F188" cm="1">
        <f t="array" ref="F188">INDEX('GMW - worst case'!$A$2:$MC$200,MATCH(1,('GMW - worst case'!$MC$2:$MC$200=F$3)*('GMW - worst case'!$MB$2:$MB$200=F$4),0),$E188-1973)</f>
        <v>704798</v>
      </c>
      <c r="G188" cm="1">
        <f t="array" ref="G188">INDEX('GMW - worst case'!$A$2:$MC$200,MATCH(1,('GMW - worst case'!$MC$2:$MC$200=G$3)*('GMW - worst case'!$MB$2:$MB$200=G$4),0),$E188-1973)</f>
        <v>415858</v>
      </c>
      <c r="H188" cm="1">
        <f t="array" ref="H188">INDEX('GMW - worst case'!$A$2:$MC$200,MATCH(1,('GMW - worst case'!$MC$2:$MC$200=H$3)*('GMW - worst case'!$MB$2:$MB$200=H$4),0),$E188-1973)</f>
        <v>138.5</v>
      </c>
      <c r="I188" cm="1">
        <f t="array" ref="I188">INDEX('GMW - worst case'!$A$2:$MC$200,MATCH(1,('GMW - worst case'!$MC$2:$MC$200=I$3)*('GMW - worst case'!$MB$2:$MB$200=I$4),0),$E188-1973)</f>
        <v>4.3538459999999999</v>
      </c>
      <c r="J188" t="e" cm="1">
        <f t="array" ref="J188">INDEX('GMW - worst case'!$A$2:$MC$200,MATCH(1,('GMW - worst case'!$MC$2:$MC$200=J$3)*('GMW - worst case'!$MB$2:$MB$200=J$4),0),$E188-1973)</f>
        <v>#N/A</v>
      </c>
      <c r="K188" t="e" cm="1">
        <f t="array" ref="K188">INDEX('GMW - worst case'!$A$2:$MC$200,MATCH(1,('GMW - worst case'!$MC$2:$MC$200=K$3)*('GMW - worst case'!$MB$2:$MB$200=K$4),0),$E188-1973)</f>
        <v>#N/A</v>
      </c>
      <c r="L188" t="e" cm="1">
        <f t="array" ref="L188">INDEX('GMW - worst case'!$A$2:$MC$200,MATCH(1,('GMW - worst case'!$MC$2:$MC$200=L$3)*('GMW - worst case'!$MB$2:$MB$200=L$4),0),$E188-1973)</f>
        <v>#N/A</v>
      </c>
      <c r="M188" t="e" cm="1">
        <f t="array" ref="M188">INDEX('GMW - worst case'!$A$2:$MC$200,MATCH(1,('GMW - worst case'!$MC$2:$MC$200=M$3)*('GMW - worst case'!$MB$2:$MB$200=M$4),0),$E188-1973)</f>
        <v>#N/A</v>
      </c>
      <c r="N188" t="e" cm="1">
        <f t="array" ref="N188">INDEX('GMW - worst case'!$A$2:$MC$200,MATCH(1,('GMW - worst case'!$MC$2:$MC$200=N$3)*('GMW - worst case'!$MB$2:$MB$200=N$4),0),$E188-1973)</f>
        <v>#N/A</v>
      </c>
      <c r="O188" t="e" cm="1">
        <f t="array" ref="O188">INDEX('GMW - worst case'!$A$2:$MC$200,MATCH(1,('GMW - worst case'!$MC$2:$MC$200=O$3)*('GMW - worst case'!$MB$2:$MB$200=O$4),0),$E188-1973)</f>
        <v>#N/A</v>
      </c>
      <c r="P188" t="e" cm="1">
        <f t="array" ref="P188">INDEX('GMW - worst case'!$A$2:$MC$200,MATCH(1,('GMW - worst case'!$MC$2:$MC$200=P$3)*('GMW - worst case'!$MB$2:$MB$200=P$4),0),$E188-1973)</f>
        <v>#N/A</v>
      </c>
      <c r="Q188" t="e" cm="1">
        <f t="array" ref="Q188">INDEX('GMW - worst case'!$A$2:$MC$200,MATCH(1,('GMW - worst case'!$MC$2:$MC$200=Q$3)*('GMW - worst case'!$MB$2:$MB$200=Q$4),0),$E188-1973)</f>
        <v>#N/A</v>
      </c>
      <c r="R188" t="e" cm="1">
        <f t="array" ref="R188">INDEX('GMW - worst case'!$A$2:$MC$200,MATCH(1,('GMW - worst case'!$MC$2:$MC$200=R$3)*('GMW - worst case'!$MB$2:$MB$200=R$4),0),$E188-1973)</f>
        <v>#N/A</v>
      </c>
      <c r="S188" t="e" cm="1">
        <f t="array" ref="S188">INDEX('GMW - worst case'!$A$2:$MC$200,MATCH(1,('GMW - worst case'!$MC$2:$MC$200=S$3)*('GMW - worst case'!$MB$2:$MB$200=S$4),0),$E188-1973)</f>
        <v>#N/A</v>
      </c>
    </row>
    <row r="189" spans="1:19" x14ac:dyDescent="0.25">
      <c r="B189">
        <f t="shared" si="15"/>
        <v>2025</v>
      </c>
      <c r="C189">
        <f t="shared" si="15"/>
        <v>2025</v>
      </c>
      <c r="E189">
        <f t="shared" si="11"/>
        <v>2162</v>
      </c>
      <c r="F189" cm="1">
        <f t="array" ref="F189">INDEX('GMW - worst case'!$A$2:$MC$200,MATCH(1,('GMW - worst case'!$MC$2:$MC$200=F$3)*('GMW - worst case'!$MB$2:$MB$200=F$4),0),$E189-1973)</f>
        <v>705187</v>
      </c>
      <c r="G189" cm="1">
        <f t="array" ref="G189">INDEX('GMW - worst case'!$A$2:$MC$200,MATCH(1,('GMW - worst case'!$MC$2:$MC$200=G$3)*('GMW - worst case'!$MB$2:$MB$200=G$4),0),$E189-1973)</f>
        <v>417589</v>
      </c>
      <c r="H189" cm="1">
        <f t="array" ref="H189">INDEX('GMW - worst case'!$A$2:$MC$200,MATCH(1,('GMW - worst case'!$MC$2:$MC$200=H$3)*('GMW - worst case'!$MB$2:$MB$200=H$4),0),$E189-1973)</f>
        <v>139.19999999999999</v>
      </c>
      <c r="I189" cm="1">
        <f t="array" ref="I189">INDEX('GMW - worst case'!$A$2:$MC$200,MATCH(1,('GMW - worst case'!$MC$2:$MC$200=I$3)*('GMW - worst case'!$MB$2:$MB$200=I$4),0),$E189-1973)</f>
        <v>4.1022730000000003</v>
      </c>
      <c r="J189" t="e" cm="1">
        <f t="array" ref="J189">INDEX('GMW - worst case'!$A$2:$MC$200,MATCH(1,('GMW - worst case'!$MC$2:$MC$200=J$3)*('GMW - worst case'!$MB$2:$MB$200=J$4),0),$E189-1973)</f>
        <v>#N/A</v>
      </c>
      <c r="K189" t="e" cm="1">
        <f t="array" ref="K189">INDEX('GMW - worst case'!$A$2:$MC$200,MATCH(1,('GMW - worst case'!$MC$2:$MC$200=K$3)*('GMW - worst case'!$MB$2:$MB$200=K$4),0),$E189-1973)</f>
        <v>#N/A</v>
      </c>
      <c r="L189" t="e" cm="1">
        <f t="array" ref="L189">INDEX('GMW - worst case'!$A$2:$MC$200,MATCH(1,('GMW - worst case'!$MC$2:$MC$200=L$3)*('GMW - worst case'!$MB$2:$MB$200=L$4),0),$E189-1973)</f>
        <v>#N/A</v>
      </c>
      <c r="M189" t="e" cm="1">
        <f t="array" ref="M189">INDEX('GMW - worst case'!$A$2:$MC$200,MATCH(1,('GMW - worst case'!$MC$2:$MC$200=M$3)*('GMW - worst case'!$MB$2:$MB$200=M$4),0),$E189-1973)</f>
        <v>#N/A</v>
      </c>
      <c r="N189" t="e" cm="1">
        <f t="array" ref="N189">INDEX('GMW - worst case'!$A$2:$MC$200,MATCH(1,('GMW - worst case'!$MC$2:$MC$200=N$3)*('GMW - worst case'!$MB$2:$MB$200=N$4),0),$E189-1973)</f>
        <v>#N/A</v>
      </c>
      <c r="O189" t="e" cm="1">
        <f t="array" ref="O189">INDEX('GMW - worst case'!$A$2:$MC$200,MATCH(1,('GMW - worst case'!$MC$2:$MC$200=O$3)*('GMW - worst case'!$MB$2:$MB$200=O$4),0),$E189-1973)</f>
        <v>#N/A</v>
      </c>
      <c r="P189" t="e" cm="1">
        <f t="array" ref="P189">INDEX('GMW - worst case'!$A$2:$MC$200,MATCH(1,('GMW - worst case'!$MC$2:$MC$200=P$3)*('GMW - worst case'!$MB$2:$MB$200=P$4),0),$E189-1973)</f>
        <v>#N/A</v>
      </c>
      <c r="Q189" t="e" cm="1">
        <f t="array" ref="Q189">INDEX('GMW - worst case'!$A$2:$MC$200,MATCH(1,('GMW - worst case'!$MC$2:$MC$200=Q$3)*('GMW - worst case'!$MB$2:$MB$200=Q$4),0),$E189-1973)</f>
        <v>#N/A</v>
      </c>
      <c r="R189" t="e" cm="1">
        <f t="array" ref="R189">INDEX('GMW - worst case'!$A$2:$MC$200,MATCH(1,('GMW - worst case'!$MC$2:$MC$200=R$3)*('GMW - worst case'!$MB$2:$MB$200=R$4),0),$E189-1973)</f>
        <v>#N/A</v>
      </c>
      <c r="S189" t="e" cm="1">
        <f t="array" ref="S189">INDEX('GMW - worst case'!$A$2:$MC$200,MATCH(1,('GMW - worst case'!$MC$2:$MC$200=S$3)*('GMW - worst case'!$MB$2:$MB$200=S$4),0),$E189-1973)</f>
        <v>#N/A</v>
      </c>
    </row>
    <row r="190" spans="1:19" x14ac:dyDescent="0.25">
      <c r="B190">
        <f t="shared" si="15"/>
        <v>2025</v>
      </c>
      <c r="C190">
        <f t="shared" si="15"/>
        <v>2025</v>
      </c>
      <c r="E190">
        <f t="shared" si="11"/>
        <v>2163</v>
      </c>
      <c r="F190" cm="1">
        <f t="array" ref="F190">INDEX('GMW - worst case'!$A$2:$MC$200,MATCH(1,('GMW - worst case'!$MC$2:$MC$200=F$3)*('GMW - worst case'!$MB$2:$MB$200=F$4),0),$E190-1973)</f>
        <v>705571</v>
      </c>
      <c r="G190" cm="1">
        <f t="array" ref="G190">INDEX('GMW - worst case'!$A$2:$MC$200,MATCH(1,('GMW - worst case'!$MC$2:$MC$200=G$3)*('GMW - worst case'!$MB$2:$MB$200=G$4),0),$E190-1973)</f>
        <v>418232</v>
      </c>
      <c r="H190" cm="1">
        <f t="array" ref="H190">INDEX('GMW - worst case'!$A$2:$MC$200,MATCH(1,('GMW - worst case'!$MC$2:$MC$200=H$3)*('GMW - worst case'!$MB$2:$MB$200=H$4),0),$E190-1973)</f>
        <v>139.80000000000001</v>
      </c>
      <c r="I190" cm="1">
        <f t="array" ref="I190">INDEX('GMW - worst case'!$A$2:$MC$200,MATCH(1,('GMW - worst case'!$MC$2:$MC$200=I$3)*('GMW - worst case'!$MB$2:$MB$200=I$4),0),$E190-1973)</f>
        <v>3.9621209999999998</v>
      </c>
      <c r="J190" t="e" cm="1">
        <f t="array" ref="J190">INDEX('GMW - worst case'!$A$2:$MC$200,MATCH(1,('GMW - worst case'!$MC$2:$MC$200=J$3)*('GMW - worst case'!$MB$2:$MB$200=J$4),0),$E190-1973)</f>
        <v>#N/A</v>
      </c>
      <c r="K190" t="e" cm="1">
        <f t="array" ref="K190">INDEX('GMW - worst case'!$A$2:$MC$200,MATCH(1,('GMW - worst case'!$MC$2:$MC$200=K$3)*('GMW - worst case'!$MB$2:$MB$200=K$4),0),$E190-1973)</f>
        <v>#N/A</v>
      </c>
      <c r="L190" t="e" cm="1">
        <f t="array" ref="L190">INDEX('GMW - worst case'!$A$2:$MC$200,MATCH(1,('GMW - worst case'!$MC$2:$MC$200=L$3)*('GMW - worst case'!$MB$2:$MB$200=L$4),0),$E190-1973)</f>
        <v>#N/A</v>
      </c>
      <c r="M190" t="e" cm="1">
        <f t="array" ref="M190">INDEX('GMW - worst case'!$A$2:$MC$200,MATCH(1,('GMW - worst case'!$MC$2:$MC$200=M$3)*('GMW - worst case'!$MB$2:$MB$200=M$4),0),$E190-1973)</f>
        <v>#N/A</v>
      </c>
      <c r="N190" t="e" cm="1">
        <f t="array" ref="N190">INDEX('GMW - worst case'!$A$2:$MC$200,MATCH(1,('GMW - worst case'!$MC$2:$MC$200=N$3)*('GMW - worst case'!$MB$2:$MB$200=N$4),0),$E190-1973)</f>
        <v>#N/A</v>
      </c>
      <c r="O190" t="e" cm="1">
        <f t="array" ref="O190">INDEX('GMW - worst case'!$A$2:$MC$200,MATCH(1,('GMW - worst case'!$MC$2:$MC$200=O$3)*('GMW - worst case'!$MB$2:$MB$200=O$4),0),$E190-1973)</f>
        <v>#N/A</v>
      </c>
      <c r="P190" t="e" cm="1">
        <f t="array" ref="P190">INDEX('GMW - worst case'!$A$2:$MC$200,MATCH(1,('GMW - worst case'!$MC$2:$MC$200=P$3)*('GMW - worst case'!$MB$2:$MB$200=P$4),0),$E190-1973)</f>
        <v>#N/A</v>
      </c>
      <c r="Q190" t="e" cm="1">
        <f t="array" ref="Q190">INDEX('GMW - worst case'!$A$2:$MC$200,MATCH(1,('GMW - worst case'!$MC$2:$MC$200=Q$3)*('GMW - worst case'!$MB$2:$MB$200=Q$4),0),$E190-1973)</f>
        <v>#N/A</v>
      </c>
      <c r="R190" t="e" cm="1">
        <f t="array" ref="R190">INDEX('GMW - worst case'!$A$2:$MC$200,MATCH(1,('GMW - worst case'!$MC$2:$MC$200=R$3)*('GMW - worst case'!$MB$2:$MB$200=R$4),0),$E190-1973)</f>
        <v>#N/A</v>
      </c>
      <c r="S190" t="e" cm="1">
        <f t="array" ref="S190">INDEX('GMW - worst case'!$A$2:$MC$200,MATCH(1,('GMW - worst case'!$MC$2:$MC$200=S$3)*('GMW - worst case'!$MB$2:$MB$200=S$4),0),$E190-1973)</f>
        <v>#N/A</v>
      </c>
    </row>
    <row r="191" spans="1:19" x14ac:dyDescent="0.25">
      <c r="A191">
        <v>2026</v>
      </c>
      <c r="B191">
        <f t="shared" si="15"/>
        <v>2026</v>
      </c>
      <c r="C191">
        <f t="shared" si="15"/>
        <v>2025</v>
      </c>
      <c r="D191">
        <f t="shared" si="15"/>
        <v>2025</v>
      </c>
      <c r="E191">
        <f t="shared" si="11"/>
        <v>2164</v>
      </c>
      <c r="F191" cm="1">
        <f t="array" ref="F191">INDEX('GMW - worst case'!$A$2:$MC$200,MATCH(1,('GMW - worst case'!$MC$2:$MC$200=F$3)*('GMW - worst case'!$MB$2:$MB$200=F$4),0),$E191-1973)</f>
        <v>707804.8</v>
      </c>
      <c r="G191" cm="1">
        <f t="array" ref="G191">INDEX('GMW - worst case'!$A$2:$MC$200,MATCH(1,('GMW - worst case'!$MC$2:$MC$200=G$3)*('GMW - worst case'!$MB$2:$MB$200=G$4),0),$E191-1973)</f>
        <v>418804.8</v>
      </c>
      <c r="H191" cm="1">
        <f t="array" ref="H191">INDEX('GMW - worst case'!$A$2:$MC$200,MATCH(1,('GMW - worst case'!$MC$2:$MC$200=H$3)*('GMW - worst case'!$MB$2:$MB$200=H$4),0),$E191-1973)</f>
        <v>140.15520000000001</v>
      </c>
      <c r="I191" cm="1">
        <f t="array" ref="I191">INDEX('GMW - worst case'!$A$2:$MC$200,MATCH(1,('GMW - worst case'!$MC$2:$MC$200=I$3)*('GMW - worst case'!$MB$2:$MB$200=I$4),0),$E191-1973)</f>
        <v>3.75</v>
      </c>
      <c r="J191" t="e" cm="1">
        <f t="array" ref="J191">INDEX('GMW - worst case'!$A$2:$MC$200,MATCH(1,('GMW - worst case'!$MC$2:$MC$200=J$3)*('GMW - worst case'!$MB$2:$MB$200=J$4),0),$E191-1973)</f>
        <v>#N/A</v>
      </c>
      <c r="K191" t="e" cm="1">
        <f t="array" ref="K191">INDEX('GMW - worst case'!$A$2:$MC$200,MATCH(1,('GMW - worst case'!$MC$2:$MC$200=K$3)*('GMW - worst case'!$MB$2:$MB$200=K$4),0),$E191-1973)</f>
        <v>#N/A</v>
      </c>
      <c r="L191" t="e" cm="1">
        <f t="array" ref="L191">INDEX('GMW - worst case'!$A$2:$MC$200,MATCH(1,('GMW - worst case'!$MC$2:$MC$200=L$3)*('GMW - worst case'!$MB$2:$MB$200=L$4),0),$E191-1973)</f>
        <v>#N/A</v>
      </c>
      <c r="M191" t="e" cm="1">
        <f t="array" ref="M191">INDEX('GMW - worst case'!$A$2:$MC$200,MATCH(1,('GMW - worst case'!$MC$2:$MC$200=M$3)*('GMW - worst case'!$MB$2:$MB$200=M$4),0),$E191-1973)</f>
        <v>#N/A</v>
      </c>
      <c r="N191" t="e" cm="1">
        <f t="array" ref="N191">INDEX('GMW - worst case'!$A$2:$MC$200,MATCH(1,('GMW - worst case'!$MC$2:$MC$200=N$3)*('GMW - worst case'!$MB$2:$MB$200=N$4),0),$E191-1973)</f>
        <v>#N/A</v>
      </c>
      <c r="O191" t="e" cm="1">
        <f t="array" ref="O191">INDEX('GMW - worst case'!$A$2:$MC$200,MATCH(1,('GMW - worst case'!$MC$2:$MC$200=O$3)*('GMW - worst case'!$MB$2:$MB$200=O$4),0),$E191-1973)</f>
        <v>#N/A</v>
      </c>
      <c r="P191" t="e" cm="1">
        <f t="array" ref="P191">INDEX('GMW - worst case'!$A$2:$MC$200,MATCH(1,('GMW - worst case'!$MC$2:$MC$200=P$3)*('GMW - worst case'!$MB$2:$MB$200=P$4),0),$E191-1973)</f>
        <v>#N/A</v>
      </c>
      <c r="Q191" t="e" cm="1">
        <f t="array" ref="Q191">INDEX('GMW - worst case'!$A$2:$MC$200,MATCH(1,('GMW - worst case'!$MC$2:$MC$200=Q$3)*('GMW - worst case'!$MB$2:$MB$200=Q$4),0),$E191-1973)</f>
        <v>#N/A</v>
      </c>
      <c r="R191" t="e" cm="1">
        <f t="array" ref="R191">INDEX('GMW - worst case'!$A$2:$MC$200,MATCH(1,('GMW - worst case'!$MC$2:$MC$200=R$3)*('GMW - worst case'!$MB$2:$MB$200=R$4),0),$E191-1973)</f>
        <v>#N/A</v>
      </c>
      <c r="S191" t="e" cm="1">
        <f t="array" ref="S191">INDEX('GMW - worst case'!$A$2:$MC$200,MATCH(1,('GMW - worst case'!$MC$2:$MC$200=S$3)*('GMW - worst case'!$MB$2:$MB$200=S$4),0),$E191-1973)</f>
        <v>#N/A</v>
      </c>
    </row>
    <row r="192" spans="1:19" x14ac:dyDescent="0.25">
      <c r="B192">
        <f t="shared" si="15"/>
        <v>2026</v>
      </c>
      <c r="C192">
        <f t="shared" si="15"/>
        <v>2026</v>
      </c>
      <c r="E192">
        <f t="shared" si="11"/>
        <v>2165</v>
      </c>
      <c r="F192" cm="1">
        <f t="array" ref="F192">INDEX('GMW - worst case'!$A$2:$MC$200,MATCH(1,('GMW - worst case'!$MC$2:$MC$200=F$3)*('GMW - worst case'!$MB$2:$MB$200=F$4),0),$E192-1973)</f>
        <v>707058.5</v>
      </c>
      <c r="G192" cm="1">
        <f t="array" ref="G192">INDEX('GMW - worst case'!$A$2:$MC$200,MATCH(1,('GMW - worst case'!$MC$2:$MC$200=G$3)*('GMW - worst case'!$MB$2:$MB$200=G$4),0),$E192-1973)</f>
        <v>417739.7</v>
      </c>
      <c r="H192" cm="1">
        <f t="array" ref="H192">INDEX('GMW - worst case'!$A$2:$MC$200,MATCH(1,('GMW - worst case'!$MC$2:$MC$200=H$3)*('GMW - worst case'!$MB$2:$MB$200=H$4),0),$E192-1973)</f>
        <v>143.68969999999999</v>
      </c>
      <c r="I192" cm="1">
        <f t="array" ref="I192">INDEX('GMW - worst case'!$A$2:$MC$200,MATCH(1,('GMW - worst case'!$MC$2:$MC$200=I$3)*('GMW - worst case'!$MB$2:$MB$200=I$4),0),$E192-1973)</f>
        <v>3.75</v>
      </c>
      <c r="J192" t="e" cm="1">
        <f t="array" ref="J192">INDEX('GMW - worst case'!$A$2:$MC$200,MATCH(1,('GMW - worst case'!$MC$2:$MC$200=J$3)*('GMW - worst case'!$MB$2:$MB$200=J$4),0),$E192-1973)</f>
        <v>#N/A</v>
      </c>
      <c r="K192" t="e" cm="1">
        <f t="array" ref="K192">INDEX('GMW - worst case'!$A$2:$MC$200,MATCH(1,('GMW - worst case'!$MC$2:$MC$200=K$3)*('GMW - worst case'!$MB$2:$MB$200=K$4),0),$E192-1973)</f>
        <v>#N/A</v>
      </c>
      <c r="L192" t="e" cm="1">
        <f t="array" ref="L192">INDEX('GMW - worst case'!$A$2:$MC$200,MATCH(1,('GMW - worst case'!$MC$2:$MC$200=L$3)*('GMW - worst case'!$MB$2:$MB$200=L$4),0),$E192-1973)</f>
        <v>#N/A</v>
      </c>
      <c r="M192" t="e" cm="1">
        <f t="array" ref="M192">INDEX('GMW - worst case'!$A$2:$MC$200,MATCH(1,('GMW - worst case'!$MC$2:$MC$200=M$3)*('GMW - worst case'!$MB$2:$MB$200=M$4),0),$E192-1973)</f>
        <v>#N/A</v>
      </c>
      <c r="N192" t="e" cm="1">
        <f t="array" ref="N192">INDEX('GMW - worst case'!$A$2:$MC$200,MATCH(1,('GMW - worst case'!$MC$2:$MC$200=N$3)*('GMW - worst case'!$MB$2:$MB$200=N$4),0),$E192-1973)</f>
        <v>#N/A</v>
      </c>
      <c r="O192" t="e" cm="1">
        <f t="array" ref="O192">INDEX('GMW - worst case'!$A$2:$MC$200,MATCH(1,('GMW - worst case'!$MC$2:$MC$200=O$3)*('GMW - worst case'!$MB$2:$MB$200=O$4),0),$E192-1973)</f>
        <v>#N/A</v>
      </c>
      <c r="P192" t="e" cm="1">
        <f t="array" ref="P192">INDEX('GMW - worst case'!$A$2:$MC$200,MATCH(1,('GMW - worst case'!$MC$2:$MC$200=P$3)*('GMW - worst case'!$MB$2:$MB$200=P$4),0),$E192-1973)</f>
        <v>#N/A</v>
      </c>
      <c r="Q192" t="e" cm="1">
        <f t="array" ref="Q192">INDEX('GMW - worst case'!$A$2:$MC$200,MATCH(1,('GMW - worst case'!$MC$2:$MC$200=Q$3)*('GMW - worst case'!$MB$2:$MB$200=Q$4),0),$E192-1973)</f>
        <v>#N/A</v>
      </c>
      <c r="R192" t="e" cm="1">
        <f t="array" ref="R192">INDEX('GMW - worst case'!$A$2:$MC$200,MATCH(1,('GMW - worst case'!$MC$2:$MC$200=R$3)*('GMW - worst case'!$MB$2:$MB$200=R$4),0),$E192-1973)</f>
        <v>#N/A</v>
      </c>
      <c r="S192" t="e" cm="1">
        <f t="array" ref="S192">INDEX('GMW - worst case'!$A$2:$MC$200,MATCH(1,('GMW - worst case'!$MC$2:$MC$200=S$3)*('GMW - worst case'!$MB$2:$MB$200=S$4),0),$E192-1973)</f>
        <v>#N/A</v>
      </c>
    </row>
    <row r="193" spans="1:19" x14ac:dyDescent="0.25">
      <c r="B193">
        <f t="shared" si="15"/>
        <v>2026</v>
      </c>
      <c r="C193">
        <f t="shared" si="15"/>
        <v>2026</v>
      </c>
      <c r="E193">
        <f t="shared" si="11"/>
        <v>2166</v>
      </c>
      <c r="F193" cm="1">
        <f t="array" ref="F193">INDEX('GMW - worst case'!$A$2:$MC$200,MATCH(1,('GMW - worst case'!$MC$2:$MC$200=F$3)*('GMW - worst case'!$MB$2:$MB$200=F$4),0),$E193-1973)</f>
        <v>706069.5</v>
      </c>
      <c r="G193" cm="1">
        <f t="array" ref="G193">INDEX('GMW - worst case'!$A$2:$MC$200,MATCH(1,('GMW - worst case'!$MC$2:$MC$200=G$3)*('GMW - worst case'!$MB$2:$MB$200=G$4),0),$E193-1973)</f>
        <v>416598.5</v>
      </c>
      <c r="H193" cm="1">
        <f t="array" ref="H193">INDEX('GMW - worst case'!$A$2:$MC$200,MATCH(1,('GMW - worst case'!$MC$2:$MC$200=H$3)*('GMW - worst case'!$MB$2:$MB$200=H$4),0),$E193-1973)</f>
        <v>145.9556</v>
      </c>
      <c r="I193" cm="1">
        <f t="array" ref="I193">INDEX('GMW - worst case'!$A$2:$MC$200,MATCH(1,('GMW - worst case'!$MC$2:$MC$200=I$3)*('GMW - worst case'!$MB$2:$MB$200=I$4),0),$E193-1973)</f>
        <v>3.75</v>
      </c>
      <c r="J193" t="e" cm="1">
        <f t="array" ref="J193">INDEX('GMW - worst case'!$A$2:$MC$200,MATCH(1,('GMW - worst case'!$MC$2:$MC$200=J$3)*('GMW - worst case'!$MB$2:$MB$200=J$4),0),$E193-1973)</f>
        <v>#N/A</v>
      </c>
      <c r="K193" t="e" cm="1">
        <f t="array" ref="K193">INDEX('GMW - worst case'!$A$2:$MC$200,MATCH(1,('GMW - worst case'!$MC$2:$MC$200=K$3)*('GMW - worst case'!$MB$2:$MB$200=K$4),0),$E193-1973)</f>
        <v>#N/A</v>
      </c>
      <c r="L193" t="e" cm="1">
        <f t="array" ref="L193">INDEX('GMW - worst case'!$A$2:$MC$200,MATCH(1,('GMW - worst case'!$MC$2:$MC$200=L$3)*('GMW - worst case'!$MB$2:$MB$200=L$4),0),$E193-1973)</f>
        <v>#N/A</v>
      </c>
      <c r="M193" t="e" cm="1">
        <f t="array" ref="M193">INDEX('GMW - worst case'!$A$2:$MC$200,MATCH(1,('GMW - worst case'!$MC$2:$MC$200=M$3)*('GMW - worst case'!$MB$2:$MB$200=M$4),0),$E193-1973)</f>
        <v>#N/A</v>
      </c>
      <c r="N193" t="e" cm="1">
        <f t="array" ref="N193">INDEX('GMW - worst case'!$A$2:$MC$200,MATCH(1,('GMW - worst case'!$MC$2:$MC$200=N$3)*('GMW - worst case'!$MB$2:$MB$200=N$4),0),$E193-1973)</f>
        <v>#N/A</v>
      </c>
      <c r="O193" t="e" cm="1">
        <f t="array" ref="O193">INDEX('GMW - worst case'!$A$2:$MC$200,MATCH(1,('GMW - worst case'!$MC$2:$MC$200=O$3)*('GMW - worst case'!$MB$2:$MB$200=O$4),0),$E193-1973)</f>
        <v>#N/A</v>
      </c>
      <c r="P193" t="e" cm="1">
        <f t="array" ref="P193">INDEX('GMW - worst case'!$A$2:$MC$200,MATCH(1,('GMW - worst case'!$MC$2:$MC$200=P$3)*('GMW - worst case'!$MB$2:$MB$200=P$4),0),$E193-1973)</f>
        <v>#N/A</v>
      </c>
      <c r="Q193" t="e" cm="1">
        <f t="array" ref="Q193">INDEX('GMW - worst case'!$A$2:$MC$200,MATCH(1,('GMW - worst case'!$MC$2:$MC$200=Q$3)*('GMW - worst case'!$MB$2:$MB$200=Q$4),0),$E193-1973)</f>
        <v>#N/A</v>
      </c>
      <c r="R193" t="e" cm="1">
        <f t="array" ref="R193">INDEX('GMW - worst case'!$A$2:$MC$200,MATCH(1,('GMW - worst case'!$MC$2:$MC$200=R$3)*('GMW - worst case'!$MB$2:$MB$200=R$4),0),$E193-1973)</f>
        <v>#N/A</v>
      </c>
      <c r="S193" t="e" cm="1">
        <f t="array" ref="S193">INDEX('GMW - worst case'!$A$2:$MC$200,MATCH(1,('GMW - worst case'!$MC$2:$MC$200=S$3)*('GMW - worst case'!$MB$2:$MB$200=S$4),0),$E193-1973)</f>
        <v>#N/A</v>
      </c>
    </row>
    <row r="194" spans="1:19" x14ac:dyDescent="0.25">
      <c r="B194">
        <f t="shared" si="15"/>
        <v>2026</v>
      </c>
      <c r="C194">
        <f t="shared" si="15"/>
        <v>2026</v>
      </c>
      <c r="E194">
        <f t="shared" si="11"/>
        <v>2167</v>
      </c>
      <c r="F194" cm="1">
        <f t="array" ref="F194">INDEX('GMW - worst case'!$A$2:$MC$200,MATCH(1,('GMW - worst case'!$MC$2:$MC$200=F$3)*('GMW - worst case'!$MB$2:$MB$200=F$4),0),$E194-1973)</f>
        <v>705474.6</v>
      </c>
      <c r="G194" cm="1">
        <f t="array" ref="G194">INDEX('GMW - worst case'!$A$2:$MC$200,MATCH(1,('GMW - worst case'!$MC$2:$MC$200=G$3)*('GMW - worst case'!$MB$2:$MB$200=G$4),0),$E194-1973)</f>
        <v>415529.2</v>
      </c>
      <c r="H194" cm="1">
        <f t="array" ref="H194">INDEX('GMW - worst case'!$A$2:$MC$200,MATCH(1,('GMW - worst case'!$MC$2:$MC$200=H$3)*('GMW - worst case'!$MB$2:$MB$200=H$4),0),$E194-1973)</f>
        <v>147.45599999999999</v>
      </c>
      <c r="I194" cm="1">
        <f t="array" ref="I194">INDEX('GMW - worst case'!$A$2:$MC$200,MATCH(1,('GMW - worst case'!$MC$2:$MC$200=I$3)*('GMW - worst case'!$MB$2:$MB$200=I$4),0),$E194-1973)</f>
        <v>3.9</v>
      </c>
      <c r="J194" t="e" cm="1">
        <f t="array" ref="J194">INDEX('GMW - worst case'!$A$2:$MC$200,MATCH(1,('GMW - worst case'!$MC$2:$MC$200=J$3)*('GMW - worst case'!$MB$2:$MB$200=J$4),0),$E194-1973)</f>
        <v>#N/A</v>
      </c>
      <c r="K194" t="e" cm="1">
        <f t="array" ref="K194">INDEX('GMW - worst case'!$A$2:$MC$200,MATCH(1,('GMW - worst case'!$MC$2:$MC$200=K$3)*('GMW - worst case'!$MB$2:$MB$200=K$4),0),$E194-1973)</f>
        <v>#N/A</v>
      </c>
      <c r="L194" t="e" cm="1">
        <f t="array" ref="L194">INDEX('GMW - worst case'!$A$2:$MC$200,MATCH(1,('GMW - worst case'!$MC$2:$MC$200=L$3)*('GMW - worst case'!$MB$2:$MB$200=L$4),0),$E194-1973)</f>
        <v>#N/A</v>
      </c>
      <c r="M194" t="e" cm="1">
        <f t="array" ref="M194">INDEX('GMW - worst case'!$A$2:$MC$200,MATCH(1,('GMW - worst case'!$MC$2:$MC$200=M$3)*('GMW - worst case'!$MB$2:$MB$200=M$4),0),$E194-1973)</f>
        <v>#N/A</v>
      </c>
      <c r="N194" t="e" cm="1">
        <f t="array" ref="N194">INDEX('GMW - worst case'!$A$2:$MC$200,MATCH(1,('GMW - worst case'!$MC$2:$MC$200=N$3)*('GMW - worst case'!$MB$2:$MB$200=N$4),0),$E194-1973)</f>
        <v>#N/A</v>
      </c>
      <c r="O194" t="e" cm="1">
        <f t="array" ref="O194">INDEX('GMW - worst case'!$A$2:$MC$200,MATCH(1,('GMW - worst case'!$MC$2:$MC$200=O$3)*('GMW - worst case'!$MB$2:$MB$200=O$4),0),$E194-1973)</f>
        <v>#N/A</v>
      </c>
      <c r="P194" t="e" cm="1">
        <f t="array" ref="P194">INDEX('GMW - worst case'!$A$2:$MC$200,MATCH(1,('GMW - worst case'!$MC$2:$MC$200=P$3)*('GMW - worst case'!$MB$2:$MB$200=P$4),0),$E194-1973)</f>
        <v>#N/A</v>
      </c>
      <c r="Q194" t="e" cm="1">
        <f t="array" ref="Q194">INDEX('GMW - worst case'!$A$2:$MC$200,MATCH(1,('GMW - worst case'!$MC$2:$MC$200=Q$3)*('GMW - worst case'!$MB$2:$MB$200=Q$4),0),$E194-1973)</f>
        <v>#N/A</v>
      </c>
      <c r="R194" t="e" cm="1">
        <f t="array" ref="R194">INDEX('GMW - worst case'!$A$2:$MC$200,MATCH(1,('GMW - worst case'!$MC$2:$MC$200=R$3)*('GMW - worst case'!$MB$2:$MB$200=R$4),0),$E194-1973)</f>
        <v>#N/A</v>
      </c>
      <c r="S194" t="e" cm="1">
        <f t="array" ref="S194">INDEX('GMW - worst case'!$A$2:$MC$200,MATCH(1,('GMW - worst case'!$MC$2:$MC$200=S$3)*('GMW - worst case'!$MB$2:$MB$200=S$4),0),$E194-1973)</f>
        <v>#N/A</v>
      </c>
    </row>
    <row r="195" spans="1:19" x14ac:dyDescent="0.25">
      <c r="A195">
        <v>2027</v>
      </c>
      <c r="B195">
        <f t="shared" si="15"/>
        <v>2027</v>
      </c>
      <c r="C195">
        <f t="shared" si="15"/>
        <v>2026</v>
      </c>
      <c r="D195">
        <f t="shared" si="15"/>
        <v>2026</v>
      </c>
      <c r="E195">
        <f t="shared" si="11"/>
        <v>2168</v>
      </c>
      <c r="F195" cm="1">
        <f t="array" ref="F195">INDEX('GMW - worst case'!$A$2:$MC$200,MATCH(1,('GMW - worst case'!$MC$2:$MC$200=F$3)*('GMW - worst case'!$MB$2:$MB$200=F$4),0),$E195-1973)</f>
        <v>707215.5</v>
      </c>
      <c r="G195" cm="1">
        <f t="array" ref="G195">INDEX('GMW - worst case'!$A$2:$MC$200,MATCH(1,('GMW - worst case'!$MC$2:$MC$200=G$3)*('GMW - worst case'!$MB$2:$MB$200=G$4),0),$E195-1973)</f>
        <v>415954.2</v>
      </c>
      <c r="H195" cm="1">
        <f t="array" ref="H195">INDEX('GMW - worst case'!$A$2:$MC$200,MATCH(1,('GMW - worst case'!$MC$2:$MC$200=H$3)*('GMW - worst case'!$MB$2:$MB$200=H$4),0),$E195-1973)</f>
        <v>146.66319999999999</v>
      </c>
      <c r="I195" cm="1">
        <f t="array" ref="I195">INDEX('GMW - worst case'!$A$2:$MC$200,MATCH(1,('GMW - worst case'!$MC$2:$MC$200=I$3)*('GMW - worst case'!$MB$2:$MB$200=I$4),0),$E195-1973)</f>
        <v>4</v>
      </c>
      <c r="J195" t="e" cm="1">
        <f t="array" ref="J195">INDEX('GMW - worst case'!$A$2:$MC$200,MATCH(1,('GMW - worst case'!$MC$2:$MC$200=J$3)*('GMW - worst case'!$MB$2:$MB$200=J$4),0),$E195-1973)</f>
        <v>#N/A</v>
      </c>
      <c r="K195" t="e" cm="1">
        <f t="array" ref="K195">INDEX('GMW - worst case'!$A$2:$MC$200,MATCH(1,('GMW - worst case'!$MC$2:$MC$200=K$3)*('GMW - worst case'!$MB$2:$MB$200=K$4),0),$E195-1973)</f>
        <v>#N/A</v>
      </c>
      <c r="L195" t="e" cm="1">
        <f t="array" ref="L195">INDEX('GMW - worst case'!$A$2:$MC$200,MATCH(1,('GMW - worst case'!$MC$2:$MC$200=L$3)*('GMW - worst case'!$MB$2:$MB$200=L$4),0),$E195-1973)</f>
        <v>#N/A</v>
      </c>
      <c r="M195" t="e" cm="1">
        <f t="array" ref="M195">INDEX('GMW - worst case'!$A$2:$MC$200,MATCH(1,('GMW - worst case'!$MC$2:$MC$200=M$3)*('GMW - worst case'!$MB$2:$MB$200=M$4),0),$E195-1973)</f>
        <v>#N/A</v>
      </c>
      <c r="N195" t="e" cm="1">
        <f t="array" ref="N195">INDEX('GMW - worst case'!$A$2:$MC$200,MATCH(1,('GMW - worst case'!$MC$2:$MC$200=N$3)*('GMW - worst case'!$MB$2:$MB$200=N$4),0),$E195-1973)</f>
        <v>#N/A</v>
      </c>
      <c r="O195" t="e" cm="1">
        <f t="array" ref="O195">INDEX('GMW - worst case'!$A$2:$MC$200,MATCH(1,('GMW - worst case'!$MC$2:$MC$200=O$3)*('GMW - worst case'!$MB$2:$MB$200=O$4),0),$E195-1973)</f>
        <v>#N/A</v>
      </c>
      <c r="P195" t="e" cm="1">
        <f t="array" ref="P195">INDEX('GMW - worst case'!$A$2:$MC$200,MATCH(1,('GMW - worst case'!$MC$2:$MC$200=P$3)*('GMW - worst case'!$MB$2:$MB$200=P$4),0),$E195-1973)</f>
        <v>#N/A</v>
      </c>
      <c r="Q195" t="e" cm="1">
        <f t="array" ref="Q195">INDEX('GMW - worst case'!$A$2:$MC$200,MATCH(1,('GMW - worst case'!$MC$2:$MC$200=Q$3)*('GMW - worst case'!$MB$2:$MB$200=Q$4),0),$E195-1973)</f>
        <v>#N/A</v>
      </c>
      <c r="R195" t="e" cm="1">
        <f t="array" ref="R195">INDEX('GMW - worst case'!$A$2:$MC$200,MATCH(1,('GMW - worst case'!$MC$2:$MC$200=R$3)*('GMW - worst case'!$MB$2:$MB$200=R$4),0),$E195-1973)</f>
        <v>#N/A</v>
      </c>
      <c r="S195" t="e" cm="1">
        <f t="array" ref="S195">INDEX('GMW - worst case'!$A$2:$MC$200,MATCH(1,('GMW - worst case'!$MC$2:$MC$200=S$3)*('GMW - worst case'!$MB$2:$MB$200=S$4),0),$E195-1973)</f>
        <v>#N/A</v>
      </c>
    </row>
    <row r="196" spans="1:19" x14ac:dyDescent="0.25">
      <c r="B196">
        <f t="shared" si="15"/>
        <v>2027</v>
      </c>
      <c r="C196">
        <f t="shared" si="15"/>
        <v>2027</v>
      </c>
      <c r="E196">
        <f t="shared" si="11"/>
        <v>2169</v>
      </c>
      <c r="F196" cm="1">
        <f t="array" ref="F196">INDEX('GMW - worst case'!$A$2:$MC$200,MATCH(1,('GMW - worst case'!$MC$2:$MC$200=F$3)*('GMW - worst case'!$MB$2:$MB$200=F$4),0),$E196-1973)</f>
        <v>709854.8</v>
      </c>
      <c r="G196" cm="1">
        <f t="array" ref="G196">INDEX('GMW - worst case'!$A$2:$MC$200,MATCH(1,('GMW - worst case'!$MC$2:$MC$200=G$3)*('GMW - worst case'!$MB$2:$MB$200=G$4),0),$E196-1973)</f>
        <v>416627.6</v>
      </c>
      <c r="H196" cm="1">
        <f t="array" ref="H196">INDEX('GMW - worst case'!$A$2:$MC$200,MATCH(1,('GMW - worst case'!$MC$2:$MC$200=H$3)*('GMW - worst case'!$MB$2:$MB$200=H$4),0),$E196-1973)</f>
        <v>148.03139999999999</v>
      </c>
      <c r="I196" cm="1">
        <f t="array" ref="I196">INDEX('GMW - worst case'!$A$2:$MC$200,MATCH(1,('GMW - worst case'!$MC$2:$MC$200=I$3)*('GMW - worst case'!$MB$2:$MB$200=I$4),0),$E196-1973)</f>
        <v>4</v>
      </c>
      <c r="J196" t="e" cm="1">
        <f t="array" ref="J196">INDEX('GMW - worst case'!$A$2:$MC$200,MATCH(1,('GMW - worst case'!$MC$2:$MC$200=J$3)*('GMW - worst case'!$MB$2:$MB$200=J$4),0),$E196-1973)</f>
        <v>#N/A</v>
      </c>
      <c r="K196" t="e" cm="1">
        <f t="array" ref="K196">INDEX('GMW - worst case'!$A$2:$MC$200,MATCH(1,('GMW - worst case'!$MC$2:$MC$200=K$3)*('GMW - worst case'!$MB$2:$MB$200=K$4),0),$E196-1973)</f>
        <v>#N/A</v>
      </c>
      <c r="L196" t="e" cm="1">
        <f t="array" ref="L196">INDEX('GMW - worst case'!$A$2:$MC$200,MATCH(1,('GMW - worst case'!$MC$2:$MC$200=L$3)*('GMW - worst case'!$MB$2:$MB$200=L$4),0),$E196-1973)</f>
        <v>#N/A</v>
      </c>
      <c r="M196" t="e" cm="1">
        <f t="array" ref="M196">INDEX('GMW - worst case'!$A$2:$MC$200,MATCH(1,('GMW - worst case'!$MC$2:$MC$200=M$3)*('GMW - worst case'!$MB$2:$MB$200=M$4),0),$E196-1973)</f>
        <v>#N/A</v>
      </c>
      <c r="N196" t="e" cm="1">
        <f t="array" ref="N196">INDEX('GMW - worst case'!$A$2:$MC$200,MATCH(1,('GMW - worst case'!$MC$2:$MC$200=N$3)*('GMW - worst case'!$MB$2:$MB$200=N$4),0),$E196-1973)</f>
        <v>#N/A</v>
      </c>
      <c r="O196" t="e" cm="1">
        <f t="array" ref="O196">INDEX('GMW - worst case'!$A$2:$MC$200,MATCH(1,('GMW - worst case'!$MC$2:$MC$200=O$3)*('GMW - worst case'!$MB$2:$MB$200=O$4),0),$E196-1973)</f>
        <v>#N/A</v>
      </c>
      <c r="P196" t="e" cm="1">
        <f t="array" ref="P196">INDEX('GMW - worst case'!$A$2:$MC$200,MATCH(1,('GMW - worst case'!$MC$2:$MC$200=P$3)*('GMW - worst case'!$MB$2:$MB$200=P$4),0),$E196-1973)</f>
        <v>#N/A</v>
      </c>
      <c r="Q196" t="e" cm="1">
        <f t="array" ref="Q196">INDEX('GMW - worst case'!$A$2:$MC$200,MATCH(1,('GMW - worst case'!$MC$2:$MC$200=Q$3)*('GMW - worst case'!$MB$2:$MB$200=Q$4),0),$E196-1973)</f>
        <v>#N/A</v>
      </c>
      <c r="R196" t="e" cm="1">
        <f t="array" ref="R196">INDEX('GMW - worst case'!$A$2:$MC$200,MATCH(1,('GMW - worst case'!$MC$2:$MC$200=R$3)*('GMW - worst case'!$MB$2:$MB$200=R$4),0),$E196-1973)</f>
        <v>#N/A</v>
      </c>
      <c r="S196" t="e" cm="1">
        <f t="array" ref="S196">INDEX('GMW - worst case'!$A$2:$MC$200,MATCH(1,('GMW - worst case'!$MC$2:$MC$200=S$3)*('GMW - worst case'!$MB$2:$MB$200=S$4),0),$E196-1973)</f>
        <v>#N/A</v>
      </c>
    </row>
    <row r="197" spans="1:19" x14ac:dyDescent="0.25">
      <c r="B197">
        <f t="shared" si="15"/>
        <v>2027</v>
      </c>
      <c r="C197">
        <f t="shared" si="15"/>
        <v>2027</v>
      </c>
      <c r="E197">
        <f t="shared" si="11"/>
        <v>2170</v>
      </c>
      <c r="F197" cm="1">
        <f t="array" ref="F197">INDEX('GMW - worst case'!$A$2:$MC$200,MATCH(1,('GMW - worst case'!$MC$2:$MC$200=F$3)*('GMW - worst case'!$MB$2:$MB$200=F$4),0),$E197-1973)</f>
        <v>712746.1</v>
      </c>
      <c r="G197" cm="1">
        <f t="array" ref="G197">INDEX('GMW - worst case'!$A$2:$MC$200,MATCH(1,('GMW - worst case'!$MC$2:$MC$200=G$3)*('GMW - worst case'!$MB$2:$MB$200=G$4),0),$E197-1973)</f>
        <v>417409.2</v>
      </c>
      <c r="H197" cm="1">
        <f t="array" ref="H197">INDEX('GMW - worst case'!$A$2:$MC$200,MATCH(1,('GMW - worst case'!$MC$2:$MC$200=H$3)*('GMW - worst case'!$MB$2:$MB$200=H$4),0),$E197-1973)</f>
        <v>148.2603</v>
      </c>
      <c r="I197" cm="1">
        <f t="array" ref="I197">INDEX('GMW - worst case'!$A$2:$MC$200,MATCH(1,('GMW - worst case'!$MC$2:$MC$200=I$3)*('GMW - worst case'!$MB$2:$MB$200=I$4),0),$E197-1973)</f>
        <v>3.96</v>
      </c>
      <c r="J197" t="e" cm="1">
        <f t="array" ref="J197">INDEX('GMW - worst case'!$A$2:$MC$200,MATCH(1,('GMW - worst case'!$MC$2:$MC$200=J$3)*('GMW - worst case'!$MB$2:$MB$200=J$4),0),$E197-1973)</f>
        <v>#N/A</v>
      </c>
      <c r="K197" t="e" cm="1">
        <f t="array" ref="K197">INDEX('GMW - worst case'!$A$2:$MC$200,MATCH(1,('GMW - worst case'!$MC$2:$MC$200=K$3)*('GMW - worst case'!$MB$2:$MB$200=K$4),0),$E197-1973)</f>
        <v>#N/A</v>
      </c>
      <c r="L197" t="e" cm="1">
        <f t="array" ref="L197">INDEX('GMW - worst case'!$A$2:$MC$200,MATCH(1,('GMW - worst case'!$MC$2:$MC$200=L$3)*('GMW - worst case'!$MB$2:$MB$200=L$4),0),$E197-1973)</f>
        <v>#N/A</v>
      </c>
      <c r="M197" t="e" cm="1">
        <f t="array" ref="M197">INDEX('GMW - worst case'!$A$2:$MC$200,MATCH(1,('GMW - worst case'!$MC$2:$MC$200=M$3)*('GMW - worst case'!$MB$2:$MB$200=M$4),0),$E197-1973)</f>
        <v>#N/A</v>
      </c>
      <c r="N197" t="e" cm="1">
        <f t="array" ref="N197">INDEX('GMW - worst case'!$A$2:$MC$200,MATCH(1,('GMW - worst case'!$MC$2:$MC$200=N$3)*('GMW - worst case'!$MB$2:$MB$200=N$4),0),$E197-1973)</f>
        <v>#N/A</v>
      </c>
      <c r="O197" t="e" cm="1">
        <f t="array" ref="O197">INDEX('GMW - worst case'!$A$2:$MC$200,MATCH(1,('GMW - worst case'!$MC$2:$MC$200=O$3)*('GMW - worst case'!$MB$2:$MB$200=O$4),0),$E197-1973)</f>
        <v>#N/A</v>
      </c>
      <c r="P197" t="e" cm="1">
        <f t="array" ref="P197">INDEX('GMW - worst case'!$A$2:$MC$200,MATCH(1,('GMW - worst case'!$MC$2:$MC$200=P$3)*('GMW - worst case'!$MB$2:$MB$200=P$4),0),$E197-1973)</f>
        <v>#N/A</v>
      </c>
      <c r="Q197" t="e" cm="1">
        <f t="array" ref="Q197">INDEX('GMW - worst case'!$A$2:$MC$200,MATCH(1,('GMW - worst case'!$MC$2:$MC$200=Q$3)*('GMW - worst case'!$MB$2:$MB$200=Q$4),0),$E197-1973)</f>
        <v>#N/A</v>
      </c>
      <c r="R197" t="e" cm="1">
        <f t="array" ref="R197">INDEX('GMW - worst case'!$A$2:$MC$200,MATCH(1,('GMW - worst case'!$MC$2:$MC$200=R$3)*('GMW - worst case'!$MB$2:$MB$200=R$4),0),$E197-1973)</f>
        <v>#N/A</v>
      </c>
      <c r="S197" t="e" cm="1">
        <f t="array" ref="S197">INDEX('GMW - worst case'!$A$2:$MC$200,MATCH(1,('GMW - worst case'!$MC$2:$MC$200=S$3)*('GMW - worst case'!$MB$2:$MB$200=S$4),0),$E197-1973)</f>
        <v>#N/A</v>
      </c>
    </row>
    <row r="198" spans="1:19" x14ac:dyDescent="0.25">
      <c r="B198">
        <f t="shared" si="15"/>
        <v>2027</v>
      </c>
      <c r="C198">
        <f t="shared" si="15"/>
        <v>2027</v>
      </c>
      <c r="E198">
        <f t="shared" si="11"/>
        <v>2171</v>
      </c>
      <c r="F198" cm="1">
        <f t="array" ref="F198">INDEX('GMW - worst case'!$A$2:$MC$200,MATCH(1,('GMW - worst case'!$MC$2:$MC$200=F$3)*('GMW - worst case'!$MB$2:$MB$200=F$4),0),$E198-1973)</f>
        <v>716046.9</v>
      </c>
      <c r="G198" cm="1">
        <f t="array" ref="G198">INDEX('GMW - worst case'!$A$2:$MC$200,MATCH(1,('GMW - worst case'!$MC$2:$MC$200=G$3)*('GMW - worst case'!$MB$2:$MB$200=G$4),0),$E198-1973)</f>
        <v>418463.3</v>
      </c>
      <c r="H198" cm="1">
        <f t="array" ref="H198">INDEX('GMW - worst case'!$A$2:$MC$200,MATCH(1,('GMW - worst case'!$MC$2:$MC$200=H$3)*('GMW - worst case'!$MB$2:$MB$200=H$4),0),$E198-1973)</f>
        <v>148.53800000000001</v>
      </c>
      <c r="I198" cm="1">
        <f t="array" ref="I198">INDEX('GMW - worst case'!$A$2:$MC$200,MATCH(1,('GMW - worst case'!$MC$2:$MC$200=I$3)*('GMW - worst case'!$MB$2:$MB$200=I$4),0),$E198-1973)</f>
        <v>3.71</v>
      </c>
      <c r="J198" t="e" cm="1">
        <f t="array" ref="J198">INDEX('GMW - worst case'!$A$2:$MC$200,MATCH(1,('GMW - worst case'!$MC$2:$MC$200=J$3)*('GMW - worst case'!$MB$2:$MB$200=J$4),0),$E198-1973)</f>
        <v>#N/A</v>
      </c>
      <c r="K198" t="e" cm="1">
        <f t="array" ref="K198">INDEX('GMW - worst case'!$A$2:$MC$200,MATCH(1,('GMW - worst case'!$MC$2:$MC$200=K$3)*('GMW - worst case'!$MB$2:$MB$200=K$4),0),$E198-1973)</f>
        <v>#N/A</v>
      </c>
      <c r="L198" t="e" cm="1">
        <f t="array" ref="L198">INDEX('GMW - worst case'!$A$2:$MC$200,MATCH(1,('GMW - worst case'!$MC$2:$MC$200=L$3)*('GMW - worst case'!$MB$2:$MB$200=L$4),0),$E198-1973)</f>
        <v>#N/A</v>
      </c>
      <c r="M198" t="e" cm="1">
        <f t="array" ref="M198">INDEX('GMW - worst case'!$A$2:$MC$200,MATCH(1,('GMW - worst case'!$MC$2:$MC$200=M$3)*('GMW - worst case'!$MB$2:$MB$200=M$4),0),$E198-1973)</f>
        <v>#N/A</v>
      </c>
      <c r="N198" t="e" cm="1">
        <f t="array" ref="N198">INDEX('GMW - worst case'!$A$2:$MC$200,MATCH(1,('GMW - worst case'!$MC$2:$MC$200=N$3)*('GMW - worst case'!$MB$2:$MB$200=N$4),0),$E198-1973)</f>
        <v>#N/A</v>
      </c>
      <c r="O198" t="e" cm="1">
        <f t="array" ref="O198">INDEX('GMW - worst case'!$A$2:$MC$200,MATCH(1,('GMW - worst case'!$MC$2:$MC$200=O$3)*('GMW - worst case'!$MB$2:$MB$200=O$4),0),$E198-1973)</f>
        <v>#N/A</v>
      </c>
      <c r="P198" t="e" cm="1">
        <f t="array" ref="P198">INDEX('GMW - worst case'!$A$2:$MC$200,MATCH(1,('GMW - worst case'!$MC$2:$MC$200=P$3)*('GMW - worst case'!$MB$2:$MB$200=P$4),0),$E198-1973)</f>
        <v>#N/A</v>
      </c>
      <c r="Q198" t="e" cm="1">
        <f t="array" ref="Q198">INDEX('GMW - worst case'!$A$2:$MC$200,MATCH(1,('GMW - worst case'!$MC$2:$MC$200=Q$3)*('GMW - worst case'!$MB$2:$MB$200=Q$4),0),$E198-1973)</f>
        <v>#N/A</v>
      </c>
      <c r="R198" t="e" cm="1">
        <f t="array" ref="R198">INDEX('GMW - worst case'!$A$2:$MC$200,MATCH(1,('GMW - worst case'!$MC$2:$MC$200=R$3)*('GMW - worst case'!$MB$2:$MB$200=R$4),0),$E198-1973)</f>
        <v>#N/A</v>
      </c>
      <c r="S198" t="e" cm="1">
        <f t="array" ref="S198">INDEX('GMW - worst case'!$A$2:$MC$200,MATCH(1,('GMW - worst case'!$MC$2:$MC$200=S$3)*('GMW - worst case'!$MB$2:$MB$200=S$4),0),$E198-1973)</f>
        <v>#N/A</v>
      </c>
    </row>
    <row r="199" spans="1:19" x14ac:dyDescent="0.25">
      <c r="A199">
        <v>2028</v>
      </c>
      <c r="B199">
        <f t="shared" si="15"/>
        <v>2028</v>
      </c>
      <c r="C199">
        <f t="shared" si="15"/>
        <v>2027</v>
      </c>
      <c r="D199">
        <f t="shared" si="15"/>
        <v>2027</v>
      </c>
      <c r="E199">
        <f t="shared" si="11"/>
        <v>2172</v>
      </c>
      <c r="F199" cm="1">
        <f t="array" ref="F199">INDEX('GMW - worst case'!$A$2:$MC$200,MATCH(1,('GMW - worst case'!$MC$2:$MC$200=F$3)*('GMW - worst case'!$MB$2:$MB$200=F$4),0),$E199-1973)</f>
        <v>719206.5</v>
      </c>
      <c r="G199" cm="1">
        <f t="array" ref="G199">INDEX('GMW - worst case'!$A$2:$MC$200,MATCH(1,('GMW - worst case'!$MC$2:$MC$200=G$3)*('GMW - worst case'!$MB$2:$MB$200=G$4),0),$E199-1973)</f>
        <v>419492.1</v>
      </c>
      <c r="H199" cm="1">
        <f t="array" ref="H199">INDEX('GMW - worst case'!$A$2:$MC$200,MATCH(1,('GMW - worst case'!$MC$2:$MC$200=H$3)*('GMW - worst case'!$MB$2:$MB$200=H$4),0),$E199-1973)</f>
        <v>148.58019999999999</v>
      </c>
      <c r="I199" cm="1">
        <f t="array" ref="I199">INDEX('GMW - worst case'!$A$2:$MC$200,MATCH(1,('GMW - worst case'!$MC$2:$MC$200=I$3)*('GMW - worst case'!$MB$2:$MB$200=I$4),0),$E199-1973)</f>
        <v>3.5</v>
      </c>
      <c r="J199" t="e" cm="1">
        <f t="array" ref="J199">INDEX('GMW - worst case'!$A$2:$MC$200,MATCH(1,('GMW - worst case'!$MC$2:$MC$200=J$3)*('GMW - worst case'!$MB$2:$MB$200=J$4),0),$E199-1973)</f>
        <v>#N/A</v>
      </c>
      <c r="K199" t="e" cm="1">
        <f t="array" ref="K199">INDEX('GMW - worst case'!$A$2:$MC$200,MATCH(1,('GMW - worst case'!$MC$2:$MC$200=K$3)*('GMW - worst case'!$MB$2:$MB$200=K$4),0),$E199-1973)</f>
        <v>#N/A</v>
      </c>
      <c r="L199" t="e" cm="1">
        <f t="array" ref="L199">INDEX('GMW - worst case'!$A$2:$MC$200,MATCH(1,('GMW - worst case'!$MC$2:$MC$200=L$3)*('GMW - worst case'!$MB$2:$MB$200=L$4),0),$E199-1973)</f>
        <v>#N/A</v>
      </c>
      <c r="M199" t="e" cm="1">
        <f t="array" ref="M199">INDEX('GMW - worst case'!$A$2:$MC$200,MATCH(1,('GMW - worst case'!$MC$2:$MC$200=M$3)*('GMW - worst case'!$MB$2:$MB$200=M$4),0),$E199-1973)</f>
        <v>#N/A</v>
      </c>
      <c r="N199" t="e" cm="1">
        <f t="array" ref="N199">INDEX('GMW - worst case'!$A$2:$MC$200,MATCH(1,('GMW - worst case'!$MC$2:$MC$200=N$3)*('GMW - worst case'!$MB$2:$MB$200=N$4),0),$E199-1973)</f>
        <v>#N/A</v>
      </c>
      <c r="O199" t="e" cm="1">
        <f t="array" ref="O199">INDEX('GMW - worst case'!$A$2:$MC$200,MATCH(1,('GMW - worst case'!$MC$2:$MC$200=O$3)*('GMW - worst case'!$MB$2:$MB$200=O$4),0),$E199-1973)</f>
        <v>#N/A</v>
      </c>
      <c r="P199" t="e" cm="1">
        <f t="array" ref="P199">INDEX('GMW - worst case'!$A$2:$MC$200,MATCH(1,('GMW - worst case'!$MC$2:$MC$200=P$3)*('GMW - worst case'!$MB$2:$MB$200=P$4),0),$E199-1973)</f>
        <v>#N/A</v>
      </c>
      <c r="Q199" t="e" cm="1">
        <f t="array" ref="Q199">INDEX('GMW - worst case'!$A$2:$MC$200,MATCH(1,('GMW - worst case'!$MC$2:$MC$200=Q$3)*('GMW - worst case'!$MB$2:$MB$200=Q$4),0),$E199-1973)</f>
        <v>#N/A</v>
      </c>
      <c r="R199" t="e" cm="1">
        <f t="array" ref="R199">INDEX('GMW - worst case'!$A$2:$MC$200,MATCH(1,('GMW - worst case'!$MC$2:$MC$200=R$3)*('GMW - worst case'!$MB$2:$MB$200=R$4),0),$E199-1973)</f>
        <v>#N/A</v>
      </c>
      <c r="S199" t="e" cm="1">
        <f t="array" ref="S199">INDEX('GMW - worst case'!$A$2:$MC$200,MATCH(1,('GMW - worst case'!$MC$2:$MC$200=S$3)*('GMW - worst case'!$MB$2:$MB$200=S$4),0),$E199-1973)</f>
        <v>#N/A</v>
      </c>
    </row>
    <row r="200" spans="1:19" x14ac:dyDescent="0.25">
      <c r="B200">
        <f t="shared" si="15"/>
        <v>2028</v>
      </c>
      <c r="C200">
        <f t="shared" si="15"/>
        <v>2028</v>
      </c>
      <c r="E200">
        <f t="shared" si="11"/>
        <v>2173</v>
      </c>
      <c r="F200" cm="1">
        <f t="array" ref="F200">INDEX('GMW - worst case'!$A$2:$MC$200,MATCH(1,('GMW - worst case'!$MC$2:$MC$200=F$3)*('GMW - worst case'!$MB$2:$MB$200=F$4),0),$E200-1973)</f>
        <v>722879.8</v>
      </c>
      <c r="G200" cm="1">
        <f t="array" ref="G200">INDEX('GMW - worst case'!$A$2:$MC$200,MATCH(1,('GMW - worst case'!$MC$2:$MC$200=G$3)*('GMW - worst case'!$MB$2:$MB$200=G$4),0),$E200-1973)</f>
        <v>421279.2</v>
      </c>
      <c r="H200" cm="1">
        <f t="array" ref="H200">INDEX('GMW - worst case'!$A$2:$MC$200,MATCH(1,('GMW - worst case'!$MC$2:$MC$200=H$3)*('GMW - worst case'!$MB$2:$MB$200=H$4),0),$E200-1973)</f>
        <v>149.72139999999999</v>
      </c>
      <c r="I200" cm="1">
        <f t="array" ref="I200">INDEX('GMW - worst case'!$A$2:$MC$200,MATCH(1,('GMW - worst case'!$MC$2:$MC$200=I$3)*('GMW - worst case'!$MB$2:$MB$200=I$4),0),$E200-1973)</f>
        <v>3.46</v>
      </c>
      <c r="J200" t="e" cm="1">
        <f t="array" ref="J200">INDEX('GMW - worst case'!$A$2:$MC$200,MATCH(1,('GMW - worst case'!$MC$2:$MC$200=J$3)*('GMW - worst case'!$MB$2:$MB$200=J$4),0),$E200-1973)</f>
        <v>#N/A</v>
      </c>
      <c r="K200" t="e" cm="1">
        <f t="array" ref="K200">INDEX('GMW - worst case'!$A$2:$MC$200,MATCH(1,('GMW - worst case'!$MC$2:$MC$200=K$3)*('GMW - worst case'!$MB$2:$MB$200=K$4),0),$E200-1973)</f>
        <v>#N/A</v>
      </c>
      <c r="L200" t="e" cm="1">
        <f t="array" ref="L200">INDEX('GMW - worst case'!$A$2:$MC$200,MATCH(1,('GMW - worst case'!$MC$2:$MC$200=L$3)*('GMW - worst case'!$MB$2:$MB$200=L$4),0),$E200-1973)</f>
        <v>#N/A</v>
      </c>
      <c r="M200" t="e" cm="1">
        <f t="array" ref="M200">INDEX('GMW - worst case'!$A$2:$MC$200,MATCH(1,('GMW - worst case'!$MC$2:$MC$200=M$3)*('GMW - worst case'!$MB$2:$MB$200=M$4),0),$E200-1973)</f>
        <v>#N/A</v>
      </c>
      <c r="N200" t="e" cm="1">
        <f t="array" ref="N200">INDEX('GMW - worst case'!$A$2:$MC$200,MATCH(1,('GMW - worst case'!$MC$2:$MC$200=N$3)*('GMW - worst case'!$MB$2:$MB$200=N$4),0),$E200-1973)</f>
        <v>#N/A</v>
      </c>
      <c r="O200" t="e" cm="1">
        <f t="array" ref="O200">INDEX('GMW - worst case'!$A$2:$MC$200,MATCH(1,('GMW - worst case'!$MC$2:$MC$200=O$3)*('GMW - worst case'!$MB$2:$MB$200=O$4),0),$E200-1973)</f>
        <v>#N/A</v>
      </c>
      <c r="P200" t="e" cm="1">
        <f t="array" ref="P200">INDEX('GMW - worst case'!$A$2:$MC$200,MATCH(1,('GMW - worst case'!$MC$2:$MC$200=P$3)*('GMW - worst case'!$MB$2:$MB$200=P$4),0),$E200-1973)</f>
        <v>#N/A</v>
      </c>
      <c r="Q200" t="e" cm="1">
        <f t="array" ref="Q200">INDEX('GMW - worst case'!$A$2:$MC$200,MATCH(1,('GMW - worst case'!$MC$2:$MC$200=Q$3)*('GMW - worst case'!$MB$2:$MB$200=Q$4),0),$E200-1973)</f>
        <v>#N/A</v>
      </c>
      <c r="R200" t="e" cm="1">
        <f t="array" ref="R200">INDEX('GMW - worst case'!$A$2:$MC$200,MATCH(1,('GMW - worst case'!$MC$2:$MC$200=R$3)*('GMW - worst case'!$MB$2:$MB$200=R$4),0),$E200-1973)</f>
        <v>#N/A</v>
      </c>
      <c r="S200" t="e" cm="1">
        <f t="array" ref="S200">INDEX('GMW - worst case'!$A$2:$MC$200,MATCH(1,('GMW - worst case'!$MC$2:$MC$200=S$3)*('GMW - worst case'!$MB$2:$MB$200=S$4),0),$E200-1973)</f>
        <v>#N/A</v>
      </c>
    </row>
    <row r="201" spans="1:19" x14ac:dyDescent="0.25">
      <c r="B201">
        <f t="shared" si="15"/>
        <v>2028</v>
      </c>
      <c r="C201">
        <f t="shared" si="15"/>
        <v>2028</v>
      </c>
      <c r="E201">
        <f t="shared" ref="E201:E264" si="16">+E200+1</f>
        <v>2174</v>
      </c>
      <c r="F201" cm="1">
        <f t="array" ref="F201">INDEX('GMW - worst case'!$A$2:$MC$200,MATCH(1,('GMW - worst case'!$MC$2:$MC$200=F$3)*('GMW - worst case'!$MB$2:$MB$200=F$4),0),$E201-1973)</f>
        <v>726645.7</v>
      </c>
      <c r="G201" cm="1">
        <f t="array" ref="G201">INDEX('GMW - worst case'!$A$2:$MC$200,MATCH(1,('GMW - worst case'!$MC$2:$MC$200=G$3)*('GMW - worst case'!$MB$2:$MB$200=G$4),0),$E201-1973)</f>
        <v>423317.7</v>
      </c>
      <c r="H201" cm="1">
        <f t="array" ref="H201">INDEX('GMW - worst case'!$A$2:$MC$200,MATCH(1,('GMW - worst case'!$MC$2:$MC$200=H$3)*('GMW - worst case'!$MB$2:$MB$200=H$4),0),$E201-1973)</f>
        <v>150.23580000000001</v>
      </c>
      <c r="I201" cm="1">
        <f t="array" ref="I201">INDEX('GMW - worst case'!$A$2:$MC$200,MATCH(1,('GMW - worst case'!$MC$2:$MC$200=I$3)*('GMW - worst case'!$MB$2:$MB$200=I$4),0),$E201-1973)</f>
        <v>3.21</v>
      </c>
      <c r="J201" t="e" cm="1">
        <f t="array" ref="J201">INDEX('GMW - worst case'!$A$2:$MC$200,MATCH(1,('GMW - worst case'!$MC$2:$MC$200=J$3)*('GMW - worst case'!$MB$2:$MB$200=J$4),0),$E201-1973)</f>
        <v>#N/A</v>
      </c>
      <c r="K201" t="e" cm="1">
        <f t="array" ref="K201">INDEX('GMW - worst case'!$A$2:$MC$200,MATCH(1,('GMW - worst case'!$MC$2:$MC$200=K$3)*('GMW - worst case'!$MB$2:$MB$200=K$4),0),$E201-1973)</f>
        <v>#N/A</v>
      </c>
      <c r="L201" t="e" cm="1">
        <f t="array" ref="L201">INDEX('GMW - worst case'!$A$2:$MC$200,MATCH(1,('GMW - worst case'!$MC$2:$MC$200=L$3)*('GMW - worst case'!$MB$2:$MB$200=L$4),0),$E201-1973)</f>
        <v>#N/A</v>
      </c>
      <c r="M201" t="e" cm="1">
        <f t="array" ref="M201">INDEX('GMW - worst case'!$A$2:$MC$200,MATCH(1,('GMW - worst case'!$MC$2:$MC$200=M$3)*('GMW - worst case'!$MB$2:$MB$200=M$4),0),$E201-1973)</f>
        <v>#N/A</v>
      </c>
      <c r="N201" t="e" cm="1">
        <f t="array" ref="N201">INDEX('GMW - worst case'!$A$2:$MC$200,MATCH(1,('GMW - worst case'!$MC$2:$MC$200=N$3)*('GMW - worst case'!$MB$2:$MB$200=N$4),0),$E201-1973)</f>
        <v>#N/A</v>
      </c>
      <c r="O201" t="e" cm="1">
        <f t="array" ref="O201">INDEX('GMW - worst case'!$A$2:$MC$200,MATCH(1,('GMW - worst case'!$MC$2:$MC$200=O$3)*('GMW - worst case'!$MB$2:$MB$200=O$4),0),$E201-1973)</f>
        <v>#N/A</v>
      </c>
      <c r="P201" t="e" cm="1">
        <f t="array" ref="P201">INDEX('GMW - worst case'!$A$2:$MC$200,MATCH(1,('GMW - worst case'!$MC$2:$MC$200=P$3)*('GMW - worst case'!$MB$2:$MB$200=P$4),0),$E201-1973)</f>
        <v>#N/A</v>
      </c>
      <c r="Q201" t="e" cm="1">
        <f t="array" ref="Q201">INDEX('GMW - worst case'!$A$2:$MC$200,MATCH(1,('GMW - worst case'!$MC$2:$MC$200=Q$3)*('GMW - worst case'!$MB$2:$MB$200=Q$4),0),$E201-1973)</f>
        <v>#N/A</v>
      </c>
      <c r="R201" t="e" cm="1">
        <f t="array" ref="R201">INDEX('GMW - worst case'!$A$2:$MC$200,MATCH(1,('GMW - worst case'!$MC$2:$MC$200=R$3)*('GMW - worst case'!$MB$2:$MB$200=R$4),0),$E201-1973)</f>
        <v>#N/A</v>
      </c>
      <c r="S201" t="e" cm="1">
        <f t="array" ref="S201">INDEX('GMW - worst case'!$A$2:$MC$200,MATCH(1,('GMW - worst case'!$MC$2:$MC$200=S$3)*('GMW - worst case'!$MB$2:$MB$200=S$4),0),$E201-1973)</f>
        <v>#N/A</v>
      </c>
    </row>
    <row r="202" spans="1:19" x14ac:dyDescent="0.25">
      <c r="B202">
        <f t="shared" si="15"/>
        <v>2028</v>
      </c>
      <c r="C202">
        <f t="shared" si="15"/>
        <v>2028</v>
      </c>
      <c r="E202">
        <f t="shared" si="16"/>
        <v>2175</v>
      </c>
      <c r="F202" cm="1">
        <f t="array" ref="F202">INDEX('GMW - worst case'!$A$2:$MC$200,MATCH(1,('GMW - worst case'!$MC$2:$MC$200=F$3)*('GMW - worst case'!$MB$2:$MB$200=F$4),0),$E202-1973)</f>
        <v>730644.6</v>
      </c>
      <c r="G202" cm="1">
        <f t="array" ref="G202">INDEX('GMW - worst case'!$A$2:$MC$200,MATCH(1,('GMW - worst case'!$MC$2:$MC$200=G$3)*('GMW - worst case'!$MB$2:$MB$200=G$4),0),$E202-1973)</f>
        <v>425616.5</v>
      </c>
      <c r="H202" cm="1">
        <f t="array" ref="H202">INDEX('GMW - worst case'!$A$2:$MC$200,MATCH(1,('GMW - worst case'!$MC$2:$MC$200=H$3)*('GMW - worst case'!$MB$2:$MB$200=H$4),0),$E202-1973)</f>
        <v>150.74610000000001</v>
      </c>
      <c r="I202" cm="1">
        <f t="array" ref="I202">INDEX('GMW - worst case'!$A$2:$MC$200,MATCH(1,('GMW - worst case'!$MC$2:$MC$200=I$3)*('GMW - worst case'!$MB$2:$MB$200=I$4),0),$E202-1973)</f>
        <v>2.96</v>
      </c>
      <c r="J202" t="e" cm="1">
        <f t="array" ref="J202">INDEX('GMW - worst case'!$A$2:$MC$200,MATCH(1,('GMW - worst case'!$MC$2:$MC$200=J$3)*('GMW - worst case'!$MB$2:$MB$200=J$4),0),$E202-1973)</f>
        <v>#N/A</v>
      </c>
      <c r="K202" t="e" cm="1">
        <f t="array" ref="K202">INDEX('GMW - worst case'!$A$2:$MC$200,MATCH(1,('GMW - worst case'!$MC$2:$MC$200=K$3)*('GMW - worst case'!$MB$2:$MB$200=K$4),0),$E202-1973)</f>
        <v>#N/A</v>
      </c>
      <c r="L202" t="e" cm="1">
        <f t="array" ref="L202">INDEX('GMW - worst case'!$A$2:$MC$200,MATCH(1,('GMW - worst case'!$MC$2:$MC$200=L$3)*('GMW - worst case'!$MB$2:$MB$200=L$4),0),$E202-1973)</f>
        <v>#N/A</v>
      </c>
      <c r="M202" t="e" cm="1">
        <f t="array" ref="M202">INDEX('GMW - worst case'!$A$2:$MC$200,MATCH(1,('GMW - worst case'!$MC$2:$MC$200=M$3)*('GMW - worst case'!$MB$2:$MB$200=M$4),0),$E202-1973)</f>
        <v>#N/A</v>
      </c>
      <c r="N202" t="e" cm="1">
        <f t="array" ref="N202">INDEX('GMW - worst case'!$A$2:$MC$200,MATCH(1,('GMW - worst case'!$MC$2:$MC$200=N$3)*('GMW - worst case'!$MB$2:$MB$200=N$4),0),$E202-1973)</f>
        <v>#N/A</v>
      </c>
      <c r="O202" t="e" cm="1">
        <f t="array" ref="O202">INDEX('GMW - worst case'!$A$2:$MC$200,MATCH(1,('GMW - worst case'!$MC$2:$MC$200=O$3)*('GMW - worst case'!$MB$2:$MB$200=O$4),0),$E202-1973)</f>
        <v>#N/A</v>
      </c>
      <c r="P202" t="e" cm="1">
        <f t="array" ref="P202">INDEX('GMW - worst case'!$A$2:$MC$200,MATCH(1,('GMW - worst case'!$MC$2:$MC$200=P$3)*('GMW - worst case'!$MB$2:$MB$200=P$4),0),$E202-1973)</f>
        <v>#N/A</v>
      </c>
      <c r="Q202" t="e" cm="1">
        <f t="array" ref="Q202">INDEX('GMW - worst case'!$A$2:$MC$200,MATCH(1,('GMW - worst case'!$MC$2:$MC$200=Q$3)*('GMW - worst case'!$MB$2:$MB$200=Q$4),0),$E202-1973)</f>
        <v>#N/A</v>
      </c>
      <c r="R202" t="e" cm="1">
        <f t="array" ref="R202">INDEX('GMW - worst case'!$A$2:$MC$200,MATCH(1,('GMW - worst case'!$MC$2:$MC$200=R$3)*('GMW - worst case'!$MB$2:$MB$200=R$4),0),$E202-1973)</f>
        <v>#N/A</v>
      </c>
      <c r="S202" t="e" cm="1">
        <f t="array" ref="S202">INDEX('GMW - worst case'!$A$2:$MC$200,MATCH(1,('GMW - worst case'!$MC$2:$MC$200=S$3)*('GMW - worst case'!$MB$2:$MB$200=S$4),0),$E202-1973)</f>
        <v>#N/A</v>
      </c>
    </row>
    <row r="203" spans="1:19" x14ac:dyDescent="0.25">
      <c r="A203">
        <v>2029</v>
      </c>
      <c r="B203">
        <f t="shared" si="15"/>
        <v>2029</v>
      </c>
      <c r="C203">
        <f t="shared" si="15"/>
        <v>2028</v>
      </c>
      <c r="D203">
        <f t="shared" si="15"/>
        <v>2028</v>
      </c>
      <c r="E203">
        <f t="shared" si="16"/>
        <v>2176</v>
      </c>
      <c r="F203" cm="1">
        <f t="array" ref="F203">INDEX('GMW - worst case'!$A$2:$MC$200,MATCH(1,('GMW - worst case'!$MC$2:$MC$200=F$3)*('GMW - worst case'!$MB$2:$MB$200=F$4),0),$E203-1973)</f>
        <v>734832.9</v>
      </c>
      <c r="G203" cm="1">
        <f t="array" ref="G203">INDEX('GMW - worst case'!$A$2:$MC$200,MATCH(1,('GMW - worst case'!$MC$2:$MC$200=G$3)*('GMW - worst case'!$MB$2:$MB$200=G$4),0),$E203-1973)</f>
        <v>428061.2</v>
      </c>
      <c r="H203" cm="1">
        <f t="array" ref="H203">INDEX('GMW - worst case'!$A$2:$MC$200,MATCH(1,('GMW - worst case'!$MC$2:$MC$200=H$3)*('GMW - worst case'!$MB$2:$MB$200=H$4),0),$E203-1973)</f>
        <v>150.89879999999999</v>
      </c>
      <c r="I203" cm="1">
        <f t="array" ref="I203">INDEX('GMW - worst case'!$A$2:$MC$200,MATCH(1,('GMW - worst case'!$MC$2:$MC$200=I$3)*('GMW - worst case'!$MB$2:$MB$200=I$4),0),$E203-1973)</f>
        <v>2.5</v>
      </c>
      <c r="J203" t="e" cm="1">
        <f t="array" ref="J203">INDEX('GMW - worst case'!$A$2:$MC$200,MATCH(1,('GMW - worst case'!$MC$2:$MC$200=J$3)*('GMW - worst case'!$MB$2:$MB$200=J$4),0),$E203-1973)</f>
        <v>#N/A</v>
      </c>
      <c r="K203" t="e" cm="1">
        <f t="array" ref="K203">INDEX('GMW - worst case'!$A$2:$MC$200,MATCH(1,('GMW - worst case'!$MC$2:$MC$200=K$3)*('GMW - worst case'!$MB$2:$MB$200=K$4),0),$E203-1973)</f>
        <v>#N/A</v>
      </c>
      <c r="L203" t="e" cm="1">
        <f t="array" ref="L203">INDEX('GMW - worst case'!$A$2:$MC$200,MATCH(1,('GMW - worst case'!$MC$2:$MC$200=L$3)*('GMW - worst case'!$MB$2:$MB$200=L$4),0),$E203-1973)</f>
        <v>#N/A</v>
      </c>
      <c r="M203" t="e" cm="1">
        <f t="array" ref="M203">INDEX('GMW - worst case'!$A$2:$MC$200,MATCH(1,('GMW - worst case'!$MC$2:$MC$200=M$3)*('GMW - worst case'!$MB$2:$MB$200=M$4),0),$E203-1973)</f>
        <v>#N/A</v>
      </c>
      <c r="N203" t="e" cm="1">
        <f t="array" ref="N203">INDEX('GMW - worst case'!$A$2:$MC$200,MATCH(1,('GMW - worst case'!$MC$2:$MC$200=N$3)*('GMW - worst case'!$MB$2:$MB$200=N$4),0),$E203-1973)</f>
        <v>#N/A</v>
      </c>
      <c r="O203" t="e" cm="1">
        <f t="array" ref="O203">INDEX('GMW - worst case'!$A$2:$MC$200,MATCH(1,('GMW - worst case'!$MC$2:$MC$200=O$3)*('GMW - worst case'!$MB$2:$MB$200=O$4),0),$E203-1973)</f>
        <v>#N/A</v>
      </c>
      <c r="P203" t="e" cm="1">
        <f t="array" ref="P203">INDEX('GMW - worst case'!$A$2:$MC$200,MATCH(1,('GMW - worst case'!$MC$2:$MC$200=P$3)*('GMW - worst case'!$MB$2:$MB$200=P$4),0),$E203-1973)</f>
        <v>#N/A</v>
      </c>
      <c r="Q203" t="e" cm="1">
        <f t="array" ref="Q203">INDEX('GMW - worst case'!$A$2:$MC$200,MATCH(1,('GMW - worst case'!$MC$2:$MC$200=Q$3)*('GMW - worst case'!$MB$2:$MB$200=Q$4),0),$E203-1973)</f>
        <v>#N/A</v>
      </c>
      <c r="R203" t="e" cm="1">
        <f t="array" ref="R203">INDEX('GMW - worst case'!$A$2:$MC$200,MATCH(1,('GMW - worst case'!$MC$2:$MC$200=R$3)*('GMW - worst case'!$MB$2:$MB$200=R$4),0),$E203-1973)</f>
        <v>#N/A</v>
      </c>
      <c r="S203" t="e" cm="1">
        <f t="array" ref="S203">INDEX('GMW - worst case'!$A$2:$MC$200,MATCH(1,('GMW - worst case'!$MC$2:$MC$200=S$3)*('GMW - worst case'!$MB$2:$MB$200=S$4),0),$E203-1973)</f>
        <v>#N/A</v>
      </c>
    </row>
    <row r="204" spans="1:19" x14ac:dyDescent="0.25">
      <c r="B204">
        <f t="shared" ref="B204:D219" si="17">+B200+1</f>
        <v>2029</v>
      </c>
      <c r="C204">
        <f t="shared" si="17"/>
        <v>2029</v>
      </c>
      <c r="E204">
        <f t="shared" si="16"/>
        <v>2177</v>
      </c>
      <c r="F204" cm="1">
        <f t="array" ref="F204">INDEX('GMW - worst case'!$A$2:$MC$200,MATCH(1,('GMW - worst case'!$MC$2:$MC$200=F$3)*('GMW - worst case'!$MB$2:$MB$200=F$4),0),$E204-1973)</f>
        <v>738393.4</v>
      </c>
      <c r="G204" cm="1">
        <f t="array" ref="G204">INDEX('GMW - worst case'!$A$2:$MC$200,MATCH(1,('GMW - worst case'!$MC$2:$MC$200=G$3)*('GMW - worst case'!$MB$2:$MB$200=G$4),0),$E204-1973)</f>
        <v>430162.5</v>
      </c>
      <c r="H204" cm="1">
        <f t="array" ref="H204">INDEX('GMW - worst case'!$A$2:$MC$200,MATCH(1,('GMW - worst case'!$MC$2:$MC$200=H$3)*('GMW - worst case'!$MB$2:$MB$200=H$4),0),$E204-1973)</f>
        <v>152.14259999999999</v>
      </c>
      <c r="I204" cm="1">
        <f t="array" ref="I204">INDEX('GMW - worst case'!$A$2:$MC$200,MATCH(1,('GMW - worst case'!$MC$2:$MC$200=I$3)*('GMW - worst case'!$MB$2:$MB$200=I$4),0),$E204-1973)</f>
        <v>2.5</v>
      </c>
      <c r="J204" t="e" cm="1">
        <f t="array" ref="J204">INDEX('GMW - worst case'!$A$2:$MC$200,MATCH(1,('GMW - worst case'!$MC$2:$MC$200=J$3)*('GMW - worst case'!$MB$2:$MB$200=J$4),0),$E204-1973)</f>
        <v>#N/A</v>
      </c>
      <c r="K204" t="e" cm="1">
        <f t="array" ref="K204">INDEX('GMW - worst case'!$A$2:$MC$200,MATCH(1,('GMW - worst case'!$MC$2:$MC$200=K$3)*('GMW - worst case'!$MB$2:$MB$200=K$4),0),$E204-1973)</f>
        <v>#N/A</v>
      </c>
      <c r="L204" t="e" cm="1">
        <f t="array" ref="L204">INDEX('GMW - worst case'!$A$2:$MC$200,MATCH(1,('GMW - worst case'!$MC$2:$MC$200=L$3)*('GMW - worst case'!$MB$2:$MB$200=L$4),0),$E204-1973)</f>
        <v>#N/A</v>
      </c>
      <c r="M204" t="e" cm="1">
        <f t="array" ref="M204">INDEX('GMW - worst case'!$A$2:$MC$200,MATCH(1,('GMW - worst case'!$MC$2:$MC$200=M$3)*('GMW - worst case'!$MB$2:$MB$200=M$4),0),$E204-1973)</f>
        <v>#N/A</v>
      </c>
      <c r="N204" t="e" cm="1">
        <f t="array" ref="N204">INDEX('GMW - worst case'!$A$2:$MC$200,MATCH(1,('GMW - worst case'!$MC$2:$MC$200=N$3)*('GMW - worst case'!$MB$2:$MB$200=N$4),0),$E204-1973)</f>
        <v>#N/A</v>
      </c>
      <c r="O204" t="e" cm="1">
        <f t="array" ref="O204">INDEX('GMW - worst case'!$A$2:$MC$200,MATCH(1,('GMW - worst case'!$MC$2:$MC$200=O$3)*('GMW - worst case'!$MB$2:$MB$200=O$4),0),$E204-1973)</f>
        <v>#N/A</v>
      </c>
      <c r="P204" t="e" cm="1">
        <f t="array" ref="P204">INDEX('GMW - worst case'!$A$2:$MC$200,MATCH(1,('GMW - worst case'!$MC$2:$MC$200=P$3)*('GMW - worst case'!$MB$2:$MB$200=P$4),0),$E204-1973)</f>
        <v>#N/A</v>
      </c>
      <c r="Q204" t="e" cm="1">
        <f t="array" ref="Q204">INDEX('GMW - worst case'!$A$2:$MC$200,MATCH(1,('GMW - worst case'!$MC$2:$MC$200=Q$3)*('GMW - worst case'!$MB$2:$MB$200=Q$4),0),$E204-1973)</f>
        <v>#N/A</v>
      </c>
      <c r="R204" t="e" cm="1">
        <f t="array" ref="R204">INDEX('GMW - worst case'!$A$2:$MC$200,MATCH(1,('GMW - worst case'!$MC$2:$MC$200=R$3)*('GMW - worst case'!$MB$2:$MB$200=R$4),0),$E204-1973)</f>
        <v>#N/A</v>
      </c>
      <c r="S204" t="e" cm="1">
        <f t="array" ref="S204">INDEX('GMW - worst case'!$A$2:$MC$200,MATCH(1,('GMW - worst case'!$MC$2:$MC$200=S$3)*('GMW - worst case'!$MB$2:$MB$200=S$4),0),$E204-1973)</f>
        <v>#N/A</v>
      </c>
    </row>
    <row r="205" spans="1:19" x14ac:dyDescent="0.25">
      <c r="B205">
        <f t="shared" si="17"/>
        <v>2029</v>
      </c>
      <c r="C205">
        <f t="shared" si="17"/>
        <v>2029</v>
      </c>
      <c r="E205">
        <f t="shared" si="16"/>
        <v>2178</v>
      </c>
      <c r="F205" cm="1">
        <f t="array" ref="F205">INDEX('GMW - worst case'!$A$2:$MC$200,MATCH(1,('GMW - worst case'!$MC$2:$MC$200=F$3)*('GMW - worst case'!$MB$2:$MB$200=F$4),0),$E205-1973)</f>
        <v>741743.2</v>
      </c>
      <c r="G205" cm="1">
        <f t="array" ref="G205">INDEX('GMW - worst case'!$A$2:$MC$200,MATCH(1,('GMW - worst case'!$MC$2:$MC$200=G$3)*('GMW - worst case'!$MB$2:$MB$200=G$4),0),$E205-1973)</f>
        <v>432237.6</v>
      </c>
      <c r="H205" cm="1">
        <f t="array" ref="H205">INDEX('GMW - worst case'!$A$2:$MC$200,MATCH(1,('GMW - worst case'!$MC$2:$MC$200=H$3)*('GMW - worst case'!$MB$2:$MB$200=H$4),0),$E205-1973)</f>
        <v>152.84639999999999</v>
      </c>
      <c r="I205" cm="1">
        <f t="array" ref="I205">INDEX('GMW - worst case'!$A$2:$MC$200,MATCH(1,('GMW - worst case'!$MC$2:$MC$200=I$3)*('GMW - worst case'!$MB$2:$MB$200=I$4),0),$E205-1973)</f>
        <v>2.5</v>
      </c>
      <c r="J205" t="e" cm="1">
        <f t="array" ref="J205">INDEX('GMW - worst case'!$A$2:$MC$200,MATCH(1,('GMW - worst case'!$MC$2:$MC$200=J$3)*('GMW - worst case'!$MB$2:$MB$200=J$4),0),$E205-1973)</f>
        <v>#N/A</v>
      </c>
      <c r="K205" t="e" cm="1">
        <f t="array" ref="K205">INDEX('GMW - worst case'!$A$2:$MC$200,MATCH(1,('GMW - worst case'!$MC$2:$MC$200=K$3)*('GMW - worst case'!$MB$2:$MB$200=K$4),0),$E205-1973)</f>
        <v>#N/A</v>
      </c>
      <c r="L205" t="e" cm="1">
        <f t="array" ref="L205">INDEX('GMW - worst case'!$A$2:$MC$200,MATCH(1,('GMW - worst case'!$MC$2:$MC$200=L$3)*('GMW - worst case'!$MB$2:$MB$200=L$4),0),$E205-1973)</f>
        <v>#N/A</v>
      </c>
      <c r="M205" t="e" cm="1">
        <f t="array" ref="M205">INDEX('GMW - worst case'!$A$2:$MC$200,MATCH(1,('GMW - worst case'!$MC$2:$MC$200=M$3)*('GMW - worst case'!$MB$2:$MB$200=M$4),0),$E205-1973)</f>
        <v>#N/A</v>
      </c>
      <c r="N205" t="e" cm="1">
        <f t="array" ref="N205">INDEX('GMW - worst case'!$A$2:$MC$200,MATCH(1,('GMW - worst case'!$MC$2:$MC$200=N$3)*('GMW - worst case'!$MB$2:$MB$200=N$4),0),$E205-1973)</f>
        <v>#N/A</v>
      </c>
      <c r="O205" t="e" cm="1">
        <f t="array" ref="O205">INDEX('GMW - worst case'!$A$2:$MC$200,MATCH(1,('GMW - worst case'!$MC$2:$MC$200=O$3)*('GMW - worst case'!$MB$2:$MB$200=O$4),0),$E205-1973)</f>
        <v>#N/A</v>
      </c>
      <c r="P205" t="e" cm="1">
        <f t="array" ref="P205">INDEX('GMW - worst case'!$A$2:$MC$200,MATCH(1,('GMW - worst case'!$MC$2:$MC$200=P$3)*('GMW - worst case'!$MB$2:$MB$200=P$4),0),$E205-1973)</f>
        <v>#N/A</v>
      </c>
      <c r="Q205" t="e" cm="1">
        <f t="array" ref="Q205">INDEX('GMW - worst case'!$A$2:$MC$200,MATCH(1,('GMW - worst case'!$MC$2:$MC$200=Q$3)*('GMW - worst case'!$MB$2:$MB$200=Q$4),0),$E205-1973)</f>
        <v>#N/A</v>
      </c>
      <c r="R205" t="e" cm="1">
        <f t="array" ref="R205">INDEX('GMW - worst case'!$A$2:$MC$200,MATCH(1,('GMW - worst case'!$MC$2:$MC$200=R$3)*('GMW - worst case'!$MB$2:$MB$200=R$4),0),$E205-1973)</f>
        <v>#N/A</v>
      </c>
      <c r="S205" t="e" cm="1">
        <f t="array" ref="S205">INDEX('GMW - worst case'!$A$2:$MC$200,MATCH(1,('GMW - worst case'!$MC$2:$MC$200=S$3)*('GMW - worst case'!$MB$2:$MB$200=S$4),0),$E205-1973)</f>
        <v>#N/A</v>
      </c>
    </row>
    <row r="206" spans="1:19" x14ac:dyDescent="0.25">
      <c r="B206">
        <f t="shared" si="17"/>
        <v>2029</v>
      </c>
      <c r="C206">
        <f t="shared" si="17"/>
        <v>2029</v>
      </c>
      <c r="E206">
        <f t="shared" si="16"/>
        <v>2179</v>
      </c>
      <c r="F206" cm="1">
        <f t="array" ref="F206">INDEX('GMW - worst case'!$A$2:$MC$200,MATCH(1,('GMW - worst case'!$MC$2:$MC$200=F$3)*('GMW - worst case'!$MB$2:$MB$200=F$4),0),$E206-1973)</f>
        <v>744873.3</v>
      </c>
      <c r="G206" cm="1">
        <f t="array" ref="G206">INDEX('GMW - worst case'!$A$2:$MC$200,MATCH(1,('GMW - worst case'!$MC$2:$MC$200=G$3)*('GMW - worst case'!$MB$2:$MB$200=G$4),0),$E206-1973)</f>
        <v>434224.2</v>
      </c>
      <c r="H206" cm="1">
        <f t="array" ref="H206">INDEX('GMW - worst case'!$A$2:$MC$200,MATCH(1,('GMW - worst case'!$MC$2:$MC$200=H$3)*('GMW - worst case'!$MB$2:$MB$200=H$4),0),$E206-1973)</f>
        <v>153.45660000000001</v>
      </c>
      <c r="I206" cm="1">
        <f t="array" ref="I206">INDEX('GMW - worst case'!$A$2:$MC$200,MATCH(1,('GMW - worst case'!$MC$2:$MC$200=I$3)*('GMW - worst case'!$MB$2:$MB$200=I$4),0),$E206-1973)</f>
        <v>2.5</v>
      </c>
      <c r="J206" t="e" cm="1">
        <f t="array" ref="J206">INDEX('GMW - worst case'!$A$2:$MC$200,MATCH(1,('GMW - worst case'!$MC$2:$MC$200=J$3)*('GMW - worst case'!$MB$2:$MB$200=J$4),0),$E206-1973)</f>
        <v>#N/A</v>
      </c>
      <c r="K206" t="e" cm="1">
        <f t="array" ref="K206">INDEX('GMW - worst case'!$A$2:$MC$200,MATCH(1,('GMW - worst case'!$MC$2:$MC$200=K$3)*('GMW - worst case'!$MB$2:$MB$200=K$4),0),$E206-1973)</f>
        <v>#N/A</v>
      </c>
      <c r="L206" t="e" cm="1">
        <f t="array" ref="L206">INDEX('GMW - worst case'!$A$2:$MC$200,MATCH(1,('GMW - worst case'!$MC$2:$MC$200=L$3)*('GMW - worst case'!$MB$2:$MB$200=L$4),0),$E206-1973)</f>
        <v>#N/A</v>
      </c>
      <c r="M206" t="e" cm="1">
        <f t="array" ref="M206">INDEX('GMW - worst case'!$A$2:$MC$200,MATCH(1,('GMW - worst case'!$MC$2:$MC$200=M$3)*('GMW - worst case'!$MB$2:$MB$200=M$4),0),$E206-1973)</f>
        <v>#N/A</v>
      </c>
      <c r="N206" t="e" cm="1">
        <f t="array" ref="N206">INDEX('GMW - worst case'!$A$2:$MC$200,MATCH(1,('GMW - worst case'!$MC$2:$MC$200=N$3)*('GMW - worst case'!$MB$2:$MB$200=N$4),0),$E206-1973)</f>
        <v>#N/A</v>
      </c>
      <c r="O206" t="e" cm="1">
        <f t="array" ref="O206">INDEX('GMW - worst case'!$A$2:$MC$200,MATCH(1,('GMW - worst case'!$MC$2:$MC$200=O$3)*('GMW - worst case'!$MB$2:$MB$200=O$4),0),$E206-1973)</f>
        <v>#N/A</v>
      </c>
      <c r="P206" t="e" cm="1">
        <f t="array" ref="P206">INDEX('GMW - worst case'!$A$2:$MC$200,MATCH(1,('GMW - worst case'!$MC$2:$MC$200=P$3)*('GMW - worst case'!$MB$2:$MB$200=P$4),0),$E206-1973)</f>
        <v>#N/A</v>
      </c>
      <c r="Q206" t="e" cm="1">
        <f t="array" ref="Q206">INDEX('GMW - worst case'!$A$2:$MC$200,MATCH(1,('GMW - worst case'!$MC$2:$MC$200=Q$3)*('GMW - worst case'!$MB$2:$MB$200=Q$4),0),$E206-1973)</f>
        <v>#N/A</v>
      </c>
      <c r="R206" t="e" cm="1">
        <f t="array" ref="R206">INDEX('GMW - worst case'!$A$2:$MC$200,MATCH(1,('GMW - worst case'!$MC$2:$MC$200=R$3)*('GMW - worst case'!$MB$2:$MB$200=R$4),0),$E206-1973)</f>
        <v>#N/A</v>
      </c>
      <c r="S206" t="e" cm="1">
        <f t="array" ref="S206">INDEX('GMW - worst case'!$A$2:$MC$200,MATCH(1,('GMW - worst case'!$MC$2:$MC$200=S$3)*('GMW - worst case'!$MB$2:$MB$200=S$4),0),$E206-1973)</f>
        <v>#N/A</v>
      </c>
    </row>
    <row r="207" spans="1:19" x14ac:dyDescent="0.25">
      <c r="A207">
        <v>2030</v>
      </c>
      <c r="B207">
        <f t="shared" si="17"/>
        <v>2030</v>
      </c>
      <c r="C207">
        <f t="shared" si="17"/>
        <v>2029</v>
      </c>
      <c r="D207">
        <f t="shared" si="17"/>
        <v>2029</v>
      </c>
      <c r="E207">
        <f t="shared" si="16"/>
        <v>2180</v>
      </c>
      <c r="F207" cm="1">
        <f t="array" ref="F207">INDEX('GMW - worst case'!$A$2:$MC$200,MATCH(1,('GMW - worst case'!$MC$2:$MC$200=F$3)*('GMW - worst case'!$MB$2:$MB$200=F$4),0),$E207-1973)</f>
        <v>747997.8</v>
      </c>
      <c r="G207" cm="1">
        <f t="array" ref="G207">INDEX('GMW - worst case'!$A$2:$MC$200,MATCH(1,('GMW - worst case'!$MC$2:$MC$200=G$3)*('GMW - worst case'!$MB$2:$MB$200=G$4),0),$E207-1973)</f>
        <v>436282.2</v>
      </c>
      <c r="H207" cm="1">
        <f t="array" ref="H207">INDEX('GMW - worst case'!$A$2:$MC$200,MATCH(1,('GMW - worst case'!$MC$2:$MC$200=H$3)*('GMW - worst case'!$MB$2:$MB$200=H$4),0),$E207-1973)</f>
        <v>153.64189999999999</v>
      </c>
      <c r="I207" cm="1">
        <f t="array" ref="I207">INDEX('GMW - worst case'!$A$2:$MC$200,MATCH(1,('GMW - worst case'!$MC$2:$MC$200=I$3)*('GMW - worst case'!$MB$2:$MB$200=I$4),0),$E207-1973)</f>
        <v>2.5</v>
      </c>
      <c r="J207" t="e" cm="1">
        <f t="array" ref="J207">INDEX('GMW - worst case'!$A$2:$MC$200,MATCH(1,('GMW - worst case'!$MC$2:$MC$200=J$3)*('GMW - worst case'!$MB$2:$MB$200=J$4),0),$E207-1973)</f>
        <v>#N/A</v>
      </c>
      <c r="K207" t="e" cm="1">
        <f t="array" ref="K207">INDEX('GMW - worst case'!$A$2:$MC$200,MATCH(1,('GMW - worst case'!$MC$2:$MC$200=K$3)*('GMW - worst case'!$MB$2:$MB$200=K$4),0),$E207-1973)</f>
        <v>#N/A</v>
      </c>
      <c r="L207" t="e" cm="1">
        <f t="array" ref="L207">INDEX('GMW - worst case'!$A$2:$MC$200,MATCH(1,('GMW - worst case'!$MC$2:$MC$200=L$3)*('GMW - worst case'!$MB$2:$MB$200=L$4),0),$E207-1973)</f>
        <v>#N/A</v>
      </c>
      <c r="M207" t="e" cm="1">
        <f t="array" ref="M207">INDEX('GMW - worst case'!$A$2:$MC$200,MATCH(1,('GMW - worst case'!$MC$2:$MC$200=M$3)*('GMW - worst case'!$MB$2:$MB$200=M$4),0),$E207-1973)</f>
        <v>#N/A</v>
      </c>
      <c r="N207" t="e" cm="1">
        <f t="array" ref="N207">INDEX('GMW - worst case'!$A$2:$MC$200,MATCH(1,('GMW - worst case'!$MC$2:$MC$200=N$3)*('GMW - worst case'!$MB$2:$MB$200=N$4),0),$E207-1973)</f>
        <v>#N/A</v>
      </c>
      <c r="O207" t="e" cm="1">
        <f t="array" ref="O207">INDEX('GMW - worst case'!$A$2:$MC$200,MATCH(1,('GMW - worst case'!$MC$2:$MC$200=O$3)*('GMW - worst case'!$MB$2:$MB$200=O$4),0),$E207-1973)</f>
        <v>#N/A</v>
      </c>
      <c r="P207" t="e" cm="1">
        <f t="array" ref="P207">INDEX('GMW - worst case'!$A$2:$MC$200,MATCH(1,('GMW - worst case'!$MC$2:$MC$200=P$3)*('GMW - worst case'!$MB$2:$MB$200=P$4),0),$E207-1973)</f>
        <v>#N/A</v>
      </c>
      <c r="Q207" t="e" cm="1">
        <f t="array" ref="Q207">INDEX('GMW - worst case'!$A$2:$MC$200,MATCH(1,('GMW - worst case'!$MC$2:$MC$200=Q$3)*('GMW - worst case'!$MB$2:$MB$200=Q$4),0),$E207-1973)</f>
        <v>#N/A</v>
      </c>
      <c r="R207" t="e" cm="1">
        <f t="array" ref="R207">INDEX('GMW - worst case'!$A$2:$MC$200,MATCH(1,('GMW - worst case'!$MC$2:$MC$200=R$3)*('GMW - worst case'!$MB$2:$MB$200=R$4),0),$E207-1973)</f>
        <v>#N/A</v>
      </c>
      <c r="S207" t="e" cm="1">
        <f t="array" ref="S207">INDEX('GMW - worst case'!$A$2:$MC$200,MATCH(1,('GMW - worst case'!$MC$2:$MC$200=S$3)*('GMW - worst case'!$MB$2:$MB$200=S$4),0),$E207-1973)</f>
        <v>#N/A</v>
      </c>
    </row>
    <row r="208" spans="1:19" x14ac:dyDescent="0.25">
      <c r="B208">
        <f t="shared" si="17"/>
        <v>2030</v>
      </c>
      <c r="C208">
        <f t="shared" si="17"/>
        <v>2030</v>
      </c>
      <c r="E208">
        <f t="shared" si="16"/>
        <v>2181</v>
      </c>
      <c r="F208" cm="1">
        <f t="array" ref="F208">INDEX('GMW - worst case'!$A$2:$MC$200,MATCH(1,('GMW - worst case'!$MC$2:$MC$200=F$3)*('GMW - worst case'!$MB$2:$MB$200=F$4),0),$E208-1973)</f>
        <v>751057.1</v>
      </c>
      <c r="G208" cm="1">
        <f t="array" ref="G208">INDEX('GMW - worst case'!$A$2:$MC$200,MATCH(1,('GMW - worst case'!$MC$2:$MC$200=G$3)*('GMW - worst case'!$MB$2:$MB$200=G$4),0),$E208-1973)</f>
        <v>438225.6</v>
      </c>
      <c r="H208" cm="1">
        <f t="array" ref="H208">INDEX('GMW - worst case'!$A$2:$MC$200,MATCH(1,('GMW - worst case'!$MC$2:$MC$200=H$3)*('GMW - worst case'!$MB$2:$MB$200=H$4),0),$E208-1973)</f>
        <v>154.93690000000001</v>
      </c>
      <c r="I208" cm="1">
        <f t="array" ref="I208">INDEX('GMW - worst case'!$A$2:$MC$200,MATCH(1,('GMW - worst case'!$MC$2:$MC$200=I$3)*('GMW - worst case'!$MB$2:$MB$200=I$4),0),$E208-1973)</f>
        <v>2.5</v>
      </c>
      <c r="J208" t="e" cm="1">
        <f t="array" ref="J208">INDEX('GMW - worst case'!$A$2:$MC$200,MATCH(1,('GMW - worst case'!$MC$2:$MC$200=J$3)*('GMW - worst case'!$MB$2:$MB$200=J$4),0),$E208-1973)</f>
        <v>#N/A</v>
      </c>
      <c r="K208" t="e" cm="1">
        <f t="array" ref="K208">INDEX('GMW - worst case'!$A$2:$MC$200,MATCH(1,('GMW - worst case'!$MC$2:$MC$200=K$3)*('GMW - worst case'!$MB$2:$MB$200=K$4),0),$E208-1973)</f>
        <v>#N/A</v>
      </c>
      <c r="L208" t="e" cm="1">
        <f t="array" ref="L208">INDEX('GMW - worst case'!$A$2:$MC$200,MATCH(1,('GMW - worst case'!$MC$2:$MC$200=L$3)*('GMW - worst case'!$MB$2:$MB$200=L$4),0),$E208-1973)</f>
        <v>#N/A</v>
      </c>
      <c r="M208" t="e" cm="1">
        <f t="array" ref="M208">INDEX('GMW - worst case'!$A$2:$MC$200,MATCH(1,('GMW - worst case'!$MC$2:$MC$200=M$3)*('GMW - worst case'!$MB$2:$MB$200=M$4),0),$E208-1973)</f>
        <v>#N/A</v>
      </c>
      <c r="N208" t="e" cm="1">
        <f t="array" ref="N208">INDEX('GMW - worst case'!$A$2:$MC$200,MATCH(1,('GMW - worst case'!$MC$2:$MC$200=N$3)*('GMW - worst case'!$MB$2:$MB$200=N$4),0),$E208-1973)</f>
        <v>#N/A</v>
      </c>
      <c r="O208" t="e" cm="1">
        <f t="array" ref="O208">INDEX('GMW - worst case'!$A$2:$MC$200,MATCH(1,('GMW - worst case'!$MC$2:$MC$200=O$3)*('GMW - worst case'!$MB$2:$MB$200=O$4),0),$E208-1973)</f>
        <v>#N/A</v>
      </c>
      <c r="P208" t="e" cm="1">
        <f t="array" ref="P208">INDEX('GMW - worst case'!$A$2:$MC$200,MATCH(1,('GMW - worst case'!$MC$2:$MC$200=P$3)*('GMW - worst case'!$MB$2:$MB$200=P$4),0),$E208-1973)</f>
        <v>#N/A</v>
      </c>
      <c r="Q208" t="e" cm="1">
        <f t="array" ref="Q208">INDEX('GMW - worst case'!$A$2:$MC$200,MATCH(1,('GMW - worst case'!$MC$2:$MC$200=Q$3)*('GMW - worst case'!$MB$2:$MB$200=Q$4),0),$E208-1973)</f>
        <v>#N/A</v>
      </c>
      <c r="R208" t="e" cm="1">
        <f t="array" ref="R208">INDEX('GMW - worst case'!$A$2:$MC$200,MATCH(1,('GMW - worst case'!$MC$2:$MC$200=R$3)*('GMW - worst case'!$MB$2:$MB$200=R$4),0),$E208-1973)</f>
        <v>#N/A</v>
      </c>
      <c r="S208" t="e" cm="1">
        <f t="array" ref="S208">INDEX('GMW - worst case'!$A$2:$MC$200,MATCH(1,('GMW - worst case'!$MC$2:$MC$200=S$3)*('GMW - worst case'!$MB$2:$MB$200=S$4),0),$E208-1973)</f>
        <v>#N/A</v>
      </c>
    </row>
    <row r="209" spans="1:19" x14ac:dyDescent="0.25">
      <c r="B209">
        <f t="shared" si="17"/>
        <v>2030</v>
      </c>
      <c r="C209">
        <f t="shared" si="17"/>
        <v>2030</v>
      </c>
      <c r="E209">
        <f t="shared" si="16"/>
        <v>2182</v>
      </c>
      <c r="F209" cm="1">
        <f t="array" ref="F209">INDEX('GMW - worst case'!$A$2:$MC$200,MATCH(1,('GMW - worst case'!$MC$2:$MC$200=F$3)*('GMW - worst case'!$MB$2:$MB$200=F$4),0),$E209-1973)</f>
        <v>754060</v>
      </c>
      <c r="G209" cm="1">
        <f t="array" ref="G209">INDEX('GMW - worst case'!$A$2:$MC$200,MATCH(1,('GMW - worst case'!$MC$2:$MC$200=G$3)*('GMW - worst case'!$MB$2:$MB$200=G$4),0),$E209-1973)</f>
        <v>440132.4</v>
      </c>
      <c r="H209" cm="1">
        <f t="array" ref="H209">INDEX('GMW - worst case'!$A$2:$MC$200,MATCH(1,('GMW - worst case'!$MC$2:$MC$200=H$3)*('GMW - worst case'!$MB$2:$MB$200=H$4),0),$E209-1973)</f>
        <v>155.68289999999999</v>
      </c>
      <c r="I209" cm="1">
        <f t="array" ref="I209">INDEX('GMW - worst case'!$A$2:$MC$200,MATCH(1,('GMW - worst case'!$MC$2:$MC$200=I$3)*('GMW - worst case'!$MB$2:$MB$200=I$4),0),$E209-1973)</f>
        <v>2.5</v>
      </c>
      <c r="J209" t="e" cm="1">
        <f t="array" ref="J209">INDEX('GMW - worst case'!$A$2:$MC$200,MATCH(1,('GMW - worst case'!$MC$2:$MC$200=J$3)*('GMW - worst case'!$MB$2:$MB$200=J$4),0),$E209-1973)</f>
        <v>#N/A</v>
      </c>
      <c r="K209" t="e" cm="1">
        <f t="array" ref="K209">INDEX('GMW - worst case'!$A$2:$MC$200,MATCH(1,('GMW - worst case'!$MC$2:$MC$200=K$3)*('GMW - worst case'!$MB$2:$MB$200=K$4),0),$E209-1973)</f>
        <v>#N/A</v>
      </c>
      <c r="L209" t="e" cm="1">
        <f t="array" ref="L209">INDEX('GMW - worst case'!$A$2:$MC$200,MATCH(1,('GMW - worst case'!$MC$2:$MC$200=L$3)*('GMW - worst case'!$MB$2:$MB$200=L$4),0),$E209-1973)</f>
        <v>#N/A</v>
      </c>
      <c r="M209" t="e" cm="1">
        <f t="array" ref="M209">INDEX('GMW - worst case'!$A$2:$MC$200,MATCH(1,('GMW - worst case'!$MC$2:$MC$200=M$3)*('GMW - worst case'!$MB$2:$MB$200=M$4),0),$E209-1973)</f>
        <v>#N/A</v>
      </c>
      <c r="N209" t="e" cm="1">
        <f t="array" ref="N209">INDEX('GMW - worst case'!$A$2:$MC$200,MATCH(1,('GMW - worst case'!$MC$2:$MC$200=N$3)*('GMW - worst case'!$MB$2:$MB$200=N$4),0),$E209-1973)</f>
        <v>#N/A</v>
      </c>
      <c r="O209" t="e" cm="1">
        <f t="array" ref="O209">INDEX('GMW - worst case'!$A$2:$MC$200,MATCH(1,('GMW - worst case'!$MC$2:$MC$200=O$3)*('GMW - worst case'!$MB$2:$MB$200=O$4),0),$E209-1973)</f>
        <v>#N/A</v>
      </c>
      <c r="P209" t="e" cm="1">
        <f t="array" ref="P209">INDEX('GMW - worst case'!$A$2:$MC$200,MATCH(1,('GMW - worst case'!$MC$2:$MC$200=P$3)*('GMW - worst case'!$MB$2:$MB$200=P$4),0),$E209-1973)</f>
        <v>#N/A</v>
      </c>
      <c r="Q209" t="e" cm="1">
        <f t="array" ref="Q209">INDEX('GMW - worst case'!$A$2:$MC$200,MATCH(1,('GMW - worst case'!$MC$2:$MC$200=Q$3)*('GMW - worst case'!$MB$2:$MB$200=Q$4),0),$E209-1973)</f>
        <v>#N/A</v>
      </c>
      <c r="R209" t="e" cm="1">
        <f t="array" ref="R209">INDEX('GMW - worst case'!$A$2:$MC$200,MATCH(1,('GMW - worst case'!$MC$2:$MC$200=R$3)*('GMW - worst case'!$MB$2:$MB$200=R$4),0),$E209-1973)</f>
        <v>#N/A</v>
      </c>
      <c r="S209" t="e" cm="1">
        <f t="array" ref="S209">INDEX('GMW - worst case'!$A$2:$MC$200,MATCH(1,('GMW - worst case'!$MC$2:$MC$200=S$3)*('GMW - worst case'!$MB$2:$MB$200=S$4),0),$E209-1973)</f>
        <v>#N/A</v>
      </c>
    </row>
    <row r="210" spans="1:19" x14ac:dyDescent="0.25">
      <c r="B210">
        <f t="shared" si="17"/>
        <v>2030</v>
      </c>
      <c r="C210">
        <f t="shared" si="17"/>
        <v>2030</v>
      </c>
      <c r="E210">
        <f t="shared" si="16"/>
        <v>2183</v>
      </c>
      <c r="F210" cm="1">
        <f t="array" ref="F210">INDEX('GMW - worst case'!$A$2:$MC$200,MATCH(1,('GMW - worst case'!$MC$2:$MC$200=F$3)*('GMW - worst case'!$MB$2:$MB$200=F$4),0),$E210-1973)</f>
        <v>757128.9</v>
      </c>
      <c r="G210" cm="1">
        <f t="array" ref="G210">INDEX('GMW - worst case'!$A$2:$MC$200,MATCH(1,('GMW - worst case'!$MC$2:$MC$200=G$3)*('GMW - worst case'!$MB$2:$MB$200=G$4),0),$E210-1973)</f>
        <v>442081.2</v>
      </c>
      <c r="H210" cm="1">
        <f t="array" ref="H210">INDEX('GMW - worst case'!$A$2:$MC$200,MATCH(1,('GMW - worst case'!$MC$2:$MC$200=H$3)*('GMW - worst case'!$MB$2:$MB$200=H$4),0),$E210-1973)</f>
        <v>156.35069999999999</v>
      </c>
      <c r="I210" cm="1">
        <f t="array" ref="I210">INDEX('GMW - worst case'!$A$2:$MC$200,MATCH(1,('GMW - worst case'!$MC$2:$MC$200=I$3)*('GMW - worst case'!$MB$2:$MB$200=I$4),0),$E210-1973)</f>
        <v>2.5</v>
      </c>
      <c r="J210" t="e" cm="1">
        <f t="array" ref="J210">INDEX('GMW - worst case'!$A$2:$MC$200,MATCH(1,('GMW - worst case'!$MC$2:$MC$200=J$3)*('GMW - worst case'!$MB$2:$MB$200=J$4),0),$E210-1973)</f>
        <v>#N/A</v>
      </c>
      <c r="K210" t="e" cm="1">
        <f t="array" ref="K210">INDEX('GMW - worst case'!$A$2:$MC$200,MATCH(1,('GMW - worst case'!$MC$2:$MC$200=K$3)*('GMW - worst case'!$MB$2:$MB$200=K$4),0),$E210-1973)</f>
        <v>#N/A</v>
      </c>
      <c r="L210" t="e" cm="1">
        <f t="array" ref="L210">INDEX('GMW - worst case'!$A$2:$MC$200,MATCH(1,('GMW - worst case'!$MC$2:$MC$200=L$3)*('GMW - worst case'!$MB$2:$MB$200=L$4),0),$E210-1973)</f>
        <v>#N/A</v>
      </c>
      <c r="M210" t="e" cm="1">
        <f t="array" ref="M210">INDEX('GMW - worst case'!$A$2:$MC$200,MATCH(1,('GMW - worst case'!$MC$2:$MC$200=M$3)*('GMW - worst case'!$MB$2:$MB$200=M$4),0),$E210-1973)</f>
        <v>#N/A</v>
      </c>
      <c r="N210" t="e" cm="1">
        <f t="array" ref="N210">INDEX('GMW - worst case'!$A$2:$MC$200,MATCH(1,('GMW - worst case'!$MC$2:$MC$200=N$3)*('GMW - worst case'!$MB$2:$MB$200=N$4),0),$E210-1973)</f>
        <v>#N/A</v>
      </c>
      <c r="O210" t="e" cm="1">
        <f t="array" ref="O210">INDEX('GMW - worst case'!$A$2:$MC$200,MATCH(1,('GMW - worst case'!$MC$2:$MC$200=O$3)*('GMW - worst case'!$MB$2:$MB$200=O$4),0),$E210-1973)</f>
        <v>#N/A</v>
      </c>
      <c r="P210" t="e" cm="1">
        <f t="array" ref="P210">INDEX('GMW - worst case'!$A$2:$MC$200,MATCH(1,('GMW - worst case'!$MC$2:$MC$200=P$3)*('GMW - worst case'!$MB$2:$MB$200=P$4),0),$E210-1973)</f>
        <v>#N/A</v>
      </c>
      <c r="Q210" t="e" cm="1">
        <f t="array" ref="Q210">INDEX('GMW - worst case'!$A$2:$MC$200,MATCH(1,('GMW - worst case'!$MC$2:$MC$200=Q$3)*('GMW - worst case'!$MB$2:$MB$200=Q$4),0),$E210-1973)</f>
        <v>#N/A</v>
      </c>
      <c r="R210" t="e" cm="1">
        <f t="array" ref="R210">INDEX('GMW - worst case'!$A$2:$MC$200,MATCH(1,('GMW - worst case'!$MC$2:$MC$200=R$3)*('GMW - worst case'!$MB$2:$MB$200=R$4),0),$E210-1973)</f>
        <v>#N/A</v>
      </c>
      <c r="S210" t="e" cm="1">
        <f t="array" ref="S210">INDEX('GMW - worst case'!$A$2:$MC$200,MATCH(1,('GMW - worst case'!$MC$2:$MC$200=S$3)*('GMW - worst case'!$MB$2:$MB$200=S$4),0),$E210-1973)</f>
        <v>#N/A</v>
      </c>
    </row>
    <row r="211" spans="1:19" x14ac:dyDescent="0.25">
      <c r="A211">
        <v>2031</v>
      </c>
      <c r="B211">
        <f t="shared" si="17"/>
        <v>2031</v>
      </c>
      <c r="C211">
        <f t="shared" si="17"/>
        <v>2030</v>
      </c>
      <c r="D211">
        <f t="shared" si="17"/>
        <v>2030</v>
      </c>
      <c r="E211">
        <f t="shared" si="16"/>
        <v>2184</v>
      </c>
      <c r="F211" cm="1">
        <f t="array" ref="F211">INDEX('GMW - worst case'!$A$2:$MC$200,MATCH(1,('GMW - worst case'!$MC$2:$MC$200=F$3)*('GMW - worst case'!$MB$2:$MB$200=F$4),0),$E211-1973)</f>
        <v>760961.5</v>
      </c>
      <c r="G211" cm="1">
        <f t="array" ref="G211">INDEX('GMW - worst case'!$A$2:$MC$200,MATCH(1,('GMW - worst case'!$MC$2:$MC$200=G$3)*('GMW - worst case'!$MB$2:$MB$200=G$4),0),$E211-1973)</f>
        <v>444607.1</v>
      </c>
      <c r="H211" cm="1">
        <f t="array" ref="H211">INDEX('GMW - worst case'!$A$2:$MC$200,MATCH(1,('GMW - worst case'!$MC$2:$MC$200=H$3)*('GMW - worst case'!$MB$2:$MB$200=H$4),0),$E211-1973)</f>
        <v>155.8912</v>
      </c>
      <c r="I211" cm="1">
        <f t="array" ref="I211">INDEX('GMW - worst case'!$A$2:$MC$200,MATCH(1,('GMW - worst case'!$MC$2:$MC$200=I$3)*('GMW - worst case'!$MB$2:$MB$200=I$4),0),$E211-1973)</f>
        <v>2.4945339999999998</v>
      </c>
      <c r="J211" t="e" cm="1">
        <f t="array" ref="J211">INDEX('GMW - worst case'!$A$2:$MC$200,MATCH(1,('GMW - worst case'!$MC$2:$MC$200=J$3)*('GMW - worst case'!$MB$2:$MB$200=J$4),0),$E211-1973)</f>
        <v>#N/A</v>
      </c>
      <c r="K211" t="e" cm="1">
        <f t="array" ref="K211">INDEX('GMW - worst case'!$A$2:$MC$200,MATCH(1,('GMW - worst case'!$MC$2:$MC$200=K$3)*('GMW - worst case'!$MB$2:$MB$200=K$4),0),$E211-1973)</f>
        <v>#N/A</v>
      </c>
      <c r="L211" t="e" cm="1">
        <f t="array" ref="L211">INDEX('GMW - worst case'!$A$2:$MC$200,MATCH(1,('GMW - worst case'!$MC$2:$MC$200=L$3)*('GMW - worst case'!$MB$2:$MB$200=L$4),0),$E211-1973)</f>
        <v>#N/A</v>
      </c>
      <c r="M211" t="e" cm="1">
        <f t="array" ref="M211">INDEX('GMW - worst case'!$A$2:$MC$200,MATCH(1,('GMW - worst case'!$MC$2:$MC$200=M$3)*('GMW - worst case'!$MB$2:$MB$200=M$4),0),$E211-1973)</f>
        <v>#N/A</v>
      </c>
      <c r="N211" t="e" cm="1">
        <f t="array" ref="N211">INDEX('GMW - worst case'!$A$2:$MC$200,MATCH(1,('GMW - worst case'!$MC$2:$MC$200=N$3)*('GMW - worst case'!$MB$2:$MB$200=N$4),0),$E211-1973)</f>
        <v>#N/A</v>
      </c>
      <c r="O211" t="e" cm="1">
        <f t="array" ref="O211">INDEX('GMW - worst case'!$A$2:$MC$200,MATCH(1,('GMW - worst case'!$MC$2:$MC$200=O$3)*('GMW - worst case'!$MB$2:$MB$200=O$4),0),$E211-1973)</f>
        <v>#N/A</v>
      </c>
      <c r="P211" t="e" cm="1">
        <f t="array" ref="P211">INDEX('GMW - worst case'!$A$2:$MC$200,MATCH(1,('GMW - worst case'!$MC$2:$MC$200=P$3)*('GMW - worst case'!$MB$2:$MB$200=P$4),0),$E211-1973)</f>
        <v>#N/A</v>
      </c>
      <c r="Q211" t="e" cm="1">
        <f t="array" ref="Q211">INDEX('GMW - worst case'!$A$2:$MC$200,MATCH(1,('GMW - worst case'!$MC$2:$MC$200=Q$3)*('GMW - worst case'!$MB$2:$MB$200=Q$4),0),$E211-1973)</f>
        <v>#N/A</v>
      </c>
      <c r="R211" t="e" cm="1">
        <f t="array" ref="R211">INDEX('GMW - worst case'!$A$2:$MC$200,MATCH(1,('GMW - worst case'!$MC$2:$MC$200=R$3)*('GMW - worst case'!$MB$2:$MB$200=R$4),0),$E211-1973)</f>
        <v>#N/A</v>
      </c>
      <c r="S211" t="e" cm="1">
        <f t="array" ref="S211">INDEX('GMW - worst case'!$A$2:$MC$200,MATCH(1,('GMW - worst case'!$MC$2:$MC$200=S$3)*('GMW - worst case'!$MB$2:$MB$200=S$4),0),$E211-1973)</f>
        <v>#N/A</v>
      </c>
    </row>
    <row r="212" spans="1:19" x14ac:dyDescent="0.25">
      <c r="B212">
        <f t="shared" si="17"/>
        <v>2031</v>
      </c>
      <c r="C212">
        <f t="shared" si="17"/>
        <v>2031</v>
      </c>
      <c r="E212">
        <f t="shared" si="16"/>
        <v>2185</v>
      </c>
      <c r="F212" cm="1">
        <f t="array" ref="F212">INDEX('GMW - worst case'!$A$2:$MC$200,MATCH(1,('GMW - worst case'!$MC$2:$MC$200=F$3)*('GMW - worst case'!$MB$2:$MB$200=F$4),0),$E212-1973)</f>
        <v>764926.6</v>
      </c>
      <c r="G212" cm="1">
        <f t="array" ref="G212">INDEX('GMW - worst case'!$A$2:$MC$200,MATCH(1,('GMW - worst case'!$MC$2:$MC$200=G$3)*('GMW - worst case'!$MB$2:$MB$200=G$4),0),$E212-1973)</f>
        <v>447304.5</v>
      </c>
      <c r="H212" cm="1">
        <f t="array" ref="H212">INDEX('GMW - worst case'!$A$2:$MC$200,MATCH(1,('GMW - worst case'!$MC$2:$MC$200=H$3)*('GMW - worst case'!$MB$2:$MB$200=H$4),0),$E212-1973)</f>
        <v>156.6909</v>
      </c>
      <c r="I212" cm="1">
        <f t="array" ref="I212">INDEX('GMW - worst case'!$A$2:$MC$200,MATCH(1,('GMW - worst case'!$MC$2:$MC$200=I$3)*('GMW - worst case'!$MB$2:$MB$200=I$4),0),$E212-1973)</f>
        <v>2.476064</v>
      </c>
      <c r="J212" t="e" cm="1">
        <f t="array" ref="J212">INDEX('GMW - worst case'!$A$2:$MC$200,MATCH(1,('GMW - worst case'!$MC$2:$MC$200=J$3)*('GMW - worst case'!$MB$2:$MB$200=J$4),0),$E212-1973)</f>
        <v>#N/A</v>
      </c>
      <c r="K212" t="e" cm="1">
        <f t="array" ref="K212">INDEX('GMW - worst case'!$A$2:$MC$200,MATCH(1,('GMW - worst case'!$MC$2:$MC$200=K$3)*('GMW - worst case'!$MB$2:$MB$200=K$4),0),$E212-1973)</f>
        <v>#N/A</v>
      </c>
      <c r="L212" t="e" cm="1">
        <f t="array" ref="L212">INDEX('GMW - worst case'!$A$2:$MC$200,MATCH(1,('GMW - worst case'!$MC$2:$MC$200=L$3)*('GMW - worst case'!$MB$2:$MB$200=L$4),0),$E212-1973)</f>
        <v>#N/A</v>
      </c>
      <c r="M212" t="e" cm="1">
        <f t="array" ref="M212">INDEX('GMW - worst case'!$A$2:$MC$200,MATCH(1,('GMW - worst case'!$MC$2:$MC$200=M$3)*('GMW - worst case'!$MB$2:$MB$200=M$4),0),$E212-1973)</f>
        <v>#N/A</v>
      </c>
      <c r="N212" t="e" cm="1">
        <f t="array" ref="N212">INDEX('GMW - worst case'!$A$2:$MC$200,MATCH(1,('GMW - worst case'!$MC$2:$MC$200=N$3)*('GMW - worst case'!$MB$2:$MB$200=N$4),0),$E212-1973)</f>
        <v>#N/A</v>
      </c>
      <c r="O212" t="e" cm="1">
        <f t="array" ref="O212">INDEX('GMW - worst case'!$A$2:$MC$200,MATCH(1,('GMW - worst case'!$MC$2:$MC$200=O$3)*('GMW - worst case'!$MB$2:$MB$200=O$4),0),$E212-1973)</f>
        <v>#N/A</v>
      </c>
      <c r="P212" t="e" cm="1">
        <f t="array" ref="P212">INDEX('GMW - worst case'!$A$2:$MC$200,MATCH(1,('GMW - worst case'!$MC$2:$MC$200=P$3)*('GMW - worst case'!$MB$2:$MB$200=P$4),0),$E212-1973)</f>
        <v>#N/A</v>
      </c>
      <c r="Q212" t="e" cm="1">
        <f t="array" ref="Q212">INDEX('GMW - worst case'!$A$2:$MC$200,MATCH(1,('GMW - worst case'!$MC$2:$MC$200=Q$3)*('GMW - worst case'!$MB$2:$MB$200=Q$4),0),$E212-1973)</f>
        <v>#N/A</v>
      </c>
      <c r="R212" t="e" cm="1">
        <f t="array" ref="R212">INDEX('GMW - worst case'!$A$2:$MC$200,MATCH(1,('GMW - worst case'!$MC$2:$MC$200=R$3)*('GMW - worst case'!$MB$2:$MB$200=R$4),0),$E212-1973)</f>
        <v>#N/A</v>
      </c>
      <c r="S212" t="e" cm="1">
        <f t="array" ref="S212">INDEX('GMW - worst case'!$A$2:$MC$200,MATCH(1,('GMW - worst case'!$MC$2:$MC$200=S$3)*('GMW - worst case'!$MB$2:$MB$200=S$4),0),$E212-1973)</f>
        <v>#N/A</v>
      </c>
    </row>
    <row r="213" spans="1:19" x14ac:dyDescent="0.25">
      <c r="B213">
        <f t="shared" si="17"/>
        <v>2031</v>
      </c>
      <c r="C213">
        <f t="shared" si="17"/>
        <v>2031</v>
      </c>
      <c r="E213">
        <f t="shared" si="16"/>
        <v>2186</v>
      </c>
      <c r="F213" cm="1">
        <f t="array" ref="F213">INDEX('GMW - worst case'!$A$2:$MC$200,MATCH(1,('GMW - worst case'!$MC$2:$MC$200=F$3)*('GMW - worst case'!$MB$2:$MB$200=F$4),0),$E213-1973)</f>
        <v>768538.8</v>
      </c>
      <c r="G213" cm="1">
        <f t="array" ref="G213">INDEX('GMW - worst case'!$A$2:$MC$200,MATCH(1,('GMW - worst case'!$MC$2:$MC$200=G$3)*('GMW - worst case'!$MB$2:$MB$200=G$4),0),$E213-1973)</f>
        <v>449776.6</v>
      </c>
      <c r="H213" cm="1">
        <f t="array" ref="H213">INDEX('GMW - worst case'!$A$2:$MC$200,MATCH(1,('GMW - worst case'!$MC$2:$MC$200=H$3)*('GMW - worst case'!$MB$2:$MB$200=H$4),0),$E213-1973)</f>
        <v>157.22880000000001</v>
      </c>
      <c r="I213" cm="1">
        <f t="array" ref="I213">INDEX('GMW - worst case'!$A$2:$MC$200,MATCH(1,('GMW - worst case'!$MC$2:$MC$200=I$3)*('GMW - worst case'!$MB$2:$MB$200=I$4),0),$E213-1973)</f>
        <v>2.4378549999999999</v>
      </c>
      <c r="J213" t="e" cm="1">
        <f t="array" ref="J213">INDEX('GMW - worst case'!$A$2:$MC$200,MATCH(1,('GMW - worst case'!$MC$2:$MC$200=J$3)*('GMW - worst case'!$MB$2:$MB$200=J$4),0),$E213-1973)</f>
        <v>#N/A</v>
      </c>
      <c r="K213" t="e" cm="1">
        <f t="array" ref="K213">INDEX('GMW - worst case'!$A$2:$MC$200,MATCH(1,('GMW - worst case'!$MC$2:$MC$200=K$3)*('GMW - worst case'!$MB$2:$MB$200=K$4),0),$E213-1973)</f>
        <v>#N/A</v>
      </c>
      <c r="L213" t="e" cm="1">
        <f t="array" ref="L213">INDEX('GMW - worst case'!$A$2:$MC$200,MATCH(1,('GMW - worst case'!$MC$2:$MC$200=L$3)*('GMW - worst case'!$MB$2:$MB$200=L$4),0),$E213-1973)</f>
        <v>#N/A</v>
      </c>
      <c r="M213" t="e" cm="1">
        <f t="array" ref="M213">INDEX('GMW - worst case'!$A$2:$MC$200,MATCH(1,('GMW - worst case'!$MC$2:$MC$200=M$3)*('GMW - worst case'!$MB$2:$MB$200=M$4),0),$E213-1973)</f>
        <v>#N/A</v>
      </c>
      <c r="N213" t="e" cm="1">
        <f t="array" ref="N213">INDEX('GMW - worst case'!$A$2:$MC$200,MATCH(1,('GMW - worst case'!$MC$2:$MC$200=N$3)*('GMW - worst case'!$MB$2:$MB$200=N$4),0),$E213-1973)</f>
        <v>#N/A</v>
      </c>
      <c r="O213" t="e" cm="1">
        <f t="array" ref="O213">INDEX('GMW - worst case'!$A$2:$MC$200,MATCH(1,('GMW - worst case'!$MC$2:$MC$200=O$3)*('GMW - worst case'!$MB$2:$MB$200=O$4),0),$E213-1973)</f>
        <v>#N/A</v>
      </c>
      <c r="P213" t="e" cm="1">
        <f t="array" ref="P213">INDEX('GMW - worst case'!$A$2:$MC$200,MATCH(1,('GMW - worst case'!$MC$2:$MC$200=P$3)*('GMW - worst case'!$MB$2:$MB$200=P$4),0),$E213-1973)</f>
        <v>#N/A</v>
      </c>
      <c r="Q213" t="e" cm="1">
        <f t="array" ref="Q213">INDEX('GMW - worst case'!$A$2:$MC$200,MATCH(1,('GMW - worst case'!$MC$2:$MC$200=Q$3)*('GMW - worst case'!$MB$2:$MB$200=Q$4),0),$E213-1973)</f>
        <v>#N/A</v>
      </c>
      <c r="R213" t="e" cm="1">
        <f t="array" ref="R213">INDEX('GMW - worst case'!$A$2:$MC$200,MATCH(1,('GMW - worst case'!$MC$2:$MC$200=R$3)*('GMW - worst case'!$MB$2:$MB$200=R$4),0),$E213-1973)</f>
        <v>#N/A</v>
      </c>
      <c r="S213" t="e" cm="1">
        <f t="array" ref="S213">INDEX('GMW - worst case'!$A$2:$MC$200,MATCH(1,('GMW - worst case'!$MC$2:$MC$200=S$3)*('GMW - worst case'!$MB$2:$MB$200=S$4),0),$E213-1973)</f>
        <v>#N/A</v>
      </c>
    </row>
    <row r="214" spans="1:19" x14ac:dyDescent="0.25">
      <c r="B214">
        <f t="shared" si="17"/>
        <v>2031</v>
      </c>
      <c r="C214">
        <f t="shared" si="17"/>
        <v>2031</v>
      </c>
      <c r="E214">
        <f t="shared" si="16"/>
        <v>2187</v>
      </c>
      <c r="F214" cm="1">
        <f t="array" ref="F214">INDEX('GMW - worst case'!$A$2:$MC$200,MATCH(1,('GMW - worst case'!$MC$2:$MC$200=F$3)*('GMW - worst case'!$MB$2:$MB$200=F$4),0),$E214-1973)</f>
        <v>771582.9</v>
      </c>
      <c r="G214" cm="1">
        <f t="array" ref="G214">INDEX('GMW - worst case'!$A$2:$MC$200,MATCH(1,('GMW - worst case'!$MC$2:$MC$200=G$3)*('GMW - worst case'!$MB$2:$MB$200=G$4),0),$E214-1973)</f>
        <v>451884.5</v>
      </c>
      <c r="H214" cm="1">
        <f t="array" ref="H214">INDEX('GMW - worst case'!$A$2:$MC$200,MATCH(1,('GMW - worst case'!$MC$2:$MC$200=H$3)*('GMW - worst case'!$MB$2:$MB$200=H$4),0),$E214-1973)</f>
        <v>157.96799999999999</v>
      </c>
      <c r="I214" cm="1">
        <f t="array" ref="I214">INDEX('GMW - worst case'!$A$2:$MC$200,MATCH(1,('GMW - worst case'!$MC$2:$MC$200=I$3)*('GMW - worst case'!$MB$2:$MB$200=I$4),0),$E214-1973)</f>
        <v>2.379254</v>
      </c>
      <c r="J214" t="e" cm="1">
        <f t="array" ref="J214">INDEX('GMW - worst case'!$A$2:$MC$200,MATCH(1,('GMW - worst case'!$MC$2:$MC$200=J$3)*('GMW - worst case'!$MB$2:$MB$200=J$4),0),$E214-1973)</f>
        <v>#N/A</v>
      </c>
      <c r="K214" t="e" cm="1">
        <f t="array" ref="K214">INDEX('GMW - worst case'!$A$2:$MC$200,MATCH(1,('GMW - worst case'!$MC$2:$MC$200=K$3)*('GMW - worst case'!$MB$2:$MB$200=K$4),0),$E214-1973)</f>
        <v>#N/A</v>
      </c>
      <c r="L214" t="e" cm="1">
        <f t="array" ref="L214">INDEX('GMW - worst case'!$A$2:$MC$200,MATCH(1,('GMW - worst case'!$MC$2:$MC$200=L$3)*('GMW - worst case'!$MB$2:$MB$200=L$4),0),$E214-1973)</f>
        <v>#N/A</v>
      </c>
      <c r="M214" t="e" cm="1">
        <f t="array" ref="M214">INDEX('GMW - worst case'!$A$2:$MC$200,MATCH(1,('GMW - worst case'!$MC$2:$MC$200=M$3)*('GMW - worst case'!$MB$2:$MB$200=M$4),0),$E214-1973)</f>
        <v>#N/A</v>
      </c>
      <c r="N214" t="e" cm="1">
        <f t="array" ref="N214">INDEX('GMW - worst case'!$A$2:$MC$200,MATCH(1,('GMW - worst case'!$MC$2:$MC$200=N$3)*('GMW - worst case'!$MB$2:$MB$200=N$4),0),$E214-1973)</f>
        <v>#N/A</v>
      </c>
      <c r="O214" t="e" cm="1">
        <f t="array" ref="O214">INDEX('GMW - worst case'!$A$2:$MC$200,MATCH(1,('GMW - worst case'!$MC$2:$MC$200=O$3)*('GMW - worst case'!$MB$2:$MB$200=O$4),0),$E214-1973)</f>
        <v>#N/A</v>
      </c>
      <c r="P214" t="e" cm="1">
        <f t="array" ref="P214">INDEX('GMW - worst case'!$A$2:$MC$200,MATCH(1,('GMW - worst case'!$MC$2:$MC$200=P$3)*('GMW - worst case'!$MB$2:$MB$200=P$4),0),$E214-1973)</f>
        <v>#N/A</v>
      </c>
      <c r="Q214" t="e" cm="1">
        <f t="array" ref="Q214">INDEX('GMW - worst case'!$A$2:$MC$200,MATCH(1,('GMW - worst case'!$MC$2:$MC$200=Q$3)*('GMW - worst case'!$MB$2:$MB$200=Q$4),0),$E214-1973)</f>
        <v>#N/A</v>
      </c>
      <c r="R214" t="e" cm="1">
        <f t="array" ref="R214">INDEX('GMW - worst case'!$A$2:$MC$200,MATCH(1,('GMW - worst case'!$MC$2:$MC$200=R$3)*('GMW - worst case'!$MB$2:$MB$200=R$4),0),$E214-1973)</f>
        <v>#N/A</v>
      </c>
      <c r="S214" t="e" cm="1">
        <f t="array" ref="S214">INDEX('GMW - worst case'!$A$2:$MC$200,MATCH(1,('GMW - worst case'!$MC$2:$MC$200=S$3)*('GMW - worst case'!$MB$2:$MB$200=S$4),0),$E214-1973)</f>
        <v>#N/A</v>
      </c>
    </row>
    <row r="215" spans="1:19" x14ac:dyDescent="0.25">
      <c r="A215">
        <v>2032</v>
      </c>
      <c r="B215">
        <f t="shared" si="17"/>
        <v>2032</v>
      </c>
      <c r="C215">
        <f t="shared" si="17"/>
        <v>2031</v>
      </c>
      <c r="D215">
        <f t="shared" si="17"/>
        <v>2031</v>
      </c>
      <c r="E215">
        <f t="shared" si="16"/>
        <v>2188</v>
      </c>
      <c r="F215" cm="1">
        <f t="array" ref="F215">INDEX('GMW - worst case'!$A$2:$MC$200,MATCH(1,('GMW - worst case'!$MC$2:$MC$200=F$3)*('GMW - worst case'!$MB$2:$MB$200=F$4),0),$E215-1973)</f>
        <v>773920.9</v>
      </c>
      <c r="G215" cm="1">
        <f t="array" ref="G215">INDEX('GMW - worst case'!$A$2:$MC$200,MATCH(1,('GMW - worst case'!$MC$2:$MC$200=G$3)*('GMW - worst case'!$MB$2:$MB$200=G$4),0),$E215-1973)</f>
        <v>453522.2</v>
      </c>
      <c r="H215" cm="1">
        <f t="array" ref="H215">INDEX('GMW - worst case'!$A$2:$MC$200,MATCH(1,('GMW - worst case'!$MC$2:$MC$200=H$3)*('GMW - worst case'!$MB$2:$MB$200=H$4),0),$E215-1973)</f>
        <v>158.5515</v>
      </c>
      <c r="I215" cm="1">
        <f t="array" ref="I215">INDEX('GMW - worst case'!$A$2:$MC$200,MATCH(1,('GMW - worst case'!$MC$2:$MC$200=I$3)*('GMW - worst case'!$MB$2:$MB$200=I$4),0),$E215-1973)</f>
        <v>2.3267679999999999</v>
      </c>
      <c r="J215" t="e" cm="1">
        <f t="array" ref="J215">INDEX('GMW - worst case'!$A$2:$MC$200,MATCH(1,('GMW - worst case'!$MC$2:$MC$200=J$3)*('GMW - worst case'!$MB$2:$MB$200=J$4),0),$E215-1973)</f>
        <v>#N/A</v>
      </c>
      <c r="K215" t="e" cm="1">
        <f t="array" ref="K215">INDEX('GMW - worst case'!$A$2:$MC$200,MATCH(1,('GMW - worst case'!$MC$2:$MC$200=K$3)*('GMW - worst case'!$MB$2:$MB$200=K$4),0),$E215-1973)</f>
        <v>#N/A</v>
      </c>
      <c r="L215" t="e" cm="1">
        <f t="array" ref="L215">INDEX('GMW - worst case'!$A$2:$MC$200,MATCH(1,('GMW - worst case'!$MC$2:$MC$200=L$3)*('GMW - worst case'!$MB$2:$MB$200=L$4),0),$E215-1973)</f>
        <v>#N/A</v>
      </c>
      <c r="M215" t="e" cm="1">
        <f t="array" ref="M215">INDEX('GMW - worst case'!$A$2:$MC$200,MATCH(1,('GMW - worst case'!$MC$2:$MC$200=M$3)*('GMW - worst case'!$MB$2:$MB$200=M$4),0),$E215-1973)</f>
        <v>#N/A</v>
      </c>
      <c r="N215" t="e" cm="1">
        <f t="array" ref="N215">INDEX('GMW - worst case'!$A$2:$MC$200,MATCH(1,('GMW - worst case'!$MC$2:$MC$200=N$3)*('GMW - worst case'!$MB$2:$MB$200=N$4),0),$E215-1973)</f>
        <v>#N/A</v>
      </c>
      <c r="O215" t="e" cm="1">
        <f t="array" ref="O215">INDEX('GMW - worst case'!$A$2:$MC$200,MATCH(1,('GMW - worst case'!$MC$2:$MC$200=O$3)*('GMW - worst case'!$MB$2:$MB$200=O$4),0),$E215-1973)</f>
        <v>#N/A</v>
      </c>
      <c r="P215" t="e" cm="1">
        <f t="array" ref="P215">INDEX('GMW - worst case'!$A$2:$MC$200,MATCH(1,('GMW - worst case'!$MC$2:$MC$200=P$3)*('GMW - worst case'!$MB$2:$MB$200=P$4),0),$E215-1973)</f>
        <v>#N/A</v>
      </c>
      <c r="Q215" t="e" cm="1">
        <f t="array" ref="Q215">INDEX('GMW - worst case'!$A$2:$MC$200,MATCH(1,('GMW - worst case'!$MC$2:$MC$200=Q$3)*('GMW - worst case'!$MB$2:$MB$200=Q$4),0),$E215-1973)</f>
        <v>#N/A</v>
      </c>
      <c r="R215" t="e" cm="1">
        <f t="array" ref="R215">INDEX('GMW - worst case'!$A$2:$MC$200,MATCH(1,('GMW - worst case'!$MC$2:$MC$200=R$3)*('GMW - worst case'!$MB$2:$MB$200=R$4),0),$E215-1973)</f>
        <v>#N/A</v>
      </c>
      <c r="S215" t="e" cm="1">
        <f t="array" ref="S215">INDEX('GMW - worst case'!$A$2:$MC$200,MATCH(1,('GMW - worst case'!$MC$2:$MC$200=S$3)*('GMW - worst case'!$MB$2:$MB$200=S$4),0),$E215-1973)</f>
        <v>#N/A</v>
      </c>
    </row>
    <row r="216" spans="1:19" x14ac:dyDescent="0.25">
      <c r="B216">
        <f t="shared" si="17"/>
        <v>2032</v>
      </c>
      <c r="C216">
        <f t="shared" si="17"/>
        <v>2032</v>
      </c>
      <c r="E216">
        <f t="shared" si="16"/>
        <v>2189</v>
      </c>
      <c r="F216" cm="1">
        <f t="array" ref="F216">INDEX('GMW - worst case'!$A$2:$MC$200,MATCH(1,('GMW - worst case'!$MC$2:$MC$200=F$3)*('GMW - worst case'!$MB$2:$MB$200=F$4),0),$E216-1973)</f>
        <v>775926.9</v>
      </c>
      <c r="G216" cm="1">
        <f t="array" ref="G216">INDEX('GMW - worst case'!$A$2:$MC$200,MATCH(1,('GMW - worst case'!$MC$2:$MC$200=G$3)*('GMW - worst case'!$MB$2:$MB$200=G$4),0),$E216-1973)</f>
        <v>455008.6</v>
      </c>
      <c r="H216" cm="1">
        <f t="array" ref="H216">INDEX('GMW - worst case'!$A$2:$MC$200,MATCH(1,('GMW - worst case'!$MC$2:$MC$200=H$3)*('GMW - worst case'!$MB$2:$MB$200=H$4),0),$E216-1973)</f>
        <v>160.44999999999999</v>
      </c>
      <c r="I216" cm="1">
        <f t="array" ref="I216">INDEX('GMW - worst case'!$A$2:$MC$200,MATCH(1,('GMW - worst case'!$MC$2:$MC$200=I$3)*('GMW - worst case'!$MB$2:$MB$200=I$4),0),$E216-1973)</f>
        <v>2.306076</v>
      </c>
      <c r="J216" t="e" cm="1">
        <f t="array" ref="J216">INDEX('GMW - worst case'!$A$2:$MC$200,MATCH(1,('GMW - worst case'!$MC$2:$MC$200=J$3)*('GMW - worst case'!$MB$2:$MB$200=J$4),0),$E216-1973)</f>
        <v>#N/A</v>
      </c>
      <c r="K216" t="e" cm="1">
        <f t="array" ref="K216">INDEX('GMW - worst case'!$A$2:$MC$200,MATCH(1,('GMW - worst case'!$MC$2:$MC$200=K$3)*('GMW - worst case'!$MB$2:$MB$200=K$4),0),$E216-1973)</f>
        <v>#N/A</v>
      </c>
      <c r="L216" t="e" cm="1">
        <f t="array" ref="L216">INDEX('GMW - worst case'!$A$2:$MC$200,MATCH(1,('GMW - worst case'!$MC$2:$MC$200=L$3)*('GMW - worst case'!$MB$2:$MB$200=L$4),0),$E216-1973)</f>
        <v>#N/A</v>
      </c>
      <c r="M216" t="e" cm="1">
        <f t="array" ref="M216">INDEX('GMW - worst case'!$A$2:$MC$200,MATCH(1,('GMW - worst case'!$MC$2:$MC$200=M$3)*('GMW - worst case'!$MB$2:$MB$200=M$4),0),$E216-1973)</f>
        <v>#N/A</v>
      </c>
      <c r="N216" t="e" cm="1">
        <f t="array" ref="N216">INDEX('GMW - worst case'!$A$2:$MC$200,MATCH(1,('GMW - worst case'!$MC$2:$MC$200=N$3)*('GMW - worst case'!$MB$2:$MB$200=N$4),0),$E216-1973)</f>
        <v>#N/A</v>
      </c>
      <c r="O216" t="e" cm="1">
        <f t="array" ref="O216">INDEX('GMW - worst case'!$A$2:$MC$200,MATCH(1,('GMW - worst case'!$MC$2:$MC$200=O$3)*('GMW - worst case'!$MB$2:$MB$200=O$4),0),$E216-1973)</f>
        <v>#N/A</v>
      </c>
      <c r="P216" t="e" cm="1">
        <f t="array" ref="P216">INDEX('GMW - worst case'!$A$2:$MC$200,MATCH(1,('GMW - worst case'!$MC$2:$MC$200=P$3)*('GMW - worst case'!$MB$2:$MB$200=P$4),0),$E216-1973)</f>
        <v>#N/A</v>
      </c>
      <c r="Q216" t="e" cm="1">
        <f t="array" ref="Q216">INDEX('GMW - worst case'!$A$2:$MC$200,MATCH(1,('GMW - worst case'!$MC$2:$MC$200=Q$3)*('GMW - worst case'!$MB$2:$MB$200=Q$4),0),$E216-1973)</f>
        <v>#N/A</v>
      </c>
      <c r="R216" t="e" cm="1">
        <f t="array" ref="R216">INDEX('GMW - worst case'!$A$2:$MC$200,MATCH(1,('GMW - worst case'!$MC$2:$MC$200=R$3)*('GMW - worst case'!$MB$2:$MB$200=R$4),0),$E216-1973)</f>
        <v>#N/A</v>
      </c>
      <c r="S216" t="e" cm="1">
        <f t="array" ref="S216">INDEX('GMW - worst case'!$A$2:$MC$200,MATCH(1,('GMW - worst case'!$MC$2:$MC$200=S$3)*('GMW - worst case'!$MB$2:$MB$200=S$4),0),$E216-1973)</f>
        <v>#N/A</v>
      </c>
    </row>
    <row r="217" spans="1:19" x14ac:dyDescent="0.25">
      <c r="B217">
        <f t="shared" si="17"/>
        <v>2032</v>
      </c>
      <c r="C217">
        <f t="shared" si="17"/>
        <v>2032</v>
      </c>
      <c r="E217">
        <f t="shared" si="16"/>
        <v>2190</v>
      </c>
      <c r="F217" cm="1">
        <f t="array" ref="F217">INDEX('GMW - worst case'!$A$2:$MC$200,MATCH(1,('GMW - worst case'!$MC$2:$MC$200=F$3)*('GMW - worst case'!$MB$2:$MB$200=F$4),0),$E217-1973)</f>
        <v>777812.9</v>
      </c>
      <c r="G217" cm="1">
        <f t="array" ref="G217">INDEX('GMW - worst case'!$A$2:$MC$200,MATCH(1,('GMW - worst case'!$MC$2:$MC$200=G$3)*('GMW - worst case'!$MB$2:$MB$200=G$4),0),$E217-1973)</f>
        <v>456256.8</v>
      </c>
      <c r="H217" cm="1">
        <f t="array" ref="H217">INDEX('GMW - worst case'!$A$2:$MC$200,MATCH(1,('GMW - worst case'!$MC$2:$MC$200=H$3)*('GMW - worst case'!$MB$2:$MB$200=H$4),0),$E217-1973)</f>
        <v>161.81059999999999</v>
      </c>
      <c r="I217" cm="1">
        <f t="array" ref="I217">INDEX('GMW - worst case'!$A$2:$MC$200,MATCH(1,('GMW - worst case'!$MC$2:$MC$200=I$3)*('GMW - worst case'!$MB$2:$MB$200=I$4),0),$E217-1973)</f>
        <v>2.3302420000000001</v>
      </c>
      <c r="J217" t="e" cm="1">
        <f t="array" ref="J217">INDEX('GMW - worst case'!$A$2:$MC$200,MATCH(1,('GMW - worst case'!$MC$2:$MC$200=J$3)*('GMW - worst case'!$MB$2:$MB$200=J$4),0),$E217-1973)</f>
        <v>#N/A</v>
      </c>
      <c r="K217" t="e" cm="1">
        <f t="array" ref="K217">INDEX('GMW - worst case'!$A$2:$MC$200,MATCH(1,('GMW - worst case'!$MC$2:$MC$200=K$3)*('GMW - worst case'!$MB$2:$MB$200=K$4),0),$E217-1973)</f>
        <v>#N/A</v>
      </c>
      <c r="L217" t="e" cm="1">
        <f t="array" ref="L217">INDEX('GMW - worst case'!$A$2:$MC$200,MATCH(1,('GMW - worst case'!$MC$2:$MC$200=L$3)*('GMW - worst case'!$MB$2:$MB$200=L$4),0),$E217-1973)</f>
        <v>#N/A</v>
      </c>
      <c r="M217" t="e" cm="1">
        <f t="array" ref="M217">INDEX('GMW - worst case'!$A$2:$MC$200,MATCH(1,('GMW - worst case'!$MC$2:$MC$200=M$3)*('GMW - worst case'!$MB$2:$MB$200=M$4),0),$E217-1973)</f>
        <v>#N/A</v>
      </c>
      <c r="N217" t="e" cm="1">
        <f t="array" ref="N217">INDEX('GMW - worst case'!$A$2:$MC$200,MATCH(1,('GMW - worst case'!$MC$2:$MC$200=N$3)*('GMW - worst case'!$MB$2:$MB$200=N$4),0),$E217-1973)</f>
        <v>#N/A</v>
      </c>
      <c r="O217" t="e" cm="1">
        <f t="array" ref="O217">INDEX('GMW - worst case'!$A$2:$MC$200,MATCH(1,('GMW - worst case'!$MC$2:$MC$200=O$3)*('GMW - worst case'!$MB$2:$MB$200=O$4),0),$E217-1973)</f>
        <v>#N/A</v>
      </c>
      <c r="P217" t="e" cm="1">
        <f t="array" ref="P217">INDEX('GMW - worst case'!$A$2:$MC$200,MATCH(1,('GMW - worst case'!$MC$2:$MC$200=P$3)*('GMW - worst case'!$MB$2:$MB$200=P$4),0),$E217-1973)</f>
        <v>#N/A</v>
      </c>
      <c r="Q217" t="e" cm="1">
        <f t="array" ref="Q217">INDEX('GMW - worst case'!$A$2:$MC$200,MATCH(1,('GMW - worst case'!$MC$2:$MC$200=Q$3)*('GMW - worst case'!$MB$2:$MB$200=Q$4),0),$E217-1973)</f>
        <v>#N/A</v>
      </c>
      <c r="R217" t="e" cm="1">
        <f t="array" ref="R217">INDEX('GMW - worst case'!$A$2:$MC$200,MATCH(1,('GMW - worst case'!$MC$2:$MC$200=R$3)*('GMW - worst case'!$MB$2:$MB$200=R$4),0),$E217-1973)</f>
        <v>#N/A</v>
      </c>
      <c r="S217" t="e" cm="1">
        <f t="array" ref="S217">INDEX('GMW - worst case'!$A$2:$MC$200,MATCH(1,('GMW - worst case'!$MC$2:$MC$200=S$3)*('GMW - worst case'!$MB$2:$MB$200=S$4),0),$E217-1973)</f>
        <v>#N/A</v>
      </c>
    </row>
    <row r="218" spans="1:19" x14ac:dyDescent="0.25">
      <c r="B218">
        <f t="shared" si="17"/>
        <v>2032</v>
      </c>
      <c r="C218">
        <f t="shared" si="17"/>
        <v>2032</v>
      </c>
      <c r="E218">
        <f t="shared" si="16"/>
        <v>2191</v>
      </c>
      <c r="F218" cm="1">
        <f t="array" ref="F218">INDEX('GMW - worst case'!$A$2:$MC$200,MATCH(1,('GMW - worst case'!$MC$2:$MC$200=F$3)*('GMW - worst case'!$MB$2:$MB$200=F$4),0),$E218-1973)</f>
        <v>779752.4</v>
      </c>
      <c r="G218" cm="1">
        <f t="array" ref="G218">INDEX('GMW - worst case'!$A$2:$MC$200,MATCH(1,('GMW - worst case'!$MC$2:$MC$200=G$3)*('GMW - worst case'!$MB$2:$MB$200=G$4),0),$E218-1973)</f>
        <v>457369.59999999998</v>
      </c>
      <c r="H218" cm="1">
        <f t="array" ref="H218">INDEX('GMW - worst case'!$A$2:$MC$200,MATCH(1,('GMW - worst case'!$MC$2:$MC$200=H$3)*('GMW - worst case'!$MB$2:$MB$200=H$4),0),$E218-1973)</f>
        <v>162.9462</v>
      </c>
      <c r="I218" cm="1">
        <f t="array" ref="I218">INDEX('GMW - worst case'!$A$2:$MC$200,MATCH(1,('GMW - worst case'!$MC$2:$MC$200=I$3)*('GMW - worst case'!$MB$2:$MB$200=I$4),0),$E218-1973)</f>
        <v>2.3984529999999999</v>
      </c>
      <c r="J218" t="e" cm="1">
        <f t="array" ref="J218">INDEX('GMW - worst case'!$A$2:$MC$200,MATCH(1,('GMW - worst case'!$MC$2:$MC$200=J$3)*('GMW - worst case'!$MB$2:$MB$200=J$4),0),$E218-1973)</f>
        <v>#N/A</v>
      </c>
      <c r="K218" t="e" cm="1">
        <f t="array" ref="K218">INDEX('GMW - worst case'!$A$2:$MC$200,MATCH(1,('GMW - worst case'!$MC$2:$MC$200=K$3)*('GMW - worst case'!$MB$2:$MB$200=K$4),0),$E218-1973)</f>
        <v>#N/A</v>
      </c>
      <c r="L218" t="e" cm="1">
        <f t="array" ref="L218">INDEX('GMW - worst case'!$A$2:$MC$200,MATCH(1,('GMW - worst case'!$MC$2:$MC$200=L$3)*('GMW - worst case'!$MB$2:$MB$200=L$4),0),$E218-1973)</f>
        <v>#N/A</v>
      </c>
      <c r="M218" t="e" cm="1">
        <f t="array" ref="M218">INDEX('GMW - worst case'!$A$2:$MC$200,MATCH(1,('GMW - worst case'!$MC$2:$MC$200=M$3)*('GMW - worst case'!$MB$2:$MB$200=M$4),0),$E218-1973)</f>
        <v>#N/A</v>
      </c>
      <c r="N218" t="e" cm="1">
        <f t="array" ref="N218">INDEX('GMW - worst case'!$A$2:$MC$200,MATCH(1,('GMW - worst case'!$MC$2:$MC$200=N$3)*('GMW - worst case'!$MB$2:$MB$200=N$4),0),$E218-1973)</f>
        <v>#N/A</v>
      </c>
      <c r="O218" t="e" cm="1">
        <f t="array" ref="O218">INDEX('GMW - worst case'!$A$2:$MC$200,MATCH(1,('GMW - worst case'!$MC$2:$MC$200=O$3)*('GMW - worst case'!$MB$2:$MB$200=O$4),0),$E218-1973)</f>
        <v>#N/A</v>
      </c>
      <c r="P218" t="e" cm="1">
        <f t="array" ref="P218">INDEX('GMW - worst case'!$A$2:$MC$200,MATCH(1,('GMW - worst case'!$MC$2:$MC$200=P$3)*('GMW - worst case'!$MB$2:$MB$200=P$4),0),$E218-1973)</f>
        <v>#N/A</v>
      </c>
      <c r="Q218" t="e" cm="1">
        <f t="array" ref="Q218">INDEX('GMW - worst case'!$A$2:$MC$200,MATCH(1,('GMW - worst case'!$MC$2:$MC$200=Q$3)*('GMW - worst case'!$MB$2:$MB$200=Q$4),0),$E218-1973)</f>
        <v>#N/A</v>
      </c>
      <c r="R218" t="e" cm="1">
        <f t="array" ref="R218">INDEX('GMW - worst case'!$A$2:$MC$200,MATCH(1,('GMW - worst case'!$MC$2:$MC$200=R$3)*('GMW - worst case'!$MB$2:$MB$200=R$4),0),$E218-1973)</f>
        <v>#N/A</v>
      </c>
      <c r="S218" t="e" cm="1">
        <f t="array" ref="S218">INDEX('GMW - worst case'!$A$2:$MC$200,MATCH(1,('GMW - worst case'!$MC$2:$MC$200=S$3)*('GMW - worst case'!$MB$2:$MB$200=S$4),0),$E218-1973)</f>
        <v>#N/A</v>
      </c>
    </row>
    <row r="219" spans="1:19" x14ac:dyDescent="0.25">
      <c r="A219">
        <v>2033</v>
      </c>
      <c r="B219">
        <f t="shared" si="17"/>
        <v>2033</v>
      </c>
      <c r="C219">
        <f t="shared" si="17"/>
        <v>2032</v>
      </c>
      <c r="D219">
        <f t="shared" si="17"/>
        <v>2032</v>
      </c>
      <c r="E219">
        <f t="shared" si="16"/>
        <v>2192</v>
      </c>
      <c r="F219" cm="1">
        <f t="array" ref="F219">INDEX('GMW - worst case'!$A$2:$MC$200,MATCH(1,('GMW - worst case'!$MC$2:$MC$200=F$3)*('GMW - worst case'!$MB$2:$MB$200=F$4),0),$E219-1973)</f>
        <v>781823.9</v>
      </c>
      <c r="G219" cm="1">
        <f t="array" ref="G219">INDEX('GMW - worst case'!$A$2:$MC$200,MATCH(1,('GMW - worst case'!$MC$2:$MC$200=G$3)*('GMW - worst case'!$MB$2:$MB$200=G$4),0),$E219-1973)</f>
        <v>458527.5</v>
      </c>
      <c r="H219" cm="1">
        <f t="array" ref="H219">INDEX('GMW - worst case'!$A$2:$MC$200,MATCH(1,('GMW - worst case'!$MC$2:$MC$200=H$3)*('GMW - worst case'!$MB$2:$MB$200=H$4),0),$E219-1973)</f>
        <v>163.49809999999999</v>
      </c>
      <c r="I219" cm="1">
        <f t="array" ref="I219">INDEX('GMW - worst case'!$A$2:$MC$200,MATCH(1,('GMW - worst case'!$MC$2:$MC$200=I$3)*('GMW - worst case'!$MB$2:$MB$200=I$4),0),$E219-1973)</f>
        <v>2.4885860000000002</v>
      </c>
      <c r="J219" t="e" cm="1">
        <f t="array" ref="J219">INDEX('GMW - worst case'!$A$2:$MC$200,MATCH(1,('GMW - worst case'!$MC$2:$MC$200=J$3)*('GMW - worst case'!$MB$2:$MB$200=J$4),0),$E219-1973)</f>
        <v>#N/A</v>
      </c>
      <c r="K219" t="e" cm="1">
        <f t="array" ref="K219">INDEX('GMW - worst case'!$A$2:$MC$200,MATCH(1,('GMW - worst case'!$MC$2:$MC$200=K$3)*('GMW - worst case'!$MB$2:$MB$200=K$4),0),$E219-1973)</f>
        <v>#N/A</v>
      </c>
      <c r="L219" t="e" cm="1">
        <f t="array" ref="L219">INDEX('GMW - worst case'!$A$2:$MC$200,MATCH(1,('GMW - worst case'!$MC$2:$MC$200=L$3)*('GMW - worst case'!$MB$2:$MB$200=L$4),0),$E219-1973)</f>
        <v>#N/A</v>
      </c>
      <c r="M219" t="e" cm="1">
        <f t="array" ref="M219">INDEX('GMW - worst case'!$A$2:$MC$200,MATCH(1,('GMW - worst case'!$MC$2:$MC$200=M$3)*('GMW - worst case'!$MB$2:$MB$200=M$4),0),$E219-1973)</f>
        <v>#N/A</v>
      </c>
      <c r="N219" t="e" cm="1">
        <f t="array" ref="N219">INDEX('GMW - worst case'!$A$2:$MC$200,MATCH(1,('GMW - worst case'!$MC$2:$MC$200=N$3)*('GMW - worst case'!$MB$2:$MB$200=N$4),0),$E219-1973)</f>
        <v>#N/A</v>
      </c>
      <c r="O219" t="e" cm="1">
        <f t="array" ref="O219">INDEX('GMW - worst case'!$A$2:$MC$200,MATCH(1,('GMW - worst case'!$MC$2:$MC$200=O$3)*('GMW - worst case'!$MB$2:$MB$200=O$4),0),$E219-1973)</f>
        <v>#N/A</v>
      </c>
      <c r="P219" t="e" cm="1">
        <f t="array" ref="P219">INDEX('GMW - worst case'!$A$2:$MC$200,MATCH(1,('GMW - worst case'!$MC$2:$MC$200=P$3)*('GMW - worst case'!$MB$2:$MB$200=P$4),0),$E219-1973)</f>
        <v>#N/A</v>
      </c>
      <c r="Q219" t="e" cm="1">
        <f t="array" ref="Q219">INDEX('GMW - worst case'!$A$2:$MC$200,MATCH(1,('GMW - worst case'!$MC$2:$MC$200=Q$3)*('GMW - worst case'!$MB$2:$MB$200=Q$4),0),$E219-1973)</f>
        <v>#N/A</v>
      </c>
      <c r="R219" t="e" cm="1">
        <f t="array" ref="R219">INDEX('GMW - worst case'!$A$2:$MC$200,MATCH(1,('GMW - worst case'!$MC$2:$MC$200=R$3)*('GMW - worst case'!$MB$2:$MB$200=R$4),0),$E219-1973)</f>
        <v>#N/A</v>
      </c>
      <c r="S219" t="e" cm="1">
        <f t="array" ref="S219">INDEX('GMW - worst case'!$A$2:$MC$200,MATCH(1,('GMW - worst case'!$MC$2:$MC$200=S$3)*('GMW - worst case'!$MB$2:$MB$200=S$4),0),$E219-1973)</f>
        <v>#N/A</v>
      </c>
    </row>
    <row r="220" spans="1:19" x14ac:dyDescent="0.25">
      <c r="B220">
        <f t="shared" ref="B220:D235" si="18">+B216+1</f>
        <v>2033</v>
      </c>
      <c r="C220">
        <f t="shared" si="18"/>
        <v>2033</v>
      </c>
      <c r="E220">
        <f t="shared" si="16"/>
        <v>2193</v>
      </c>
      <c r="F220" cm="1">
        <f t="array" ref="F220">INDEX('GMW - worst case'!$A$2:$MC$200,MATCH(1,('GMW - worst case'!$MC$2:$MC$200=F$3)*('GMW - worst case'!$MB$2:$MB$200=F$4),0),$E220-1973)</f>
        <v>784156</v>
      </c>
      <c r="G220" cm="1">
        <f t="array" ref="G220">INDEX('GMW - worst case'!$A$2:$MC$200,MATCH(1,('GMW - worst case'!$MC$2:$MC$200=G$3)*('GMW - worst case'!$MB$2:$MB$200=G$4),0),$E220-1973)</f>
        <v>459737.5</v>
      </c>
      <c r="H220" cm="1">
        <f t="array" ref="H220">INDEX('GMW - worst case'!$A$2:$MC$200,MATCH(1,('GMW - worst case'!$MC$2:$MC$200=H$3)*('GMW - worst case'!$MB$2:$MB$200=H$4),0),$E220-1973)</f>
        <v>165.0625</v>
      </c>
      <c r="I220" cm="1">
        <f t="array" ref="I220">INDEX('GMW - worst case'!$A$2:$MC$200,MATCH(1,('GMW - worst case'!$MC$2:$MC$200=I$3)*('GMW - worst case'!$MB$2:$MB$200=I$4),0),$E220-1973)</f>
        <v>2.5750790000000001</v>
      </c>
      <c r="J220" t="e" cm="1">
        <f t="array" ref="J220">INDEX('GMW - worst case'!$A$2:$MC$200,MATCH(1,('GMW - worst case'!$MC$2:$MC$200=J$3)*('GMW - worst case'!$MB$2:$MB$200=J$4),0),$E220-1973)</f>
        <v>#N/A</v>
      </c>
      <c r="K220" t="e" cm="1">
        <f t="array" ref="K220">INDEX('GMW - worst case'!$A$2:$MC$200,MATCH(1,('GMW - worst case'!$MC$2:$MC$200=K$3)*('GMW - worst case'!$MB$2:$MB$200=K$4),0),$E220-1973)</f>
        <v>#N/A</v>
      </c>
      <c r="L220" t="e" cm="1">
        <f t="array" ref="L220">INDEX('GMW - worst case'!$A$2:$MC$200,MATCH(1,('GMW - worst case'!$MC$2:$MC$200=L$3)*('GMW - worst case'!$MB$2:$MB$200=L$4),0),$E220-1973)</f>
        <v>#N/A</v>
      </c>
      <c r="M220" t="e" cm="1">
        <f t="array" ref="M220">INDEX('GMW - worst case'!$A$2:$MC$200,MATCH(1,('GMW - worst case'!$MC$2:$MC$200=M$3)*('GMW - worst case'!$MB$2:$MB$200=M$4),0),$E220-1973)</f>
        <v>#N/A</v>
      </c>
      <c r="N220" t="e" cm="1">
        <f t="array" ref="N220">INDEX('GMW - worst case'!$A$2:$MC$200,MATCH(1,('GMW - worst case'!$MC$2:$MC$200=N$3)*('GMW - worst case'!$MB$2:$MB$200=N$4),0),$E220-1973)</f>
        <v>#N/A</v>
      </c>
      <c r="O220" t="e" cm="1">
        <f t="array" ref="O220">INDEX('GMW - worst case'!$A$2:$MC$200,MATCH(1,('GMW - worst case'!$MC$2:$MC$200=O$3)*('GMW - worst case'!$MB$2:$MB$200=O$4),0),$E220-1973)</f>
        <v>#N/A</v>
      </c>
      <c r="P220" t="e" cm="1">
        <f t="array" ref="P220">INDEX('GMW - worst case'!$A$2:$MC$200,MATCH(1,('GMW - worst case'!$MC$2:$MC$200=P$3)*('GMW - worst case'!$MB$2:$MB$200=P$4),0),$E220-1973)</f>
        <v>#N/A</v>
      </c>
      <c r="Q220" t="e" cm="1">
        <f t="array" ref="Q220">INDEX('GMW - worst case'!$A$2:$MC$200,MATCH(1,('GMW - worst case'!$MC$2:$MC$200=Q$3)*('GMW - worst case'!$MB$2:$MB$200=Q$4),0),$E220-1973)</f>
        <v>#N/A</v>
      </c>
      <c r="R220" t="e" cm="1">
        <f t="array" ref="R220">INDEX('GMW - worst case'!$A$2:$MC$200,MATCH(1,('GMW - worst case'!$MC$2:$MC$200=R$3)*('GMW - worst case'!$MB$2:$MB$200=R$4),0),$E220-1973)</f>
        <v>#N/A</v>
      </c>
      <c r="S220" t="e" cm="1">
        <f t="array" ref="S220">INDEX('GMW - worst case'!$A$2:$MC$200,MATCH(1,('GMW - worst case'!$MC$2:$MC$200=S$3)*('GMW - worst case'!$MB$2:$MB$200=S$4),0),$E220-1973)</f>
        <v>#N/A</v>
      </c>
    </row>
    <row r="221" spans="1:19" x14ac:dyDescent="0.25">
      <c r="B221">
        <f t="shared" si="18"/>
        <v>2033</v>
      </c>
      <c r="C221">
        <f t="shared" si="18"/>
        <v>2033</v>
      </c>
      <c r="E221">
        <f t="shared" si="16"/>
        <v>2194</v>
      </c>
      <c r="F221" cm="1">
        <f t="array" ref="F221">INDEX('GMW - worst case'!$A$2:$MC$200,MATCH(1,('GMW - worst case'!$MC$2:$MC$200=F$3)*('GMW - worst case'!$MB$2:$MB$200=F$4),0),$E221-1973)</f>
        <v>786810.2</v>
      </c>
      <c r="G221" cm="1">
        <f t="array" ref="G221">INDEX('GMW - worst case'!$A$2:$MC$200,MATCH(1,('GMW - worst case'!$MC$2:$MC$200=G$3)*('GMW - worst case'!$MB$2:$MB$200=G$4),0),$E221-1973)</f>
        <v>461040.4</v>
      </c>
      <c r="H221" cm="1">
        <f t="array" ref="H221">INDEX('GMW - worst case'!$A$2:$MC$200,MATCH(1,('GMW - worst case'!$MC$2:$MC$200=H$3)*('GMW - worst case'!$MB$2:$MB$200=H$4),0),$E221-1973)</f>
        <v>165.8776</v>
      </c>
      <c r="I221" cm="1">
        <f t="array" ref="I221">INDEX('GMW - worst case'!$A$2:$MC$200,MATCH(1,('GMW - worst case'!$MC$2:$MC$200=I$3)*('GMW - worst case'!$MB$2:$MB$200=I$4),0),$E221-1973)</f>
        <v>2.6395170000000001</v>
      </c>
      <c r="J221" t="e" cm="1">
        <f t="array" ref="J221">INDEX('GMW - worst case'!$A$2:$MC$200,MATCH(1,('GMW - worst case'!$MC$2:$MC$200=J$3)*('GMW - worst case'!$MB$2:$MB$200=J$4),0),$E221-1973)</f>
        <v>#N/A</v>
      </c>
      <c r="K221" t="e" cm="1">
        <f t="array" ref="K221">INDEX('GMW - worst case'!$A$2:$MC$200,MATCH(1,('GMW - worst case'!$MC$2:$MC$200=K$3)*('GMW - worst case'!$MB$2:$MB$200=K$4),0),$E221-1973)</f>
        <v>#N/A</v>
      </c>
      <c r="L221" t="e" cm="1">
        <f t="array" ref="L221">INDEX('GMW - worst case'!$A$2:$MC$200,MATCH(1,('GMW - worst case'!$MC$2:$MC$200=L$3)*('GMW - worst case'!$MB$2:$MB$200=L$4),0),$E221-1973)</f>
        <v>#N/A</v>
      </c>
      <c r="M221" t="e" cm="1">
        <f t="array" ref="M221">INDEX('GMW - worst case'!$A$2:$MC$200,MATCH(1,('GMW - worst case'!$MC$2:$MC$200=M$3)*('GMW - worst case'!$MB$2:$MB$200=M$4),0),$E221-1973)</f>
        <v>#N/A</v>
      </c>
      <c r="N221" t="e" cm="1">
        <f t="array" ref="N221">INDEX('GMW - worst case'!$A$2:$MC$200,MATCH(1,('GMW - worst case'!$MC$2:$MC$200=N$3)*('GMW - worst case'!$MB$2:$MB$200=N$4),0),$E221-1973)</f>
        <v>#N/A</v>
      </c>
      <c r="O221" t="e" cm="1">
        <f t="array" ref="O221">INDEX('GMW - worst case'!$A$2:$MC$200,MATCH(1,('GMW - worst case'!$MC$2:$MC$200=O$3)*('GMW - worst case'!$MB$2:$MB$200=O$4),0),$E221-1973)</f>
        <v>#N/A</v>
      </c>
      <c r="P221" t="e" cm="1">
        <f t="array" ref="P221">INDEX('GMW - worst case'!$A$2:$MC$200,MATCH(1,('GMW - worst case'!$MC$2:$MC$200=P$3)*('GMW - worst case'!$MB$2:$MB$200=P$4),0),$E221-1973)</f>
        <v>#N/A</v>
      </c>
      <c r="Q221" t="e" cm="1">
        <f t="array" ref="Q221">INDEX('GMW - worst case'!$A$2:$MC$200,MATCH(1,('GMW - worst case'!$MC$2:$MC$200=Q$3)*('GMW - worst case'!$MB$2:$MB$200=Q$4),0),$E221-1973)</f>
        <v>#N/A</v>
      </c>
      <c r="R221" t="e" cm="1">
        <f t="array" ref="R221">INDEX('GMW - worst case'!$A$2:$MC$200,MATCH(1,('GMW - worst case'!$MC$2:$MC$200=R$3)*('GMW - worst case'!$MB$2:$MB$200=R$4),0),$E221-1973)</f>
        <v>#N/A</v>
      </c>
      <c r="S221" t="e" cm="1">
        <f t="array" ref="S221">INDEX('GMW - worst case'!$A$2:$MC$200,MATCH(1,('GMW - worst case'!$MC$2:$MC$200=S$3)*('GMW - worst case'!$MB$2:$MB$200=S$4),0),$E221-1973)</f>
        <v>#N/A</v>
      </c>
    </row>
    <row r="222" spans="1:19" x14ac:dyDescent="0.25">
      <c r="B222">
        <f t="shared" si="18"/>
        <v>2033</v>
      </c>
      <c r="C222">
        <f t="shared" si="18"/>
        <v>2033</v>
      </c>
      <c r="E222">
        <f t="shared" si="16"/>
        <v>2195</v>
      </c>
      <c r="F222" cm="1">
        <f t="array" ref="F222">INDEX('GMW - worst case'!$A$2:$MC$200,MATCH(1,('GMW - worst case'!$MC$2:$MC$200=F$3)*('GMW - worst case'!$MB$2:$MB$200=F$4),0),$E222-1973)</f>
        <v>789673.9</v>
      </c>
      <c r="G222" cm="1">
        <f t="array" ref="G222">INDEX('GMW - worst case'!$A$2:$MC$200,MATCH(1,('GMW - worst case'!$MC$2:$MC$200=G$3)*('GMW - worst case'!$MB$2:$MB$200=G$4),0),$E222-1973)</f>
        <v>462408.5</v>
      </c>
      <c r="H222" cm="1">
        <f t="array" ref="H222">INDEX('GMW - worst case'!$A$2:$MC$200,MATCH(1,('GMW - worst case'!$MC$2:$MC$200=H$3)*('GMW - worst case'!$MB$2:$MB$200=H$4),0),$E222-1973)</f>
        <v>166.429</v>
      </c>
      <c r="I222" cm="1">
        <f t="array" ref="I222">INDEX('GMW - worst case'!$A$2:$MC$200,MATCH(1,('GMW - worst case'!$MC$2:$MC$200=I$3)*('GMW - worst case'!$MB$2:$MB$200=I$4),0),$E222-1973)</f>
        <v>2.6733419999999999</v>
      </c>
      <c r="J222" t="e" cm="1">
        <f t="array" ref="J222">INDEX('GMW - worst case'!$A$2:$MC$200,MATCH(1,('GMW - worst case'!$MC$2:$MC$200=J$3)*('GMW - worst case'!$MB$2:$MB$200=J$4),0),$E222-1973)</f>
        <v>#N/A</v>
      </c>
      <c r="K222" t="e" cm="1">
        <f t="array" ref="K222">INDEX('GMW - worst case'!$A$2:$MC$200,MATCH(1,('GMW - worst case'!$MC$2:$MC$200=K$3)*('GMW - worst case'!$MB$2:$MB$200=K$4),0),$E222-1973)</f>
        <v>#N/A</v>
      </c>
      <c r="L222" t="e" cm="1">
        <f t="array" ref="L222">INDEX('GMW - worst case'!$A$2:$MC$200,MATCH(1,('GMW - worst case'!$MC$2:$MC$200=L$3)*('GMW - worst case'!$MB$2:$MB$200=L$4),0),$E222-1973)</f>
        <v>#N/A</v>
      </c>
      <c r="M222" t="e" cm="1">
        <f t="array" ref="M222">INDEX('GMW - worst case'!$A$2:$MC$200,MATCH(1,('GMW - worst case'!$MC$2:$MC$200=M$3)*('GMW - worst case'!$MB$2:$MB$200=M$4),0),$E222-1973)</f>
        <v>#N/A</v>
      </c>
      <c r="N222" t="e" cm="1">
        <f t="array" ref="N222">INDEX('GMW - worst case'!$A$2:$MC$200,MATCH(1,('GMW - worst case'!$MC$2:$MC$200=N$3)*('GMW - worst case'!$MB$2:$MB$200=N$4),0),$E222-1973)</f>
        <v>#N/A</v>
      </c>
      <c r="O222" t="e" cm="1">
        <f t="array" ref="O222">INDEX('GMW - worst case'!$A$2:$MC$200,MATCH(1,('GMW - worst case'!$MC$2:$MC$200=O$3)*('GMW - worst case'!$MB$2:$MB$200=O$4),0),$E222-1973)</f>
        <v>#N/A</v>
      </c>
      <c r="P222" t="e" cm="1">
        <f t="array" ref="P222">INDEX('GMW - worst case'!$A$2:$MC$200,MATCH(1,('GMW - worst case'!$MC$2:$MC$200=P$3)*('GMW - worst case'!$MB$2:$MB$200=P$4),0),$E222-1973)</f>
        <v>#N/A</v>
      </c>
      <c r="Q222" t="e" cm="1">
        <f t="array" ref="Q222">INDEX('GMW - worst case'!$A$2:$MC$200,MATCH(1,('GMW - worst case'!$MC$2:$MC$200=Q$3)*('GMW - worst case'!$MB$2:$MB$200=Q$4),0),$E222-1973)</f>
        <v>#N/A</v>
      </c>
      <c r="R222" t="e" cm="1">
        <f t="array" ref="R222">INDEX('GMW - worst case'!$A$2:$MC$200,MATCH(1,('GMW - worst case'!$MC$2:$MC$200=R$3)*('GMW - worst case'!$MB$2:$MB$200=R$4),0),$E222-1973)</f>
        <v>#N/A</v>
      </c>
      <c r="S222" t="e" cm="1">
        <f t="array" ref="S222">INDEX('GMW - worst case'!$A$2:$MC$200,MATCH(1,('GMW - worst case'!$MC$2:$MC$200=S$3)*('GMW - worst case'!$MB$2:$MB$200=S$4),0),$E222-1973)</f>
        <v>#N/A</v>
      </c>
    </row>
    <row r="223" spans="1:19" x14ac:dyDescent="0.25">
      <c r="A223">
        <v>2034</v>
      </c>
      <c r="B223">
        <f t="shared" si="18"/>
        <v>2034</v>
      </c>
      <c r="C223">
        <f t="shared" si="18"/>
        <v>2033</v>
      </c>
      <c r="D223">
        <f t="shared" si="18"/>
        <v>2033</v>
      </c>
      <c r="E223">
        <f t="shared" si="16"/>
        <v>2196</v>
      </c>
      <c r="F223" cm="1">
        <f t="array" ref="F223">INDEX('GMW - worst case'!$A$2:$MC$200,MATCH(1,('GMW - worst case'!$MC$2:$MC$200=F$3)*('GMW - worst case'!$MB$2:$MB$200=F$4),0),$E223-1973)</f>
        <v>792759</v>
      </c>
      <c r="G223" cm="1">
        <f t="array" ref="G223">INDEX('GMW - worst case'!$A$2:$MC$200,MATCH(1,('GMW - worst case'!$MC$2:$MC$200=G$3)*('GMW - worst case'!$MB$2:$MB$200=G$4),0),$E223-1973)</f>
        <v>463908.1</v>
      </c>
      <c r="H223" cm="1">
        <f t="array" ref="H223">INDEX('GMW - worst case'!$A$2:$MC$200,MATCH(1,('GMW - worst case'!$MC$2:$MC$200=H$3)*('GMW - worst case'!$MB$2:$MB$200=H$4),0),$E223-1973)</f>
        <v>166.49809999999999</v>
      </c>
      <c r="I223" cm="1">
        <f t="array" ref="I223">INDEX('GMW - worst case'!$A$2:$MC$200,MATCH(1,('GMW - worst case'!$MC$2:$MC$200=I$3)*('GMW - worst case'!$MB$2:$MB$200=I$4),0),$E223-1973)</f>
        <v>2.676059</v>
      </c>
      <c r="J223" t="e" cm="1">
        <f t="array" ref="J223">INDEX('GMW - worst case'!$A$2:$MC$200,MATCH(1,('GMW - worst case'!$MC$2:$MC$200=J$3)*('GMW - worst case'!$MB$2:$MB$200=J$4),0),$E223-1973)</f>
        <v>#N/A</v>
      </c>
      <c r="K223" t="e" cm="1">
        <f t="array" ref="K223">INDEX('GMW - worst case'!$A$2:$MC$200,MATCH(1,('GMW - worst case'!$MC$2:$MC$200=K$3)*('GMW - worst case'!$MB$2:$MB$200=K$4),0),$E223-1973)</f>
        <v>#N/A</v>
      </c>
      <c r="L223" t="e" cm="1">
        <f t="array" ref="L223">INDEX('GMW - worst case'!$A$2:$MC$200,MATCH(1,('GMW - worst case'!$MC$2:$MC$200=L$3)*('GMW - worst case'!$MB$2:$MB$200=L$4),0),$E223-1973)</f>
        <v>#N/A</v>
      </c>
      <c r="M223" t="e" cm="1">
        <f t="array" ref="M223">INDEX('GMW - worst case'!$A$2:$MC$200,MATCH(1,('GMW - worst case'!$MC$2:$MC$200=M$3)*('GMW - worst case'!$MB$2:$MB$200=M$4),0),$E223-1973)</f>
        <v>#N/A</v>
      </c>
      <c r="N223" t="e" cm="1">
        <f t="array" ref="N223">INDEX('GMW - worst case'!$A$2:$MC$200,MATCH(1,('GMW - worst case'!$MC$2:$MC$200=N$3)*('GMW - worst case'!$MB$2:$MB$200=N$4),0),$E223-1973)</f>
        <v>#N/A</v>
      </c>
      <c r="O223" t="e" cm="1">
        <f t="array" ref="O223">INDEX('GMW - worst case'!$A$2:$MC$200,MATCH(1,('GMW - worst case'!$MC$2:$MC$200=O$3)*('GMW - worst case'!$MB$2:$MB$200=O$4),0),$E223-1973)</f>
        <v>#N/A</v>
      </c>
      <c r="P223" t="e" cm="1">
        <f t="array" ref="P223">INDEX('GMW - worst case'!$A$2:$MC$200,MATCH(1,('GMW - worst case'!$MC$2:$MC$200=P$3)*('GMW - worst case'!$MB$2:$MB$200=P$4),0),$E223-1973)</f>
        <v>#N/A</v>
      </c>
      <c r="Q223" t="e" cm="1">
        <f t="array" ref="Q223">INDEX('GMW - worst case'!$A$2:$MC$200,MATCH(1,('GMW - worst case'!$MC$2:$MC$200=Q$3)*('GMW - worst case'!$MB$2:$MB$200=Q$4),0),$E223-1973)</f>
        <v>#N/A</v>
      </c>
      <c r="R223" t="e" cm="1">
        <f t="array" ref="R223">INDEX('GMW - worst case'!$A$2:$MC$200,MATCH(1,('GMW - worst case'!$MC$2:$MC$200=R$3)*('GMW - worst case'!$MB$2:$MB$200=R$4),0),$E223-1973)</f>
        <v>#N/A</v>
      </c>
      <c r="S223" t="e" cm="1">
        <f t="array" ref="S223">INDEX('GMW - worst case'!$A$2:$MC$200,MATCH(1,('GMW - worst case'!$MC$2:$MC$200=S$3)*('GMW - worst case'!$MB$2:$MB$200=S$4),0),$E223-1973)</f>
        <v>#N/A</v>
      </c>
    </row>
    <row r="224" spans="1:19" x14ac:dyDescent="0.25">
      <c r="B224">
        <f t="shared" si="18"/>
        <v>2034</v>
      </c>
      <c r="C224">
        <f t="shared" si="18"/>
        <v>2034</v>
      </c>
      <c r="E224">
        <f t="shared" si="16"/>
        <v>2197</v>
      </c>
      <c r="F224" cm="1">
        <f t="array" ref="F224">INDEX('GMW - worst case'!$A$2:$MC$200,MATCH(1,('GMW - worst case'!$MC$2:$MC$200=F$3)*('GMW - worst case'!$MB$2:$MB$200=F$4),0),$E224-1973)</f>
        <v>795918.8</v>
      </c>
      <c r="G224" cm="1">
        <f t="array" ref="G224">INDEX('GMW - worst case'!$A$2:$MC$200,MATCH(1,('GMW - worst case'!$MC$2:$MC$200=G$3)*('GMW - worst case'!$MB$2:$MB$200=G$4),0),$E224-1973)</f>
        <v>465498.1</v>
      </c>
      <c r="H224" cm="1">
        <f t="array" ref="H224">INDEX('GMW - worst case'!$A$2:$MC$200,MATCH(1,('GMW - worst case'!$MC$2:$MC$200=H$3)*('GMW - worst case'!$MB$2:$MB$200=H$4),0),$E224-1973)</f>
        <v>167.80240000000001</v>
      </c>
      <c r="I224" cm="1">
        <f t="array" ref="I224">INDEX('GMW - worst case'!$A$2:$MC$200,MATCH(1,('GMW - worst case'!$MC$2:$MC$200=I$3)*('GMW - worst case'!$MB$2:$MB$200=I$4),0),$E224-1973)</f>
        <v>2.653683</v>
      </c>
      <c r="J224" t="e" cm="1">
        <f t="array" ref="J224">INDEX('GMW - worst case'!$A$2:$MC$200,MATCH(1,('GMW - worst case'!$MC$2:$MC$200=J$3)*('GMW - worst case'!$MB$2:$MB$200=J$4),0),$E224-1973)</f>
        <v>#N/A</v>
      </c>
      <c r="K224" t="e" cm="1">
        <f t="array" ref="K224">INDEX('GMW - worst case'!$A$2:$MC$200,MATCH(1,('GMW - worst case'!$MC$2:$MC$200=K$3)*('GMW - worst case'!$MB$2:$MB$200=K$4),0),$E224-1973)</f>
        <v>#N/A</v>
      </c>
      <c r="L224" t="e" cm="1">
        <f t="array" ref="L224">INDEX('GMW - worst case'!$A$2:$MC$200,MATCH(1,('GMW - worst case'!$MC$2:$MC$200=L$3)*('GMW - worst case'!$MB$2:$MB$200=L$4),0),$E224-1973)</f>
        <v>#N/A</v>
      </c>
      <c r="M224" t="e" cm="1">
        <f t="array" ref="M224">INDEX('GMW - worst case'!$A$2:$MC$200,MATCH(1,('GMW - worst case'!$MC$2:$MC$200=M$3)*('GMW - worst case'!$MB$2:$MB$200=M$4),0),$E224-1973)</f>
        <v>#N/A</v>
      </c>
      <c r="N224" t="e" cm="1">
        <f t="array" ref="N224">INDEX('GMW - worst case'!$A$2:$MC$200,MATCH(1,('GMW - worst case'!$MC$2:$MC$200=N$3)*('GMW - worst case'!$MB$2:$MB$200=N$4),0),$E224-1973)</f>
        <v>#N/A</v>
      </c>
      <c r="O224" t="e" cm="1">
        <f t="array" ref="O224">INDEX('GMW - worst case'!$A$2:$MC$200,MATCH(1,('GMW - worst case'!$MC$2:$MC$200=O$3)*('GMW - worst case'!$MB$2:$MB$200=O$4),0),$E224-1973)</f>
        <v>#N/A</v>
      </c>
      <c r="P224" t="e" cm="1">
        <f t="array" ref="P224">INDEX('GMW - worst case'!$A$2:$MC$200,MATCH(1,('GMW - worst case'!$MC$2:$MC$200=P$3)*('GMW - worst case'!$MB$2:$MB$200=P$4),0),$E224-1973)</f>
        <v>#N/A</v>
      </c>
      <c r="Q224" t="e" cm="1">
        <f t="array" ref="Q224">INDEX('GMW - worst case'!$A$2:$MC$200,MATCH(1,('GMW - worst case'!$MC$2:$MC$200=Q$3)*('GMW - worst case'!$MB$2:$MB$200=Q$4),0),$E224-1973)</f>
        <v>#N/A</v>
      </c>
      <c r="R224" t="e" cm="1">
        <f t="array" ref="R224">INDEX('GMW - worst case'!$A$2:$MC$200,MATCH(1,('GMW - worst case'!$MC$2:$MC$200=R$3)*('GMW - worst case'!$MB$2:$MB$200=R$4),0),$E224-1973)</f>
        <v>#N/A</v>
      </c>
      <c r="S224" t="e" cm="1">
        <f t="array" ref="S224">INDEX('GMW - worst case'!$A$2:$MC$200,MATCH(1,('GMW - worst case'!$MC$2:$MC$200=S$3)*('GMW - worst case'!$MB$2:$MB$200=S$4),0),$E224-1973)</f>
        <v>#N/A</v>
      </c>
    </row>
    <row r="225" spans="1:19" x14ac:dyDescent="0.25">
      <c r="B225">
        <f t="shared" si="18"/>
        <v>2034</v>
      </c>
      <c r="C225">
        <f t="shared" si="18"/>
        <v>2034</v>
      </c>
      <c r="E225">
        <f t="shared" si="16"/>
        <v>2198</v>
      </c>
      <c r="F225" cm="1">
        <f t="array" ref="F225">INDEX('GMW - worst case'!$A$2:$MC$200,MATCH(1,('GMW - worst case'!$MC$2:$MC$200=F$3)*('GMW - worst case'!$MB$2:$MB$200=F$4),0),$E225-1973)</f>
        <v>799042.5</v>
      </c>
      <c r="G225" cm="1">
        <f t="array" ref="G225">INDEX('GMW - worst case'!$A$2:$MC$200,MATCH(1,('GMW - worst case'!$MC$2:$MC$200=G$3)*('GMW - worst case'!$MB$2:$MB$200=G$4),0),$E225-1973)</f>
        <v>467124.7</v>
      </c>
      <c r="H225" cm="1">
        <f t="array" ref="H225">INDEX('GMW - worst case'!$A$2:$MC$200,MATCH(1,('GMW - worst case'!$MC$2:$MC$200=H$3)*('GMW - worst case'!$MB$2:$MB$200=H$4),0),$E225-1973)</f>
        <v>168.5556</v>
      </c>
      <c r="I225" cm="1">
        <f t="array" ref="I225">INDEX('GMW - worst case'!$A$2:$MC$200,MATCH(1,('GMW - worst case'!$MC$2:$MC$200=I$3)*('GMW - worst case'!$MB$2:$MB$200=I$4),0),$E225-1973)</f>
        <v>2.6152389999999999</v>
      </c>
      <c r="J225" t="e" cm="1">
        <f t="array" ref="J225">INDEX('GMW - worst case'!$A$2:$MC$200,MATCH(1,('GMW - worst case'!$MC$2:$MC$200=J$3)*('GMW - worst case'!$MB$2:$MB$200=J$4),0),$E225-1973)</f>
        <v>#N/A</v>
      </c>
      <c r="K225" t="e" cm="1">
        <f t="array" ref="K225">INDEX('GMW - worst case'!$A$2:$MC$200,MATCH(1,('GMW - worst case'!$MC$2:$MC$200=K$3)*('GMW - worst case'!$MB$2:$MB$200=K$4),0),$E225-1973)</f>
        <v>#N/A</v>
      </c>
      <c r="L225" t="e" cm="1">
        <f t="array" ref="L225">INDEX('GMW - worst case'!$A$2:$MC$200,MATCH(1,('GMW - worst case'!$MC$2:$MC$200=L$3)*('GMW - worst case'!$MB$2:$MB$200=L$4),0),$E225-1973)</f>
        <v>#N/A</v>
      </c>
      <c r="M225" t="e" cm="1">
        <f t="array" ref="M225">INDEX('GMW - worst case'!$A$2:$MC$200,MATCH(1,('GMW - worst case'!$MC$2:$MC$200=M$3)*('GMW - worst case'!$MB$2:$MB$200=M$4),0),$E225-1973)</f>
        <v>#N/A</v>
      </c>
      <c r="N225" t="e" cm="1">
        <f t="array" ref="N225">INDEX('GMW - worst case'!$A$2:$MC$200,MATCH(1,('GMW - worst case'!$MC$2:$MC$200=N$3)*('GMW - worst case'!$MB$2:$MB$200=N$4),0),$E225-1973)</f>
        <v>#N/A</v>
      </c>
      <c r="O225" t="e" cm="1">
        <f t="array" ref="O225">INDEX('GMW - worst case'!$A$2:$MC$200,MATCH(1,('GMW - worst case'!$MC$2:$MC$200=O$3)*('GMW - worst case'!$MB$2:$MB$200=O$4),0),$E225-1973)</f>
        <v>#N/A</v>
      </c>
      <c r="P225" t="e" cm="1">
        <f t="array" ref="P225">INDEX('GMW - worst case'!$A$2:$MC$200,MATCH(1,('GMW - worst case'!$MC$2:$MC$200=P$3)*('GMW - worst case'!$MB$2:$MB$200=P$4),0),$E225-1973)</f>
        <v>#N/A</v>
      </c>
      <c r="Q225" t="e" cm="1">
        <f t="array" ref="Q225">INDEX('GMW - worst case'!$A$2:$MC$200,MATCH(1,('GMW - worst case'!$MC$2:$MC$200=Q$3)*('GMW - worst case'!$MB$2:$MB$200=Q$4),0),$E225-1973)</f>
        <v>#N/A</v>
      </c>
      <c r="R225" t="e" cm="1">
        <f t="array" ref="R225">INDEX('GMW - worst case'!$A$2:$MC$200,MATCH(1,('GMW - worst case'!$MC$2:$MC$200=R$3)*('GMW - worst case'!$MB$2:$MB$200=R$4),0),$E225-1973)</f>
        <v>#N/A</v>
      </c>
      <c r="S225" t="e" cm="1">
        <f t="array" ref="S225">INDEX('GMW - worst case'!$A$2:$MC$200,MATCH(1,('GMW - worst case'!$MC$2:$MC$200=S$3)*('GMW - worst case'!$MB$2:$MB$200=S$4),0),$E225-1973)</f>
        <v>#N/A</v>
      </c>
    </row>
    <row r="226" spans="1:19" x14ac:dyDescent="0.25">
      <c r="B226">
        <f t="shared" si="18"/>
        <v>2034</v>
      </c>
      <c r="C226">
        <f t="shared" si="18"/>
        <v>2034</v>
      </c>
      <c r="E226">
        <f t="shared" si="16"/>
        <v>2199</v>
      </c>
      <c r="F226" cm="1">
        <f t="array" ref="F226">INDEX('GMW - worst case'!$A$2:$MC$200,MATCH(1,('GMW - worst case'!$MC$2:$MC$200=F$3)*('GMW - worst case'!$MB$2:$MB$200=F$4),0),$E226-1973)</f>
        <v>802055.1</v>
      </c>
      <c r="G226" cm="1">
        <f t="array" ref="G226">INDEX('GMW - worst case'!$A$2:$MC$200,MATCH(1,('GMW - worst case'!$MC$2:$MC$200=G$3)*('GMW - worst case'!$MB$2:$MB$200=G$4),0),$E226-1973)</f>
        <v>468736.4</v>
      </c>
      <c r="H226" cm="1">
        <f t="array" ref="H226">INDEX('GMW - worst case'!$A$2:$MC$200,MATCH(1,('GMW - worst case'!$MC$2:$MC$200=H$3)*('GMW - worst case'!$MB$2:$MB$200=H$4),0),$E226-1973)</f>
        <v>169.1968</v>
      </c>
      <c r="I226" cm="1">
        <f t="array" ref="I226">INDEX('GMW - worst case'!$A$2:$MC$200,MATCH(1,('GMW - worst case'!$MC$2:$MC$200=I$3)*('GMW - worst case'!$MB$2:$MB$200=I$4),0),$E226-1973)</f>
        <v>2.56996</v>
      </c>
      <c r="J226" t="e" cm="1">
        <f t="array" ref="J226">INDEX('GMW - worst case'!$A$2:$MC$200,MATCH(1,('GMW - worst case'!$MC$2:$MC$200=J$3)*('GMW - worst case'!$MB$2:$MB$200=J$4),0),$E226-1973)</f>
        <v>#N/A</v>
      </c>
      <c r="K226" t="e" cm="1">
        <f t="array" ref="K226">INDEX('GMW - worst case'!$A$2:$MC$200,MATCH(1,('GMW - worst case'!$MC$2:$MC$200=K$3)*('GMW - worst case'!$MB$2:$MB$200=K$4),0),$E226-1973)</f>
        <v>#N/A</v>
      </c>
      <c r="L226" t="e" cm="1">
        <f t="array" ref="L226">INDEX('GMW - worst case'!$A$2:$MC$200,MATCH(1,('GMW - worst case'!$MC$2:$MC$200=L$3)*('GMW - worst case'!$MB$2:$MB$200=L$4),0),$E226-1973)</f>
        <v>#N/A</v>
      </c>
      <c r="M226" t="e" cm="1">
        <f t="array" ref="M226">INDEX('GMW - worst case'!$A$2:$MC$200,MATCH(1,('GMW - worst case'!$MC$2:$MC$200=M$3)*('GMW - worst case'!$MB$2:$MB$200=M$4),0),$E226-1973)</f>
        <v>#N/A</v>
      </c>
      <c r="N226" t="e" cm="1">
        <f t="array" ref="N226">INDEX('GMW - worst case'!$A$2:$MC$200,MATCH(1,('GMW - worst case'!$MC$2:$MC$200=N$3)*('GMW - worst case'!$MB$2:$MB$200=N$4),0),$E226-1973)</f>
        <v>#N/A</v>
      </c>
      <c r="O226" t="e" cm="1">
        <f t="array" ref="O226">INDEX('GMW - worst case'!$A$2:$MC$200,MATCH(1,('GMW - worst case'!$MC$2:$MC$200=O$3)*('GMW - worst case'!$MB$2:$MB$200=O$4),0),$E226-1973)</f>
        <v>#N/A</v>
      </c>
      <c r="P226" t="e" cm="1">
        <f t="array" ref="P226">INDEX('GMW - worst case'!$A$2:$MC$200,MATCH(1,('GMW - worst case'!$MC$2:$MC$200=P$3)*('GMW - worst case'!$MB$2:$MB$200=P$4),0),$E226-1973)</f>
        <v>#N/A</v>
      </c>
      <c r="Q226" t="e" cm="1">
        <f t="array" ref="Q226">INDEX('GMW - worst case'!$A$2:$MC$200,MATCH(1,('GMW - worst case'!$MC$2:$MC$200=Q$3)*('GMW - worst case'!$MB$2:$MB$200=Q$4),0),$E226-1973)</f>
        <v>#N/A</v>
      </c>
      <c r="R226" t="e" cm="1">
        <f t="array" ref="R226">INDEX('GMW - worst case'!$A$2:$MC$200,MATCH(1,('GMW - worst case'!$MC$2:$MC$200=R$3)*('GMW - worst case'!$MB$2:$MB$200=R$4),0),$E226-1973)</f>
        <v>#N/A</v>
      </c>
      <c r="S226" t="e" cm="1">
        <f t="array" ref="S226">INDEX('GMW - worst case'!$A$2:$MC$200,MATCH(1,('GMW - worst case'!$MC$2:$MC$200=S$3)*('GMW - worst case'!$MB$2:$MB$200=S$4),0),$E226-1973)</f>
        <v>#N/A</v>
      </c>
    </row>
    <row r="227" spans="1:19" x14ac:dyDescent="0.25">
      <c r="A227">
        <v>2035</v>
      </c>
      <c r="B227">
        <f t="shared" si="18"/>
        <v>2035</v>
      </c>
      <c r="C227">
        <f t="shared" si="18"/>
        <v>2034</v>
      </c>
      <c r="D227">
        <f t="shared" si="18"/>
        <v>2034</v>
      </c>
      <c r="E227">
        <f t="shared" si="16"/>
        <v>2200</v>
      </c>
      <c r="F227" cm="1">
        <f t="array" ref="F227">INDEX('GMW - worst case'!$A$2:$MC$200,MATCH(1,('GMW - worst case'!$MC$2:$MC$200=F$3)*('GMW - worst case'!$MB$2:$MB$200=F$4),0),$E227-1973)</f>
        <v>805096.7</v>
      </c>
      <c r="G227" cm="1">
        <f t="array" ref="G227">INDEX('GMW - worst case'!$A$2:$MC$200,MATCH(1,('GMW - worst case'!$MC$2:$MC$200=G$3)*('GMW - worst case'!$MB$2:$MB$200=G$4),0),$E227-1973)</f>
        <v>470398.6</v>
      </c>
      <c r="H227" cm="1">
        <f t="array" ref="H227">INDEX('GMW - worst case'!$A$2:$MC$200,MATCH(1,('GMW - worst case'!$MC$2:$MC$200=H$3)*('GMW - worst case'!$MB$2:$MB$200=H$4),0),$E227-1973)</f>
        <v>169.46709999999999</v>
      </c>
      <c r="I227" cm="1">
        <f t="array" ref="I227">INDEX('GMW - worst case'!$A$2:$MC$200,MATCH(1,('GMW - worst case'!$MC$2:$MC$200=I$3)*('GMW - worst case'!$MB$2:$MB$200=I$4),0),$E227-1973)</f>
        <v>2.526357</v>
      </c>
      <c r="J227" t="e" cm="1">
        <f t="array" ref="J227">INDEX('GMW - worst case'!$A$2:$MC$200,MATCH(1,('GMW - worst case'!$MC$2:$MC$200=J$3)*('GMW - worst case'!$MB$2:$MB$200=J$4),0),$E227-1973)</f>
        <v>#N/A</v>
      </c>
      <c r="K227" t="e" cm="1">
        <f t="array" ref="K227">INDEX('GMW - worst case'!$A$2:$MC$200,MATCH(1,('GMW - worst case'!$MC$2:$MC$200=K$3)*('GMW - worst case'!$MB$2:$MB$200=K$4),0),$E227-1973)</f>
        <v>#N/A</v>
      </c>
      <c r="L227" t="e" cm="1">
        <f t="array" ref="L227">INDEX('GMW - worst case'!$A$2:$MC$200,MATCH(1,('GMW - worst case'!$MC$2:$MC$200=L$3)*('GMW - worst case'!$MB$2:$MB$200=L$4),0),$E227-1973)</f>
        <v>#N/A</v>
      </c>
      <c r="M227" t="e" cm="1">
        <f t="array" ref="M227">INDEX('GMW - worst case'!$A$2:$MC$200,MATCH(1,('GMW - worst case'!$MC$2:$MC$200=M$3)*('GMW - worst case'!$MB$2:$MB$200=M$4),0),$E227-1973)</f>
        <v>#N/A</v>
      </c>
      <c r="N227" t="e" cm="1">
        <f t="array" ref="N227">INDEX('GMW - worst case'!$A$2:$MC$200,MATCH(1,('GMW - worst case'!$MC$2:$MC$200=N$3)*('GMW - worst case'!$MB$2:$MB$200=N$4),0),$E227-1973)</f>
        <v>#N/A</v>
      </c>
      <c r="O227" t="e" cm="1">
        <f t="array" ref="O227">INDEX('GMW - worst case'!$A$2:$MC$200,MATCH(1,('GMW - worst case'!$MC$2:$MC$200=O$3)*('GMW - worst case'!$MB$2:$MB$200=O$4),0),$E227-1973)</f>
        <v>#N/A</v>
      </c>
      <c r="P227" t="e" cm="1">
        <f t="array" ref="P227">INDEX('GMW - worst case'!$A$2:$MC$200,MATCH(1,('GMW - worst case'!$MC$2:$MC$200=P$3)*('GMW - worst case'!$MB$2:$MB$200=P$4),0),$E227-1973)</f>
        <v>#N/A</v>
      </c>
      <c r="Q227" t="e" cm="1">
        <f t="array" ref="Q227">INDEX('GMW - worst case'!$A$2:$MC$200,MATCH(1,('GMW - worst case'!$MC$2:$MC$200=Q$3)*('GMW - worst case'!$MB$2:$MB$200=Q$4),0),$E227-1973)</f>
        <v>#N/A</v>
      </c>
      <c r="R227" t="e" cm="1">
        <f t="array" ref="R227">INDEX('GMW - worst case'!$A$2:$MC$200,MATCH(1,('GMW - worst case'!$MC$2:$MC$200=R$3)*('GMW - worst case'!$MB$2:$MB$200=R$4),0),$E227-1973)</f>
        <v>#N/A</v>
      </c>
      <c r="S227" t="e" cm="1">
        <f t="array" ref="S227">INDEX('GMW - worst case'!$A$2:$MC$200,MATCH(1,('GMW - worst case'!$MC$2:$MC$200=S$3)*('GMW - worst case'!$MB$2:$MB$200=S$4),0),$E227-1973)</f>
        <v>#N/A</v>
      </c>
    </row>
    <row r="228" spans="1:19" x14ac:dyDescent="0.25">
      <c r="B228">
        <f t="shared" si="18"/>
        <v>2035</v>
      </c>
      <c r="C228">
        <f t="shared" si="18"/>
        <v>2035</v>
      </c>
      <c r="E228">
        <f t="shared" si="16"/>
        <v>2201</v>
      </c>
      <c r="F228" cm="1">
        <f t="array" ref="F228">INDEX('GMW - worst case'!$A$2:$MC$200,MATCH(1,('GMW - worst case'!$MC$2:$MC$200=F$3)*('GMW - worst case'!$MB$2:$MB$200=F$4),0),$E228-1973)</f>
        <v>808067.8</v>
      </c>
      <c r="G228" cm="1">
        <f t="array" ref="G228">INDEX('GMW - worst case'!$A$2:$MC$200,MATCH(1,('GMW - worst case'!$MC$2:$MC$200=G$3)*('GMW - worst case'!$MB$2:$MB$200=G$4),0),$E228-1973)</f>
        <v>472041.4</v>
      </c>
      <c r="H228" cm="1">
        <f t="array" ref="H228">INDEX('GMW - worst case'!$A$2:$MC$200,MATCH(1,('GMW - worst case'!$MC$2:$MC$200=H$3)*('GMW - worst case'!$MB$2:$MB$200=H$4),0),$E228-1973)</f>
        <v>171.03989999999999</v>
      </c>
      <c r="I228" cm="1">
        <f t="array" ref="I228">INDEX('GMW - worst case'!$A$2:$MC$200,MATCH(1,('GMW - worst case'!$MC$2:$MC$200=I$3)*('GMW - worst case'!$MB$2:$MB$200=I$4),0),$E228-1973)</f>
        <v>2.4903780000000002</v>
      </c>
      <c r="J228" t="e" cm="1">
        <f t="array" ref="J228">INDEX('GMW - worst case'!$A$2:$MC$200,MATCH(1,('GMW - worst case'!$MC$2:$MC$200=J$3)*('GMW - worst case'!$MB$2:$MB$200=J$4),0),$E228-1973)</f>
        <v>#N/A</v>
      </c>
      <c r="K228" t="e" cm="1">
        <f t="array" ref="K228">INDEX('GMW - worst case'!$A$2:$MC$200,MATCH(1,('GMW - worst case'!$MC$2:$MC$200=K$3)*('GMW - worst case'!$MB$2:$MB$200=K$4),0),$E228-1973)</f>
        <v>#N/A</v>
      </c>
      <c r="L228" t="e" cm="1">
        <f t="array" ref="L228">INDEX('GMW - worst case'!$A$2:$MC$200,MATCH(1,('GMW - worst case'!$MC$2:$MC$200=L$3)*('GMW - worst case'!$MB$2:$MB$200=L$4),0),$E228-1973)</f>
        <v>#N/A</v>
      </c>
      <c r="M228" t="e" cm="1">
        <f t="array" ref="M228">INDEX('GMW - worst case'!$A$2:$MC$200,MATCH(1,('GMW - worst case'!$MC$2:$MC$200=M$3)*('GMW - worst case'!$MB$2:$MB$200=M$4),0),$E228-1973)</f>
        <v>#N/A</v>
      </c>
      <c r="N228" t="e" cm="1">
        <f t="array" ref="N228">INDEX('GMW - worst case'!$A$2:$MC$200,MATCH(1,('GMW - worst case'!$MC$2:$MC$200=N$3)*('GMW - worst case'!$MB$2:$MB$200=N$4),0),$E228-1973)</f>
        <v>#N/A</v>
      </c>
      <c r="O228" t="e" cm="1">
        <f t="array" ref="O228">INDEX('GMW - worst case'!$A$2:$MC$200,MATCH(1,('GMW - worst case'!$MC$2:$MC$200=O$3)*('GMW - worst case'!$MB$2:$MB$200=O$4),0),$E228-1973)</f>
        <v>#N/A</v>
      </c>
      <c r="P228" t="e" cm="1">
        <f t="array" ref="P228">INDEX('GMW - worst case'!$A$2:$MC$200,MATCH(1,('GMW - worst case'!$MC$2:$MC$200=P$3)*('GMW - worst case'!$MB$2:$MB$200=P$4),0),$E228-1973)</f>
        <v>#N/A</v>
      </c>
      <c r="Q228" t="e" cm="1">
        <f t="array" ref="Q228">INDEX('GMW - worst case'!$A$2:$MC$200,MATCH(1,('GMW - worst case'!$MC$2:$MC$200=Q$3)*('GMW - worst case'!$MB$2:$MB$200=Q$4),0),$E228-1973)</f>
        <v>#N/A</v>
      </c>
      <c r="R228" t="e" cm="1">
        <f t="array" ref="R228">INDEX('GMW - worst case'!$A$2:$MC$200,MATCH(1,('GMW - worst case'!$MC$2:$MC$200=R$3)*('GMW - worst case'!$MB$2:$MB$200=R$4),0),$E228-1973)</f>
        <v>#N/A</v>
      </c>
      <c r="S228" t="e" cm="1">
        <f t="array" ref="S228">INDEX('GMW - worst case'!$A$2:$MC$200,MATCH(1,('GMW - worst case'!$MC$2:$MC$200=S$3)*('GMW - worst case'!$MB$2:$MB$200=S$4),0),$E228-1973)</f>
        <v>#N/A</v>
      </c>
    </row>
    <row r="229" spans="1:19" x14ac:dyDescent="0.25">
      <c r="B229">
        <f t="shared" si="18"/>
        <v>2035</v>
      </c>
      <c r="C229">
        <f t="shared" si="18"/>
        <v>2035</v>
      </c>
      <c r="E229">
        <f t="shared" si="16"/>
        <v>2202</v>
      </c>
      <c r="F229" cm="1">
        <f t="array" ref="F229">INDEX('GMW - worst case'!$A$2:$MC$200,MATCH(1,('GMW - worst case'!$MC$2:$MC$200=F$3)*('GMW - worst case'!$MB$2:$MB$200=F$4),0),$E229-1973)</f>
        <v>811029.4</v>
      </c>
      <c r="G229" cm="1">
        <f t="array" ref="G229">INDEX('GMW - worst case'!$A$2:$MC$200,MATCH(1,('GMW - worst case'!$MC$2:$MC$200=G$3)*('GMW - worst case'!$MB$2:$MB$200=G$4),0),$E229-1973)</f>
        <v>473675.3</v>
      </c>
      <c r="H229" cm="1">
        <f t="array" ref="H229">INDEX('GMW - worst case'!$A$2:$MC$200,MATCH(1,('GMW - worst case'!$MC$2:$MC$200=H$3)*('GMW - worst case'!$MB$2:$MB$200=H$4),0),$E229-1973)</f>
        <v>172.03229999999999</v>
      </c>
      <c r="I229" cm="1">
        <f t="array" ref="I229">INDEX('GMW - worst case'!$A$2:$MC$200,MATCH(1,('GMW - worst case'!$MC$2:$MC$200=I$3)*('GMW - worst case'!$MB$2:$MB$200=I$4),0),$E229-1973)</f>
        <v>2.465382</v>
      </c>
      <c r="J229" t="e" cm="1">
        <f t="array" ref="J229">INDEX('GMW - worst case'!$A$2:$MC$200,MATCH(1,('GMW - worst case'!$MC$2:$MC$200=J$3)*('GMW - worst case'!$MB$2:$MB$200=J$4),0),$E229-1973)</f>
        <v>#N/A</v>
      </c>
      <c r="K229" t="e" cm="1">
        <f t="array" ref="K229">INDEX('GMW - worst case'!$A$2:$MC$200,MATCH(1,('GMW - worst case'!$MC$2:$MC$200=K$3)*('GMW - worst case'!$MB$2:$MB$200=K$4),0),$E229-1973)</f>
        <v>#N/A</v>
      </c>
      <c r="L229" t="e" cm="1">
        <f t="array" ref="L229">INDEX('GMW - worst case'!$A$2:$MC$200,MATCH(1,('GMW - worst case'!$MC$2:$MC$200=L$3)*('GMW - worst case'!$MB$2:$MB$200=L$4),0),$E229-1973)</f>
        <v>#N/A</v>
      </c>
      <c r="M229" t="e" cm="1">
        <f t="array" ref="M229">INDEX('GMW - worst case'!$A$2:$MC$200,MATCH(1,('GMW - worst case'!$MC$2:$MC$200=M$3)*('GMW - worst case'!$MB$2:$MB$200=M$4),0),$E229-1973)</f>
        <v>#N/A</v>
      </c>
      <c r="N229" t="e" cm="1">
        <f t="array" ref="N229">INDEX('GMW - worst case'!$A$2:$MC$200,MATCH(1,('GMW - worst case'!$MC$2:$MC$200=N$3)*('GMW - worst case'!$MB$2:$MB$200=N$4),0),$E229-1973)</f>
        <v>#N/A</v>
      </c>
      <c r="O229" t="e" cm="1">
        <f t="array" ref="O229">INDEX('GMW - worst case'!$A$2:$MC$200,MATCH(1,('GMW - worst case'!$MC$2:$MC$200=O$3)*('GMW - worst case'!$MB$2:$MB$200=O$4),0),$E229-1973)</f>
        <v>#N/A</v>
      </c>
      <c r="P229" t="e" cm="1">
        <f t="array" ref="P229">INDEX('GMW - worst case'!$A$2:$MC$200,MATCH(1,('GMW - worst case'!$MC$2:$MC$200=P$3)*('GMW - worst case'!$MB$2:$MB$200=P$4),0),$E229-1973)</f>
        <v>#N/A</v>
      </c>
      <c r="Q229" t="e" cm="1">
        <f t="array" ref="Q229">INDEX('GMW - worst case'!$A$2:$MC$200,MATCH(1,('GMW - worst case'!$MC$2:$MC$200=Q$3)*('GMW - worst case'!$MB$2:$MB$200=Q$4),0),$E229-1973)</f>
        <v>#N/A</v>
      </c>
      <c r="R229" t="e" cm="1">
        <f t="array" ref="R229">INDEX('GMW - worst case'!$A$2:$MC$200,MATCH(1,('GMW - worst case'!$MC$2:$MC$200=R$3)*('GMW - worst case'!$MB$2:$MB$200=R$4),0),$E229-1973)</f>
        <v>#N/A</v>
      </c>
      <c r="S229" t="e" cm="1">
        <f t="array" ref="S229">INDEX('GMW - worst case'!$A$2:$MC$200,MATCH(1,('GMW - worst case'!$MC$2:$MC$200=S$3)*('GMW - worst case'!$MB$2:$MB$200=S$4),0),$E229-1973)</f>
        <v>#N/A</v>
      </c>
    </row>
    <row r="230" spans="1:19" x14ac:dyDescent="0.25">
      <c r="B230">
        <f t="shared" si="18"/>
        <v>2035</v>
      </c>
      <c r="C230">
        <f t="shared" si="18"/>
        <v>2035</v>
      </c>
      <c r="E230">
        <f t="shared" si="16"/>
        <v>2203</v>
      </c>
      <c r="F230" cm="1">
        <f t="array" ref="F230">INDEX('GMW - worst case'!$A$2:$MC$200,MATCH(1,('GMW - worst case'!$MC$2:$MC$200=F$3)*('GMW - worst case'!$MB$2:$MB$200=F$4),0),$E230-1973)</f>
        <v>814040.1</v>
      </c>
      <c r="G230" cm="1">
        <f t="array" ref="G230">INDEX('GMW - worst case'!$A$2:$MC$200,MATCH(1,('GMW - worst case'!$MC$2:$MC$200=G$3)*('GMW - worst case'!$MB$2:$MB$200=G$4),0),$E230-1973)</f>
        <v>475320.9</v>
      </c>
      <c r="H230" cm="1">
        <f t="array" ref="H230">INDEX('GMW - worst case'!$A$2:$MC$200,MATCH(1,('GMW - worst case'!$MC$2:$MC$200=H$3)*('GMW - worst case'!$MB$2:$MB$200=H$4),0),$E230-1973)</f>
        <v>172.82480000000001</v>
      </c>
      <c r="I230" cm="1">
        <f t="array" ref="I230">INDEX('GMW - worst case'!$A$2:$MC$200,MATCH(1,('GMW - worst case'!$MC$2:$MC$200=I$3)*('GMW - worst case'!$MB$2:$MB$200=I$4),0),$E230-1973)</f>
        <v>2.452175</v>
      </c>
      <c r="J230" t="e" cm="1">
        <f t="array" ref="J230">INDEX('GMW - worst case'!$A$2:$MC$200,MATCH(1,('GMW - worst case'!$MC$2:$MC$200=J$3)*('GMW - worst case'!$MB$2:$MB$200=J$4),0),$E230-1973)</f>
        <v>#N/A</v>
      </c>
      <c r="K230" t="e" cm="1">
        <f t="array" ref="K230">INDEX('GMW - worst case'!$A$2:$MC$200,MATCH(1,('GMW - worst case'!$MC$2:$MC$200=K$3)*('GMW - worst case'!$MB$2:$MB$200=K$4),0),$E230-1973)</f>
        <v>#N/A</v>
      </c>
      <c r="L230" t="e" cm="1">
        <f t="array" ref="L230">INDEX('GMW - worst case'!$A$2:$MC$200,MATCH(1,('GMW - worst case'!$MC$2:$MC$200=L$3)*('GMW - worst case'!$MB$2:$MB$200=L$4),0),$E230-1973)</f>
        <v>#N/A</v>
      </c>
      <c r="M230" t="e" cm="1">
        <f t="array" ref="M230">INDEX('GMW - worst case'!$A$2:$MC$200,MATCH(1,('GMW - worst case'!$MC$2:$MC$200=M$3)*('GMW - worst case'!$MB$2:$MB$200=M$4),0),$E230-1973)</f>
        <v>#N/A</v>
      </c>
      <c r="N230" t="e" cm="1">
        <f t="array" ref="N230">INDEX('GMW - worst case'!$A$2:$MC$200,MATCH(1,('GMW - worst case'!$MC$2:$MC$200=N$3)*('GMW - worst case'!$MB$2:$MB$200=N$4),0),$E230-1973)</f>
        <v>#N/A</v>
      </c>
      <c r="O230" t="e" cm="1">
        <f t="array" ref="O230">INDEX('GMW - worst case'!$A$2:$MC$200,MATCH(1,('GMW - worst case'!$MC$2:$MC$200=O$3)*('GMW - worst case'!$MB$2:$MB$200=O$4),0),$E230-1973)</f>
        <v>#N/A</v>
      </c>
      <c r="P230" t="e" cm="1">
        <f t="array" ref="P230">INDEX('GMW - worst case'!$A$2:$MC$200,MATCH(1,('GMW - worst case'!$MC$2:$MC$200=P$3)*('GMW - worst case'!$MB$2:$MB$200=P$4),0),$E230-1973)</f>
        <v>#N/A</v>
      </c>
      <c r="Q230" t="e" cm="1">
        <f t="array" ref="Q230">INDEX('GMW - worst case'!$A$2:$MC$200,MATCH(1,('GMW - worst case'!$MC$2:$MC$200=Q$3)*('GMW - worst case'!$MB$2:$MB$200=Q$4),0),$E230-1973)</f>
        <v>#N/A</v>
      </c>
      <c r="R230" t="e" cm="1">
        <f t="array" ref="R230">INDEX('GMW - worst case'!$A$2:$MC$200,MATCH(1,('GMW - worst case'!$MC$2:$MC$200=R$3)*('GMW - worst case'!$MB$2:$MB$200=R$4),0),$E230-1973)</f>
        <v>#N/A</v>
      </c>
      <c r="S230" t="e" cm="1">
        <f t="array" ref="S230">INDEX('GMW - worst case'!$A$2:$MC$200,MATCH(1,('GMW - worst case'!$MC$2:$MC$200=S$3)*('GMW - worst case'!$MB$2:$MB$200=S$4),0),$E230-1973)</f>
        <v>#N/A</v>
      </c>
    </row>
    <row r="231" spans="1:19" x14ac:dyDescent="0.25">
      <c r="A231">
        <v>2036</v>
      </c>
      <c r="B231">
        <f t="shared" si="18"/>
        <v>2036</v>
      </c>
      <c r="C231">
        <f t="shared" si="18"/>
        <v>2035</v>
      </c>
      <c r="D231">
        <f t="shared" si="18"/>
        <v>2035</v>
      </c>
      <c r="E231">
        <f t="shared" si="16"/>
        <v>2204</v>
      </c>
      <c r="F231" t="str" cm="1">
        <f t="array" ref="F231">INDEX('GMW - worst case'!$A$2:$MC$200,MATCH(1,('GMW - worst case'!$MC$2:$MC$200=F$3)*('GMW - worst case'!$MB$2:$MB$200=F$4),0),$E231-1973)</f>
        <v>NA</v>
      </c>
      <c r="G231" t="str" cm="1">
        <f t="array" ref="G231">INDEX('GMW - worst case'!$A$2:$MC$200,MATCH(1,('GMW - worst case'!$MC$2:$MC$200=G$3)*('GMW - worst case'!$MB$2:$MB$200=G$4),0),$E231-1973)</f>
        <v>NA</v>
      </c>
      <c r="H231" t="str" cm="1">
        <f t="array" ref="H231">INDEX('GMW - worst case'!$A$2:$MC$200,MATCH(1,('GMW - worst case'!$MC$2:$MC$200=H$3)*('GMW - worst case'!$MB$2:$MB$200=H$4),0),$E231-1973)</f>
        <v>NA</v>
      </c>
      <c r="I231" t="str" cm="1">
        <f t="array" ref="I231">INDEX('GMW - worst case'!$A$2:$MC$200,MATCH(1,('GMW - worst case'!$MC$2:$MC$200=I$3)*('GMW - worst case'!$MB$2:$MB$200=I$4),0),$E231-1973)</f>
        <v>NA</v>
      </c>
      <c r="J231" t="e" cm="1">
        <f t="array" ref="J231">INDEX('GMW - worst case'!$A$2:$MC$200,MATCH(1,('GMW - worst case'!$MC$2:$MC$200=J$3)*('GMW - worst case'!$MB$2:$MB$200=J$4),0),$E231-1973)</f>
        <v>#N/A</v>
      </c>
      <c r="K231" t="e" cm="1">
        <f t="array" ref="K231">INDEX('GMW - worst case'!$A$2:$MC$200,MATCH(1,('GMW - worst case'!$MC$2:$MC$200=K$3)*('GMW - worst case'!$MB$2:$MB$200=K$4),0),$E231-1973)</f>
        <v>#N/A</v>
      </c>
      <c r="L231" t="e" cm="1">
        <f t="array" ref="L231">INDEX('GMW - worst case'!$A$2:$MC$200,MATCH(1,('GMW - worst case'!$MC$2:$MC$200=L$3)*('GMW - worst case'!$MB$2:$MB$200=L$4),0),$E231-1973)</f>
        <v>#N/A</v>
      </c>
      <c r="M231" t="e" cm="1">
        <f t="array" ref="M231">INDEX('GMW - worst case'!$A$2:$MC$200,MATCH(1,('GMW - worst case'!$MC$2:$MC$200=M$3)*('GMW - worst case'!$MB$2:$MB$200=M$4),0),$E231-1973)</f>
        <v>#N/A</v>
      </c>
      <c r="N231" t="e" cm="1">
        <f t="array" ref="N231">INDEX('GMW - worst case'!$A$2:$MC$200,MATCH(1,('GMW - worst case'!$MC$2:$MC$200=N$3)*('GMW - worst case'!$MB$2:$MB$200=N$4),0),$E231-1973)</f>
        <v>#N/A</v>
      </c>
      <c r="O231" t="e" cm="1">
        <f t="array" ref="O231">INDEX('GMW - worst case'!$A$2:$MC$200,MATCH(1,('GMW - worst case'!$MC$2:$MC$200=O$3)*('GMW - worst case'!$MB$2:$MB$200=O$4),0),$E231-1973)</f>
        <v>#N/A</v>
      </c>
      <c r="P231" t="e" cm="1">
        <f t="array" ref="P231">INDEX('GMW - worst case'!$A$2:$MC$200,MATCH(1,('GMW - worst case'!$MC$2:$MC$200=P$3)*('GMW - worst case'!$MB$2:$MB$200=P$4),0),$E231-1973)</f>
        <v>#N/A</v>
      </c>
      <c r="Q231" t="e" cm="1">
        <f t="array" ref="Q231">INDEX('GMW - worst case'!$A$2:$MC$200,MATCH(1,('GMW - worst case'!$MC$2:$MC$200=Q$3)*('GMW - worst case'!$MB$2:$MB$200=Q$4),0),$E231-1973)</f>
        <v>#N/A</v>
      </c>
      <c r="R231" t="e" cm="1">
        <f t="array" ref="R231">INDEX('GMW - worst case'!$A$2:$MC$200,MATCH(1,('GMW - worst case'!$MC$2:$MC$200=R$3)*('GMW - worst case'!$MB$2:$MB$200=R$4),0),$E231-1973)</f>
        <v>#N/A</v>
      </c>
      <c r="S231" t="e" cm="1">
        <f t="array" ref="S231">INDEX('GMW - worst case'!$A$2:$MC$200,MATCH(1,('GMW - worst case'!$MC$2:$MC$200=S$3)*('GMW - worst case'!$MB$2:$MB$200=S$4),0),$E231-1973)</f>
        <v>#N/A</v>
      </c>
    </row>
    <row r="232" spans="1:19" x14ac:dyDescent="0.25">
      <c r="B232">
        <f t="shared" si="18"/>
        <v>2036</v>
      </c>
      <c r="C232">
        <f t="shared" si="18"/>
        <v>2036</v>
      </c>
      <c r="E232">
        <f t="shared" si="16"/>
        <v>2205</v>
      </c>
      <c r="F232" t="str" cm="1">
        <f t="array" ref="F232">INDEX('GMW - worst case'!$A$2:$MC$200,MATCH(1,('GMW - worst case'!$MC$2:$MC$200=F$3)*('GMW - worst case'!$MB$2:$MB$200=F$4),0),$E232-1973)</f>
        <v>NA</v>
      </c>
      <c r="G232" t="str" cm="1">
        <f t="array" ref="G232">INDEX('GMW - worst case'!$A$2:$MC$200,MATCH(1,('GMW - worst case'!$MC$2:$MC$200=G$3)*('GMW - worst case'!$MB$2:$MB$200=G$4),0),$E232-1973)</f>
        <v>NA</v>
      </c>
      <c r="H232" t="str" cm="1">
        <f t="array" ref="H232">INDEX('GMW - worst case'!$A$2:$MC$200,MATCH(1,('GMW - worst case'!$MC$2:$MC$200=H$3)*('GMW - worst case'!$MB$2:$MB$200=H$4),0),$E232-1973)</f>
        <v>NA</v>
      </c>
      <c r="I232" t="str" cm="1">
        <f t="array" ref="I232">INDEX('GMW - worst case'!$A$2:$MC$200,MATCH(1,('GMW - worst case'!$MC$2:$MC$200=I$3)*('GMW - worst case'!$MB$2:$MB$200=I$4),0),$E232-1973)</f>
        <v>NA</v>
      </c>
      <c r="J232" t="e" cm="1">
        <f t="array" ref="J232">INDEX('GMW - worst case'!$A$2:$MC$200,MATCH(1,('GMW - worst case'!$MC$2:$MC$200=J$3)*('GMW - worst case'!$MB$2:$MB$200=J$4),0),$E232-1973)</f>
        <v>#N/A</v>
      </c>
      <c r="K232" t="e" cm="1">
        <f t="array" ref="K232">INDEX('GMW - worst case'!$A$2:$MC$200,MATCH(1,('GMW - worst case'!$MC$2:$MC$200=K$3)*('GMW - worst case'!$MB$2:$MB$200=K$4),0),$E232-1973)</f>
        <v>#N/A</v>
      </c>
      <c r="L232" t="e" cm="1">
        <f t="array" ref="L232">INDEX('GMW - worst case'!$A$2:$MC$200,MATCH(1,('GMW - worst case'!$MC$2:$MC$200=L$3)*('GMW - worst case'!$MB$2:$MB$200=L$4),0),$E232-1973)</f>
        <v>#N/A</v>
      </c>
      <c r="M232" t="e" cm="1">
        <f t="array" ref="M232">INDEX('GMW - worst case'!$A$2:$MC$200,MATCH(1,('GMW - worst case'!$MC$2:$MC$200=M$3)*('GMW - worst case'!$MB$2:$MB$200=M$4),0),$E232-1973)</f>
        <v>#N/A</v>
      </c>
      <c r="N232" t="e" cm="1">
        <f t="array" ref="N232">INDEX('GMW - worst case'!$A$2:$MC$200,MATCH(1,('GMW - worst case'!$MC$2:$MC$200=N$3)*('GMW - worst case'!$MB$2:$MB$200=N$4),0),$E232-1973)</f>
        <v>#N/A</v>
      </c>
      <c r="O232" t="e" cm="1">
        <f t="array" ref="O232">INDEX('GMW - worst case'!$A$2:$MC$200,MATCH(1,('GMW - worst case'!$MC$2:$MC$200=O$3)*('GMW - worst case'!$MB$2:$MB$200=O$4),0),$E232-1973)</f>
        <v>#N/A</v>
      </c>
      <c r="P232" t="e" cm="1">
        <f t="array" ref="P232">INDEX('GMW - worst case'!$A$2:$MC$200,MATCH(1,('GMW - worst case'!$MC$2:$MC$200=P$3)*('GMW - worst case'!$MB$2:$MB$200=P$4),0),$E232-1973)</f>
        <v>#N/A</v>
      </c>
      <c r="Q232" t="e" cm="1">
        <f t="array" ref="Q232">INDEX('GMW - worst case'!$A$2:$MC$200,MATCH(1,('GMW - worst case'!$MC$2:$MC$200=Q$3)*('GMW - worst case'!$MB$2:$MB$200=Q$4),0),$E232-1973)</f>
        <v>#N/A</v>
      </c>
      <c r="R232" t="e" cm="1">
        <f t="array" ref="R232">INDEX('GMW - worst case'!$A$2:$MC$200,MATCH(1,('GMW - worst case'!$MC$2:$MC$200=R$3)*('GMW - worst case'!$MB$2:$MB$200=R$4),0),$E232-1973)</f>
        <v>#N/A</v>
      </c>
      <c r="S232" t="e" cm="1">
        <f t="array" ref="S232">INDEX('GMW - worst case'!$A$2:$MC$200,MATCH(1,('GMW - worst case'!$MC$2:$MC$200=S$3)*('GMW - worst case'!$MB$2:$MB$200=S$4),0),$E232-1973)</f>
        <v>#N/A</v>
      </c>
    </row>
    <row r="233" spans="1:19" x14ac:dyDescent="0.25">
      <c r="B233">
        <f t="shared" si="18"/>
        <v>2036</v>
      </c>
      <c r="C233">
        <f t="shared" si="18"/>
        <v>2036</v>
      </c>
      <c r="E233">
        <f t="shared" si="16"/>
        <v>2206</v>
      </c>
      <c r="F233" t="str" cm="1">
        <f t="array" ref="F233">INDEX('GMW - worst case'!$A$2:$MC$200,MATCH(1,('GMW - worst case'!$MC$2:$MC$200=F$3)*('GMW - worst case'!$MB$2:$MB$200=F$4),0),$E233-1973)</f>
        <v>NA</v>
      </c>
      <c r="G233" t="str" cm="1">
        <f t="array" ref="G233">INDEX('GMW - worst case'!$A$2:$MC$200,MATCH(1,('GMW - worst case'!$MC$2:$MC$200=G$3)*('GMW - worst case'!$MB$2:$MB$200=G$4),0),$E233-1973)</f>
        <v>NA</v>
      </c>
      <c r="H233" t="str" cm="1">
        <f t="array" ref="H233">INDEX('GMW - worst case'!$A$2:$MC$200,MATCH(1,('GMW - worst case'!$MC$2:$MC$200=H$3)*('GMW - worst case'!$MB$2:$MB$200=H$4),0),$E233-1973)</f>
        <v>NA</v>
      </c>
      <c r="I233" t="str" cm="1">
        <f t="array" ref="I233">INDEX('GMW - worst case'!$A$2:$MC$200,MATCH(1,('GMW - worst case'!$MC$2:$MC$200=I$3)*('GMW - worst case'!$MB$2:$MB$200=I$4),0),$E233-1973)</f>
        <v>NA</v>
      </c>
      <c r="J233" t="e" cm="1">
        <f t="array" ref="J233">INDEX('GMW - worst case'!$A$2:$MC$200,MATCH(1,('GMW - worst case'!$MC$2:$MC$200=J$3)*('GMW - worst case'!$MB$2:$MB$200=J$4),0),$E233-1973)</f>
        <v>#N/A</v>
      </c>
      <c r="K233" t="e" cm="1">
        <f t="array" ref="K233">INDEX('GMW - worst case'!$A$2:$MC$200,MATCH(1,('GMW - worst case'!$MC$2:$MC$200=K$3)*('GMW - worst case'!$MB$2:$MB$200=K$4),0),$E233-1973)</f>
        <v>#N/A</v>
      </c>
      <c r="L233" t="e" cm="1">
        <f t="array" ref="L233">INDEX('GMW - worst case'!$A$2:$MC$200,MATCH(1,('GMW - worst case'!$MC$2:$MC$200=L$3)*('GMW - worst case'!$MB$2:$MB$200=L$4),0),$E233-1973)</f>
        <v>#N/A</v>
      </c>
      <c r="M233" t="e" cm="1">
        <f t="array" ref="M233">INDEX('GMW - worst case'!$A$2:$MC$200,MATCH(1,('GMW - worst case'!$MC$2:$MC$200=M$3)*('GMW - worst case'!$MB$2:$MB$200=M$4),0),$E233-1973)</f>
        <v>#N/A</v>
      </c>
      <c r="N233" t="e" cm="1">
        <f t="array" ref="N233">INDEX('GMW - worst case'!$A$2:$MC$200,MATCH(1,('GMW - worst case'!$MC$2:$MC$200=N$3)*('GMW - worst case'!$MB$2:$MB$200=N$4),0),$E233-1973)</f>
        <v>#N/A</v>
      </c>
      <c r="O233" t="e" cm="1">
        <f t="array" ref="O233">INDEX('GMW - worst case'!$A$2:$MC$200,MATCH(1,('GMW - worst case'!$MC$2:$MC$200=O$3)*('GMW - worst case'!$MB$2:$MB$200=O$4),0),$E233-1973)</f>
        <v>#N/A</v>
      </c>
      <c r="P233" t="e" cm="1">
        <f t="array" ref="P233">INDEX('GMW - worst case'!$A$2:$MC$200,MATCH(1,('GMW - worst case'!$MC$2:$MC$200=P$3)*('GMW - worst case'!$MB$2:$MB$200=P$4),0),$E233-1973)</f>
        <v>#N/A</v>
      </c>
      <c r="Q233" t="e" cm="1">
        <f t="array" ref="Q233">INDEX('GMW - worst case'!$A$2:$MC$200,MATCH(1,('GMW - worst case'!$MC$2:$MC$200=Q$3)*('GMW - worst case'!$MB$2:$MB$200=Q$4),0),$E233-1973)</f>
        <v>#N/A</v>
      </c>
      <c r="R233" t="e" cm="1">
        <f t="array" ref="R233">INDEX('GMW - worst case'!$A$2:$MC$200,MATCH(1,('GMW - worst case'!$MC$2:$MC$200=R$3)*('GMW - worst case'!$MB$2:$MB$200=R$4),0),$E233-1973)</f>
        <v>#N/A</v>
      </c>
      <c r="S233" t="e" cm="1">
        <f t="array" ref="S233">INDEX('GMW - worst case'!$A$2:$MC$200,MATCH(1,('GMW - worst case'!$MC$2:$MC$200=S$3)*('GMW - worst case'!$MB$2:$MB$200=S$4),0),$E233-1973)</f>
        <v>#N/A</v>
      </c>
    </row>
    <row r="234" spans="1:19" x14ac:dyDescent="0.25">
      <c r="B234">
        <f t="shared" si="18"/>
        <v>2036</v>
      </c>
      <c r="C234">
        <f t="shared" si="18"/>
        <v>2036</v>
      </c>
      <c r="E234">
        <f t="shared" si="16"/>
        <v>2207</v>
      </c>
      <c r="F234" t="str" cm="1">
        <f t="array" ref="F234">INDEX('GMW - worst case'!$A$2:$MC$200,MATCH(1,('GMW - worst case'!$MC$2:$MC$200=F$3)*('GMW - worst case'!$MB$2:$MB$200=F$4),0),$E234-1973)</f>
        <v>NA</v>
      </c>
      <c r="G234" t="str" cm="1">
        <f t="array" ref="G234">INDEX('GMW - worst case'!$A$2:$MC$200,MATCH(1,('GMW - worst case'!$MC$2:$MC$200=G$3)*('GMW - worst case'!$MB$2:$MB$200=G$4),0),$E234-1973)</f>
        <v>NA</v>
      </c>
      <c r="H234" t="str" cm="1">
        <f t="array" ref="H234">INDEX('GMW - worst case'!$A$2:$MC$200,MATCH(1,('GMW - worst case'!$MC$2:$MC$200=H$3)*('GMW - worst case'!$MB$2:$MB$200=H$4),0),$E234-1973)</f>
        <v>NA</v>
      </c>
      <c r="I234" t="str" cm="1">
        <f t="array" ref="I234">INDEX('GMW - worst case'!$A$2:$MC$200,MATCH(1,('GMW - worst case'!$MC$2:$MC$200=I$3)*('GMW - worst case'!$MB$2:$MB$200=I$4),0),$E234-1973)</f>
        <v>NA</v>
      </c>
      <c r="J234" t="e" cm="1">
        <f t="array" ref="J234">INDEX('GMW - worst case'!$A$2:$MC$200,MATCH(1,('GMW - worst case'!$MC$2:$MC$200=J$3)*('GMW - worst case'!$MB$2:$MB$200=J$4),0),$E234-1973)</f>
        <v>#N/A</v>
      </c>
      <c r="K234" t="e" cm="1">
        <f t="array" ref="K234">INDEX('GMW - worst case'!$A$2:$MC$200,MATCH(1,('GMW - worst case'!$MC$2:$MC$200=K$3)*('GMW - worst case'!$MB$2:$MB$200=K$4),0),$E234-1973)</f>
        <v>#N/A</v>
      </c>
      <c r="L234" t="e" cm="1">
        <f t="array" ref="L234">INDEX('GMW - worst case'!$A$2:$MC$200,MATCH(1,('GMW - worst case'!$MC$2:$MC$200=L$3)*('GMW - worst case'!$MB$2:$MB$200=L$4),0),$E234-1973)</f>
        <v>#N/A</v>
      </c>
      <c r="M234" t="e" cm="1">
        <f t="array" ref="M234">INDEX('GMW - worst case'!$A$2:$MC$200,MATCH(1,('GMW - worst case'!$MC$2:$MC$200=M$3)*('GMW - worst case'!$MB$2:$MB$200=M$4),0),$E234-1973)</f>
        <v>#N/A</v>
      </c>
      <c r="N234" t="e" cm="1">
        <f t="array" ref="N234">INDEX('GMW - worst case'!$A$2:$MC$200,MATCH(1,('GMW - worst case'!$MC$2:$MC$200=N$3)*('GMW - worst case'!$MB$2:$MB$200=N$4),0),$E234-1973)</f>
        <v>#N/A</v>
      </c>
      <c r="O234" t="e" cm="1">
        <f t="array" ref="O234">INDEX('GMW - worst case'!$A$2:$MC$200,MATCH(1,('GMW - worst case'!$MC$2:$MC$200=O$3)*('GMW - worst case'!$MB$2:$MB$200=O$4),0),$E234-1973)</f>
        <v>#N/A</v>
      </c>
      <c r="P234" t="e" cm="1">
        <f t="array" ref="P234">INDEX('GMW - worst case'!$A$2:$MC$200,MATCH(1,('GMW - worst case'!$MC$2:$MC$200=P$3)*('GMW - worst case'!$MB$2:$MB$200=P$4),0),$E234-1973)</f>
        <v>#N/A</v>
      </c>
      <c r="Q234" t="e" cm="1">
        <f t="array" ref="Q234">INDEX('GMW - worst case'!$A$2:$MC$200,MATCH(1,('GMW - worst case'!$MC$2:$MC$200=Q$3)*('GMW - worst case'!$MB$2:$MB$200=Q$4),0),$E234-1973)</f>
        <v>#N/A</v>
      </c>
      <c r="R234" t="e" cm="1">
        <f t="array" ref="R234">INDEX('GMW - worst case'!$A$2:$MC$200,MATCH(1,('GMW - worst case'!$MC$2:$MC$200=R$3)*('GMW - worst case'!$MB$2:$MB$200=R$4),0),$E234-1973)</f>
        <v>#N/A</v>
      </c>
      <c r="S234" t="e" cm="1">
        <f t="array" ref="S234">INDEX('GMW - worst case'!$A$2:$MC$200,MATCH(1,('GMW - worst case'!$MC$2:$MC$200=S$3)*('GMW - worst case'!$MB$2:$MB$200=S$4),0),$E234-1973)</f>
        <v>#N/A</v>
      </c>
    </row>
    <row r="235" spans="1:19" x14ac:dyDescent="0.25">
      <c r="A235">
        <v>2037</v>
      </c>
      <c r="B235">
        <f t="shared" si="18"/>
        <v>2037</v>
      </c>
      <c r="C235">
        <f t="shared" si="18"/>
        <v>2036</v>
      </c>
      <c r="D235">
        <f t="shared" si="18"/>
        <v>2036</v>
      </c>
      <c r="E235">
        <f t="shared" si="16"/>
        <v>2208</v>
      </c>
      <c r="F235" t="str" cm="1">
        <f t="array" ref="F235">INDEX('GMW - worst case'!$A$2:$MC$200,MATCH(1,('GMW - worst case'!$MC$2:$MC$200=F$3)*('GMW - worst case'!$MB$2:$MB$200=F$4),0),$E235-1973)</f>
        <v>NA</v>
      </c>
      <c r="G235" t="str" cm="1">
        <f t="array" ref="G235">INDEX('GMW - worst case'!$A$2:$MC$200,MATCH(1,('GMW - worst case'!$MC$2:$MC$200=G$3)*('GMW - worst case'!$MB$2:$MB$200=G$4),0),$E235-1973)</f>
        <v>NA</v>
      </c>
      <c r="H235" t="str" cm="1">
        <f t="array" ref="H235">INDEX('GMW - worst case'!$A$2:$MC$200,MATCH(1,('GMW - worst case'!$MC$2:$MC$200=H$3)*('GMW - worst case'!$MB$2:$MB$200=H$4),0),$E235-1973)</f>
        <v>NA</v>
      </c>
      <c r="I235" t="str" cm="1">
        <f t="array" ref="I235">INDEX('GMW - worst case'!$A$2:$MC$200,MATCH(1,('GMW - worst case'!$MC$2:$MC$200=I$3)*('GMW - worst case'!$MB$2:$MB$200=I$4),0),$E235-1973)</f>
        <v>NA</v>
      </c>
      <c r="J235" t="e" cm="1">
        <f t="array" ref="J235">INDEX('GMW - worst case'!$A$2:$MC$200,MATCH(1,('GMW - worst case'!$MC$2:$MC$200=J$3)*('GMW - worst case'!$MB$2:$MB$200=J$4),0),$E235-1973)</f>
        <v>#N/A</v>
      </c>
      <c r="K235" t="e" cm="1">
        <f t="array" ref="K235">INDEX('GMW - worst case'!$A$2:$MC$200,MATCH(1,('GMW - worst case'!$MC$2:$MC$200=K$3)*('GMW - worst case'!$MB$2:$MB$200=K$4),0),$E235-1973)</f>
        <v>#N/A</v>
      </c>
      <c r="L235" t="e" cm="1">
        <f t="array" ref="L235">INDEX('GMW - worst case'!$A$2:$MC$200,MATCH(1,('GMW - worst case'!$MC$2:$MC$200=L$3)*('GMW - worst case'!$MB$2:$MB$200=L$4),0),$E235-1973)</f>
        <v>#N/A</v>
      </c>
      <c r="M235" t="e" cm="1">
        <f t="array" ref="M235">INDEX('GMW - worst case'!$A$2:$MC$200,MATCH(1,('GMW - worst case'!$MC$2:$MC$200=M$3)*('GMW - worst case'!$MB$2:$MB$200=M$4),0),$E235-1973)</f>
        <v>#N/A</v>
      </c>
      <c r="N235" t="e" cm="1">
        <f t="array" ref="N235">INDEX('GMW - worst case'!$A$2:$MC$200,MATCH(1,('GMW - worst case'!$MC$2:$MC$200=N$3)*('GMW - worst case'!$MB$2:$MB$200=N$4),0),$E235-1973)</f>
        <v>#N/A</v>
      </c>
      <c r="O235" t="e" cm="1">
        <f t="array" ref="O235">INDEX('GMW - worst case'!$A$2:$MC$200,MATCH(1,('GMW - worst case'!$MC$2:$MC$200=O$3)*('GMW - worst case'!$MB$2:$MB$200=O$4),0),$E235-1973)</f>
        <v>#N/A</v>
      </c>
      <c r="P235" t="e" cm="1">
        <f t="array" ref="P235">INDEX('GMW - worst case'!$A$2:$MC$200,MATCH(1,('GMW - worst case'!$MC$2:$MC$200=P$3)*('GMW - worst case'!$MB$2:$MB$200=P$4),0),$E235-1973)</f>
        <v>#N/A</v>
      </c>
      <c r="Q235" t="e" cm="1">
        <f t="array" ref="Q235">INDEX('GMW - worst case'!$A$2:$MC$200,MATCH(1,('GMW - worst case'!$MC$2:$MC$200=Q$3)*('GMW - worst case'!$MB$2:$MB$200=Q$4),0),$E235-1973)</f>
        <v>#N/A</v>
      </c>
      <c r="R235" t="e" cm="1">
        <f t="array" ref="R235">INDEX('GMW - worst case'!$A$2:$MC$200,MATCH(1,('GMW - worst case'!$MC$2:$MC$200=R$3)*('GMW - worst case'!$MB$2:$MB$200=R$4),0),$E235-1973)</f>
        <v>#N/A</v>
      </c>
      <c r="S235" t="e" cm="1">
        <f t="array" ref="S235">INDEX('GMW - worst case'!$A$2:$MC$200,MATCH(1,('GMW - worst case'!$MC$2:$MC$200=S$3)*('GMW - worst case'!$MB$2:$MB$200=S$4),0),$E235-1973)</f>
        <v>#N/A</v>
      </c>
    </row>
    <row r="236" spans="1:19" x14ac:dyDescent="0.25">
      <c r="B236">
        <f t="shared" ref="B236:D251" si="19">+B232+1</f>
        <v>2037</v>
      </c>
      <c r="C236">
        <f t="shared" si="19"/>
        <v>2037</v>
      </c>
      <c r="E236">
        <f t="shared" si="16"/>
        <v>2209</v>
      </c>
      <c r="F236" t="str" cm="1">
        <f t="array" ref="F236">INDEX('GMW - worst case'!$A$2:$MC$200,MATCH(1,('GMW - worst case'!$MC$2:$MC$200=F$3)*('GMW - worst case'!$MB$2:$MB$200=F$4),0),$E236-1973)</f>
        <v>NA</v>
      </c>
      <c r="G236" t="str" cm="1">
        <f t="array" ref="G236">INDEX('GMW - worst case'!$A$2:$MC$200,MATCH(1,('GMW - worst case'!$MC$2:$MC$200=G$3)*('GMW - worst case'!$MB$2:$MB$200=G$4),0),$E236-1973)</f>
        <v>NA</v>
      </c>
      <c r="H236" t="str" cm="1">
        <f t="array" ref="H236">INDEX('GMW - worst case'!$A$2:$MC$200,MATCH(1,('GMW - worst case'!$MC$2:$MC$200=H$3)*('GMW - worst case'!$MB$2:$MB$200=H$4),0),$E236-1973)</f>
        <v>NA</v>
      </c>
      <c r="I236" t="str" cm="1">
        <f t="array" ref="I236">INDEX('GMW - worst case'!$A$2:$MC$200,MATCH(1,('GMW - worst case'!$MC$2:$MC$200=I$3)*('GMW - worst case'!$MB$2:$MB$200=I$4),0),$E236-1973)</f>
        <v>NA</v>
      </c>
      <c r="J236" t="e" cm="1">
        <f t="array" ref="J236">INDEX('GMW - worst case'!$A$2:$MC$200,MATCH(1,('GMW - worst case'!$MC$2:$MC$200=J$3)*('GMW - worst case'!$MB$2:$MB$200=J$4),0),$E236-1973)</f>
        <v>#N/A</v>
      </c>
      <c r="K236" t="e" cm="1">
        <f t="array" ref="K236">INDEX('GMW - worst case'!$A$2:$MC$200,MATCH(1,('GMW - worst case'!$MC$2:$MC$200=K$3)*('GMW - worst case'!$MB$2:$MB$200=K$4),0),$E236-1973)</f>
        <v>#N/A</v>
      </c>
      <c r="L236" t="e" cm="1">
        <f t="array" ref="L236">INDEX('GMW - worst case'!$A$2:$MC$200,MATCH(1,('GMW - worst case'!$MC$2:$MC$200=L$3)*('GMW - worst case'!$MB$2:$MB$200=L$4),0),$E236-1973)</f>
        <v>#N/A</v>
      </c>
      <c r="M236" t="e" cm="1">
        <f t="array" ref="M236">INDEX('GMW - worst case'!$A$2:$MC$200,MATCH(1,('GMW - worst case'!$MC$2:$MC$200=M$3)*('GMW - worst case'!$MB$2:$MB$200=M$4),0),$E236-1973)</f>
        <v>#N/A</v>
      </c>
      <c r="N236" t="e" cm="1">
        <f t="array" ref="N236">INDEX('GMW - worst case'!$A$2:$MC$200,MATCH(1,('GMW - worst case'!$MC$2:$MC$200=N$3)*('GMW - worst case'!$MB$2:$MB$200=N$4),0),$E236-1973)</f>
        <v>#N/A</v>
      </c>
      <c r="O236" t="e" cm="1">
        <f t="array" ref="O236">INDEX('GMW - worst case'!$A$2:$MC$200,MATCH(1,('GMW - worst case'!$MC$2:$MC$200=O$3)*('GMW - worst case'!$MB$2:$MB$200=O$4),0),$E236-1973)</f>
        <v>#N/A</v>
      </c>
      <c r="P236" t="e" cm="1">
        <f t="array" ref="P236">INDEX('GMW - worst case'!$A$2:$MC$200,MATCH(1,('GMW - worst case'!$MC$2:$MC$200=P$3)*('GMW - worst case'!$MB$2:$MB$200=P$4),0),$E236-1973)</f>
        <v>#N/A</v>
      </c>
      <c r="Q236" t="e" cm="1">
        <f t="array" ref="Q236">INDEX('GMW - worst case'!$A$2:$MC$200,MATCH(1,('GMW - worst case'!$MC$2:$MC$200=Q$3)*('GMW - worst case'!$MB$2:$MB$200=Q$4),0),$E236-1973)</f>
        <v>#N/A</v>
      </c>
      <c r="R236" t="e" cm="1">
        <f t="array" ref="R236">INDEX('GMW - worst case'!$A$2:$MC$200,MATCH(1,('GMW - worst case'!$MC$2:$MC$200=R$3)*('GMW - worst case'!$MB$2:$MB$200=R$4),0),$E236-1973)</f>
        <v>#N/A</v>
      </c>
      <c r="S236" t="e" cm="1">
        <f t="array" ref="S236">INDEX('GMW - worst case'!$A$2:$MC$200,MATCH(1,('GMW - worst case'!$MC$2:$MC$200=S$3)*('GMW - worst case'!$MB$2:$MB$200=S$4),0),$E236-1973)</f>
        <v>#N/A</v>
      </c>
    </row>
    <row r="237" spans="1:19" x14ac:dyDescent="0.25">
      <c r="B237">
        <f t="shared" si="19"/>
        <v>2037</v>
      </c>
      <c r="C237">
        <f t="shared" si="19"/>
        <v>2037</v>
      </c>
      <c r="E237">
        <f t="shared" si="16"/>
        <v>2210</v>
      </c>
      <c r="F237" t="str" cm="1">
        <f t="array" ref="F237">INDEX('GMW - worst case'!$A$2:$MC$200,MATCH(1,('GMW - worst case'!$MC$2:$MC$200=F$3)*('GMW - worst case'!$MB$2:$MB$200=F$4),0),$E237-1973)</f>
        <v>NA</v>
      </c>
      <c r="G237" t="str" cm="1">
        <f t="array" ref="G237">INDEX('GMW - worst case'!$A$2:$MC$200,MATCH(1,('GMW - worst case'!$MC$2:$MC$200=G$3)*('GMW - worst case'!$MB$2:$MB$200=G$4),0),$E237-1973)</f>
        <v>NA</v>
      </c>
      <c r="H237" t="str" cm="1">
        <f t="array" ref="H237">INDEX('GMW - worst case'!$A$2:$MC$200,MATCH(1,('GMW - worst case'!$MC$2:$MC$200=H$3)*('GMW - worst case'!$MB$2:$MB$200=H$4),0),$E237-1973)</f>
        <v>NA</v>
      </c>
      <c r="I237" t="str" cm="1">
        <f t="array" ref="I237">INDEX('GMW - worst case'!$A$2:$MC$200,MATCH(1,('GMW - worst case'!$MC$2:$MC$200=I$3)*('GMW - worst case'!$MB$2:$MB$200=I$4),0),$E237-1973)</f>
        <v>NA</v>
      </c>
      <c r="J237" t="e" cm="1">
        <f t="array" ref="J237">INDEX('GMW - worst case'!$A$2:$MC$200,MATCH(1,('GMW - worst case'!$MC$2:$MC$200=J$3)*('GMW - worst case'!$MB$2:$MB$200=J$4),0),$E237-1973)</f>
        <v>#N/A</v>
      </c>
      <c r="K237" t="e" cm="1">
        <f t="array" ref="K237">INDEX('GMW - worst case'!$A$2:$MC$200,MATCH(1,('GMW - worst case'!$MC$2:$MC$200=K$3)*('GMW - worst case'!$MB$2:$MB$200=K$4),0),$E237-1973)</f>
        <v>#N/A</v>
      </c>
      <c r="L237" t="e" cm="1">
        <f t="array" ref="L237">INDEX('GMW - worst case'!$A$2:$MC$200,MATCH(1,('GMW - worst case'!$MC$2:$MC$200=L$3)*('GMW - worst case'!$MB$2:$MB$200=L$4),0),$E237-1973)</f>
        <v>#N/A</v>
      </c>
      <c r="M237" t="e" cm="1">
        <f t="array" ref="M237">INDEX('GMW - worst case'!$A$2:$MC$200,MATCH(1,('GMW - worst case'!$MC$2:$MC$200=M$3)*('GMW - worst case'!$MB$2:$MB$200=M$4),0),$E237-1973)</f>
        <v>#N/A</v>
      </c>
      <c r="N237" t="e" cm="1">
        <f t="array" ref="N237">INDEX('GMW - worst case'!$A$2:$MC$200,MATCH(1,('GMW - worst case'!$MC$2:$MC$200=N$3)*('GMW - worst case'!$MB$2:$MB$200=N$4),0),$E237-1973)</f>
        <v>#N/A</v>
      </c>
      <c r="O237" t="e" cm="1">
        <f t="array" ref="O237">INDEX('GMW - worst case'!$A$2:$MC$200,MATCH(1,('GMW - worst case'!$MC$2:$MC$200=O$3)*('GMW - worst case'!$MB$2:$MB$200=O$4),0),$E237-1973)</f>
        <v>#N/A</v>
      </c>
      <c r="P237" t="e" cm="1">
        <f t="array" ref="P237">INDEX('GMW - worst case'!$A$2:$MC$200,MATCH(1,('GMW - worst case'!$MC$2:$MC$200=P$3)*('GMW - worst case'!$MB$2:$MB$200=P$4),0),$E237-1973)</f>
        <v>#N/A</v>
      </c>
      <c r="Q237" t="e" cm="1">
        <f t="array" ref="Q237">INDEX('GMW - worst case'!$A$2:$MC$200,MATCH(1,('GMW - worst case'!$MC$2:$MC$200=Q$3)*('GMW - worst case'!$MB$2:$MB$200=Q$4),0),$E237-1973)</f>
        <v>#N/A</v>
      </c>
      <c r="R237" t="e" cm="1">
        <f t="array" ref="R237">INDEX('GMW - worst case'!$A$2:$MC$200,MATCH(1,('GMW - worst case'!$MC$2:$MC$200=R$3)*('GMW - worst case'!$MB$2:$MB$200=R$4),0),$E237-1973)</f>
        <v>#N/A</v>
      </c>
      <c r="S237" t="e" cm="1">
        <f t="array" ref="S237">INDEX('GMW - worst case'!$A$2:$MC$200,MATCH(1,('GMW - worst case'!$MC$2:$MC$200=S$3)*('GMW - worst case'!$MB$2:$MB$200=S$4),0),$E237-1973)</f>
        <v>#N/A</v>
      </c>
    </row>
    <row r="238" spans="1:19" x14ac:dyDescent="0.25">
      <c r="B238">
        <f t="shared" si="19"/>
        <v>2037</v>
      </c>
      <c r="C238">
        <f t="shared" si="19"/>
        <v>2037</v>
      </c>
      <c r="E238">
        <f t="shared" si="16"/>
        <v>2211</v>
      </c>
      <c r="F238" t="str" cm="1">
        <f t="array" ref="F238">INDEX('GMW - worst case'!$A$2:$MC$200,MATCH(1,('GMW - worst case'!$MC$2:$MC$200=F$3)*('GMW - worst case'!$MB$2:$MB$200=F$4),0),$E238-1973)</f>
        <v>NA</v>
      </c>
      <c r="G238" t="str" cm="1">
        <f t="array" ref="G238">INDEX('GMW - worst case'!$A$2:$MC$200,MATCH(1,('GMW - worst case'!$MC$2:$MC$200=G$3)*('GMW - worst case'!$MB$2:$MB$200=G$4),0),$E238-1973)</f>
        <v>NA</v>
      </c>
      <c r="H238" t="str" cm="1">
        <f t="array" ref="H238">INDEX('GMW - worst case'!$A$2:$MC$200,MATCH(1,('GMW - worst case'!$MC$2:$MC$200=H$3)*('GMW - worst case'!$MB$2:$MB$200=H$4),0),$E238-1973)</f>
        <v>NA</v>
      </c>
      <c r="I238" t="str" cm="1">
        <f t="array" ref="I238">INDEX('GMW - worst case'!$A$2:$MC$200,MATCH(1,('GMW - worst case'!$MC$2:$MC$200=I$3)*('GMW - worst case'!$MB$2:$MB$200=I$4),0),$E238-1973)</f>
        <v>NA</v>
      </c>
      <c r="J238" t="e" cm="1">
        <f t="array" ref="J238">INDEX('GMW - worst case'!$A$2:$MC$200,MATCH(1,('GMW - worst case'!$MC$2:$MC$200=J$3)*('GMW - worst case'!$MB$2:$MB$200=J$4),0),$E238-1973)</f>
        <v>#N/A</v>
      </c>
      <c r="K238" t="e" cm="1">
        <f t="array" ref="K238">INDEX('GMW - worst case'!$A$2:$MC$200,MATCH(1,('GMW - worst case'!$MC$2:$MC$200=K$3)*('GMW - worst case'!$MB$2:$MB$200=K$4),0),$E238-1973)</f>
        <v>#N/A</v>
      </c>
      <c r="L238" t="e" cm="1">
        <f t="array" ref="L238">INDEX('GMW - worst case'!$A$2:$MC$200,MATCH(1,('GMW - worst case'!$MC$2:$MC$200=L$3)*('GMW - worst case'!$MB$2:$MB$200=L$4),0),$E238-1973)</f>
        <v>#N/A</v>
      </c>
      <c r="M238" t="e" cm="1">
        <f t="array" ref="M238">INDEX('GMW - worst case'!$A$2:$MC$200,MATCH(1,('GMW - worst case'!$MC$2:$MC$200=M$3)*('GMW - worst case'!$MB$2:$MB$200=M$4),0),$E238-1973)</f>
        <v>#N/A</v>
      </c>
      <c r="N238" t="e" cm="1">
        <f t="array" ref="N238">INDEX('GMW - worst case'!$A$2:$MC$200,MATCH(1,('GMW - worst case'!$MC$2:$MC$200=N$3)*('GMW - worst case'!$MB$2:$MB$200=N$4),0),$E238-1973)</f>
        <v>#N/A</v>
      </c>
      <c r="O238" t="e" cm="1">
        <f t="array" ref="O238">INDEX('GMW - worst case'!$A$2:$MC$200,MATCH(1,('GMW - worst case'!$MC$2:$MC$200=O$3)*('GMW - worst case'!$MB$2:$MB$200=O$4),0),$E238-1973)</f>
        <v>#N/A</v>
      </c>
      <c r="P238" t="e" cm="1">
        <f t="array" ref="P238">INDEX('GMW - worst case'!$A$2:$MC$200,MATCH(1,('GMW - worst case'!$MC$2:$MC$200=P$3)*('GMW - worst case'!$MB$2:$MB$200=P$4),0),$E238-1973)</f>
        <v>#N/A</v>
      </c>
      <c r="Q238" t="e" cm="1">
        <f t="array" ref="Q238">INDEX('GMW - worst case'!$A$2:$MC$200,MATCH(1,('GMW - worst case'!$MC$2:$MC$200=Q$3)*('GMW - worst case'!$MB$2:$MB$200=Q$4),0),$E238-1973)</f>
        <v>#N/A</v>
      </c>
      <c r="R238" t="e" cm="1">
        <f t="array" ref="R238">INDEX('GMW - worst case'!$A$2:$MC$200,MATCH(1,('GMW - worst case'!$MC$2:$MC$200=R$3)*('GMW - worst case'!$MB$2:$MB$200=R$4),0),$E238-1973)</f>
        <v>#N/A</v>
      </c>
      <c r="S238" t="e" cm="1">
        <f t="array" ref="S238">INDEX('GMW - worst case'!$A$2:$MC$200,MATCH(1,('GMW - worst case'!$MC$2:$MC$200=S$3)*('GMW - worst case'!$MB$2:$MB$200=S$4),0),$E238-1973)</f>
        <v>#N/A</v>
      </c>
    </row>
    <row r="239" spans="1:19" x14ac:dyDescent="0.25">
      <c r="A239">
        <v>2038</v>
      </c>
      <c r="B239">
        <f t="shared" si="19"/>
        <v>2038</v>
      </c>
      <c r="C239">
        <f t="shared" si="19"/>
        <v>2037</v>
      </c>
      <c r="D239">
        <f t="shared" si="19"/>
        <v>2037</v>
      </c>
      <c r="E239">
        <f t="shared" si="16"/>
        <v>2212</v>
      </c>
      <c r="F239" t="str" cm="1">
        <f t="array" ref="F239">INDEX('GMW - worst case'!$A$2:$MC$200,MATCH(1,('GMW - worst case'!$MC$2:$MC$200=F$3)*('GMW - worst case'!$MB$2:$MB$200=F$4),0),$E239-1973)</f>
        <v>NA</v>
      </c>
      <c r="G239" t="str" cm="1">
        <f t="array" ref="G239">INDEX('GMW - worst case'!$A$2:$MC$200,MATCH(1,('GMW - worst case'!$MC$2:$MC$200=G$3)*('GMW - worst case'!$MB$2:$MB$200=G$4),0),$E239-1973)</f>
        <v>NA</v>
      </c>
      <c r="H239" t="str" cm="1">
        <f t="array" ref="H239">INDEX('GMW - worst case'!$A$2:$MC$200,MATCH(1,('GMW - worst case'!$MC$2:$MC$200=H$3)*('GMW - worst case'!$MB$2:$MB$200=H$4),0),$E239-1973)</f>
        <v>NA</v>
      </c>
      <c r="I239" t="str" cm="1">
        <f t="array" ref="I239">INDEX('GMW - worst case'!$A$2:$MC$200,MATCH(1,('GMW - worst case'!$MC$2:$MC$200=I$3)*('GMW - worst case'!$MB$2:$MB$200=I$4),0),$E239-1973)</f>
        <v>NA</v>
      </c>
      <c r="J239" t="e" cm="1">
        <f t="array" ref="J239">INDEX('GMW - worst case'!$A$2:$MC$200,MATCH(1,('GMW - worst case'!$MC$2:$MC$200=J$3)*('GMW - worst case'!$MB$2:$MB$200=J$4),0),$E239-1973)</f>
        <v>#N/A</v>
      </c>
      <c r="K239" t="e" cm="1">
        <f t="array" ref="K239">INDEX('GMW - worst case'!$A$2:$MC$200,MATCH(1,('GMW - worst case'!$MC$2:$MC$200=K$3)*('GMW - worst case'!$MB$2:$MB$200=K$4),0),$E239-1973)</f>
        <v>#N/A</v>
      </c>
      <c r="L239" t="e" cm="1">
        <f t="array" ref="L239">INDEX('GMW - worst case'!$A$2:$MC$200,MATCH(1,('GMW - worst case'!$MC$2:$MC$200=L$3)*('GMW - worst case'!$MB$2:$MB$200=L$4),0),$E239-1973)</f>
        <v>#N/A</v>
      </c>
      <c r="M239" t="e" cm="1">
        <f t="array" ref="M239">INDEX('GMW - worst case'!$A$2:$MC$200,MATCH(1,('GMW - worst case'!$MC$2:$MC$200=M$3)*('GMW - worst case'!$MB$2:$MB$200=M$4),0),$E239-1973)</f>
        <v>#N/A</v>
      </c>
      <c r="N239" t="e" cm="1">
        <f t="array" ref="N239">INDEX('GMW - worst case'!$A$2:$MC$200,MATCH(1,('GMW - worst case'!$MC$2:$MC$200=N$3)*('GMW - worst case'!$MB$2:$MB$200=N$4),0),$E239-1973)</f>
        <v>#N/A</v>
      </c>
      <c r="O239" t="e" cm="1">
        <f t="array" ref="O239">INDEX('GMW - worst case'!$A$2:$MC$200,MATCH(1,('GMW - worst case'!$MC$2:$MC$200=O$3)*('GMW - worst case'!$MB$2:$MB$200=O$4),0),$E239-1973)</f>
        <v>#N/A</v>
      </c>
      <c r="P239" t="e" cm="1">
        <f t="array" ref="P239">INDEX('GMW - worst case'!$A$2:$MC$200,MATCH(1,('GMW - worst case'!$MC$2:$MC$200=P$3)*('GMW - worst case'!$MB$2:$MB$200=P$4),0),$E239-1973)</f>
        <v>#N/A</v>
      </c>
      <c r="Q239" t="e" cm="1">
        <f t="array" ref="Q239">INDEX('GMW - worst case'!$A$2:$MC$200,MATCH(1,('GMW - worst case'!$MC$2:$MC$200=Q$3)*('GMW - worst case'!$MB$2:$MB$200=Q$4),0),$E239-1973)</f>
        <v>#N/A</v>
      </c>
      <c r="R239" t="e" cm="1">
        <f t="array" ref="R239">INDEX('GMW - worst case'!$A$2:$MC$200,MATCH(1,('GMW - worst case'!$MC$2:$MC$200=R$3)*('GMW - worst case'!$MB$2:$MB$200=R$4),0),$E239-1973)</f>
        <v>#N/A</v>
      </c>
      <c r="S239" t="e" cm="1">
        <f t="array" ref="S239">INDEX('GMW - worst case'!$A$2:$MC$200,MATCH(1,('GMW - worst case'!$MC$2:$MC$200=S$3)*('GMW - worst case'!$MB$2:$MB$200=S$4),0),$E239-1973)</f>
        <v>#N/A</v>
      </c>
    </row>
    <row r="240" spans="1:19" x14ac:dyDescent="0.25">
      <c r="B240">
        <f t="shared" si="19"/>
        <v>2038</v>
      </c>
      <c r="C240">
        <f t="shared" si="19"/>
        <v>2038</v>
      </c>
      <c r="E240">
        <f t="shared" si="16"/>
        <v>2213</v>
      </c>
      <c r="F240" t="str" cm="1">
        <f t="array" ref="F240">INDEX('GMW - worst case'!$A$2:$MC$200,MATCH(1,('GMW - worst case'!$MC$2:$MC$200=F$3)*('GMW - worst case'!$MB$2:$MB$200=F$4),0),$E240-1973)</f>
        <v>NA</v>
      </c>
      <c r="G240" t="str" cm="1">
        <f t="array" ref="G240">INDEX('GMW - worst case'!$A$2:$MC$200,MATCH(1,('GMW - worst case'!$MC$2:$MC$200=G$3)*('GMW - worst case'!$MB$2:$MB$200=G$4),0),$E240-1973)</f>
        <v>NA</v>
      </c>
      <c r="H240" t="str" cm="1">
        <f t="array" ref="H240">INDEX('GMW - worst case'!$A$2:$MC$200,MATCH(1,('GMW - worst case'!$MC$2:$MC$200=H$3)*('GMW - worst case'!$MB$2:$MB$200=H$4),0),$E240-1973)</f>
        <v>NA</v>
      </c>
      <c r="I240" t="str" cm="1">
        <f t="array" ref="I240">INDEX('GMW - worst case'!$A$2:$MC$200,MATCH(1,('GMW - worst case'!$MC$2:$MC$200=I$3)*('GMW - worst case'!$MB$2:$MB$200=I$4),0),$E240-1973)</f>
        <v>NA</v>
      </c>
      <c r="J240" t="e" cm="1">
        <f t="array" ref="J240">INDEX('GMW - worst case'!$A$2:$MC$200,MATCH(1,('GMW - worst case'!$MC$2:$MC$200=J$3)*('GMW - worst case'!$MB$2:$MB$200=J$4),0),$E240-1973)</f>
        <v>#N/A</v>
      </c>
      <c r="K240" t="e" cm="1">
        <f t="array" ref="K240">INDEX('GMW - worst case'!$A$2:$MC$200,MATCH(1,('GMW - worst case'!$MC$2:$MC$200=K$3)*('GMW - worst case'!$MB$2:$MB$200=K$4),0),$E240-1973)</f>
        <v>#N/A</v>
      </c>
      <c r="L240" t="e" cm="1">
        <f t="array" ref="L240">INDEX('GMW - worst case'!$A$2:$MC$200,MATCH(1,('GMW - worst case'!$MC$2:$MC$200=L$3)*('GMW - worst case'!$MB$2:$MB$200=L$4),0),$E240-1973)</f>
        <v>#N/A</v>
      </c>
      <c r="M240" t="e" cm="1">
        <f t="array" ref="M240">INDEX('GMW - worst case'!$A$2:$MC$200,MATCH(1,('GMW - worst case'!$MC$2:$MC$200=M$3)*('GMW - worst case'!$MB$2:$MB$200=M$4),0),$E240-1973)</f>
        <v>#N/A</v>
      </c>
      <c r="N240" t="e" cm="1">
        <f t="array" ref="N240">INDEX('GMW - worst case'!$A$2:$MC$200,MATCH(1,('GMW - worst case'!$MC$2:$MC$200=N$3)*('GMW - worst case'!$MB$2:$MB$200=N$4),0),$E240-1973)</f>
        <v>#N/A</v>
      </c>
      <c r="O240" t="e" cm="1">
        <f t="array" ref="O240">INDEX('GMW - worst case'!$A$2:$MC$200,MATCH(1,('GMW - worst case'!$MC$2:$MC$200=O$3)*('GMW - worst case'!$MB$2:$MB$200=O$4),0),$E240-1973)</f>
        <v>#N/A</v>
      </c>
      <c r="P240" t="e" cm="1">
        <f t="array" ref="P240">INDEX('GMW - worst case'!$A$2:$MC$200,MATCH(1,('GMW - worst case'!$MC$2:$MC$200=P$3)*('GMW - worst case'!$MB$2:$MB$200=P$4),0),$E240-1973)</f>
        <v>#N/A</v>
      </c>
      <c r="Q240" t="e" cm="1">
        <f t="array" ref="Q240">INDEX('GMW - worst case'!$A$2:$MC$200,MATCH(1,('GMW - worst case'!$MC$2:$MC$200=Q$3)*('GMW - worst case'!$MB$2:$MB$200=Q$4),0),$E240-1973)</f>
        <v>#N/A</v>
      </c>
      <c r="R240" t="e" cm="1">
        <f t="array" ref="R240">INDEX('GMW - worst case'!$A$2:$MC$200,MATCH(1,('GMW - worst case'!$MC$2:$MC$200=R$3)*('GMW - worst case'!$MB$2:$MB$200=R$4),0),$E240-1973)</f>
        <v>#N/A</v>
      </c>
      <c r="S240" t="e" cm="1">
        <f t="array" ref="S240">INDEX('GMW - worst case'!$A$2:$MC$200,MATCH(1,('GMW - worst case'!$MC$2:$MC$200=S$3)*('GMW - worst case'!$MB$2:$MB$200=S$4),0),$E240-1973)</f>
        <v>#N/A</v>
      </c>
    </row>
    <row r="241" spans="1:19" x14ac:dyDescent="0.25">
      <c r="B241">
        <f t="shared" si="19"/>
        <v>2038</v>
      </c>
      <c r="C241">
        <f t="shared" si="19"/>
        <v>2038</v>
      </c>
      <c r="E241">
        <f t="shared" si="16"/>
        <v>2214</v>
      </c>
      <c r="F241" t="str" cm="1">
        <f t="array" ref="F241">INDEX('GMW - worst case'!$A$2:$MC$200,MATCH(1,('GMW - worst case'!$MC$2:$MC$200=F$3)*('GMW - worst case'!$MB$2:$MB$200=F$4),0),$E241-1973)</f>
        <v>NA</v>
      </c>
      <c r="G241" t="str" cm="1">
        <f t="array" ref="G241">INDEX('GMW - worst case'!$A$2:$MC$200,MATCH(1,('GMW - worst case'!$MC$2:$MC$200=G$3)*('GMW - worst case'!$MB$2:$MB$200=G$4),0),$E241-1973)</f>
        <v>NA</v>
      </c>
      <c r="H241" t="str" cm="1">
        <f t="array" ref="H241">INDEX('GMW - worst case'!$A$2:$MC$200,MATCH(1,('GMW - worst case'!$MC$2:$MC$200=H$3)*('GMW - worst case'!$MB$2:$MB$200=H$4),0),$E241-1973)</f>
        <v>NA</v>
      </c>
      <c r="I241" t="str" cm="1">
        <f t="array" ref="I241">INDEX('GMW - worst case'!$A$2:$MC$200,MATCH(1,('GMW - worst case'!$MC$2:$MC$200=I$3)*('GMW - worst case'!$MB$2:$MB$200=I$4),0),$E241-1973)</f>
        <v>NA</v>
      </c>
      <c r="J241" t="e" cm="1">
        <f t="array" ref="J241">INDEX('GMW - worst case'!$A$2:$MC$200,MATCH(1,('GMW - worst case'!$MC$2:$MC$200=J$3)*('GMW - worst case'!$MB$2:$MB$200=J$4),0),$E241-1973)</f>
        <v>#N/A</v>
      </c>
      <c r="K241" t="e" cm="1">
        <f t="array" ref="K241">INDEX('GMW - worst case'!$A$2:$MC$200,MATCH(1,('GMW - worst case'!$MC$2:$MC$200=K$3)*('GMW - worst case'!$MB$2:$MB$200=K$4),0),$E241-1973)</f>
        <v>#N/A</v>
      </c>
      <c r="L241" t="e" cm="1">
        <f t="array" ref="L241">INDEX('GMW - worst case'!$A$2:$MC$200,MATCH(1,('GMW - worst case'!$MC$2:$MC$200=L$3)*('GMW - worst case'!$MB$2:$MB$200=L$4),0),$E241-1973)</f>
        <v>#N/A</v>
      </c>
      <c r="M241" t="e" cm="1">
        <f t="array" ref="M241">INDEX('GMW - worst case'!$A$2:$MC$200,MATCH(1,('GMW - worst case'!$MC$2:$MC$200=M$3)*('GMW - worst case'!$MB$2:$MB$200=M$4),0),$E241-1973)</f>
        <v>#N/A</v>
      </c>
      <c r="N241" t="e" cm="1">
        <f t="array" ref="N241">INDEX('GMW - worst case'!$A$2:$MC$200,MATCH(1,('GMW - worst case'!$MC$2:$MC$200=N$3)*('GMW - worst case'!$MB$2:$MB$200=N$4),0),$E241-1973)</f>
        <v>#N/A</v>
      </c>
      <c r="O241" t="e" cm="1">
        <f t="array" ref="O241">INDEX('GMW - worst case'!$A$2:$MC$200,MATCH(1,('GMW - worst case'!$MC$2:$MC$200=O$3)*('GMW - worst case'!$MB$2:$MB$200=O$4),0),$E241-1973)</f>
        <v>#N/A</v>
      </c>
      <c r="P241" t="e" cm="1">
        <f t="array" ref="P241">INDEX('GMW - worst case'!$A$2:$MC$200,MATCH(1,('GMW - worst case'!$MC$2:$MC$200=P$3)*('GMW - worst case'!$MB$2:$MB$200=P$4),0),$E241-1973)</f>
        <v>#N/A</v>
      </c>
      <c r="Q241" t="e" cm="1">
        <f t="array" ref="Q241">INDEX('GMW - worst case'!$A$2:$MC$200,MATCH(1,('GMW - worst case'!$MC$2:$MC$200=Q$3)*('GMW - worst case'!$MB$2:$MB$200=Q$4),0),$E241-1973)</f>
        <v>#N/A</v>
      </c>
      <c r="R241" t="e" cm="1">
        <f t="array" ref="R241">INDEX('GMW - worst case'!$A$2:$MC$200,MATCH(1,('GMW - worst case'!$MC$2:$MC$200=R$3)*('GMW - worst case'!$MB$2:$MB$200=R$4),0),$E241-1973)</f>
        <v>#N/A</v>
      </c>
      <c r="S241" t="e" cm="1">
        <f t="array" ref="S241">INDEX('GMW - worst case'!$A$2:$MC$200,MATCH(1,('GMW - worst case'!$MC$2:$MC$200=S$3)*('GMW - worst case'!$MB$2:$MB$200=S$4),0),$E241-1973)</f>
        <v>#N/A</v>
      </c>
    </row>
    <row r="242" spans="1:19" x14ac:dyDescent="0.25">
      <c r="B242">
        <f t="shared" si="19"/>
        <v>2038</v>
      </c>
      <c r="C242">
        <f t="shared" si="19"/>
        <v>2038</v>
      </c>
      <c r="E242">
        <f t="shared" si="16"/>
        <v>2215</v>
      </c>
      <c r="F242" t="str" cm="1">
        <f t="array" ref="F242">INDEX('GMW - worst case'!$A$2:$MC$200,MATCH(1,('GMW - worst case'!$MC$2:$MC$200=F$3)*('GMW - worst case'!$MB$2:$MB$200=F$4),0),$E242-1973)</f>
        <v>NA</v>
      </c>
      <c r="G242" t="str" cm="1">
        <f t="array" ref="G242">INDEX('GMW - worst case'!$A$2:$MC$200,MATCH(1,('GMW - worst case'!$MC$2:$MC$200=G$3)*('GMW - worst case'!$MB$2:$MB$200=G$4),0),$E242-1973)</f>
        <v>NA</v>
      </c>
      <c r="H242" t="str" cm="1">
        <f t="array" ref="H242">INDEX('GMW - worst case'!$A$2:$MC$200,MATCH(1,('GMW - worst case'!$MC$2:$MC$200=H$3)*('GMW - worst case'!$MB$2:$MB$200=H$4),0),$E242-1973)</f>
        <v>NA</v>
      </c>
      <c r="I242" t="str" cm="1">
        <f t="array" ref="I242">INDEX('GMW - worst case'!$A$2:$MC$200,MATCH(1,('GMW - worst case'!$MC$2:$MC$200=I$3)*('GMW - worst case'!$MB$2:$MB$200=I$4),0),$E242-1973)</f>
        <v>NA</v>
      </c>
      <c r="J242" t="e" cm="1">
        <f t="array" ref="J242">INDEX('GMW - worst case'!$A$2:$MC$200,MATCH(1,('GMW - worst case'!$MC$2:$MC$200=J$3)*('GMW - worst case'!$MB$2:$MB$200=J$4),0),$E242-1973)</f>
        <v>#N/A</v>
      </c>
      <c r="K242" t="e" cm="1">
        <f t="array" ref="K242">INDEX('GMW - worst case'!$A$2:$MC$200,MATCH(1,('GMW - worst case'!$MC$2:$MC$200=K$3)*('GMW - worst case'!$MB$2:$MB$200=K$4),0),$E242-1973)</f>
        <v>#N/A</v>
      </c>
      <c r="L242" t="e" cm="1">
        <f t="array" ref="L242">INDEX('GMW - worst case'!$A$2:$MC$200,MATCH(1,('GMW - worst case'!$MC$2:$MC$200=L$3)*('GMW - worst case'!$MB$2:$MB$200=L$4),0),$E242-1973)</f>
        <v>#N/A</v>
      </c>
      <c r="M242" t="e" cm="1">
        <f t="array" ref="M242">INDEX('GMW - worst case'!$A$2:$MC$200,MATCH(1,('GMW - worst case'!$MC$2:$MC$200=M$3)*('GMW - worst case'!$MB$2:$MB$200=M$4),0),$E242-1973)</f>
        <v>#N/A</v>
      </c>
      <c r="N242" t="e" cm="1">
        <f t="array" ref="N242">INDEX('GMW - worst case'!$A$2:$MC$200,MATCH(1,('GMW - worst case'!$MC$2:$MC$200=N$3)*('GMW - worst case'!$MB$2:$MB$200=N$4),0),$E242-1973)</f>
        <v>#N/A</v>
      </c>
      <c r="O242" t="e" cm="1">
        <f t="array" ref="O242">INDEX('GMW - worst case'!$A$2:$MC$200,MATCH(1,('GMW - worst case'!$MC$2:$MC$200=O$3)*('GMW - worst case'!$MB$2:$MB$200=O$4),0),$E242-1973)</f>
        <v>#N/A</v>
      </c>
      <c r="P242" t="e" cm="1">
        <f t="array" ref="P242">INDEX('GMW - worst case'!$A$2:$MC$200,MATCH(1,('GMW - worst case'!$MC$2:$MC$200=P$3)*('GMW - worst case'!$MB$2:$MB$200=P$4),0),$E242-1973)</f>
        <v>#N/A</v>
      </c>
      <c r="Q242" t="e" cm="1">
        <f t="array" ref="Q242">INDEX('GMW - worst case'!$A$2:$MC$200,MATCH(1,('GMW - worst case'!$MC$2:$MC$200=Q$3)*('GMW - worst case'!$MB$2:$MB$200=Q$4),0),$E242-1973)</f>
        <v>#N/A</v>
      </c>
      <c r="R242" t="e" cm="1">
        <f t="array" ref="R242">INDEX('GMW - worst case'!$A$2:$MC$200,MATCH(1,('GMW - worst case'!$MC$2:$MC$200=R$3)*('GMW - worst case'!$MB$2:$MB$200=R$4),0),$E242-1973)</f>
        <v>#N/A</v>
      </c>
      <c r="S242" t="e" cm="1">
        <f t="array" ref="S242">INDEX('GMW - worst case'!$A$2:$MC$200,MATCH(1,('GMW - worst case'!$MC$2:$MC$200=S$3)*('GMW - worst case'!$MB$2:$MB$200=S$4),0),$E242-1973)</f>
        <v>#N/A</v>
      </c>
    </row>
    <row r="243" spans="1:19" x14ac:dyDescent="0.25">
      <c r="A243">
        <v>2039</v>
      </c>
      <c r="B243">
        <f t="shared" si="19"/>
        <v>2039</v>
      </c>
      <c r="C243">
        <f t="shared" si="19"/>
        <v>2038</v>
      </c>
      <c r="D243">
        <f t="shared" si="19"/>
        <v>2038</v>
      </c>
      <c r="E243">
        <f t="shared" si="16"/>
        <v>2216</v>
      </c>
      <c r="F243" t="str" cm="1">
        <f t="array" ref="F243">INDEX('GMW - worst case'!$A$2:$MC$200,MATCH(1,('GMW - worst case'!$MC$2:$MC$200=F$3)*('GMW - worst case'!$MB$2:$MB$200=F$4),0),$E243-1973)</f>
        <v>NA</v>
      </c>
      <c r="G243" t="str" cm="1">
        <f t="array" ref="G243">INDEX('GMW - worst case'!$A$2:$MC$200,MATCH(1,('GMW - worst case'!$MC$2:$MC$200=G$3)*('GMW - worst case'!$MB$2:$MB$200=G$4),0),$E243-1973)</f>
        <v>NA</v>
      </c>
      <c r="H243" t="str" cm="1">
        <f t="array" ref="H243">INDEX('GMW - worst case'!$A$2:$MC$200,MATCH(1,('GMW - worst case'!$MC$2:$MC$200=H$3)*('GMW - worst case'!$MB$2:$MB$200=H$4),0),$E243-1973)</f>
        <v>NA</v>
      </c>
      <c r="I243" t="str" cm="1">
        <f t="array" ref="I243">INDEX('GMW - worst case'!$A$2:$MC$200,MATCH(1,('GMW - worst case'!$MC$2:$MC$200=I$3)*('GMW - worst case'!$MB$2:$MB$200=I$4),0),$E243-1973)</f>
        <v>NA</v>
      </c>
      <c r="J243" t="e" cm="1">
        <f t="array" ref="J243">INDEX('GMW - worst case'!$A$2:$MC$200,MATCH(1,('GMW - worst case'!$MC$2:$MC$200=J$3)*('GMW - worst case'!$MB$2:$MB$200=J$4),0),$E243-1973)</f>
        <v>#N/A</v>
      </c>
      <c r="K243" t="e" cm="1">
        <f t="array" ref="K243">INDEX('GMW - worst case'!$A$2:$MC$200,MATCH(1,('GMW - worst case'!$MC$2:$MC$200=K$3)*('GMW - worst case'!$MB$2:$MB$200=K$4),0),$E243-1973)</f>
        <v>#N/A</v>
      </c>
      <c r="L243" t="e" cm="1">
        <f t="array" ref="L243">INDEX('GMW - worst case'!$A$2:$MC$200,MATCH(1,('GMW - worst case'!$MC$2:$MC$200=L$3)*('GMW - worst case'!$MB$2:$MB$200=L$4),0),$E243-1973)</f>
        <v>#N/A</v>
      </c>
      <c r="M243" t="e" cm="1">
        <f t="array" ref="M243">INDEX('GMW - worst case'!$A$2:$MC$200,MATCH(1,('GMW - worst case'!$MC$2:$MC$200=M$3)*('GMW - worst case'!$MB$2:$MB$200=M$4),0),$E243-1973)</f>
        <v>#N/A</v>
      </c>
      <c r="N243" t="e" cm="1">
        <f t="array" ref="N243">INDEX('GMW - worst case'!$A$2:$MC$200,MATCH(1,('GMW - worst case'!$MC$2:$MC$200=N$3)*('GMW - worst case'!$MB$2:$MB$200=N$4),0),$E243-1973)</f>
        <v>#N/A</v>
      </c>
      <c r="O243" t="e" cm="1">
        <f t="array" ref="O243">INDEX('GMW - worst case'!$A$2:$MC$200,MATCH(1,('GMW - worst case'!$MC$2:$MC$200=O$3)*('GMW - worst case'!$MB$2:$MB$200=O$4),0),$E243-1973)</f>
        <v>#N/A</v>
      </c>
      <c r="P243" t="e" cm="1">
        <f t="array" ref="P243">INDEX('GMW - worst case'!$A$2:$MC$200,MATCH(1,('GMW - worst case'!$MC$2:$MC$200=P$3)*('GMW - worst case'!$MB$2:$MB$200=P$4),0),$E243-1973)</f>
        <v>#N/A</v>
      </c>
      <c r="Q243" t="e" cm="1">
        <f t="array" ref="Q243">INDEX('GMW - worst case'!$A$2:$MC$200,MATCH(1,('GMW - worst case'!$MC$2:$MC$200=Q$3)*('GMW - worst case'!$MB$2:$MB$200=Q$4),0),$E243-1973)</f>
        <v>#N/A</v>
      </c>
      <c r="R243" t="e" cm="1">
        <f t="array" ref="R243">INDEX('GMW - worst case'!$A$2:$MC$200,MATCH(1,('GMW - worst case'!$MC$2:$MC$200=R$3)*('GMW - worst case'!$MB$2:$MB$200=R$4),0),$E243-1973)</f>
        <v>#N/A</v>
      </c>
      <c r="S243" t="e" cm="1">
        <f t="array" ref="S243">INDEX('GMW - worst case'!$A$2:$MC$200,MATCH(1,('GMW - worst case'!$MC$2:$MC$200=S$3)*('GMW - worst case'!$MB$2:$MB$200=S$4),0),$E243-1973)</f>
        <v>#N/A</v>
      </c>
    </row>
    <row r="244" spans="1:19" x14ac:dyDescent="0.25">
      <c r="B244">
        <f t="shared" si="19"/>
        <v>2039</v>
      </c>
      <c r="C244">
        <f t="shared" si="19"/>
        <v>2039</v>
      </c>
      <c r="E244">
        <f t="shared" si="16"/>
        <v>2217</v>
      </c>
      <c r="F244" t="str" cm="1">
        <f t="array" ref="F244">INDEX('GMW - worst case'!$A$2:$MC$200,MATCH(1,('GMW - worst case'!$MC$2:$MC$200=F$3)*('GMW - worst case'!$MB$2:$MB$200=F$4),0),$E244-1973)</f>
        <v>NA</v>
      </c>
      <c r="G244" t="str" cm="1">
        <f t="array" ref="G244">INDEX('GMW - worst case'!$A$2:$MC$200,MATCH(1,('GMW - worst case'!$MC$2:$MC$200=G$3)*('GMW - worst case'!$MB$2:$MB$200=G$4),0),$E244-1973)</f>
        <v>NA</v>
      </c>
      <c r="H244" t="str" cm="1">
        <f t="array" ref="H244">INDEX('GMW - worst case'!$A$2:$MC$200,MATCH(1,('GMW - worst case'!$MC$2:$MC$200=H$3)*('GMW - worst case'!$MB$2:$MB$200=H$4),0),$E244-1973)</f>
        <v>NA</v>
      </c>
      <c r="I244" t="str" cm="1">
        <f t="array" ref="I244">INDEX('GMW - worst case'!$A$2:$MC$200,MATCH(1,('GMW - worst case'!$MC$2:$MC$200=I$3)*('GMW - worst case'!$MB$2:$MB$200=I$4),0),$E244-1973)</f>
        <v>NA</v>
      </c>
      <c r="J244" t="e" cm="1">
        <f t="array" ref="J244">INDEX('GMW - worst case'!$A$2:$MC$200,MATCH(1,('GMW - worst case'!$MC$2:$MC$200=J$3)*('GMW - worst case'!$MB$2:$MB$200=J$4),0),$E244-1973)</f>
        <v>#N/A</v>
      </c>
      <c r="K244" t="e" cm="1">
        <f t="array" ref="K244">INDEX('GMW - worst case'!$A$2:$MC$200,MATCH(1,('GMW - worst case'!$MC$2:$MC$200=K$3)*('GMW - worst case'!$MB$2:$MB$200=K$4),0),$E244-1973)</f>
        <v>#N/A</v>
      </c>
      <c r="L244" t="e" cm="1">
        <f t="array" ref="L244">INDEX('GMW - worst case'!$A$2:$MC$200,MATCH(1,('GMW - worst case'!$MC$2:$MC$200=L$3)*('GMW - worst case'!$MB$2:$MB$200=L$4),0),$E244-1973)</f>
        <v>#N/A</v>
      </c>
      <c r="M244" t="e" cm="1">
        <f t="array" ref="M244">INDEX('GMW - worst case'!$A$2:$MC$200,MATCH(1,('GMW - worst case'!$MC$2:$MC$200=M$3)*('GMW - worst case'!$MB$2:$MB$200=M$4),0),$E244-1973)</f>
        <v>#N/A</v>
      </c>
      <c r="N244" t="e" cm="1">
        <f t="array" ref="N244">INDEX('GMW - worst case'!$A$2:$MC$200,MATCH(1,('GMW - worst case'!$MC$2:$MC$200=N$3)*('GMW - worst case'!$MB$2:$MB$200=N$4),0),$E244-1973)</f>
        <v>#N/A</v>
      </c>
      <c r="O244" t="e" cm="1">
        <f t="array" ref="O244">INDEX('GMW - worst case'!$A$2:$MC$200,MATCH(1,('GMW - worst case'!$MC$2:$MC$200=O$3)*('GMW - worst case'!$MB$2:$MB$200=O$4),0),$E244-1973)</f>
        <v>#N/A</v>
      </c>
      <c r="P244" t="e" cm="1">
        <f t="array" ref="P244">INDEX('GMW - worst case'!$A$2:$MC$200,MATCH(1,('GMW - worst case'!$MC$2:$MC$200=P$3)*('GMW - worst case'!$MB$2:$MB$200=P$4),0),$E244-1973)</f>
        <v>#N/A</v>
      </c>
      <c r="Q244" t="e" cm="1">
        <f t="array" ref="Q244">INDEX('GMW - worst case'!$A$2:$MC$200,MATCH(1,('GMW - worst case'!$MC$2:$MC$200=Q$3)*('GMW - worst case'!$MB$2:$MB$200=Q$4),0),$E244-1973)</f>
        <v>#N/A</v>
      </c>
      <c r="R244" t="e" cm="1">
        <f t="array" ref="R244">INDEX('GMW - worst case'!$A$2:$MC$200,MATCH(1,('GMW - worst case'!$MC$2:$MC$200=R$3)*('GMW - worst case'!$MB$2:$MB$200=R$4),0),$E244-1973)</f>
        <v>#N/A</v>
      </c>
      <c r="S244" t="e" cm="1">
        <f t="array" ref="S244">INDEX('GMW - worst case'!$A$2:$MC$200,MATCH(1,('GMW - worst case'!$MC$2:$MC$200=S$3)*('GMW - worst case'!$MB$2:$MB$200=S$4),0),$E244-1973)</f>
        <v>#N/A</v>
      </c>
    </row>
    <row r="245" spans="1:19" x14ac:dyDescent="0.25">
      <c r="B245">
        <f t="shared" si="19"/>
        <v>2039</v>
      </c>
      <c r="C245">
        <f t="shared" si="19"/>
        <v>2039</v>
      </c>
      <c r="E245">
        <f t="shared" si="16"/>
        <v>2218</v>
      </c>
      <c r="F245" t="str" cm="1">
        <f t="array" ref="F245">INDEX('GMW - worst case'!$A$2:$MC$200,MATCH(1,('GMW - worst case'!$MC$2:$MC$200=F$3)*('GMW - worst case'!$MB$2:$MB$200=F$4),0),$E245-1973)</f>
        <v>NA</v>
      </c>
      <c r="G245" t="str" cm="1">
        <f t="array" ref="G245">INDEX('GMW - worst case'!$A$2:$MC$200,MATCH(1,('GMW - worst case'!$MC$2:$MC$200=G$3)*('GMW - worst case'!$MB$2:$MB$200=G$4),0),$E245-1973)</f>
        <v>NA</v>
      </c>
      <c r="H245" t="str" cm="1">
        <f t="array" ref="H245">INDEX('GMW - worst case'!$A$2:$MC$200,MATCH(1,('GMW - worst case'!$MC$2:$MC$200=H$3)*('GMW - worst case'!$MB$2:$MB$200=H$4),0),$E245-1973)</f>
        <v>NA</v>
      </c>
      <c r="I245" t="str" cm="1">
        <f t="array" ref="I245">INDEX('GMW - worst case'!$A$2:$MC$200,MATCH(1,('GMW - worst case'!$MC$2:$MC$200=I$3)*('GMW - worst case'!$MB$2:$MB$200=I$4),0),$E245-1973)</f>
        <v>NA</v>
      </c>
      <c r="J245" t="e" cm="1">
        <f t="array" ref="J245">INDEX('GMW - worst case'!$A$2:$MC$200,MATCH(1,('GMW - worst case'!$MC$2:$MC$200=J$3)*('GMW - worst case'!$MB$2:$MB$200=J$4),0),$E245-1973)</f>
        <v>#N/A</v>
      </c>
      <c r="K245" t="e" cm="1">
        <f t="array" ref="K245">INDEX('GMW - worst case'!$A$2:$MC$200,MATCH(1,('GMW - worst case'!$MC$2:$MC$200=K$3)*('GMW - worst case'!$MB$2:$MB$200=K$4),0),$E245-1973)</f>
        <v>#N/A</v>
      </c>
      <c r="L245" t="e" cm="1">
        <f t="array" ref="L245">INDEX('GMW - worst case'!$A$2:$MC$200,MATCH(1,('GMW - worst case'!$MC$2:$MC$200=L$3)*('GMW - worst case'!$MB$2:$MB$200=L$4),0),$E245-1973)</f>
        <v>#N/A</v>
      </c>
      <c r="M245" t="e" cm="1">
        <f t="array" ref="M245">INDEX('GMW - worst case'!$A$2:$MC$200,MATCH(1,('GMW - worst case'!$MC$2:$MC$200=M$3)*('GMW - worst case'!$MB$2:$MB$200=M$4),0),$E245-1973)</f>
        <v>#N/A</v>
      </c>
      <c r="N245" t="e" cm="1">
        <f t="array" ref="N245">INDEX('GMW - worst case'!$A$2:$MC$200,MATCH(1,('GMW - worst case'!$MC$2:$MC$200=N$3)*('GMW - worst case'!$MB$2:$MB$200=N$4),0),$E245-1973)</f>
        <v>#N/A</v>
      </c>
      <c r="O245" t="e" cm="1">
        <f t="array" ref="O245">INDEX('GMW - worst case'!$A$2:$MC$200,MATCH(1,('GMW - worst case'!$MC$2:$MC$200=O$3)*('GMW - worst case'!$MB$2:$MB$200=O$4),0),$E245-1973)</f>
        <v>#N/A</v>
      </c>
      <c r="P245" t="e" cm="1">
        <f t="array" ref="P245">INDEX('GMW - worst case'!$A$2:$MC$200,MATCH(1,('GMW - worst case'!$MC$2:$MC$200=P$3)*('GMW - worst case'!$MB$2:$MB$200=P$4),0),$E245-1973)</f>
        <v>#N/A</v>
      </c>
      <c r="Q245" t="e" cm="1">
        <f t="array" ref="Q245">INDEX('GMW - worst case'!$A$2:$MC$200,MATCH(1,('GMW - worst case'!$MC$2:$MC$200=Q$3)*('GMW - worst case'!$MB$2:$MB$200=Q$4),0),$E245-1973)</f>
        <v>#N/A</v>
      </c>
      <c r="R245" t="e" cm="1">
        <f t="array" ref="R245">INDEX('GMW - worst case'!$A$2:$MC$200,MATCH(1,('GMW - worst case'!$MC$2:$MC$200=R$3)*('GMW - worst case'!$MB$2:$MB$200=R$4),0),$E245-1973)</f>
        <v>#N/A</v>
      </c>
      <c r="S245" t="e" cm="1">
        <f t="array" ref="S245">INDEX('GMW - worst case'!$A$2:$MC$200,MATCH(1,('GMW - worst case'!$MC$2:$MC$200=S$3)*('GMW - worst case'!$MB$2:$MB$200=S$4),0),$E245-1973)</f>
        <v>#N/A</v>
      </c>
    </row>
    <row r="246" spans="1:19" x14ac:dyDescent="0.25">
      <c r="B246">
        <f t="shared" si="19"/>
        <v>2039</v>
      </c>
      <c r="C246">
        <f t="shared" si="19"/>
        <v>2039</v>
      </c>
      <c r="E246">
        <f t="shared" si="16"/>
        <v>2219</v>
      </c>
      <c r="F246" t="str" cm="1">
        <f t="array" ref="F246">INDEX('GMW - worst case'!$A$2:$MC$200,MATCH(1,('GMW - worst case'!$MC$2:$MC$200=F$3)*('GMW - worst case'!$MB$2:$MB$200=F$4),0),$E246-1973)</f>
        <v>NA</v>
      </c>
      <c r="G246" t="str" cm="1">
        <f t="array" ref="G246">INDEX('GMW - worst case'!$A$2:$MC$200,MATCH(1,('GMW - worst case'!$MC$2:$MC$200=G$3)*('GMW - worst case'!$MB$2:$MB$200=G$4),0),$E246-1973)</f>
        <v>NA</v>
      </c>
      <c r="H246" t="str" cm="1">
        <f t="array" ref="H246">INDEX('GMW - worst case'!$A$2:$MC$200,MATCH(1,('GMW - worst case'!$MC$2:$MC$200=H$3)*('GMW - worst case'!$MB$2:$MB$200=H$4),0),$E246-1973)</f>
        <v>NA</v>
      </c>
      <c r="I246" t="str" cm="1">
        <f t="array" ref="I246">INDEX('GMW - worst case'!$A$2:$MC$200,MATCH(1,('GMW - worst case'!$MC$2:$MC$200=I$3)*('GMW - worst case'!$MB$2:$MB$200=I$4),0),$E246-1973)</f>
        <v>NA</v>
      </c>
      <c r="J246" t="e" cm="1">
        <f t="array" ref="J246">INDEX('GMW - worst case'!$A$2:$MC$200,MATCH(1,('GMW - worst case'!$MC$2:$MC$200=J$3)*('GMW - worst case'!$MB$2:$MB$200=J$4),0),$E246-1973)</f>
        <v>#N/A</v>
      </c>
      <c r="K246" t="e" cm="1">
        <f t="array" ref="K246">INDEX('GMW - worst case'!$A$2:$MC$200,MATCH(1,('GMW - worst case'!$MC$2:$MC$200=K$3)*('GMW - worst case'!$MB$2:$MB$200=K$4),0),$E246-1973)</f>
        <v>#N/A</v>
      </c>
      <c r="L246" t="e" cm="1">
        <f t="array" ref="L246">INDEX('GMW - worst case'!$A$2:$MC$200,MATCH(1,('GMW - worst case'!$MC$2:$MC$200=L$3)*('GMW - worst case'!$MB$2:$MB$200=L$4),0),$E246-1973)</f>
        <v>#N/A</v>
      </c>
      <c r="M246" t="e" cm="1">
        <f t="array" ref="M246">INDEX('GMW - worst case'!$A$2:$MC$200,MATCH(1,('GMW - worst case'!$MC$2:$MC$200=M$3)*('GMW - worst case'!$MB$2:$MB$200=M$4),0),$E246-1973)</f>
        <v>#N/A</v>
      </c>
      <c r="N246" t="e" cm="1">
        <f t="array" ref="N246">INDEX('GMW - worst case'!$A$2:$MC$200,MATCH(1,('GMW - worst case'!$MC$2:$MC$200=N$3)*('GMW - worst case'!$MB$2:$MB$200=N$4),0),$E246-1973)</f>
        <v>#N/A</v>
      </c>
      <c r="O246" t="e" cm="1">
        <f t="array" ref="O246">INDEX('GMW - worst case'!$A$2:$MC$200,MATCH(1,('GMW - worst case'!$MC$2:$MC$200=O$3)*('GMW - worst case'!$MB$2:$MB$200=O$4),0),$E246-1973)</f>
        <v>#N/A</v>
      </c>
      <c r="P246" t="e" cm="1">
        <f t="array" ref="P246">INDEX('GMW - worst case'!$A$2:$MC$200,MATCH(1,('GMW - worst case'!$MC$2:$MC$200=P$3)*('GMW - worst case'!$MB$2:$MB$200=P$4),0),$E246-1973)</f>
        <v>#N/A</v>
      </c>
      <c r="Q246" t="e" cm="1">
        <f t="array" ref="Q246">INDEX('GMW - worst case'!$A$2:$MC$200,MATCH(1,('GMW - worst case'!$MC$2:$MC$200=Q$3)*('GMW - worst case'!$MB$2:$MB$200=Q$4),0),$E246-1973)</f>
        <v>#N/A</v>
      </c>
      <c r="R246" t="e" cm="1">
        <f t="array" ref="R246">INDEX('GMW - worst case'!$A$2:$MC$200,MATCH(1,('GMW - worst case'!$MC$2:$MC$200=R$3)*('GMW - worst case'!$MB$2:$MB$200=R$4),0),$E246-1973)</f>
        <v>#N/A</v>
      </c>
      <c r="S246" t="e" cm="1">
        <f t="array" ref="S246">INDEX('GMW - worst case'!$A$2:$MC$200,MATCH(1,('GMW - worst case'!$MC$2:$MC$200=S$3)*('GMW - worst case'!$MB$2:$MB$200=S$4),0),$E246-1973)</f>
        <v>#N/A</v>
      </c>
    </row>
    <row r="247" spans="1:19" x14ac:dyDescent="0.25">
      <c r="A247">
        <v>2040</v>
      </c>
      <c r="B247">
        <f t="shared" si="19"/>
        <v>2040</v>
      </c>
      <c r="C247">
        <f t="shared" si="19"/>
        <v>2039</v>
      </c>
      <c r="D247">
        <f t="shared" si="19"/>
        <v>2039</v>
      </c>
      <c r="E247">
        <f t="shared" si="16"/>
        <v>2220</v>
      </c>
      <c r="F247" t="str" cm="1">
        <f t="array" ref="F247">INDEX('GMW - worst case'!$A$2:$MC$200,MATCH(1,('GMW - worst case'!$MC$2:$MC$200=F$3)*('GMW - worst case'!$MB$2:$MB$200=F$4),0),$E247-1973)</f>
        <v>NA</v>
      </c>
      <c r="G247" t="str" cm="1">
        <f t="array" ref="G247">INDEX('GMW - worst case'!$A$2:$MC$200,MATCH(1,('GMW - worst case'!$MC$2:$MC$200=G$3)*('GMW - worst case'!$MB$2:$MB$200=G$4),0),$E247-1973)</f>
        <v>NA</v>
      </c>
      <c r="H247" t="str" cm="1">
        <f t="array" ref="H247">INDEX('GMW - worst case'!$A$2:$MC$200,MATCH(1,('GMW - worst case'!$MC$2:$MC$200=H$3)*('GMW - worst case'!$MB$2:$MB$200=H$4),0),$E247-1973)</f>
        <v>NA</v>
      </c>
      <c r="I247" t="str" cm="1">
        <f t="array" ref="I247">INDEX('GMW - worst case'!$A$2:$MC$200,MATCH(1,('GMW - worst case'!$MC$2:$MC$200=I$3)*('GMW - worst case'!$MB$2:$MB$200=I$4),0),$E247-1973)</f>
        <v>NA</v>
      </c>
      <c r="J247" t="e" cm="1">
        <f t="array" ref="J247">INDEX('GMW - worst case'!$A$2:$MC$200,MATCH(1,('GMW - worst case'!$MC$2:$MC$200=J$3)*('GMW - worst case'!$MB$2:$MB$200=J$4),0),$E247-1973)</f>
        <v>#N/A</v>
      </c>
      <c r="K247" t="e" cm="1">
        <f t="array" ref="K247">INDEX('GMW - worst case'!$A$2:$MC$200,MATCH(1,('GMW - worst case'!$MC$2:$MC$200=K$3)*('GMW - worst case'!$MB$2:$MB$200=K$4),0),$E247-1973)</f>
        <v>#N/A</v>
      </c>
      <c r="L247" t="e" cm="1">
        <f t="array" ref="L247">INDEX('GMW - worst case'!$A$2:$MC$200,MATCH(1,('GMW - worst case'!$MC$2:$MC$200=L$3)*('GMW - worst case'!$MB$2:$MB$200=L$4),0),$E247-1973)</f>
        <v>#N/A</v>
      </c>
      <c r="M247" t="e" cm="1">
        <f t="array" ref="M247">INDEX('GMW - worst case'!$A$2:$MC$200,MATCH(1,('GMW - worst case'!$MC$2:$MC$200=M$3)*('GMW - worst case'!$MB$2:$MB$200=M$4),0),$E247-1973)</f>
        <v>#N/A</v>
      </c>
      <c r="N247" t="e" cm="1">
        <f t="array" ref="N247">INDEX('GMW - worst case'!$A$2:$MC$200,MATCH(1,('GMW - worst case'!$MC$2:$MC$200=N$3)*('GMW - worst case'!$MB$2:$MB$200=N$4),0),$E247-1973)</f>
        <v>#N/A</v>
      </c>
      <c r="O247" t="e" cm="1">
        <f t="array" ref="O247">INDEX('GMW - worst case'!$A$2:$MC$200,MATCH(1,('GMW - worst case'!$MC$2:$MC$200=O$3)*('GMW - worst case'!$MB$2:$MB$200=O$4),0),$E247-1973)</f>
        <v>#N/A</v>
      </c>
      <c r="P247" t="e" cm="1">
        <f t="array" ref="P247">INDEX('GMW - worst case'!$A$2:$MC$200,MATCH(1,('GMW - worst case'!$MC$2:$MC$200=P$3)*('GMW - worst case'!$MB$2:$MB$200=P$4),0),$E247-1973)</f>
        <v>#N/A</v>
      </c>
      <c r="Q247" t="e" cm="1">
        <f t="array" ref="Q247">INDEX('GMW - worst case'!$A$2:$MC$200,MATCH(1,('GMW - worst case'!$MC$2:$MC$200=Q$3)*('GMW - worst case'!$MB$2:$MB$200=Q$4),0),$E247-1973)</f>
        <v>#N/A</v>
      </c>
      <c r="R247" t="e" cm="1">
        <f t="array" ref="R247">INDEX('GMW - worst case'!$A$2:$MC$200,MATCH(1,('GMW - worst case'!$MC$2:$MC$200=R$3)*('GMW - worst case'!$MB$2:$MB$200=R$4),0),$E247-1973)</f>
        <v>#N/A</v>
      </c>
      <c r="S247" t="e" cm="1">
        <f t="array" ref="S247">INDEX('GMW - worst case'!$A$2:$MC$200,MATCH(1,('GMW - worst case'!$MC$2:$MC$200=S$3)*('GMW - worst case'!$MB$2:$MB$200=S$4),0),$E247-1973)</f>
        <v>#N/A</v>
      </c>
    </row>
    <row r="248" spans="1:19" x14ac:dyDescent="0.25">
      <c r="B248">
        <f t="shared" si="19"/>
        <v>2040</v>
      </c>
      <c r="C248">
        <f t="shared" si="19"/>
        <v>2040</v>
      </c>
      <c r="E248">
        <f t="shared" si="16"/>
        <v>2221</v>
      </c>
      <c r="F248" t="str" cm="1">
        <f t="array" ref="F248">INDEX('GMW - worst case'!$A$2:$MC$200,MATCH(1,('GMW - worst case'!$MC$2:$MC$200=F$3)*('GMW - worst case'!$MB$2:$MB$200=F$4),0),$E248-1973)</f>
        <v>NA</v>
      </c>
      <c r="G248" t="str" cm="1">
        <f t="array" ref="G248">INDEX('GMW - worst case'!$A$2:$MC$200,MATCH(1,('GMW - worst case'!$MC$2:$MC$200=G$3)*('GMW - worst case'!$MB$2:$MB$200=G$4),0),$E248-1973)</f>
        <v>NA</v>
      </c>
      <c r="H248" t="str" cm="1">
        <f t="array" ref="H248">INDEX('GMW - worst case'!$A$2:$MC$200,MATCH(1,('GMW - worst case'!$MC$2:$MC$200=H$3)*('GMW - worst case'!$MB$2:$MB$200=H$4),0),$E248-1973)</f>
        <v>NA</v>
      </c>
      <c r="I248" t="str" cm="1">
        <f t="array" ref="I248">INDEX('GMW - worst case'!$A$2:$MC$200,MATCH(1,('GMW - worst case'!$MC$2:$MC$200=I$3)*('GMW - worst case'!$MB$2:$MB$200=I$4),0),$E248-1973)</f>
        <v>NA</v>
      </c>
      <c r="J248" t="e" cm="1">
        <f t="array" ref="J248">INDEX('GMW - worst case'!$A$2:$MC$200,MATCH(1,('GMW - worst case'!$MC$2:$MC$200=J$3)*('GMW - worst case'!$MB$2:$MB$200=J$4),0),$E248-1973)</f>
        <v>#N/A</v>
      </c>
      <c r="K248" t="e" cm="1">
        <f t="array" ref="K248">INDEX('GMW - worst case'!$A$2:$MC$200,MATCH(1,('GMW - worst case'!$MC$2:$MC$200=K$3)*('GMW - worst case'!$MB$2:$MB$200=K$4),0),$E248-1973)</f>
        <v>#N/A</v>
      </c>
      <c r="L248" t="e" cm="1">
        <f t="array" ref="L248">INDEX('GMW - worst case'!$A$2:$MC$200,MATCH(1,('GMW - worst case'!$MC$2:$MC$200=L$3)*('GMW - worst case'!$MB$2:$MB$200=L$4),0),$E248-1973)</f>
        <v>#N/A</v>
      </c>
      <c r="M248" t="e" cm="1">
        <f t="array" ref="M248">INDEX('GMW - worst case'!$A$2:$MC$200,MATCH(1,('GMW - worst case'!$MC$2:$MC$200=M$3)*('GMW - worst case'!$MB$2:$MB$200=M$4),0),$E248-1973)</f>
        <v>#N/A</v>
      </c>
      <c r="N248" t="e" cm="1">
        <f t="array" ref="N248">INDEX('GMW - worst case'!$A$2:$MC$200,MATCH(1,('GMW - worst case'!$MC$2:$MC$200=N$3)*('GMW - worst case'!$MB$2:$MB$200=N$4),0),$E248-1973)</f>
        <v>#N/A</v>
      </c>
      <c r="O248" t="e" cm="1">
        <f t="array" ref="O248">INDEX('GMW - worst case'!$A$2:$MC$200,MATCH(1,('GMW - worst case'!$MC$2:$MC$200=O$3)*('GMW - worst case'!$MB$2:$MB$200=O$4),0),$E248-1973)</f>
        <v>#N/A</v>
      </c>
      <c r="P248" t="e" cm="1">
        <f t="array" ref="P248">INDEX('GMW - worst case'!$A$2:$MC$200,MATCH(1,('GMW - worst case'!$MC$2:$MC$200=P$3)*('GMW - worst case'!$MB$2:$MB$200=P$4),0),$E248-1973)</f>
        <v>#N/A</v>
      </c>
      <c r="Q248" t="e" cm="1">
        <f t="array" ref="Q248">INDEX('GMW - worst case'!$A$2:$MC$200,MATCH(1,('GMW - worst case'!$MC$2:$MC$200=Q$3)*('GMW - worst case'!$MB$2:$MB$200=Q$4),0),$E248-1973)</f>
        <v>#N/A</v>
      </c>
      <c r="R248" t="e" cm="1">
        <f t="array" ref="R248">INDEX('GMW - worst case'!$A$2:$MC$200,MATCH(1,('GMW - worst case'!$MC$2:$MC$200=R$3)*('GMW - worst case'!$MB$2:$MB$200=R$4),0),$E248-1973)</f>
        <v>#N/A</v>
      </c>
      <c r="S248" t="e" cm="1">
        <f t="array" ref="S248">INDEX('GMW - worst case'!$A$2:$MC$200,MATCH(1,('GMW - worst case'!$MC$2:$MC$200=S$3)*('GMW - worst case'!$MB$2:$MB$200=S$4),0),$E248-1973)</f>
        <v>#N/A</v>
      </c>
    </row>
    <row r="249" spans="1:19" x14ac:dyDescent="0.25">
      <c r="B249">
        <f t="shared" si="19"/>
        <v>2040</v>
      </c>
      <c r="C249">
        <f t="shared" si="19"/>
        <v>2040</v>
      </c>
      <c r="E249">
        <f t="shared" si="16"/>
        <v>2222</v>
      </c>
      <c r="F249" t="str" cm="1">
        <f t="array" ref="F249">INDEX('GMW - worst case'!$A$2:$MC$200,MATCH(1,('GMW - worst case'!$MC$2:$MC$200=F$3)*('GMW - worst case'!$MB$2:$MB$200=F$4),0),$E249-1973)</f>
        <v>NA</v>
      </c>
      <c r="G249" t="str" cm="1">
        <f t="array" ref="G249">INDEX('GMW - worst case'!$A$2:$MC$200,MATCH(1,('GMW - worst case'!$MC$2:$MC$200=G$3)*('GMW - worst case'!$MB$2:$MB$200=G$4),0),$E249-1973)</f>
        <v>NA</v>
      </c>
      <c r="H249" t="str" cm="1">
        <f t="array" ref="H249">INDEX('GMW - worst case'!$A$2:$MC$200,MATCH(1,('GMW - worst case'!$MC$2:$MC$200=H$3)*('GMW - worst case'!$MB$2:$MB$200=H$4),0),$E249-1973)</f>
        <v>NA</v>
      </c>
      <c r="I249" t="str" cm="1">
        <f t="array" ref="I249">INDEX('GMW - worst case'!$A$2:$MC$200,MATCH(1,('GMW - worst case'!$MC$2:$MC$200=I$3)*('GMW - worst case'!$MB$2:$MB$200=I$4),0),$E249-1973)</f>
        <v>NA</v>
      </c>
      <c r="J249" t="e" cm="1">
        <f t="array" ref="J249">INDEX('GMW - worst case'!$A$2:$MC$200,MATCH(1,('GMW - worst case'!$MC$2:$MC$200=J$3)*('GMW - worst case'!$MB$2:$MB$200=J$4),0),$E249-1973)</f>
        <v>#N/A</v>
      </c>
      <c r="K249" t="e" cm="1">
        <f t="array" ref="K249">INDEX('GMW - worst case'!$A$2:$MC$200,MATCH(1,('GMW - worst case'!$MC$2:$MC$200=K$3)*('GMW - worst case'!$MB$2:$MB$200=K$4),0),$E249-1973)</f>
        <v>#N/A</v>
      </c>
      <c r="L249" t="e" cm="1">
        <f t="array" ref="L249">INDEX('GMW - worst case'!$A$2:$MC$200,MATCH(1,('GMW - worst case'!$MC$2:$MC$200=L$3)*('GMW - worst case'!$MB$2:$MB$200=L$4),0),$E249-1973)</f>
        <v>#N/A</v>
      </c>
      <c r="M249" t="e" cm="1">
        <f t="array" ref="M249">INDEX('GMW - worst case'!$A$2:$MC$200,MATCH(1,('GMW - worst case'!$MC$2:$MC$200=M$3)*('GMW - worst case'!$MB$2:$MB$200=M$4),0),$E249-1973)</f>
        <v>#N/A</v>
      </c>
      <c r="N249" t="e" cm="1">
        <f t="array" ref="N249">INDEX('GMW - worst case'!$A$2:$MC$200,MATCH(1,('GMW - worst case'!$MC$2:$MC$200=N$3)*('GMW - worst case'!$MB$2:$MB$200=N$4),0),$E249-1973)</f>
        <v>#N/A</v>
      </c>
      <c r="O249" t="e" cm="1">
        <f t="array" ref="O249">INDEX('GMW - worst case'!$A$2:$MC$200,MATCH(1,('GMW - worst case'!$MC$2:$MC$200=O$3)*('GMW - worst case'!$MB$2:$MB$200=O$4),0),$E249-1973)</f>
        <v>#N/A</v>
      </c>
      <c r="P249" t="e" cm="1">
        <f t="array" ref="P249">INDEX('GMW - worst case'!$A$2:$MC$200,MATCH(1,('GMW - worst case'!$MC$2:$MC$200=P$3)*('GMW - worst case'!$MB$2:$MB$200=P$4),0),$E249-1973)</f>
        <v>#N/A</v>
      </c>
      <c r="Q249" t="e" cm="1">
        <f t="array" ref="Q249">INDEX('GMW - worst case'!$A$2:$MC$200,MATCH(1,('GMW - worst case'!$MC$2:$MC$200=Q$3)*('GMW - worst case'!$MB$2:$MB$200=Q$4),0),$E249-1973)</f>
        <v>#N/A</v>
      </c>
      <c r="R249" t="e" cm="1">
        <f t="array" ref="R249">INDEX('GMW - worst case'!$A$2:$MC$200,MATCH(1,('GMW - worst case'!$MC$2:$MC$200=R$3)*('GMW - worst case'!$MB$2:$MB$200=R$4),0),$E249-1973)</f>
        <v>#N/A</v>
      </c>
      <c r="S249" t="e" cm="1">
        <f t="array" ref="S249">INDEX('GMW - worst case'!$A$2:$MC$200,MATCH(1,('GMW - worst case'!$MC$2:$MC$200=S$3)*('GMW - worst case'!$MB$2:$MB$200=S$4),0),$E249-1973)</f>
        <v>#N/A</v>
      </c>
    </row>
    <row r="250" spans="1:19" x14ac:dyDescent="0.25">
      <c r="B250">
        <f t="shared" si="19"/>
        <v>2040</v>
      </c>
      <c r="C250">
        <f t="shared" si="19"/>
        <v>2040</v>
      </c>
      <c r="E250">
        <f t="shared" si="16"/>
        <v>2223</v>
      </c>
      <c r="F250" t="str" cm="1">
        <f t="array" ref="F250">INDEX('GMW - worst case'!$A$2:$MC$200,MATCH(1,('GMW - worst case'!$MC$2:$MC$200=F$3)*('GMW - worst case'!$MB$2:$MB$200=F$4),0),$E250-1973)</f>
        <v>NA</v>
      </c>
      <c r="G250" t="str" cm="1">
        <f t="array" ref="G250">INDEX('GMW - worst case'!$A$2:$MC$200,MATCH(1,('GMW - worst case'!$MC$2:$MC$200=G$3)*('GMW - worst case'!$MB$2:$MB$200=G$4),0),$E250-1973)</f>
        <v>NA</v>
      </c>
      <c r="H250" t="str" cm="1">
        <f t="array" ref="H250">INDEX('GMW - worst case'!$A$2:$MC$200,MATCH(1,('GMW - worst case'!$MC$2:$MC$200=H$3)*('GMW - worst case'!$MB$2:$MB$200=H$4),0),$E250-1973)</f>
        <v>NA</v>
      </c>
      <c r="I250" t="str" cm="1">
        <f t="array" ref="I250">INDEX('GMW - worst case'!$A$2:$MC$200,MATCH(1,('GMW - worst case'!$MC$2:$MC$200=I$3)*('GMW - worst case'!$MB$2:$MB$200=I$4),0),$E250-1973)</f>
        <v>NA</v>
      </c>
      <c r="J250" t="e" cm="1">
        <f t="array" ref="J250">INDEX('GMW - worst case'!$A$2:$MC$200,MATCH(1,('GMW - worst case'!$MC$2:$MC$200=J$3)*('GMW - worst case'!$MB$2:$MB$200=J$4),0),$E250-1973)</f>
        <v>#N/A</v>
      </c>
      <c r="K250" t="e" cm="1">
        <f t="array" ref="K250">INDEX('GMW - worst case'!$A$2:$MC$200,MATCH(1,('GMW - worst case'!$MC$2:$MC$200=K$3)*('GMW - worst case'!$MB$2:$MB$200=K$4),0),$E250-1973)</f>
        <v>#N/A</v>
      </c>
      <c r="L250" t="e" cm="1">
        <f t="array" ref="L250">INDEX('GMW - worst case'!$A$2:$MC$200,MATCH(1,('GMW - worst case'!$MC$2:$MC$200=L$3)*('GMW - worst case'!$MB$2:$MB$200=L$4),0),$E250-1973)</f>
        <v>#N/A</v>
      </c>
      <c r="M250" t="e" cm="1">
        <f t="array" ref="M250">INDEX('GMW - worst case'!$A$2:$MC$200,MATCH(1,('GMW - worst case'!$MC$2:$MC$200=M$3)*('GMW - worst case'!$MB$2:$MB$200=M$4),0),$E250-1973)</f>
        <v>#N/A</v>
      </c>
      <c r="N250" t="e" cm="1">
        <f t="array" ref="N250">INDEX('GMW - worst case'!$A$2:$MC$200,MATCH(1,('GMW - worst case'!$MC$2:$MC$200=N$3)*('GMW - worst case'!$MB$2:$MB$200=N$4),0),$E250-1973)</f>
        <v>#N/A</v>
      </c>
      <c r="O250" t="e" cm="1">
        <f t="array" ref="O250">INDEX('GMW - worst case'!$A$2:$MC$200,MATCH(1,('GMW - worst case'!$MC$2:$MC$200=O$3)*('GMW - worst case'!$MB$2:$MB$200=O$4),0),$E250-1973)</f>
        <v>#N/A</v>
      </c>
      <c r="P250" t="e" cm="1">
        <f t="array" ref="P250">INDEX('GMW - worst case'!$A$2:$MC$200,MATCH(1,('GMW - worst case'!$MC$2:$MC$200=P$3)*('GMW - worst case'!$MB$2:$MB$200=P$4),0),$E250-1973)</f>
        <v>#N/A</v>
      </c>
      <c r="Q250" t="e" cm="1">
        <f t="array" ref="Q250">INDEX('GMW - worst case'!$A$2:$MC$200,MATCH(1,('GMW - worst case'!$MC$2:$MC$200=Q$3)*('GMW - worst case'!$MB$2:$MB$200=Q$4),0),$E250-1973)</f>
        <v>#N/A</v>
      </c>
      <c r="R250" t="e" cm="1">
        <f t="array" ref="R250">INDEX('GMW - worst case'!$A$2:$MC$200,MATCH(1,('GMW - worst case'!$MC$2:$MC$200=R$3)*('GMW - worst case'!$MB$2:$MB$200=R$4),0),$E250-1973)</f>
        <v>#N/A</v>
      </c>
      <c r="S250" t="e" cm="1">
        <f t="array" ref="S250">INDEX('GMW - worst case'!$A$2:$MC$200,MATCH(1,('GMW - worst case'!$MC$2:$MC$200=S$3)*('GMW - worst case'!$MB$2:$MB$200=S$4),0),$E250-1973)</f>
        <v>#N/A</v>
      </c>
    </row>
    <row r="251" spans="1:19" x14ac:dyDescent="0.25">
      <c r="A251">
        <v>2041</v>
      </c>
      <c r="B251">
        <f t="shared" si="19"/>
        <v>2041</v>
      </c>
      <c r="C251">
        <f t="shared" si="19"/>
        <v>2040</v>
      </c>
      <c r="D251">
        <f t="shared" si="19"/>
        <v>2040</v>
      </c>
      <c r="E251">
        <f t="shared" si="16"/>
        <v>2224</v>
      </c>
      <c r="F251" t="str" cm="1">
        <f t="array" ref="F251">INDEX('GMW - worst case'!$A$2:$MC$200,MATCH(1,('GMW - worst case'!$MC$2:$MC$200=F$3)*('GMW - worst case'!$MB$2:$MB$200=F$4),0),$E251-1973)</f>
        <v>NA</v>
      </c>
      <c r="G251" t="str" cm="1">
        <f t="array" ref="G251">INDEX('GMW - worst case'!$A$2:$MC$200,MATCH(1,('GMW - worst case'!$MC$2:$MC$200=G$3)*('GMW - worst case'!$MB$2:$MB$200=G$4),0),$E251-1973)</f>
        <v>NA</v>
      </c>
      <c r="H251" t="str" cm="1">
        <f t="array" ref="H251">INDEX('GMW - worst case'!$A$2:$MC$200,MATCH(1,('GMW - worst case'!$MC$2:$MC$200=H$3)*('GMW - worst case'!$MB$2:$MB$200=H$4),0),$E251-1973)</f>
        <v>NA</v>
      </c>
      <c r="I251" t="str" cm="1">
        <f t="array" ref="I251">INDEX('GMW - worst case'!$A$2:$MC$200,MATCH(1,('GMW - worst case'!$MC$2:$MC$200=I$3)*('GMW - worst case'!$MB$2:$MB$200=I$4),0),$E251-1973)</f>
        <v>NA</v>
      </c>
      <c r="J251" t="e" cm="1">
        <f t="array" ref="J251">INDEX('GMW - worst case'!$A$2:$MC$200,MATCH(1,('GMW - worst case'!$MC$2:$MC$200=J$3)*('GMW - worst case'!$MB$2:$MB$200=J$4),0),$E251-1973)</f>
        <v>#N/A</v>
      </c>
      <c r="K251" t="e" cm="1">
        <f t="array" ref="K251">INDEX('GMW - worst case'!$A$2:$MC$200,MATCH(1,('GMW - worst case'!$MC$2:$MC$200=K$3)*('GMW - worst case'!$MB$2:$MB$200=K$4),0),$E251-1973)</f>
        <v>#N/A</v>
      </c>
      <c r="L251" t="e" cm="1">
        <f t="array" ref="L251">INDEX('GMW - worst case'!$A$2:$MC$200,MATCH(1,('GMW - worst case'!$MC$2:$MC$200=L$3)*('GMW - worst case'!$MB$2:$MB$200=L$4),0),$E251-1973)</f>
        <v>#N/A</v>
      </c>
      <c r="M251" t="e" cm="1">
        <f t="array" ref="M251">INDEX('GMW - worst case'!$A$2:$MC$200,MATCH(1,('GMW - worst case'!$MC$2:$MC$200=M$3)*('GMW - worst case'!$MB$2:$MB$200=M$4),0),$E251-1973)</f>
        <v>#N/A</v>
      </c>
      <c r="N251" t="e" cm="1">
        <f t="array" ref="N251">INDEX('GMW - worst case'!$A$2:$MC$200,MATCH(1,('GMW - worst case'!$MC$2:$MC$200=N$3)*('GMW - worst case'!$MB$2:$MB$200=N$4),0),$E251-1973)</f>
        <v>#N/A</v>
      </c>
      <c r="O251" t="e" cm="1">
        <f t="array" ref="O251">INDEX('GMW - worst case'!$A$2:$MC$200,MATCH(1,('GMW - worst case'!$MC$2:$MC$200=O$3)*('GMW - worst case'!$MB$2:$MB$200=O$4),0),$E251-1973)</f>
        <v>#N/A</v>
      </c>
      <c r="P251" t="e" cm="1">
        <f t="array" ref="P251">INDEX('GMW - worst case'!$A$2:$MC$200,MATCH(1,('GMW - worst case'!$MC$2:$MC$200=P$3)*('GMW - worst case'!$MB$2:$MB$200=P$4),0),$E251-1973)</f>
        <v>#N/A</v>
      </c>
      <c r="Q251" t="e" cm="1">
        <f t="array" ref="Q251">INDEX('GMW - worst case'!$A$2:$MC$200,MATCH(1,('GMW - worst case'!$MC$2:$MC$200=Q$3)*('GMW - worst case'!$MB$2:$MB$200=Q$4),0),$E251-1973)</f>
        <v>#N/A</v>
      </c>
      <c r="R251" t="e" cm="1">
        <f t="array" ref="R251">INDEX('GMW - worst case'!$A$2:$MC$200,MATCH(1,('GMW - worst case'!$MC$2:$MC$200=R$3)*('GMW - worst case'!$MB$2:$MB$200=R$4),0),$E251-1973)</f>
        <v>#N/A</v>
      </c>
      <c r="S251" t="e" cm="1">
        <f t="array" ref="S251">INDEX('GMW - worst case'!$A$2:$MC$200,MATCH(1,('GMW - worst case'!$MC$2:$MC$200=S$3)*('GMW - worst case'!$MB$2:$MB$200=S$4),0),$E251-1973)</f>
        <v>#N/A</v>
      </c>
    </row>
    <row r="252" spans="1:19" x14ac:dyDescent="0.25">
      <c r="B252">
        <f t="shared" ref="B252:D267" si="20">+B248+1</f>
        <v>2041</v>
      </c>
      <c r="C252">
        <f t="shared" si="20"/>
        <v>2041</v>
      </c>
      <c r="E252">
        <f t="shared" si="16"/>
        <v>2225</v>
      </c>
      <c r="F252" t="str" cm="1">
        <f t="array" ref="F252">INDEX('GMW - worst case'!$A$2:$MC$200,MATCH(1,('GMW - worst case'!$MC$2:$MC$200=F$3)*('GMW - worst case'!$MB$2:$MB$200=F$4),0),$E252-1973)</f>
        <v>NA</v>
      </c>
      <c r="G252" t="str" cm="1">
        <f t="array" ref="G252">INDEX('GMW - worst case'!$A$2:$MC$200,MATCH(1,('GMW - worst case'!$MC$2:$MC$200=G$3)*('GMW - worst case'!$MB$2:$MB$200=G$4),0),$E252-1973)</f>
        <v>NA</v>
      </c>
      <c r="H252" t="str" cm="1">
        <f t="array" ref="H252">INDEX('GMW - worst case'!$A$2:$MC$200,MATCH(1,('GMW - worst case'!$MC$2:$MC$200=H$3)*('GMW - worst case'!$MB$2:$MB$200=H$4),0),$E252-1973)</f>
        <v>NA</v>
      </c>
      <c r="I252" t="str" cm="1">
        <f t="array" ref="I252">INDEX('GMW - worst case'!$A$2:$MC$200,MATCH(1,('GMW - worst case'!$MC$2:$MC$200=I$3)*('GMW - worst case'!$MB$2:$MB$200=I$4),0),$E252-1973)</f>
        <v>NA</v>
      </c>
      <c r="J252" t="e" cm="1">
        <f t="array" ref="J252">INDEX('GMW - worst case'!$A$2:$MC$200,MATCH(1,('GMW - worst case'!$MC$2:$MC$200=J$3)*('GMW - worst case'!$MB$2:$MB$200=J$4),0),$E252-1973)</f>
        <v>#N/A</v>
      </c>
      <c r="K252" t="e" cm="1">
        <f t="array" ref="K252">INDEX('GMW - worst case'!$A$2:$MC$200,MATCH(1,('GMW - worst case'!$MC$2:$MC$200=K$3)*('GMW - worst case'!$MB$2:$MB$200=K$4),0),$E252-1973)</f>
        <v>#N/A</v>
      </c>
      <c r="L252" t="e" cm="1">
        <f t="array" ref="L252">INDEX('GMW - worst case'!$A$2:$MC$200,MATCH(1,('GMW - worst case'!$MC$2:$MC$200=L$3)*('GMW - worst case'!$MB$2:$MB$200=L$4),0),$E252-1973)</f>
        <v>#N/A</v>
      </c>
      <c r="M252" t="e" cm="1">
        <f t="array" ref="M252">INDEX('GMW - worst case'!$A$2:$MC$200,MATCH(1,('GMW - worst case'!$MC$2:$MC$200=M$3)*('GMW - worst case'!$MB$2:$MB$200=M$4),0),$E252-1973)</f>
        <v>#N/A</v>
      </c>
      <c r="N252" t="e" cm="1">
        <f t="array" ref="N252">INDEX('GMW - worst case'!$A$2:$MC$200,MATCH(1,('GMW - worst case'!$MC$2:$MC$200=N$3)*('GMW - worst case'!$MB$2:$MB$200=N$4),0),$E252-1973)</f>
        <v>#N/A</v>
      </c>
      <c r="O252" t="e" cm="1">
        <f t="array" ref="O252">INDEX('GMW - worst case'!$A$2:$MC$200,MATCH(1,('GMW - worst case'!$MC$2:$MC$200=O$3)*('GMW - worst case'!$MB$2:$MB$200=O$4),0),$E252-1973)</f>
        <v>#N/A</v>
      </c>
      <c r="P252" t="e" cm="1">
        <f t="array" ref="P252">INDEX('GMW - worst case'!$A$2:$MC$200,MATCH(1,('GMW - worst case'!$MC$2:$MC$200=P$3)*('GMW - worst case'!$MB$2:$MB$200=P$4),0),$E252-1973)</f>
        <v>#N/A</v>
      </c>
      <c r="Q252" t="e" cm="1">
        <f t="array" ref="Q252">INDEX('GMW - worst case'!$A$2:$MC$200,MATCH(1,('GMW - worst case'!$MC$2:$MC$200=Q$3)*('GMW - worst case'!$MB$2:$MB$200=Q$4),0),$E252-1973)</f>
        <v>#N/A</v>
      </c>
      <c r="R252" t="e" cm="1">
        <f t="array" ref="R252">INDEX('GMW - worst case'!$A$2:$MC$200,MATCH(1,('GMW - worst case'!$MC$2:$MC$200=R$3)*('GMW - worst case'!$MB$2:$MB$200=R$4),0),$E252-1973)</f>
        <v>#N/A</v>
      </c>
      <c r="S252" t="e" cm="1">
        <f t="array" ref="S252">INDEX('GMW - worst case'!$A$2:$MC$200,MATCH(1,('GMW - worst case'!$MC$2:$MC$200=S$3)*('GMW - worst case'!$MB$2:$MB$200=S$4),0),$E252-1973)</f>
        <v>#N/A</v>
      </c>
    </row>
    <row r="253" spans="1:19" x14ac:dyDescent="0.25">
      <c r="B253">
        <f t="shared" si="20"/>
        <v>2041</v>
      </c>
      <c r="C253">
        <f t="shared" si="20"/>
        <v>2041</v>
      </c>
      <c r="E253">
        <f t="shared" si="16"/>
        <v>2226</v>
      </c>
      <c r="F253" t="str" cm="1">
        <f t="array" ref="F253">INDEX('GMW - worst case'!$A$2:$MC$200,MATCH(1,('GMW - worst case'!$MC$2:$MC$200=F$3)*('GMW - worst case'!$MB$2:$MB$200=F$4),0),$E253-1973)</f>
        <v>NA</v>
      </c>
      <c r="G253" t="str" cm="1">
        <f t="array" ref="G253">INDEX('GMW - worst case'!$A$2:$MC$200,MATCH(1,('GMW - worst case'!$MC$2:$MC$200=G$3)*('GMW - worst case'!$MB$2:$MB$200=G$4),0),$E253-1973)</f>
        <v>NA</v>
      </c>
      <c r="H253" t="str" cm="1">
        <f t="array" ref="H253">INDEX('GMW - worst case'!$A$2:$MC$200,MATCH(1,('GMW - worst case'!$MC$2:$MC$200=H$3)*('GMW - worst case'!$MB$2:$MB$200=H$4),0),$E253-1973)</f>
        <v>NA</v>
      </c>
      <c r="I253" t="str" cm="1">
        <f t="array" ref="I253">INDEX('GMW - worst case'!$A$2:$MC$200,MATCH(1,('GMW - worst case'!$MC$2:$MC$200=I$3)*('GMW - worst case'!$MB$2:$MB$200=I$4),0),$E253-1973)</f>
        <v>NA</v>
      </c>
      <c r="J253" t="e" cm="1">
        <f t="array" ref="J253">INDEX('GMW - worst case'!$A$2:$MC$200,MATCH(1,('GMW - worst case'!$MC$2:$MC$200=J$3)*('GMW - worst case'!$MB$2:$MB$200=J$4),0),$E253-1973)</f>
        <v>#N/A</v>
      </c>
      <c r="K253" t="e" cm="1">
        <f t="array" ref="K253">INDEX('GMW - worst case'!$A$2:$MC$200,MATCH(1,('GMW - worst case'!$MC$2:$MC$200=K$3)*('GMW - worst case'!$MB$2:$MB$200=K$4),0),$E253-1973)</f>
        <v>#N/A</v>
      </c>
      <c r="L253" t="e" cm="1">
        <f t="array" ref="L253">INDEX('GMW - worst case'!$A$2:$MC$200,MATCH(1,('GMW - worst case'!$MC$2:$MC$200=L$3)*('GMW - worst case'!$MB$2:$MB$200=L$4),0),$E253-1973)</f>
        <v>#N/A</v>
      </c>
      <c r="M253" t="e" cm="1">
        <f t="array" ref="M253">INDEX('GMW - worst case'!$A$2:$MC$200,MATCH(1,('GMW - worst case'!$MC$2:$MC$200=M$3)*('GMW - worst case'!$MB$2:$MB$200=M$4),0),$E253-1973)</f>
        <v>#N/A</v>
      </c>
      <c r="N253" t="e" cm="1">
        <f t="array" ref="N253">INDEX('GMW - worst case'!$A$2:$MC$200,MATCH(1,('GMW - worst case'!$MC$2:$MC$200=N$3)*('GMW - worst case'!$MB$2:$MB$200=N$4),0),$E253-1973)</f>
        <v>#N/A</v>
      </c>
      <c r="O253" t="e" cm="1">
        <f t="array" ref="O253">INDEX('GMW - worst case'!$A$2:$MC$200,MATCH(1,('GMW - worst case'!$MC$2:$MC$200=O$3)*('GMW - worst case'!$MB$2:$MB$200=O$4),0),$E253-1973)</f>
        <v>#N/A</v>
      </c>
      <c r="P253" t="e" cm="1">
        <f t="array" ref="P253">INDEX('GMW - worst case'!$A$2:$MC$200,MATCH(1,('GMW - worst case'!$MC$2:$MC$200=P$3)*('GMW - worst case'!$MB$2:$MB$200=P$4),0),$E253-1973)</f>
        <v>#N/A</v>
      </c>
      <c r="Q253" t="e" cm="1">
        <f t="array" ref="Q253">INDEX('GMW - worst case'!$A$2:$MC$200,MATCH(1,('GMW - worst case'!$MC$2:$MC$200=Q$3)*('GMW - worst case'!$MB$2:$MB$200=Q$4),0),$E253-1973)</f>
        <v>#N/A</v>
      </c>
      <c r="R253" t="e" cm="1">
        <f t="array" ref="R253">INDEX('GMW - worst case'!$A$2:$MC$200,MATCH(1,('GMW - worst case'!$MC$2:$MC$200=R$3)*('GMW - worst case'!$MB$2:$MB$200=R$4),0),$E253-1973)</f>
        <v>#N/A</v>
      </c>
      <c r="S253" t="e" cm="1">
        <f t="array" ref="S253">INDEX('GMW - worst case'!$A$2:$MC$200,MATCH(1,('GMW - worst case'!$MC$2:$MC$200=S$3)*('GMW - worst case'!$MB$2:$MB$200=S$4),0),$E253-1973)</f>
        <v>#N/A</v>
      </c>
    </row>
    <row r="254" spans="1:19" x14ac:dyDescent="0.25">
      <c r="B254">
        <f t="shared" si="20"/>
        <v>2041</v>
      </c>
      <c r="C254">
        <f t="shared" si="20"/>
        <v>2041</v>
      </c>
      <c r="E254">
        <f t="shared" si="16"/>
        <v>2227</v>
      </c>
      <c r="F254" t="str" cm="1">
        <f t="array" ref="F254">INDEX('GMW - worst case'!$A$2:$MC$200,MATCH(1,('GMW - worst case'!$MC$2:$MC$200=F$3)*('GMW - worst case'!$MB$2:$MB$200=F$4),0),$E254-1973)</f>
        <v>NA</v>
      </c>
      <c r="G254" t="str" cm="1">
        <f t="array" ref="G254">INDEX('GMW - worst case'!$A$2:$MC$200,MATCH(1,('GMW - worst case'!$MC$2:$MC$200=G$3)*('GMW - worst case'!$MB$2:$MB$200=G$4),0),$E254-1973)</f>
        <v>NA</v>
      </c>
      <c r="H254" t="str" cm="1">
        <f t="array" ref="H254">INDEX('GMW - worst case'!$A$2:$MC$200,MATCH(1,('GMW - worst case'!$MC$2:$MC$200=H$3)*('GMW - worst case'!$MB$2:$MB$200=H$4),0),$E254-1973)</f>
        <v>NA</v>
      </c>
      <c r="I254" t="str" cm="1">
        <f t="array" ref="I254">INDEX('GMW - worst case'!$A$2:$MC$200,MATCH(1,('GMW - worst case'!$MC$2:$MC$200=I$3)*('GMW - worst case'!$MB$2:$MB$200=I$4),0),$E254-1973)</f>
        <v>NA</v>
      </c>
      <c r="J254" t="e" cm="1">
        <f t="array" ref="J254">INDEX('GMW - worst case'!$A$2:$MC$200,MATCH(1,('GMW - worst case'!$MC$2:$MC$200=J$3)*('GMW - worst case'!$MB$2:$MB$200=J$4),0),$E254-1973)</f>
        <v>#N/A</v>
      </c>
      <c r="K254" t="e" cm="1">
        <f t="array" ref="K254">INDEX('GMW - worst case'!$A$2:$MC$200,MATCH(1,('GMW - worst case'!$MC$2:$MC$200=K$3)*('GMW - worst case'!$MB$2:$MB$200=K$4),0),$E254-1973)</f>
        <v>#N/A</v>
      </c>
      <c r="L254" t="e" cm="1">
        <f t="array" ref="L254">INDEX('GMW - worst case'!$A$2:$MC$200,MATCH(1,('GMW - worst case'!$MC$2:$MC$200=L$3)*('GMW - worst case'!$MB$2:$MB$200=L$4),0),$E254-1973)</f>
        <v>#N/A</v>
      </c>
      <c r="M254" t="e" cm="1">
        <f t="array" ref="M254">INDEX('GMW - worst case'!$A$2:$MC$200,MATCH(1,('GMW - worst case'!$MC$2:$MC$200=M$3)*('GMW - worst case'!$MB$2:$MB$200=M$4),0),$E254-1973)</f>
        <v>#N/A</v>
      </c>
      <c r="N254" t="e" cm="1">
        <f t="array" ref="N254">INDEX('GMW - worst case'!$A$2:$MC$200,MATCH(1,('GMW - worst case'!$MC$2:$MC$200=N$3)*('GMW - worst case'!$MB$2:$MB$200=N$4),0),$E254-1973)</f>
        <v>#N/A</v>
      </c>
      <c r="O254" t="e" cm="1">
        <f t="array" ref="O254">INDEX('GMW - worst case'!$A$2:$MC$200,MATCH(1,('GMW - worst case'!$MC$2:$MC$200=O$3)*('GMW - worst case'!$MB$2:$MB$200=O$4),0),$E254-1973)</f>
        <v>#N/A</v>
      </c>
      <c r="P254" t="e" cm="1">
        <f t="array" ref="P254">INDEX('GMW - worst case'!$A$2:$MC$200,MATCH(1,('GMW - worst case'!$MC$2:$MC$200=P$3)*('GMW - worst case'!$MB$2:$MB$200=P$4),0),$E254-1973)</f>
        <v>#N/A</v>
      </c>
      <c r="Q254" t="e" cm="1">
        <f t="array" ref="Q254">INDEX('GMW - worst case'!$A$2:$MC$200,MATCH(1,('GMW - worst case'!$MC$2:$MC$200=Q$3)*('GMW - worst case'!$MB$2:$MB$200=Q$4),0),$E254-1973)</f>
        <v>#N/A</v>
      </c>
      <c r="R254" t="e" cm="1">
        <f t="array" ref="R254">INDEX('GMW - worst case'!$A$2:$MC$200,MATCH(1,('GMW - worst case'!$MC$2:$MC$200=R$3)*('GMW - worst case'!$MB$2:$MB$200=R$4),0),$E254-1973)</f>
        <v>#N/A</v>
      </c>
      <c r="S254" t="e" cm="1">
        <f t="array" ref="S254">INDEX('GMW - worst case'!$A$2:$MC$200,MATCH(1,('GMW - worst case'!$MC$2:$MC$200=S$3)*('GMW - worst case'!$MB$2:$MB$200=S$4),0),$E254-1973)</f>
        <v>#N/A</v>
      </c>
    </row>
    <row r="255" spans="1:19" x14ac:dyDescent="0.25">
      <c r="A255">
        <v>2042</v>
      </c>
      <c r="B255">
        <f t="shared" si="20"/>
        <v>2042</v>
      </c>
      <c r="C255">
        <f t="shared" si="20"/>
        <v>2041</v>
      </c>
      <c r="D255">
        <f t="shared" si="20"/>
        <v>2041</v>
      </c>
      <c r="E255">
        <f t="shared" si="16"/>
        <v>2228</v>
      </c>
      <c r="F255" t="str" cm="1">
        <f t="array" ref="F255">INDEX('GMW - worst case'!$A$2:$MC$200,MATCH(1,('GMW - worst case'!$MC$2:$MC$200=F$3)*('GMW - worst case'!$MB$2:$MB$200=F$4),0),$E255-1973)</f>
        <v>NA</v>
      </c>
      <c r="G255" t="str" cm="1">
        <f t="array" ref="G255">INDEX('GMW - worst case'!$A$2:$MC$200,MATCH(1,('GMW - worst case'!$MC$2:$MC$200=G$3)*('GMW - worst case'!$MB$2:$MB$200=G$4),0),$E255-1973)</f>
        <v>NA</v>
      </c>
      <c r="H255" t="str" cm="1">
        <f t="array" ref="H255">INDEX('GMW - worst case'!$A$2:$MC$200,MATCH(1,('GMW - worst case'!$MC$2:$MC$200=H$3)*('GMW - worst case'!$MB$2:$MB$200=H$4),0),$E255-1973)</f>
        <v>NA</v>
      </c>
      <c r="I255" t="str" cm="1">
        <f t="array" ref="I255">INDEX('GMW - worst case'!$A$2:$MC$200,MATCH(1,('GMW - worst case'!$MC$2:$MC$200=I$3)*('GMW - worst case'!$MB$2:$MB$200=I$4),0),$E255-1973)</f>
        <v>NA</v>
      </c>
      <c r="J255" t="e" cm="1">
        <f t="array" ref="J255">INDEX('GMW - worst case'!$A$2:$MC$200,MATCH(1,('GMW - worst case'!$MC$2:$MC$200=J$3)*('GMW - worst case'!$MB$2:$MB$200=J$4),0),$E255-1973)</f>
        <v>#N/A</v>
      </c>
      <c r="K255" t="e" cm="1">
        <f t="array" ref="K255">INDEX('GMW - worst case'!$A$2:$MC$200,MATCH(1,('GMW - worst case'!$MC$2:$MC$200=K$3)*('GMW - worst case'!$MB$2:$MB$200=K$4),0),$E255-1973)</f>
        <v>#N/A</v>
      </c>
      <c r="L255" t="e" cm="1">
        <f t="array" ref="L255">INDEX('GMW - worst case'!$A$2:$MC$200,MATCH(1,('GMW - worst case'!$MC$2:$MC$200=L$3)*('GMW - worst case'!$MB$2:$MB$200=L$4),0),$E255-1973)</f>
        <v>#N/A</v>
      </c>
      <c r="M255" t="e" cm="1">
        <f t="array" ref="M255">INDEX('GMW - worst case'!$A$2:$MC$200,MATCH(1,('GMW - worst case'!$MC$2:$MC$200=M$3)*('GMW - worst case'!$MB$2:$MB$200=M$4),0),$E255-1973)</f>
        <v>#N/A</v>
      </c>
      <c r="N255" t="e" cm="1">
        <f t="array" ref="N255">INDEX('GMW - worst case'!$A$2:$MC$200,MATCH(1,('GMW - worst case'!$MC$2:$MC$200=N$3)*('GMW - worst case'!$MB$2:$MB$200=N$4),0),$E255-1973)</f>
        <v>#N/A</v>
      </c>
      <c r="O255" t="e" cm="1">
        <f t="array" ref="O255">INDEX('GMW - worst case'!$A$2:$MC$200,MATCH(1,('GMW - worst case'!$MC$2:$MC$200=O$3)*('GMW - worst case'!$MB$2:$MB$200=O$4),0),$E255-1973)</f>
        <v>#N/A</v>
      </c>
      <c r="P255" t="e" cm="1">
        <f t="array" ref="P255">INDEX('GMW - worst case'!$A$2:$MC$200,MATCH(1,('GMW - worst case'!$MC$2:$MC$200=P$3)*('GMW - worst case'!$MB$2:$MB$200=P$4),0),$E255-1973)</f>
        <v>#N/A</v>
      </c>
      <c r="Q255" t="e" cm="1">
        <f t="array" ref="Q255">INDEX('GMW - worst case'!$A$2:$MC$200,MATCH(1,('GMW - worst case'!$MC$2:$MC$200=Q$3)*('GMW - worst case'!$MB$2:$MB$200=Q$4),0),$E255-1973)</f>
        <v>#N/A</v>
      </c>
      <c r="R255" t="e" cm="1">
        <f t="array" ref="R255">INDEX('GMW - worst case'!$A$2:$MC$200,MATCH(1,('GMW - worst case'!$MC$2:$MC$200=R$3)*('GMW - worst case'!$MB$2:$MB$200=R$4),0),$E255-1973)</f>
        <v>#N/A</v>
      </c>
      <c r="S255" t="e" cm="1">
        <f t="array" ref="S255">INDEX('GMW - worst case'!$A$2:$MC$200,MATCH(1,('GMW - worst case'!$MC$2:$MC$200=S$3)*('GMW - worst case'!$MB$2:$MB$200=S$4),0),$E255-1973)</f>
        <v>#N/A</v>
      </c>
    </row>
    <row r="256" spans="1:19" x14ac:dyDescent="0.25">
      <c r="B256">
        <f t="shared" si="20"/>
        <v>2042</v>
      </c>
      <c r="C256">
        <f t="shared" si="20"/>
        <v>2042</v>
      </c>
      <c r="E256">
        <f t="shared" si="16"/>
        <v>2229</v>
      </c>
      <c r="F256" t="str" cm="1">
        <f t="array" ref="F256">INDEX('GMW - worst case'!$A$2:$MC$200,MATCH(1,('GMW - worst case'!$MC$2:$MC$200=F$3)*('GMW - worst case'!$MB$2:$MB$200=F$4),0),$E256-1973)</f>
        <v>NA</v>
      </c>
      <c r="G256" t="str" cm="1">
        <f t="array" ref="G256">INDEX('GMW - worst case'!$A$2:$MC$200,MATCH(1,('GMW - worst case'!$MC$2:$MC$200=G$3)*('GMW - worst case'!$MB$2:$MB$200=G$4),0),$E256-1973)</f>
        <v>NA</v>
      </c>
      <c r="H256" t="str" cm="1">
        <f t="array" ref="H256">INDEX('GMW - worst case'!$A$2:$MC$200,MATCH(1,('GMW - worst case'!$MC$2:$MC$200=H$3)*('GMW - worst case'!$MB$2:$MB$200=H$4),0),$E256-1973)</f>
        <v>NA</v>
      </c>
      <c r="I256" t="str" cm="1">
        <f t="array" ref="I256">INDEX('GMW - worst case'!$A$2:$MC$200,MATCH(1,('GMW - worst case'!$MC$2:$MC$200=I$3)*('GMW - worst case'!$MB$2:$MB$200=I$4),0),$E256-1973)</f>
        <v>NA</v>
      </c>
      <c r="J256" t="e" cm="1">
        <f t="array" ref="J256">INDEX('GMW - worst case'!$A$2:$MC$200,MATCH(1,('GMW - worst case'!$MC$2:$MC$200=J$3)*('GMW - worst case'!$MB$2:$MB$200=J$4),0),$E256-1973)</f>
        <v>#N/A</v>
      </c>
      <c r="K256" t="e" cm="1">
        <f t="array" ref="K256">INDEX('GMW - worst case'!$A$2:$MC$200,MATCH(1,('GMW - worst case'!$MC$2:$MC$200=K$3)*('GMW - worst case'!$MB$2:$MB$200=K$4),0),$E256-1973)</f>
        <v>#N/A</v>
      </c>
      <c r="L256" t="e" cm="1">
        <f t="array" ref="L256">INDEX('GMW - worst case'!$A$2:$MC$200,MATCH(1,('GMW - worst case'!$MC$2:$MC$200=L$3)*('GMW - worst case'!$MB$2:$MB$200=L$4),0),$E256-1973)</f>
        <v>#N/A</v>
      </c>
      <c r="M256" t="e" cm="1">
        <f t="array" ref="M256">INDEX('GMW - worst case'!$A$2:$MC$200,MATCH(1,('GMW - worst case'!$MC$2:$MC$200=M$3)*('GMW - worst case'!$MB$2:$MB$200=M$4),0),$E256-1973)</f>
        <v>#N/A</v>
      </c>
      <c r="N256" t="e" cm="1">
        <f t="array" ref="N256">INDEX('GMW - worst case'!$A$2:$MC$200,MATCH(1,('GMW - worst case'!$MC$2:$MC$200=N$3)*('GMW - worst case'!$MB$2:$MB$200=N$4),0),$E256-1973)</f>
        <v>#N/A</v>
      </c>
      <c r="O256" t="e" cm="1">
        <f t="array" ref="O256">INDEX('GMW - worst case'!$A$2:$MC$200,MATCH(1,('GMW - worst case'!$MC$2:$MC$200=O$3)*('GMW - worst case'!$MB$2:$MB$200=O$4),0),$E256-1973)</f>
        <v>#N/A</v>
      </c>
      <c r="P256" t="e" cm="1">
        <f t="array" ref="P256">INDEX('GMW - worst case'!$A$2:$MC$200,MATCH(1,('GMW - worst case'!$MC$2:$MC$200=P$3)*('GMW - worst case'!$MB$2:$MB$200=P$4),0),$E256-1973)</f>
        <v>#N/A</v>
      </c>
      <c r="Q256" t="e" cm="1">
        <f t="array" ref="Q256">INDEX('GMW - worst case'!$A$2:$MC$200,MATCH(1,('GMW - worst case'!$MC$2:$MC$200=Q$3)*('GMW - worst case'!$MB$2:$MB$200=Q$4),0),$E256-1973)</f>
        <v>#N/A</v>
      </c>
      <c r="R256" t="e" cm="1">
        <f t="array" ref="R256">INDEX('GMW - worst case'!$A$2:$MC$200,MATCH(1,('GMW - worst case'!$MC$2:$MC$200=R$3)*('GMW - worst case'!$MB$2:$MB$200=R$4),0),$E256-1973)</f>
        <v>#N/A</v>
      </c>
      <c r="S256" t="e" cm="1">
        <f t="array" ref="S256">INDEX('GMW - worst case'!$A$2:$MC$200,MATCH(1,('GMW - worst case'!$MC$2:$MC$200=S$3)*('GMW - worst case'!$MB$2:$MB$200=S$4),0),$E256-1973)</f>
        <v>#N/A</v>
      </c>
    </row>
    <row r="257" spans="1:19" x14ac:dyDescent="0.25">
      <c r="B257">
        <f t="shared" si="20"/>
        <v>2042</v>
      </c>
      <c r="C257">
        <f t="shared" si="20"/>
        <v>2042</v>
      </c>
      <c r="E257">
        <f t="shared" si="16"/>
        <v>2230</v>
      </c>
      <c r="F257" t="str" cm="1">
        <f t="array" ref="F257">INDEX('GMW - worst case'!$A$2:$MC$200,MATCH(1,('GMW - worst case'!$MC$2:$MC$200=F$3)*('GMW - worst case'!$MB$2:$MB$200=F$4),0),$E257-1973)</f>
        <v>NA</v>
      </c>
      <c r="G257" t="str" cm="1">
        <f t="array" ref="G257">INDEX('GMW - worst case'!$A$2:$MC$200,MATCH(1,('GMW - worst case'!$MC$2:$MC$200=G$3)*('GMW - worst case'!$MB$2:$MB$200=G$4),0),$E257-1973)</f>
        <v>NA</v>
      </c>
      <c r="H257" t="str" cm="1">
        <f t="array" ref="H257">INDEX('GMW - worst case'!$A$2:$MC$200,MATCH(1,('GMW - worst case'!$MC$2:$MC$200=H$3)*('GMW - worst case'!$MB$2:$MB$200=H$4),0),$E257-1973)</f>
        <v>NA</v>
      </c>
      <c r="I257" t="str" cm="1">
        <f t="array" ref="I257">INDEX('GMW - worst case'!$A$2:$MC$200,MATCH(1,('GMW - worst case'!$MC$2:$MC$200=I$3)*('GMW - worst case'!$MB$2:$MB$200=I$4),0),$E257-1973)</f>
        <v>NA</v>
      </c>
      <c r="J257" t="e" cm="1">
        <f t="array" ref="J257">INDEX('GMW - worst case'!$A$2:$MC$200,MATCH(1,('GMW - worst case'!$MC$2:$MC$200=J$3)*('GMW - worst case'!$MB$2:$MB$200=J$4),0),$E257-1973)</f>
        <v>#N/A</v>
      </c>
      <c r="K257" t="e" cm="1">
        <f t="array" ref="K257">INDEX('GMW - worst case'!$A$2:$MC$200,MATCH(1,('GMW - worst case'!$MC$2:$MC$200=K$3)*('GMW - worst case'!$MB$2:$MB$200=K$4),0),$E257-1973)</f>
        <v>#N/A</v>
      </c>
      <c r="L257" t="e" cm="1">
        <f t="array" ref="L257">INDEX('GMW - worst case'!$A$2:$MC$200,MATCH(1,('GMW - worst case'!$MC$2:$MC$200=L$3)*('GMW - worst case'!$MB$2:$MB$200=L$4),0),$E257-1973)</f>
        <v>#N/A</v>
      </c>
      <c r="M257" t="e" cm="1">
        <f t="array" ref="M257">INDEX('GMW - worst case'!$A$2:$MC$200,MATCH(1,('GMW - worst case'!$MC$2:$MC$200=M$3)*('GMW - worst case'!$MB$2:$MB$200=M$4),0),$E257-1973)</f>
        <v>#N/A</v>
      </c>
      <c r="N257" t="e" cm="1">
        <f t="array" ref="N257">INDEX('GMW - worst case'!$A$2:$MC$200,MATCH(1,('GMW - worst case'!$MC$2:$MC$200=N$3)*('GMW - worst case'!$MB$2:$MB$200=N$4),0),$E257-1973)</f>
        <v>#N/A</v>
      </c>
      <c r="O257" t="e" cm="1">
        <f t="array" ref="O257">INDEX('GMW - worst case'!$A$2:$MC$200,MATCH(1,('GMW - worst case'!$MC$2:$MC$200=O$3)*('GMW - worst case'!$MB$2:$MB$200=O$4),0),$E257-1973)</f>
        <v>#N/A</v>
      </c>
      <c r="P257" t="e" cm="1">
        <f t="array" ref="P257">INDEX('GMW - worst case'!$A$2:$MC$200,MATCH(1,('GMW - worst case'!$MC$2:$MC$200=P$3)*('GMW - worst case'!$MB$2:$MB$200=P$4),0),$E257-1973)</f>
        <v>#N/A</v>
      </c>
      <c r="Q257" t="e" cm="1">
        <f t="array" ref="Q257">INDEX('GMW - worst case'!$A$2:$MC$200,MATCH(1,('GMW - worst case'!$MC$2:$MC$200=Q$3)*('GMW - worst case'!$MB$2:$MB$200=Q$4),0),$E257-1973)</f>
        <v>#N/A</v>
      </c>
      <c r="R257" t="e" cm="1">
        <f t="array" ref="R257">INDEX('GMW - worst case'!$A$2:$MC$200,MATCH(1,('GMW - worst case'!$MC$2:$MC$200=R$3)*('GMW - worst case'!$MB$2:$MB$200=R$4),0),$E257-1973)</f>
        <v>#N/A</v>
      </c>
      <c r="S257" t="e" cm="1">
        <f t="array" ref="S257">INDEX('GMW - worst case'!$A$2:$MC$200,MATCH(1,('GMW - worst case'!$MC$2:$MC$200=S$3)*('GMW - worst case'!$MB$2:$MB$200=S$4),0),$E257-1973)</f>
        <v>#N/A</v>
      </c>
    </row>
    <row r="258" spans="1:19" x14ac:dyDescent="0.25">
      <c r="B258">
        <f t="shared" si="20"/>
        <v>2042</v>
      </c>
      <c r="C258">
        <f t="shared" si="20"/>
        <v>2042</v>
      </c>
      <c r="E258">
        <f t="shared" si="16"/>
        <v>2231</v>
      </c>
      <c r="F258" t="str" cm="1">
        <f t="array" ref="F258">INDEX('GMW - worst case'!$A$2:$MC$200,MATCH(1,('GMW - worst case'!$MC$2:$MC$200=F$3)*('GMW - worst case'!$MB$2:$MB$200=F$4),0),$E258-1973)</f>
        <v>NA</v>
      </c>
      <c r="G258" t="str" cm="1">
        <f t="array" ref="G258">INDEX('GMW - worst case'!$A$2:$MC$200,MATCH(1,('GMW - worst case'!$MC$2:$MC$200=G$3)*('GMW - worst case'!$MB$2:$MB$200=G$4),0),$E258-1973)</f>
        <v>NA</v>
      </c>
      <c r="H258" t="str" cm="1">
        <f t="array" ref="H258">INDEX('GMW - worst case'!$A$2:$MC$200,MATCH(1,('GMW - worst case'!$MC$2:$MC$200=H$3)*('GMW - worst case'!$MB$2:$MB$200=H$4),0),$E258-1973)</f>
        <v>NA</v>
      </c>
      <c r="I258" t="str" cm="1">
        <f t="array" ref="I258">INDEX('GMW - worst case'!$A$2:$MC$200,MATCH(1,('GMW - worst case'!$MC$2:$MC$200=I$3)*('GMW - worst case'!$MB$2:$MB$200=I$4),0),$E258-1973)</f>
        <v>NA</v>
      </c>
      <c r="J258" t="e" cm="1">
        <f t="array" ref="J258">INDEX('GMW - worst case'!$A$2:$MC$200,MATCH(1,('GMW - worst case'!$MC$2:$MC$200=J$3)*('GMW - worst case'!$MB$2:$MB$200=J$4),0),$E258-1973)</f>
        <v>#N/A</v>
      </c>
      <c r="K258" t="e" cm="1">
        <f t="array" ref="K258">INDEX('GMW - worst case'!$A$2:$MC$200,MATCH(1,('GMW - worst case'!$MC$2:$MC$200=K$3)*('GMW - worst case'!$MB$2:$MB$200=K$4),0),$E258-1973)</f>
        <v>#N/A</v>
      </c>
      <c r="L258" t="e" cm="1">
        <f t="array" ref="L258">INDEX('GMW - worst case'!$A$2:$MC$200,MATCH(1,('GMW - worst case'!$MC$2:$MC$200=L$3)*('GMW - worst case'!$MB$2:$MB$200=L$4),0),$E258-1973)</f>
        <v>#N/A</v>
      </c>
      <c r="M258" t="e" cm="1">
        <f t="array" ref="M258">INDEX('GMW - worst case'!$A$2:$MC$200,MATCH(1,('GMW - worst case'!$MC$2:$MC$200=M$3)*('GMW - worst case'!$MB$2:$MB$200=M$4),0),$E258-1973)</f>
        <v>#N/A</v>
      </c>
      <c r="N258" t="e" cm="1">
        <f t="array" ref="N258">INDEX('GMW - worst case'!$A$2:$MC$200,MATCH(1,('GMW - worst case'!$MC$2:$MC$200=N$3)*('GMW - worst case'!$MB$2:$MB$200=N$4),0),$E258-1973)</f>
        <v>#N/A</v>
      </c>
      <c r="O258" t="e" cm="1">
        <f t="array" ref="O258">INDEX('GMW - worst case'!$A$2:$MC$200,MATCH(1,('GMW - worst case'!$MC$2:$MC$200=O$3)*('GMW - worst case'!$MB$2:$MB$200=O$4),0),$E258-1973)</f>
        <v>#N/A</v>
      </c>
      <c r="P258" t="e" cm="1">
        <f t="array" ref="P258">INDEX('GMW - worst case'!$A$2:$MC$200,MATCH(1,('GMW - worst case'!$MC$2:$MC$200=P$3)*('GMW - worst case'!$MB$2:$MB$200=P$4),0),$E258-1973)</f>
        <v>#N/A</v>
      </c>
      <c r="Q258" t="e" cm="1">
        <f t="array" ref="Q258">INDEX('GMW - worst case'!$A$2:$MC$200,MATCH(1,('GMW - worst case'!$MC$2:$MC$200=Q$3)*('GMW - worst case'!$MB$2:$MB$200=Q$4),0),$E258-1973)</f>
        <v>#N/A</v>
      </c>
      <c r="R258" t="e" cm="1">
        <f t="array" ref="R258">INDEX('GMW - worst case'!$A$2:$MC$200,MATCH(1,('GMW - worst case'!$MC$2:$MC$200=R$3)*('GMW - worst case'!$MB$2:$MB$200=R$4),0),$E258-1973)</f>
        <v>#N/A</v>
      </c>
      <c r="S258" t="e" cm="1">
        <f t="array" ref="S258">INDEX('GMW - worst case'!$A$2:$MC$200,MATCH(1,('GMW - worst case'!$MC$2:$MC$200=S$3)*('GMW - worst case'!$MB$2:$MB$200=S$4),0),$E258-1973)</f>
        <v>#N/A</v>
      </c>
    </row>
    <row r="259" spans="1:19" x14ac:dyDescent="0.25">
      <c r="A259">
        <v>2043</v>
      </c>
      <c r="B259">
        <f t="shared" si="20"/>
        <v>2043</v>
      </c>
      <c r="C259">
        <f t="shared" si="20"/>
        <v>2042</v>
      </c>
      <c r="D259">
        <f t="shared" si="20"/>
        <v>2042</v>
      </c>
      <c r="E259">
        <f t="shared" si="16"/>
        <v>2232</v>
      </c>
      <c r="F259" t="str" cm="1">
        <f t="array" ref="F259">INDEX('GMW - worst case'!$A$2:$MC$200,MATCH(1,('GMW - worst case'!$MC$2:$MC$200=F$3)*('GMW - worst case'!$MB$2:$MB$200=F$4),0),$E259-1973)</f>
        <v>NA</v>
      </c>
      <c r="G259" t="str" cm="1">
        <f t="array" ref="G259">INDEX('GMW - worst case'!$A$2:$MC$200,MATCH(1,('GMW - worst case'!$MC$2:$MC$200=G$3)*('GMW - worst case'!$MB$2:$MB$200=G$4),0),$E259-1973)</f>
        <v>NA</v>
      </c>
      <c r="H259" t="str" cm="1">
        <f t="array" ref="H259">INDEX('GMW - worst case'!$A$2:$MC$200,MATCH(1,('GMW - worst case'!$MC$2:$MC$200=H$3)*('GMW - worst case'!$MB$2:$MB$200=H$4),0),$E259-1973)</f>
        <v>NA</v>
      </c>
      <c r="I259" t="str" cm="1">
        <f t="array" ref="I259">INDEX('GMW - worst case'!$A$2:$MC$200,MATCH(1,('GMW - worst case'!$MC$2:$MC$200=I$3)*('GMW - worst case'!$MB$2:$MB$200=I$4),0),$E259-1973)</f>
        <v>NA</v>
      </c>
      <c r="J259" t="e" cm="1">
        <f t="array" ref="J259">INDEX('GMW - worst case'!$A$2:$MC$200,MATCH(1,('GMW - worst case'!$MC$2:$MC$200=J$3)*('GMW - worst case'!$MB$2:$MB$200=J$4),0),$E259-1973)</f>
        <v>#N/A</v>
      </c>
      <c r="K259" t="e" cm="1">
        <f t="array" ref="K259">INDEX('GMW - worst case'!$A$2:$MC$200,MATCH(1,('GMW - worst case'!$MC$2:$MC$200=K$3)*('GMW - worst case'!$MB$2:$MB$200=K$4),0),$E259-1973)</f>
        <v>#N/A</v>
      </c>
      <c r="L259" t="e" cm="1">
        <f t="array" ref="L259">INDEX('GMW - worst case'!$A$2:$MC$200,MATCH(1,('GMW - worst case'!$MC$2:$MC$200=L$3)*('GMW - worst case'!$MB$2:$MB$200=L$4),0),$E259-1973)</f>
        <v>#N/A</v>
      </c>
      <c r="M259" t="e" cm="1">
        <f t="array" ref="M259">INDEX('GMW - worst case'!$A$2:$MC$200,MATCH(1,('GMW - worst case'!$MC$2:$MC$200=M$3)*('GMW - worst case'!$MB$2:$MB$200=M$4),0),$E259-1973)</f>
        <v>#N/A</v>
      </c>
      <c r="N259" t="e" cm="1">
        <f t="array" ref="N259">INDEX('GMW - worst case'!$A$2:$MC$200,MATCH(1,('GMW - worst case'!$MC$2:$MC$200=N$3)*('GMW - worst case'!$MB$2:$MB$200=N$4),0),$E259-1973)</f>
        <v>#N/A</v>
      </c>
      <c r="O259" t="e" cm="1">
        <f t="array" ref="O259">INDEX('GMW - worst case'!$A$2:$MC$200,MATCH(1,('GMW - worst case'!$MC$2:$MC$200=O$3)*('GMW - worst case'!$MB$2:$MB$200=O$4),0),$E259-1973)</f>
        <v>#N/A</v>
      </c>
      <c r="P259" t="e" cm="1">
        <f t="array" ref="P259">INDEX('GMW - worst case'!$A$2:$MC$200,MATCH(1,('GMW - worst case'!$MC$2:$MC$200=P$3)*('GMW - worst case'!$MB$2:$MB$200=P$4),0),$E259-1973)</f>
        <v>#N/A</v>
      </c>
      <c r="Q259" t="e" cm="1">
        <f t="array" ref="Q259">INDEX('GMW - worst case'!$A$2:$MC$200,MATCH(1,('GMW - worst case'!$MC$2:$MC$200=Q$3)*('GMW - worst case'!$MB$2:$MB$200=Q$4),0),$E259-1973)</f>
        <v>#N/A</v>
      </c>
      <c r="R259" t="e" cm="1">
        <f t="array" ref="R259">INDEX('GMW - worst case'!$A$2:$MC$200,MATCH(1,('GMW - worst case'!$MC$2:$MC$200=R$3)*('GMW - worst case'!$MB$2:$MB$200=R$4),0),$E259-1973)</f>
        <v>#N/A</v>
      </c>
      <c r="S259" t="e" cm="1">
        <f t="array" ref="S259">INDEX('GMW - worst case'!$A$2:$MC$200,MATCH(1,('GMW - worst case'!$MC$2:$MC$200=S$3)*('GMW - worst case'!$MB$2:$MB$200=S$4),0),$E259-1973)</f>
        <v>#N/A</v>
      </c>
    </row>
    <row r="260" spans="1:19" x14ac:dyDescent="0.25">
      <c r="B260">
        <f t="shared" si="20"/>
        <v>2043</v>
      </c>
      <c r="C260">
        <f t="shared" si="20"/>
        <v>2043</v>
      </c>
      <c r="E260">
        <f t="shared" si="16"/>
        <v>2233</v>
      </c>
      <c r="F260" t="str" cm="1">
        <f t="array" ref="F260">INDEX('GMW - worst case'!$A$2:$MC$200,MATCH(1,('GMW - worst case'!$MC$2:$MC$200=F$3)*('GMW - worst case'!$MB$2:$MB$200=F$4),0),$E260-1973)</f>
        <v>NA</v>
      </c>
      <c r="G260" t="str" cm="1">
        <f t="array" ref="G260">INDEX('GMW - worst case'!$A$2:$MC$200,MATCH(1,('GMW - worst case'!$MC$2:$MC$200=G$3)*('GMW - worst case'!$MB$2:$MB$200=G$4),0),$E260-1973)</f>
        <v>NA</v>
      </c>
      <c r="H260" t="str" cm="1">
        <f t="array" ref="H260">INDEX('GMW - worst case'!$A$2:$MC$200,MATCH(1,('GMW - worst case'!$MC$2:$MC$200=H$3)*('GMW - worst case'!$MB$2:$MB$200=H$4),0),$E260-1973)</f>
        <v>NA</v>
      </c>
      <c r="I260" t="str" cm="1">
        <f t="array" ref="I260">INDEX('GMW - worst case'!$A$2:$MC$200,MATCH(1,('GMW - worst case'!$MC$2:$MC$200=I$3)*('GMW - worst case'!$MB$2:$MB$200=I$4),0),$E260-1973)</f>
        <v>NA</v>
      </c>
      <c r="J260" t="e" cm="1">
        <f t="array" ref="J260">INDEX('GMW - worst case'!$A$2:$MC$200,MATCH(1,('GMW - worst case'!$MC$2:$MC$200=J$3)*('GMW - worst case'!$MB$2:$MB$200=J$4),0),$E260-1973)</f>
        <v>#N/A</v>
      </c>
      <c r="K260" t="e" cm="1">
        <f t="array" ref="K260">INDEX('GMW - worst case'!$A$2:$MC$200,MATCH(1,('GMW - worst case'!$MC$2:$MC$200=K$3)*('GMW - worst case'!$MB$2:$MB$200=K$4),0),$E260-1973)</f>
        <v>#N/A</v>
      </c>
      <c r="L260" t="e" cm="1">
        <f t="array" ref="L260">INDEX('GMW - worst case'!$A$2:$MC$200,MATCH(1,('GMW - worst case'!$MC$2:$MC$200=L$3)*('GMW - worst case'!$MB$2:$MB$200=L$4),0),$E260-1973)</f>
        <v>#N/A</v>
      </c>
      <c r="M260" t="e" cm="1">
        <f t="array" ref="M260">INDEX('GMW - worst case'!$A$2:$MC$200,MATCH(1,('GMW - worst case'!$MC$2:$MC$200=M$3)*('GMW - worst case'!$MB$2:$MB$200=M$4),0),$E260-1973)</f>
        <v>#N/A</v>
      </c>
      <c r="N260" t="e" cm="1">
        <f t="array" ref="N260">INDEX('GMW - worst case'!$A$2:$MC$200,MATCH(1,('GMW - worst case'!$MC$2:$MC$200=N$3)*('GMW - worst case'!$MB$2:$MB$200=N$4),0),$E260-1973)</f>
        <v>#N/A</v>
      </c>
      <c r="O260" t="e" cm="1">
        <f t="array" ref="O260">INDEX('GMW - worst case'!$A$2:$MC$200,MATCH(1,('GMW - worst case'!$MC$2:$MC$200=O$3)*('GMW - worst case'!$MB$2:$MB$200=O$4),0),$E260-1973)</f>
        <v>#N/A</v>
      </c>
      <c r="P260" t="e" cm="1">
        <f t="array" ref="P260">INDEX('GMW - worst case'!$A$2:$MC$200,MATCH(1,('GMW - worst case'!$MC$2:$MC$200=P$3)*('GMW - worst case'!$MB$2:$MB$200=P$4),0),$E260-1973)</f>
        <v>#N/A</v>
      </c>
      <c r="Q260" t="e" cm="1">
        <f t="array" ref="Q260">INDEX('GMW - worst case'!$A$2:$MC$200,MATCH(1,('GMW - worst case'!$MC$2:$MC$200=Q$3)*('GMW - worst case'!$MB$2:$MB$200=Q$4),0),$E260-1973)</f>
        <v>#N/A</v>
      </c>
      <c r="R260" t="e" cm="1">
        <f t="array" ref="R260">INDEX('GMW - worst case'!$A$2:$MC$200,MATCH(1,('GMW - worst case'!$MC$2:$MC$200=R$3)*('GMW - worst case'!$MB$2:$MB$200=R$4),0),$E260-1973)</f>
        <v>#N/A</v>
      </c>
      <c r="S260" t="e" cm="1">
        <f t="array" ref="S260">INDEX('GMW - worst case'!$A$2:$MC$200,MATCH(1,('GMW - worst case'!$MC$2:$MC$200=S$3)*('GMW - worst case'!$MB$2:$MB$200=S$4),0),$E260-1973)</f>
        <v>#N/A</v>
      </c>
    </row>
    <row r="261" spans="1:19" x14ac:dyDescent="0.25">
      <c r="B261">
        <f t="shared" si="20"/>
        <v>2043</v>
      </c>
      <c r="C261">
        <f t="shared" si="20"/>
        <v>2043</v>
      </c>
      <c r="E261">
        <f t="shared" si="16"/>
        <v>2234</v>
      </c>
      <c r="F261" t="str" cm="1">
        <f t="array" ref="F261">INDEX('GMW - worst case'!$A$2:$MC$200,MATCH(1,('GMW - worst case'!$MC$2:$MC$200=F$3)*('GMW - worst case'!$MB$2:$MB$200=F$4),0),$E261-1973)</f>
        <v>NA</v>
      </c>
      <c r="G261" t="str" cm="1">
        <f t="array" ref="G261">INDEX('GMW - worst case'!$A$2:$MC$200,MATCH(1,('GMW - worst case'!$MC$2:$MC$200=G$3)*('GMW - worst case'!$MB$2:$MB$200=G$4),0),$E261-1973)</f>
        <v>NA</v>
      </c>
      <c r="H261" t="str" cm="1">
        <f t="array" ref="H261">INDEX('GMW - worst case'!$A$2:$MC$200,MATCH(1,('GMW - worst case'!$MC$2:$MC$200=H$3)*('GMW - worst case'!$MB$2:$MB$200=H$4),0),$E261-1973)</f>
        <v>NA</v>
      </c>
      <c r="I261" t="str" cm="1">
        <f t="array" ref="I261">INDEX('GMW - worst case'!$A$2:$MC$200,MATCH(1,('GMW - worst case'!$MC$2:$MC$200=I$3)*('GMW - worst case'!$MB$2:$MB$200=I$4),0),$E261-1973)</f>
        <v>NA</v>
      </c>
      <c r="J261" t="e" cm="1">
        <f t="array" ref="J261">INDEX('GMW - worst case'!$A$2:$MC$200,MATCH(1,('GMW - worst case'!$MC$2:$MC$200=J$3)*('GMW - worst case'!$MB$2:$MB$200=J$4),0),$E261-1973)</f>
        <v>#N/A</v>
      </c>
      <c r="K261" t="e" cm="1">
        <f t="array" ref="K261">INDEX('GMW - worst case'!$A$2:$MC$200,MATCH(1,('GMW - worst case'!$MC$2:$MC$200=K$3)*('GMW - worst case'!$MB$2:$MB$200=K$4),0),$E261-1973)</f>
        <v>#N/A</v>
      </c>
      <c r="L261" t="e" cm="1">
        <f t="array" ref="L261">INDEX('GMW - worst case'!$A$2:$MC$200,MATCH(1,('GMW - worst case'!$MC$2:$MC$200=L$3)*('GMW - worst case'!$MB$2:$MB$200=L$4),0),$E261-1973)</f>
        <v>#N/A</v>
      </c>
      <c r="M261" t="e" cm="1">
        <f t="array" ref="M261">INDEX('GMW - worst case'!$A$2:$MC$200,MATCH(1,('GMW - worst case'!$MC$2:$MC$200=M$3)*('GMW - worst case'!$MB$2:$MB$200=M$4),0),$E261-1973)</f>
        <v>#N/A</v>
      </c>
      <c r="N261" t="e" cm="1">
        <f t="array" ref="N261">INDEX('GMW - worst case'!$A$2:$MC$200,MATCH(1,('GMW - worst case'!$MC$2:$MC$200=N$3)*('GMW - worst case'!$MB$2:$MB$200=N$4),0),$E261-1973)</f>
        <v>#N/A</v>
      </c>
      <c r="O261" t="e" cm="1">
        <f t="array" ref="O261">INDEX('GMW - worst case'!$A$2:$MC$200,MATCH(1,('GMW - worst case'!$MC$2:$MC$200=O$3)*('GMW - worst case'!$MB$2:$MB$200=O$4),0),$E261-1973)</f>
        <v>#N/A</v>
      </c>
      <c r="P261" t="e" cm="1">
        <f t="array" ref="P261">INDEX('GMW - worst case'!$A$2:$MC$200,MATCH(1,('GMW - worst case'!$MC$2:$MC$200=P$3)*('GMW - worst case'!$MB$2:$MB$200=P$4),0),$E261-1973)</f>
        <v>#N/A</v>
      </c>
      <c r="Q261" t="e" cm="1">
        <f t="array" ref="Q261">INDEX('GMW - worst case'!$A$2:$MC$200,MATCH(1,('GMW - worst case'!$MC$2:$MC$200=Q$3)*('GMW - worst case'!$MB$2:$MB$200=Q$4),0),$E261-1973)</f>
        <v>#N/A</v>
      </c>
      <c r="R261" t="e" cm="1">
        <f t="array" ref="R261">INDEX('GMW - worst case'!$A$2:$MC$200,MATCH(1,('GMW - worst case'!$MC$2:$MC$200=R$3)*('GMW - worst case'!$MB$2:$MB$200=R$4),0),$E261-1973)</f>
        <v>#N/A</v>
      </c>
      <c r="S261" t="e" cm="1">
        <f t="array" ref="S261">INDEX('GMW - worst case'!$A$2:$MC$200,MATCH(1,('GMW - worst case'!$MC$2:$MC$200=S$3)*('GMW - worst case'!$MB$2:$MB$200=S$4),0),$E261-1973)</f>
        <v>#N/A</v>
      </c>
    </row>
    <row r="262" spans="1:19" x14ac:dyDescent="0.25">
      <c r="B262">
        <f t="shared" si="20"/>
        <v>2043</v>
      </c>
      <c r="C262">
        <f t="shared" si="20"/>
        <v>2043</v>
      </c>
      <c r="E262">
        <f t="shared" si="16"/>
        <v>2235</v>
      </c>
      <c r="F262" t="str" cm="1">
        <f t="array" ref="F262">INDEX('GMW - worst case'!$A$2:$MC$200,MATCH(1,('GMW - worst case'!$MC$2:$MC$200=F$3)*('GMW - worst case'!$MB$2:$MB$200=F$4),0),$E262-1973)</f>
        <v>NA</v>
      </c>
      <c r="G262" t="str" cm="1">
        <f t="array" ref="G262">INDEX('GMW - worst case'!$A$2:$MC$200,MATCH(1,('GMW - worst case'!$MC$2:$MC$200=G$3)*('GMW - worst case'!$MB$2:$MB$200=G$4),0),$E262-1973)</f>
        <v>NA</v>
      </c>
      <c r="H262" t="str" cm="1">
        <f t="array" ref="H262">INDEX('GMW - worst case'!$A$2:$MC$200,MATCH(1,('GMW - worst case'!$MC$2:$MC$200=H$3)*('GMW - worst case'!$MB$2:$MB$200=H$4),0),$E262-1973)</f>
        <v>NA</v>
      </c>
      <c r="I262" t="str" cm="1">
        <f t="array" ref="I262">INDEX('GMW - worst case'!$A$2:$MC$200,MATCH(1,('GMW - worst case'!$MC$2:$MC$200=I$3)*('GMW - worst case'!$MB$2:$MB$200=I$4),0),$E262-1973)</f>
        <v>NA</v>
      </c>
      <c r="J262" t="e" cm="1">
        <f t="array" ref="J262">INDEX('GMW - worst case'!$A$2:$MC$200,MATCH(1,('GMW - worst case'!$MC$2:$MC$200=J$3)*('GMW - worst case'!$MB$2:$MB$200=J$4),0),$E262-1973)</f>
        <v>#N/A</v>
      </c>
      <c r="K262" t="e" cm="1">
        <f t="array" ref="K262">INDEX('GMW - worst case'!$A$2:$MC$200,MATCH(1,('GMW - worst case'!$MC$2:$MC$200=K$3)*('GMW - worst case'!$MB$2:$MB$200=K$4),0),$E262-1973)</f>
        <v>#N/A</v>
      </c>
      <c r="L262" t="e" cm="1">
        <f t="array" ref="L262">INDEX('GMW - worst case'!$A$2:$MC$200,MATCH(1,('GMW - worst case'!$MC$2:$MC$200=L$3)*('GMW - worst case'!$MB$2:$MB$200=L$4),0),$E262-1973)</f>
        <v>#N/A</v>
      </c>
      <c r="M262" t="e" cm="1">
        <f t="array" ref="M262">INDEX('GMW - worst case'!$A$2:$MC$200,MATCH(1,('GMW - worst case'!$MC$2:$MC$200=M$3)*('GMW - worst case'!$MB$2:$MB$200=M$4),0),$E262-1973)</f>
        <v>#N/A</v>
      </c>
      <c r="N262" t="e" cm="1">
        <f t="array" ref="N262">INDEX('GMW - worst case'!$A$2:$MC$200,MATCH(1,('GMW - worst case'!$MC$2:$MC$200=N$3)*('GMW - worst case'!$MB$2:$MB$200=N$4),0),$E262-1973)</f>
        <v>#N/A</v>
      </c>
      <c r="O262" t="e" cm="1">
        <f t="array" ref="O262">INDEX('GMW - worst case'!$A$2:$MC$200,MATCH(1,('GMW - worst case'!$MC$2:$MC$200=O$3)*('GMW - worst case'!$MB$2:$MB$200=O$4),0),$E262-1973)</f>
        <v>#N/A</v>
      </c>
      <c r="P262" t="e" cm="1">
        <f t="array" ref="P262">INDEX('GMW - worst case'!$A$2:$MC$200,MATCH(1,('GMW - worst case'!$MC$2:$MC$200=P$3)*('GMW - worst case'!$MB$2:$MB$200=P$4),0),$E262-1973)</f>
        <v>#N/A</v>
      </c>
      <c r="Q262" t="e" cm="1">
        <f t="array" ref="Q262">INDEX('GMW - worst case'!$A$2:$MC$200,MATCH(1,('GMW - worst case'!$MC$2:$MC$200=Q$3)*('GMW - worst case'!$MB$2:$MB$200=Q$4),0),$E262-1973)</f>
        <v>#N/A</v>
      </c>
      <c r="R262" t="e" cm="1">
        <f t="array" ref="R262">INDEX('GMW - worst case'!$A$2:$MC$200,MATCH(1,('GMW - worst case'!$MC$2:$MC$200=R$3)*('GMW - worst case'!$MB$2:$MB$200=R$4),0),$E262-1973)</f>
        <v>#N/A</v>
      </c>
      <c r="S262" t="e" cm="1">
        <f t="array" ref="S262">INDEX('GMW - worst case'!$A$2:$MC$200,MATCH(1,('GMW - worst case'!$MC$2:$MC$200=S$3)*('GMW - worst case'!$MB$2:$MB$200=S$4),0),$E262-1973)</f>
        <v>#N/A</v>
      </c>
    </row>
    <row r="263" spans="1:19" x14ac:dyDescent="0.25">
      <c r="A263">
        <v>2044</v>
      </c>
      <c r="B263">
        <f t="shared" si="20"/>
        <v>2044</v>
      </c>
      <c r="C263">
        <f t="shared" si="20"/>
        <v>2043</v>
      </c>
      <c r="D263">
        <f t="shared" si="20"/>
        <v>2043</v>
      </c>
      <c r="E263">
        <f t="shared" si="16"/>
        <v>2236</v>
      </c>
      <c r="F263" t="str" cm="1">
        <f t="array" ref="F263">INDEX('GMW - worst case'!$A$2:$MC$200,MATCH(1,('GMW - worst case'!$MC$2:$MC$200=F$3)*('GMW - worst case'!$MB$2:$MB$200=F$4),0),$E263-1973)</f>
        <v>NA</v>
      </c>
      <c r="G263" t="str" cm="1">
        <f t="array" ref="G263">INDEX('GMW - worst case'!$A$2:$MC$200,MATCH(1,('GMW - worst case'!$MC$2:$MC$200=G$3)*('GMW - worst case'!$MB$2:$MB$200=G$4),0),$E263-1973)</f>
        <v>NA</v>
      </c>
      <c r="H263" t="str" cm="1">
        <f t="array" ref="H263">INDEX('GMW - worst case'!$A$2:$MC$200,MATCH(1,('GMW - worst case'!$MC$2:$MC$200=H$3)*('GMW - worst case'!$MB$2:$MB$200=H$4),0),$E263-1973)</f>
        <v>NA</v>
      </c>
      <c r="I263" t="str" cm="1">
        <f t="array" ref="I263">INDEX('GMW - worst case'!$A$2:$MC$200,MATCH(1,('GMW - worst case'!$MC$2:$MC$200=I$3)*('GMW - worst case'!$MB$2:$MB$200=I$4),0),$E263-1973)</f>
        <v>NA</v>
      </c>
      <c r="J263" t="e" cm="1">
        <f t="array" ref="J263">INDEX('GMW - worst case'!$A$2:$MC$200,MATCH(1,('GMW - worst case'!$MC$2:$MC$200=J$3)*('GMW - worst case'!$MB$2:$MB$200=J$4),0),$E263-1973)</f>
        <v>#N/A</v>
      </c>
      <c r="K263" t="e" cm="1">
        <f t="array" ref="K263">INDEX('GMW - worst case'!$A$2:$MC$200,MATCH(1,('GMW - worst case'!$MC$2:$MC$200=K$3)*('GMW - worst case'!$MB$2:$MB$200=K$4),0),$E263-1973)</f>
        <v>#N/A</v>
      </c>
      <c r="L263" t="e" cm="1">
        <f t="array" ref="L263">INDEX('GMW - worst case'!$A$2:$MC$200,MATCH(1,('GMW - worst case'!$MC$2:$MC$200=L$3)*('GMW - worst case'!$MB$2:$MB$200=L$4),0),$E263-1973)</f>
        <v>#N/A</v>
      </c>
      <c r="M263" t="e" cm="1">
        <f t="array" ref="M263">INDEX('GMW - worst case'!$A$2:$MC$200,MATCH(1,('GMW - worst case'!$MC$2:$MC$200=M$3)*('GMW - worst case'!$MB$2:$MB$200=M$4),0),$E263-1973)</f>
        <v>#N/A</v>
      </c>
      <c r="N263" t="e" cm="1">
        <f t="array" ref="N263">INDEX('GMW - worst case'!$A$2:$MC$200,MATCH(1,('GMW - worst case'!$MC$2:$MC$200=N$3)*('GMW - worst case'!$MB$2:$MB$200=N$4),0),$E263-1973)</f>
        <v>#N/A</v>
      </c>
      <c r="O263" t="e" cm="1">
        <f t="array" ref="O263">INDEX('GMW - worst case'!$A$2:$MC$200,MATCH(1,('GMW - worst case'!$MC$2:$MC$200=O$3)*('GMW - worst case'!$MB$2:$MB$200=O$4),0),$E263-1973)</f>
        <v>#N/A</v>
      </c>
      <c r="P263" t="e" cm="1">
        <f t="array" ref="P263">INDEX('GMW - worst case'!$A$2:$MC$200,MATCH(1,('GMW - worst case'!$MC$2:$MC$200=P$3)*('GMW - worst case'!$MB$2:$MB$200=P$4),0),$E263-1973)</f>
        <v>#N/A</v>
      </c>
      <c r="Q263" t="e" cm="1">
        <f t="array" ref="Q263">INDEX('GMW - worst case'!$A$2:$MC$200,MATCH(1,('GMW - worst case'!$MC$2:$MC$200=Q$3)*('GMW - worst case'!$MB$2:$MB$200=Q$4),0),$E263-1973)</f>
        <v>#N/A</v>
      </c>
      <c r="R263" t="e" cm="1">
        <f t="array" ref="R263">INDEX('GMW - worst case'!$A$2:$MC$200,MATCH(1,('GMW - worst case'!$MC$2:$MC$200=R$3)*('GMW - worst case'!$MB$2:$MB$200=R$4),0),$E263-1973)</f>
        <v>#N/A</v>
      </c>
      <c r="S263" t="e" cm="1">
        <f t="array" ref="S263">INDEX('GMW - worst case'!$A$2:$MC$200,MATCH(1,('GMW - worst case'!$MC$2:$MC$200=S$3)*('GMW - worst case'!$MB$2:$MB$200=S$4),0),$E263-1973)</f>
        <v>#N/A</v>
      </c>
    </row>
    <row r="264" spans="1:19" x14ac:dyDescent="0.25">
      <c r="B264">
        <f t="shared" si="20"/>
        <v>2044</v>
      </c>
      <c r="C264">
        <f t="shared" si="20"/>
        <v>2044</v>
      </c>
      <c r="E264">
        <f t="shared" si="16"/>
        <v>2237</v>
      </c>
      <c r="F264" t="str" cm="1">
        <f t="array" ref="F264">INDEX('GMW - worst case'!$A$2:$MC$200,MATCH(1,('GMW - worst case'!$MC$2:$MC$200=F$3)*('GMW - worst case'!$MB$2:$MB$200=F$4),0),$E264-1973)</f>
        <v>NA</v>
      </c>
      <c r="G264" t="str" cm="1">
        <f t="array" ref="G264">INDEX('GMW - worst case'!$A$2:$MC$200,MATCH(1,('GMW - worst case'!$MC$2:$MC$200=G$3)*('GMW - worst case'!$MB$2:$MB$200=G$4),0),$E264-1973)</f>
        <v>NA</v>
      </c>
      <c r="H264" t="str" cm="1">
        <f t="array" ref="H264">INDEX('GMW - worst case'!$A$2:$MC$200,MATCH(1,('GMW - worst case'!$MC$2:$MC$200=H$3)*('GMW - worst case'!$MB$2:$MB$200=H$4),0),$E264-1973)</f>
        <v>NA</v>
      </c>
      <c r="I264" t="str" cm="1">
        <f t="array" ref="I264">INDEX('GMW - worst case'!$A$2:$MC$200,MATCH(1,('GMW - worst case'!$MC$2:$MC$200=I$3)*('GMW - worst case'!$MB$2:$MB$200=I$4),0),$E264-1973)</f>
        <v>NA</v>
      </c>
      <c r="J264" t="e" cm="1">
        <f t="array" ref="J264">INDEX('GMW - worst case'!$A$2:$MC$200,MATCH(1,('GMW - worst case'!$MC$2:$MC$200=J$3)*('GMW - worst case'!$MB$2:$MB$200=J$4),0),$E264-1973)</f>
        <v>#N/A</v>
      </c>
      <c r="K264" t="e" cm="1">
        <f t="array" ref="K264">INDEX('GMW - worst case'!$A$2:$MC$200,MATCH(1,('GMW - worst case'!$MC$2:$MC$200=K$3)*('GMW - worst case'!$MB$2:$MB$200=K$4),0),$E264-1973)</f>
        <v>#N/A</v>
      </c>
      <c r="L264" t="e" cm="1">
        <f t="array" ref="L264">INDEX('GMW - worst case'!$A$2:$MC$200,MATCH(1,('GMW - worst case'!$MC$2:$MC$200=L$3)*('GMW - worst case'!$MB$2:$MB$200=L$4),0),$E264-1973)</f>
        <v>#N/A</v>
      </c>
      <c r="M264" t="e" cm="1">
        <f t="array" ref="M264">INDEX('GMW - worst case'!$A$2:$MC$200,MATCH(1,('GMW - worst case'!$MC$2:$MC$200=M$3)*('GMW - worst case'!$MB$2:$MB$200=M$4),0),$E264-1973)</f>
        <v>#N/A</v>
      </c>
      <c r="N264" t="e" cm="1">
        <f t="array" ref="N264">INDEX('GMW - worst case'!$A$2:$MC$200,MATCH(1,('GMW - worst case'!$MC$2:$MC$200=N$3)*('GMW - worst case'!$MB$2:$MB$200=N$4),0),$E264-1973)</f>
        <v>#N/A</v>
      </c>
      <c r="O264" t="e" cm="1">
        <f t="array" ref="O264">INDEX('GMW - worst case'!$A$2:$MC$200,MATCH(1,('GMW - worst case'!$MC$2:$MC$200=O$3)*('GMW - worst case'!$MB$2:$MB$200=O$4),0),$E264-1973)</f>
        <v>#N/A</v>
      </c>
      <c r="P264" t="e" cm="1">
        <f t="array" ref="P264">INDEX('GMW - worst case'!$A$2:$MC$200,MATCH(1,('GMW - worst case'!$MC$2:$MC$200=P$3)*('GMW - worst case'!$MB$2:$MB$200=P$4),0),$E264-1973)</f>
        <v>#N/A</v>
      </c>
      <c r="Q264" t="e" cm="1">
        <f t="array" ref="Q264">INDEX('GMW - worst case'!$A$2:$MC$200,MATCH(1,('GMW - worst case'!$MC$2:$MC$200=Q$3)*('GMW - worst case'!$MB$2:$MB$200=Q$4),0),$E264-1973)</f>
        <v>#N/A</v>
      </c>
      <c r="R264" t="e" cm="1">
        <f t="array" ref="R264">INDEX('GMW - worst case'!$A$2:$MC$200,MATCH(1,('GMW - worst case'!$MC$2:$MC$200=R$3)*('GMW - worst case'!$MB$2:$MB$200=R$4),0),$E264-1973)</f>
        <v>#N/A</v>
      </c>
      <c r="S264" t="e" cm="1">
        <f t="array" ref="S264">INDEX('GMW - worst case'!$A$2:$MC$200,MATCH(1,('GMW - worst case'!$MC$2:$MC$200=S$3)*('GMW - worst case'!$MB$2:$MB$200=S$4),0),$E264-1973)</f>
        <v>#N/A</v>
      </c>
    </row>
    <row r="265" spans="1:19" x14ac:dyDescent="0.25">
      <c r="B265">
        <f t="shared" si="20"/>
        <v>2044</v>
      </c>
      <c r="C265">
        <f t="shared" si="20"/>
        <v>2044</v>
      </c>
      <c r="E265">
        <f t="shared" ref="E265:E328" si="21">+E264+1</f>
        <v>2238</v>
      </c>
      <c r="F265" t="str" cm="1">
        <f t="array" ref="F265">INDEX('GMW - worst case'!$A$2:$MC$200,MATCH(1,('GMW - worst case'!$MC$2:$MC$200=F$3)*('GMW - worst case'!$MB$2:$MB$200=F$4),0),$E265-1973)</f>
        <v>NA</v>
      </c>
      <c r="G265" t="str" cm="1">
        <f t="array" ref="G265">INDEX('GMW - worst case'!$A$2:$MC$200,MATCH(1,('GMW - worst case'!$MC$2:$MC$200=G$3)*('GMW - worst case'!$MB$2:$MB$200=G$4),0),$E265-1973)</f>
        <v>NA</v>
      </c>
      <c r="H265" t="str" cm="1">
        <f t="array" ref="H265">INDEX('GMW - worst case'!$A$2:$MC$200,MATCH(1,('GMW - worst case'!$MC$2:$MC$200=H$3)*('GMW - worst case'!$MB$2:$MB$200=H$4),0),$E265-1973)</f>
        <v>NA</v>
      </c>
      <c r="I265" t="str" cm="1">
        <f t="array" ref="I265">INDEX('GMW - worst case'!$A$2:$MC$200,MATCH(1,('GMW - worst case'!$MC$2:$MC$200=I$3)*('GMW - worst case'!$MB$2:$MB$200=I$4),0),$E265-1973)</f>
        <v>NA</v>
      </c>
      <c r="J265" t="e" cm="1">
        <f t="array" ref="J265">INDEX('GMW - worst case'!$A$2:$MC$200,MATCH(1,('GMW - worst case'!$MC$2:$MC$200=J$3)*('GMW - worst case'!$MB$2:$MB$200=J$4),0),$E265-1973)</f>
        <v>#N/A</v>
      </c>
      <c r="K265" t="e" cm="1">
        <f t="array" ref="K265">INDEX('GMW - worst case'!$A$2:$MC$200,MATCH(1,('GMW - worst case'!$MC$2:$MC$200=K$3)*('GMW - worst case'!$MB$2:$MB$200=K$4),0),$E265-1973)</f>
        <v>#N/A</v>
      </c>
      <c r="L265" t="e" cm="1">
        <f t="array" ref="L265">INDEX('GMW - worst case'!$A$2:$MC$200,MATCH(1,('GMW - worst case'!$MC$2:$MC$200=L$3)*('GMW - worst case'!$MB$2:$MB$200=L$4),0),$E265-1973)</f>
        <v>#N/A</v>
      </c>
      <c r="M265" t="e" cm="1">
        <f t="array" ref="M265">INDEX('GMW - worst case'!$A$2:$MC$200,MATCH(1,('GMW - worst case'!$MC$2:$MC$200=M$3)*('GMW - worst case'!$MB$2:$MB$200=M$4),0),$E265-1973)</f>
        <v>#N/A</v>
      </c>
      <c r="N265" t="e" cm="1">
        <f t="array" ref="N265">INDEX('GMW - worst case'!$A$2:$MC$200,MATCH(1,('GMW - worst case'!$MC$2:$MC$200=N$3)*('GMW - worst case'!$MB$2:$MB$200=N$4),0),$E265-1973)</f>
        <v>#N/A</v>
      </c>
      <c r="O265" t="e" cm="1">
        <f t="array" ref="O265">INDEX('GMW - worst case'!$A$2:$MC$200,MATCH(1,('GMW - worst case'!$MC$2:$MC$200=O$3)*('GMW - worst case'!$MB$2:$MB$200=O$4),0),$E265-1973)</f>
        <v>#N/A</v>
      </c>
      <c r="P265" t="e" cm="1">
        <f t="array" ref="P265">INDEX('GMW - worst case'!$A$2:$MC$200,MATCH(1,('GMW - worst case'!$MC$2:$MC$200=P$3)*('GMW - worst case'!$MB$2:$MB$200=P$4),0),$E265-1973)</f>
        <v>#N/A</v>
      </c>
      <c r="Q265" t="e" cm="1">
        <f t="array" ref="Q265">INDEX('GMW - worst case'!$A$2:$MC$200,MATCH(1,('GMW - worst case'!$MC$2:$MC$200=Q$3)*('GMW - worst case'!$MB$2:$MB$200=Q$4),0),$E265-1973)</f>
        <v>#N/A</v>
      </c>
      <c r="R265" t="e" cm="1">
        <f t="array" ref="R265">INDEX('GMW - worst case'!$A$2:$MC$200,MATCH(1,('GMW - worst case'!$MC$2:$MC$200=R$3)*('GMW - worst case'!$MB$2:$MB$200=R$4),0),$E265-1973)</f>
        <v>#N/A</v>
      </c>
      <c r="S265" t="e" cm="1">
        <f t="array" ref="S265">INDEX('GMW - worst case'!$A$2:$MC$200,MATCH(1,('GMW - worst case'!$MC$2:$MC$200=S$3)*('GMW - worst case'!$MB$2:$MB$200=S$4),0),$E265-1973)</f>
        <v>#N/A</v>
      </c>
    </row>
    <row r="266" spans="1:19" x14ac:dyDescent="0.25">
      <c r="B266">
        <f t="shared" si="20"/>
        <v>2044</v>
      </c>
      <c r="C266">
        <f t="shared" si="20"/>
        <v>2044</v>
      </c>
      <c r="E266">
        <f t="shared" si="21"/>
        <v>2239</v>
      </c>
      <c r="F266" t="str" cm="1">
        <f t="array" ref="F266">INDEX('GMW - worst case'!$A$2:$MC$200,MATCH(1,('GMW - worst case'!$MC$2:$MC$200=F$3)*('GMW - worst case'!$MB$2:$MB$200=F$4),0),$E266-1973)</f>
        <v>NA</v>
      </c>
      <c r="G266" t="str" cm="1">
        <f t="array" ref="G266">INDEX('GMW - worst case'!$A$2:$MC$200,MATCH(1,('GMW - worst case'!$MC$2:$MC$200=G$3)*('GMW - worst case'!$MB$2:$MB$200=G$4),0),$E266-1973)</f>
        <v>NA</v>
      </c>
      <c r="H266" t="str" cm="1">
        <f t="array" ref="H266">INDEX('GMW - worst case'!$A$2:$MC$200,MATCH(1,('GMW - worst case'!$MC$2:$MC$200=H$3)*('GMW - worst case'!$MB$2:$MB$200=H$4),0),$E266-1973)</f>
        <v>NA</v>
      </c>
      <c r="I266" t="str" cm="1">
        <f t="array" ref="I266">INDEX('GMW - worst case'!$A$2:$MC$200,MATCH(1,('GMW - worst case'!$MC$2:$MC$200=I$3)*('GMW - worst case'!$MB$2:$MB$200=I$4),0),$E266-1973)</f>
        <v>NA</v>
      </c>
      <c r="J266" t="e" cm="1">
        <f t="array" ref="J266">INDEX('GMW - worst case'!$A$2:$MC$200,MATCH(1,('GMW - worst case'!$MC$2:$MC$200=J$3)*('GMW - worst case'!$MB$2:$MB$200=J$4),0),$E266-1973)</f>
        <v>#N/A</v>
      </c>
      <c r="K266" t="e" cm="1">
        <f t="array" ref="K266">INDEX('GMW - worst case'!$A$2:$MC$200,MATCH(1,('GMW - worst case'!$MC$2:$MC$200=K$3)*('GMW - worst case'!$MB$2:$MB$200=K$4),0),$E266-1973)</f>
        <v>#N/A</v>
      </c>
      <c r="L266" t="e" cm="1">
        <f t="array" ref="L266">INDEX('GMW - worst case'!$A$2:$MC$200,MATCH(1,('GMW - worst case'!$MC$2:$MC$200=L$3)*('GMW - worst case'!$MB$2:$MB$200=L$4),0),$E266-1973)</f>
        <v>#N/A</v>
      </c>
      <c r="M266" t="e" cm="1">
        <f t="array" ref="M266">INDEX('GMW - worst case'!$A$2:$MC$200,MATCH(1,('GMW - worst case'!$MC$2:$MC$200=M$3)*('GMW - worst case'!$MB$2:$MB$200=M$4),0),$E266-1973)</f>
        <v>#N/A</v>
      </c>
      <c r="N266" t="e" cm="1">
        <f t="array" ref="N266">INDEX('GMW - worst case'!$A$2:$MC$200,MATCH(1,('GMW - worst case'!$MC$2:$MC$200=N$3)*('GMW - worst case'!$MB$2:$MB$200=N$4),0),$E266-1973)</f>
        <v>#N/A</v>
      </c>
      <c r="O266" t="e" cm="1">
        <f t="array" ref="O266">INDEX('GMW - worst case'!$A$2:$MC$200,MATCH(1,('GMW - worst case'!$MC$2:$MC$200=O$3)*('GMW - worst case'!$MB$2:$MB$200=O$4),0),$E266-1973)</f>
        <v>#N/A</v>
      </c>
      <c r="P266" t="e" cm="1">
        <f t="array" ref="P266">INDEX('GMW - worst case'!$A$2:$MC$200,MATCH(1,('GMW - worst case'!$MC$2:$MC$200=P$3)*('GMW - worst case'!$MB$2:$MB$200=P$4),0),$E266-1973)</f>
        <v>#N/A</v>
      </c>
      <c r="Q266" t="e" cm="1">
        <f t="array" ref="Q266">INDEX('GMW - worst case'!$A$2:$MC$200,MATCH(1,('GMW - worst case'!$MC$2:$MC$200=Q$3)*('GMW - worst case'!$MB$2:$MB$200=Q$4),0),$E266-1973)</f>
        <v>#N/A</v>
      </c>
      <c r="R266" t="e" cm="1">
        <f t="array" ref="R266">INDEX('GMW - worst case'!$A$2:$MC$200,MATCH(1,('GMW - worst case'!$MC$2:$MC$200=R$3)*('GMW - worst case'!$MB$2:$MB$200=R$4),0),$E266-1973)</f>
        <v>#N/A</v>
      </c>
      <c r="S266" t="e" cm="1">
        <f t="array" ref="S266">INDEX('GMW - worst case'!$A$2:$MC$200,MATCH(1,('GMW - worst case'!$MC$2:$MC$200=S$3)*('GMW - worst case'!$MB$2:$MB$200=S$4),0),$E266-1973)</f>
        <v>#N/A</v>
      </c>
    </row>
    <row r="267" spans="1:19" x14ac:dyDescent="0.25">
      <c r="A267">
        <v>2045</v>
      </c>
      <c r="B267">
        <f t="shared" si="20"/>
        <v>2045</v>
      </c>
      <c r="C267">
        <f t="shared" si="20"/>
        <v>2044</v>
      </c>
      <c r="D267">
        <f t="shared" si="20"/>
        <v>2044</v>
      </c>
      <c r="E267">
        <f t="shared" si="21"/>
        <v>2240</v>
      </c>
      <c r="F267" t="str" cm="1">
        <f t="array" ref="F267">INDEX('GMW - worst case'!$A$2:$MC$200,MATCH(1,('GMW - worst case'!$MC$2:$MC$200=F$3)*('GMW - worst case'!$MB$2:$MB$200=F$4),0),$E267-1973)</f>
        <v>NA</v>
      </c>
      <c r="G267" t="str" cm="1">
        <f t="array" ref="G267">INDEX('GMW - worst case'!$A$2:$MC$200,MATCH(1,('GMW - worst case'!$MC$2:$MC$200=G$3)*('GMW - worst case'!$MB$2:$MB$200=G$4),0),$E267-1973)</f>
        <v>NA</v>
      </c>
      <c r="H267" t="str" cm="1">
        <f t="array" ref="H267">INDEX('GMW - worst case'!$A$2:$MC$200,MATCH(1,('GMW - worst case'!$MC$2:$MC$200=H$3)*('GMW - worst case'!$MB$2:$MB$200=H$4),0),$E267-1973)</f>
        <v>NA</v>
      </c>
      <c r="I267" t="str" cm="1">
        <f t="array" ref="I267">INDEX('GMW - worst case'!$A$2:$MC$200,MATCH(1,('GMW - worst case'!$MC$2:$MC$200=I$3)*('GMW - worst case'!$MB$2:$MB$200=I$4),0),$E267-1973)</f>
        <v>NA</v>
      </c>
      <c r="J267" t="e" cm="1">
        <f t="array" ref="J267">INDEX('GMW - worst case'!$A$2:$MC$200,MATCH(1,('GMW - worst case'!$MC$2:$MC$200=J$3)*('GMW - worst case'!$MB$2:$MB$200=J$4),0),$E267-1973)</f>
        <v>#N/A</v>
      </c>
      <c r="K267" t="e" cm="1">
        <f t="array" ref="K267">INDEX('GMW - worst case'!$A$2:$MC$200,MATCH(1,('GMW - worst case'!$MC$2:$MC$200=K$3)*('GMW - worst case'!$MB$2:$MB$200=K$4),0),$E267-1973)</f>
        <v>#N/A</v>
      </c>
      <c r="L267" t="e" cm="1">
        <f t="array" ref="L267">INDEX('GMW - worst case'!$A$2:$MC$200,MATCH(1,('GMW - worst case'!$MC$2:$MC$200=L$3)*('GMW - worst case'!$MB$2:$MB$200=L$4),0),$E267-1973)</f>
        <v>#N/A</v>
      </c>
      <c r="M267" t="e" cm="1">
        <f t="array" ref="M267">INDEX('GMW - worst case'!$A$2:$MC$200,MATCH(1,('GMW - worst case'!$MC$2:$MC$200=M$3)*('GMW - worst case'!$MB$2:$MB$200=M$4),0),$E267-1973)</f>
        <v>#N/A</v>
      </c>
      <c r="N267" t="e" cm="1">
        <f t="array" ref="N267">INDEX('GMW - worst case'!$A$2:$MC$200,MATCH(1,('GMW - worst case'!$MC$2:$MC$200=N$3)*('GMW - worst case'!$MB$2:$MB$200=N$4),0),$E267-1973)</f>
        <v>#N/A</v>
      </c>
      <c r="O267" t="e" cm="1">
        <f t="array" ref="O267">INDEX('GMW - worst case'!$A$2:$MC$200,MATCH(1,('GMW - worst case'!$MC$2:$MC$200=O$3)*('GMW - worst case'!$MB$2:$MB$200=O$4),0),$E267-1973)</f>
        <v>#N/A</v>
      </c>
      <c r="P267" t="e" cm="1">
        <f t="array" ref="P267">INDEX('GMW - worst case'!$A$2:$MC$200,MATCH(1,('GMW - worst case'!$MC$2:$MC$200=P$3)*('GMW - worst case'!$MB$2:$MB$200=P$4),0),$E267-1973)</f>
        <v>#N/A</v>
      </c>
      <c r="Q267" t="e" cm="1">
        <f t="array" ref="Q267">INDEX('GMW - worst case'!$A$2:$MC$200,MATCH(1,('GMW - worst case'!$MC$2:$MC$200=Q$3)*('GMW - worst case'!$MB$2:$MB$200=Q$4),0),$E267-1973)</f>
        <v>#N/A</v>
      </c>
      <c r="R267" t="e" cm="1">
        <f t="array" ref="R267">INDEX('GMW - worst case'!$A$2:$MC$200,MATCH(1,('GMW - worst case'!$MC$2:$MC$200=R$3)*('GMW - worst case'!$MB$2:$MB$200=R$4),0),$E267-1973)</f>
        <v>#N/A</v>
      </c>
      <c r="S267" t="e" cm="1">
        <f t="array" ref="S267">INDEX('GMW - worst case'!$A$2:$MC$200,MATCH(1,('GMW - worst case'!$MC$2:$MC$200=S$3)*('GMW - worst case'!$MB$2:$MB$200=S$4),0),$E267-1973)</f>
        <v>#N/A</v>
      </c>
    </row>
    <row r="268" spans="1:19" x14ac:dyDescent="0.25">
      <c r="B268">
        <f t="shared" ref="B268:D283" si="22">+B264+1</f>
        <v>2045</v>
      </c>
      <c r="C268">
        <f t="shared" si="22"/>
        <v>2045</v>
      </c>
      <c r="E268">
        <f t="shared" si="21"/>
        <v>2241</v>
      </c>
      <c r="F268" t="str" cm="1">
        <f t="array" ref="F268">INDEX('GMW - worst case'!$A$2:$MC$200,MATCH(1,('GMW - worst case'!$MC$2:$MC$200=F$3)*('GMW - worst case'!$MB$2:$MB$200=F$4),0),$E268-1973)</f>
        <v>NA</v>
      </c>
      <c r="G268" t="str" cm="1">
        <f t="array" ref="G268">INDEX('GMW - worst case'!$A$2:$MC$200,MATCH(1,('GMW - worst case'!$MC$2:$MC$200=G$3)*('GMW - worst case'!$MB$2:$MB$200=G$4),0),$E268-1973)</f>
        <v>NA</v>
      </c>
      <c r="H268" t="str" cm="1">
        <f t="array" ref="H268">INDEX('GMW - worst case'!$A$2:$MC$200,MATCH(1,('GMW - worst case'!$MC$2:$MC$200=H$3)*('GMW - worst case'!$MB$2:$MB$200=H$4),0),$E268-1973)</f>
        <v>NA</v>
      </c>
      <c r="I268" t="str" cm="1">
        <f t="array" ref="I268">INDEX('GMW - worst case'!$A$2:$MC$200,MATCH(1,('GMW - worst case'!$MC$2:$MC$200=I$3)*('GMW - worst case'!$MB$2:$MB$200=I$4),0),$E268-1973)</f>
        <v>NA</v>
      </c>
      <c r="J268" t="e" cm="1">
        <f t="array" ref="J268">INDEX('GMW - worst case'!$A$2:$MC$200,MATCH(1,('GMW - worst case'!$MC$2:$MC$200=J$3)*('GMW - worst case'!$MB$2:$MB$200=J$4),0),$E268-1973)</f>
        <v>#N/A</v>
      </c>
      <c r="K268" t="e" cm="1">
        <f t="array" ref="K268">INDEX('GMW - worst case'!$A$2:$MC$200,MATCH(1,('GMW - worst case'!$MC$2:$MC$200=K$3)*('GMW - worst case'!$MB$2:$MB$200=K$4),0),$E268-1973)</f>
        <v>#N/A</v>
      </c>
      <c r="L268" t="e" cm="1">
        <f t="array" ref="L268">INDEX('GMW - worst case'!$A$2:$MC$200,MATCH(1,('GMW - worst case'!$MC$2:$MC$200=L$3)*('GMW - worst case'!$MB$2:$MB$200=L$4),0),$E268-1973)</f>
        <v>#N/A</v>
      </c>
      <c r="M268" t="e" cm="1">
        <f t="array" ref="M268">INDEX('GMW - worst case'!$A$2:$MC$200,MATCH(1,('GMW - worst case'!$MC$2:$MC$200=M$3)*('GMW - worst case'!$MB$2:$MB$200=M$4),0),$E268-1973)</f>
        <v>#N/A</v>
      </c>
      <c r="N268" t="e" cm="1">
        <f t="array" ref="N268">INDEX('GMW - worst case'!$A$2:$MC$200,MATCH(1,('GMW - worst case'!$MC$2:$MC$200=N$3)*('GMW - worst case'!$MB$2:$MB$200=N$4),0),$E268-1973)</f>
        <v>#N/A</v>
      </c>
      <c r="O268" t="e" cm="1">
        <f t="array" ref="O268">INDEX('GMW - worst case'!$A$2:$MC$200,MATCH(1,('GMW - worst case'!$MC$2:$MC$200=O$3)*('GMW - worst case'!$MB$2:$MB$200=O$4),0),$E268-1973)</f>
        <v>#N/A</v>
      </c>
      <c r="P268" t="e" cm="1">
        <f t="array" ref="P268">INDEX('GMW - worst case'!$A$2:$MC$200,MATCH(1,('GMW - worst case'!$MC$2:$MC$200=P$3)*('GMW - worst case'!$MB$2:$MB$200=P$4),0),$E268-1973)</f>
        <v>#N/A</v>
      </c>
      <c r="Q268" t="e" cm="1">
        <f t="array" ref="Q268">INDEX('GMW - worst case'!$A$2:$MC$200,MATCH(1,('GMW - worst case'!$MC$2:$MC$200=Q$3)*('GMW - worst case'!$MB$2:$MB$200=Q$4),0),$E268-1973)</f>
        <v>#N/A</v>
      </c>
      <c r="R268" t="e" cm="1">
        <f t="array" ref="R268">INDEX('GMW - worst case'!$A$2:$MC$200,MATCH(1,('GMW - worst case'!$MC$2:$MC$200=R$3)*('GMW - worst case'!$MB$2:$MB$200=R$4),0),$E268-1973)</f>
        <v>#N/A</v>
      </c>
      <c r="S268" t="e" cm="1">
        <f t="array" ref="S268">INDEX('GMW - worst case'!$A$2:$MC$200,MATCH(1,('GMW - worst case'!$MC$2:$MC$200=S$3)*('GMW - worst case'!$MB$2:$MB$200=S$4),0),$E268-1973)</f>
        <v>#N/A</v>
      </c>
    </row>
    <row r="269" spans="1:19" x14ac:dyDescent="0.25">
      <c r="B269">
        <f t="shared" si="22"/>
        <v>2045</v>
      </c>
      <c r="C269">
        <f t="shared" si="22"/>
        <v>2045</v>
      </c>
      <c r="E269">
        <f t="shared" si="21"/>
        <v>2242</v>
      </c>
      <c r="F269" t="str" cm="1">
        <f t="array" ref="F269">INDEX('GMW - worst case'!$A$2:$MC$200,MATCH(1,('GMW - worst case'!$MC$2:$MC$200=F$3)*('GMW - worst case'!$MB$2:$MB$200=F$4),0),$E269-1973)</f>
        <v>NA</v>
      </c>
      <c r="G269" t="str" cm="1">
        <f t="array" ref="G269">INDEX('GMW - worst case'!$A$2:$MC$200,MATCH(1,('GMW - worst case'!$MC$2:$MC$200=G$3)*('GMW - worst case'!$MB$2:$MB$200=G$4),0),$E269-1973)</f>
        <v>NA</v>
      </c>
      <c r="H269" t="str" cm="1">
        <f t="array" ref="H269">INDEX('GMW - worst case'!$A$2:$MC$200,MATCH(1,('GMW - worst case'!$MC$2:$MC$200=H$3)*('GMW - worst case'!$MB$2:$MB$200=H$4),0),$E269-1973)</f>
        <v>NA</v>
      </c>
      <c r="I269" t="str" cm="1">
        <f t="array" ref="I269">INDEX('GMW - worst case'!$A$2:$MC$200,MATCH(1,('GMW - worst case'!$MC$2:$MC$200=I$3)*('GMW - worst case'!$MB$2:$MB$200=I$4),0),$E269-1973)</f>
        <v>NA</v>
      </c>
      <c r="J269" t="e" cm="1">
        <f t="array" ref="J269">INDEX('GMW - worst case'!$A$2:$MC$200,MATCH(1,('GMW - worst case'!$MC$2:$MC$200=J$3)*('GMW - worst case'!$MB$2:$MB$200=J$4),0),$E269-1973)</f>
        <v>#N/A</v>
      </c>
      <c r="K269" t="e" cm="1">
        <f t="array" ref="K269">INDEX('GMW - worst case'!$A$2:$MC$200,MATCH(1,('GMW - worst case'!$MC$2:$MC$200=K$3)*('GMW - worst case'!$MB$2:$MB$200=K$4),0),$E269-1973)</f>
        <v>#N/A</v>
      </c>
      <c r="L269" t="e" cm="1">
        <f t="array" ref="L269">INDEX('GMW - worst case'!$A$2:$MC$200,MATCH(1,('GMW - worst case'!$MC$2:$MC$200=L$3)*('GMW - worst case'!$MB$2:$MB$200=L$4),0),$E269-1973)</f>
        <v>#N/A</v>
      </c>
      <c r="M269" t="e" cm="1">
        <f t="array" ref="M269">INDEX('GMW - worst case'!$A$2:$MC$200,MATCH(1,('GMW - worst case'!$MC$2:$MC$200=M$3)*('GMW - worst case'!$MB$2:$MB$200=M$4),0),$E269-1973)</f>
        <v>#N/A</v>
      </c>
      <c r="N269" t="e" cm="1">
        <f t="array" ref="N269">INDEX('GMW - worst case'!$A$2:$MC$200,MATCH(1,('GMW - worst case'!$MC$2:$MC$200=N$3)*('GMW - worst case'!$MB$2:$MB$200=N$4),0),$E269-1973)</f>
        <v>#N/A</v>
      </c>
      <c r="O269" t="e" cm="1">
        <f t="array" ref="O269">INDEX('GMW - worst case'!$A$2:$MC$200,MATCH(1,('GMW - worst case'!$MC$2:$MC$200=O$3)*('GMW - worst case'!$MB$2:$MB$200=O$4),0),$E269-1973)</f>
        <v>#N/A</v>
      </c>
      <c r="P269" t="e" cm="1">
        <f t="array" ref="P269">INDEX('GMW - worst case'!$A$2:$MC$200,MATCH(1,('GMW - worst case'!$MC$2:$MC$200=P$3)*('GMW - worst case'!$MB$2:$MB$200=P$4),0),$E269-1973)</f>
        <v>#N/A</v>
      </c>
      <c r="Q269" t="e" cm="1">
        <f t="array" ref="Q269">INDEX('GMW - worst case'!$A$2:$MC$200,MATCH(1,('GMW - worst case'!$MC$2:$MC$200=Q$3)*('GMW - worst case'!$MB$2:$MB$200=Q$4),0),$E269-1973)</f>
        <v>#N/A</v>
      </c>
      <c r="R269" t="e" cm="1">
        <f t="array" ref="R269">INDEX('GMW - worst case'!$A$2:$MC$200,MATCH(1,('GMW - worst case'!$MC$2:$MC$200=R$3)*('GMW - worst case'!$MB$2:$MB$200=R$4),0),$E269-1973)</f>
        <v>#N/A</v>
      </c>
      <c r="S269" t="e" cm="1">
        <f t="array" ref="S269">INDEX('GMW - worst case'!$A$2:$MC$200,MATCH(1,('GMW - worst case'!$MC$2:$MC$200=S$3)*('GMW - worst case'!$MB$2:$MB$200=S$4),0),$E269-1973)</f>
        <v>#N/A</v>
      </c>
    </row>
    <row r="270" spans="1:19" x14ac:dyDescent="0.25">
      <c r="B270">
        <f t="shared" si="22"/>
        <v>2045</v>
      </c>
      <c r="C270">
        <f t="shared" si="22"/>
        <v>2045</v>
      </c>
      <c r="E270">
        <f t="shared" si="21"/>
        <v>2243</v>
      </c>
      <c r="F270" t="str" cm="1">
        <f t="array" ref="F270">INDEX('GMW - worst case'!$A$2:$MC$200,MATCH(1,('GMW - worst case'!$MC$2:$MC$200=F$3)*('GMW - worst case'!$MB$2:$MB$200=F$4),0),$E270-1973)</f>
        <v>NA</v>
      </c>
      <c r="G270" t="str" cm="1">
        <f t="array" ref="G270">INDEX('GMW - worst case'!$A$2:$MC$200,MATCH(1,('GMW - worst case'!$MC$2:$MC$200=G$3)*('GMW - worst case'!$MB$2:$MB$200=G$4),0),$E270-1973)</f>
        <v>NA</v>
      </c>
      <c r="H270" t="str" cm="1">
        <f t="array" ref="H270">INDEX('GMW - worst case'!$A$2:$MC$200,MATCH(1,('GMW - worst case'!$MC$2:$MC$200=H$3)*('GMW - worst case'!$MB$2:$MB$200=H$4),0),$E270-1973)</f>
        <v>NA</v>
      </c>
      <c r="I270" t="str" cm="1">
        <f t="array" ref="I270">INDEX('GMW - worst case'!$A$2:$MC$200,MATCH(1,('GMW - worst case'!$MC$2:$MC$200=I$3)*('GMW - worst case'!$MB$2:$MB$200=I$4),0),$E270-1973)</f>
        <v>NA</v>
      </c>
      <c r="J270" t="e" cm="1">
        <f t="array" ref="J270">INDEX('GMW - worst case'!$A$2:$MC$200,MATCH(1,('GMW - worst case'!$MC$2:$MC$200=J$3)*('GMW - worst case'!$MB$2:$MB$200=J$4),0),$E270-1973)</f>
        <v>#N/A</v>
      </c>
      <c r="K270" t="e" cm="1">
        <f t="array" ref="K270">INDEX('GMW - worst case'!$A$2:$MC$200,MATCH(1,('GMW - worst case'!$MC$2:$MC$200=K$3)*('GMW - worst case'!$MB$2:$MB$200=K$4),0),$E270-1973)</f>
        <v>#N/A</v>
      </c>
      <c r="L270" t="e" cm="1">
        <f t="array" ref="L270">INDEX('GMW - worst case'!$A$2:$MC$200,MATCH(1,('GMW - worst case'!$MC$2:$MC$200=L$3)*('GMW - worst case'!$MB$2:$MB$200=L$4),0),$E270-1973)</f>
        <v>#N/A</v>
      </c>
      <c r="M270" t="e" cm="1">
        <f t="array" ref="M270">INDEX('GMW - worst case'!$A$2:$MC$200,MATCH(1,('GMW - worst case'!$MC$2:$MC$200=M$3)*('GMW - worst case'!$MB$2:$MB$200=M$4),0),$E270-1973)</f>
        <v>#N/A</v>
      </c>
      <c r="N270" t="e" cm="1">
        <f t="array" ref="N270">INDEX('GMW - worst case'!$A$2:$MC$200,MATCH(1,('GMW - worst case'!$MC$2:$MC$200=N$3)*('GMW - worst case'!$MB$2:$MB$200=N$4),0),$E270-1973)</f>
        <v>#N/A</v>
      </c>
      <c r="O270" t="e" cm="1">
        <f t="array" ref="O270">INDEX('GMW - worst case'!$A$2:$MC$200,MATCH(1,('GMW - worst case'!$MC$2:$MC$200=O$3)*('GMW - worst case'!$MB$2:$MB$200=O$4),0),$E270-1973)</f>
        <v>#N/A</v>
      </c>
      <c r="P270" t="e" cm="1">
        <f t="array" ref="P270">INDEX('GMW - worst case'!$A$2:$MC$200,MATCH(1,('GMW - worst case'!$MC$2:$MC$200=P$3)*('GMW - worst case'!$MB$2:$MB$200=P$4),0),$E270-1973)</f>
        <v>#N/A</v>
      </c>
      <c r="Q270" t="e" cm="1">
        <f t="array" ref="Q270">INDEX('GMW - worst case'!$A$2:$MC$200,MATCH(1,('GMW - worst case'!$MC$2:$MC$200=Q$3)*('GMW - worst case'!$MB$2:$MB$200=Q$4),0),$E270-1973)</f>
        <v>#N/A</v>
      </c>
      <c r="R270" t="e" cm="1">
        <f t="array" ref="R270">INDEX('GMW - worst case'!$A$2:$MC$200,MATCH(1,('GMW - worst case'!$MC$2:$MC$200=R$3)*('GMW - worst case'!$MB$2:$MB$200=R$4),0),$E270-1973)</f>
        <v>#N/A</v>
      </c>
      <c r="S270" t="e" cm="1">
        <f t="array" ref="S270">INDEX('GMW - worst case'!$A$2:$MC$200,MATCH(1,('GMW - worst case'!$MC$2:$MC$200=S$3)*('GMW - worst case'!$MB$2:$MB$200=S$4),0),$E270-1973)</f>
        <v>#N/A</v>
      </c>
    </row>
    <row r="271" spans="1:19" x14ac:dyDescent="0.25">
      <c r="A271">
        <v>2046</v>
      </c>
      <c r="B271">
        <f t="shared" si="22"/>
        <v>2046</v>
      </c>
      <c r="C271">
        <f t="shared" si="22"/>
        <v>2045</v>
      </c>
      <c r="D271">
        <f t="shared" si="22"/>
        <v>2045</v>
      </c>
      <c r="E271">
        <f t="shared" si="21"/>
        <v>2244</v>
      </c>
      <c r="F271" t="str" cm="1">
        <f t="array" ref="F271">INDEX('GMW - worst case'!$A$2:$MC$200,MATCH(1,('GMW - worst case'!$MC$2:$MC$200=F$3)*('GMW - worst case'!$MB$2:$MB$200=F$4),0),$E271-1973)</f>
        <v>NA</v>
      </c>
      <c r="G271" t="str" cm="1">
        <f t="array" ref="G271">INDEX('GMW - worst case'!$A$2:$MC$200,MATCH(1,('GMW - worst case'!$MC$2:$MC$200=G$3)*('GMW - worst case'!$MB$2:$MB$200=G$4),0),$E271-1973)</f>
        <v>NA</v>
      </c>
      <c r="H271" t="str" cm="1">
        <f t="array" ref="H271">INDEX('GMW - worst case'!$A$2:$MC$200,MATCH(1,('GMW - worst case'!$MC$2:$MC$200=H$3)*('GMW - worst case'!$MB$2:$MB$200=H$4),0),$E271-1973)</f>
        <v>NA</v>
      </c>
      <c r="I271" t="str" cm="1">
        <f t="array" ref="I271">INDEX('GMW - worst case'!$A$2:$MC$200,MATCH(1,('GMW - worst case'!$MC$2:$MC$200=I$3)*('GMW - worst case'!$MB$2:$MB$200=I$4),0),$E271-1973)</f>
        <v>NA</v>
      </c>
      <c r="J271" t="e" cm="1">
        <f t="array" ref="J271">INDEX('GMW - worst case'!$A$2:$MC$200,MATCH(1,('GMW - worst case'!$MC$2:$MC$200=J$3)*('GMW - worst case'!$MB$2:$MB$200=J$4),0),$E271-1973)</f>
        <v>#N/A</v>
      </c>
      <c r="K271" t="e" cm="1">
        <f t="array" ref="K271">INDEX('GMW - worst case'!$A$2:$MC$200,MATCH(1,('GMW - worst case'!$MC$2:$MC$200=K$3)*('GMW - worst case'!$MB$2:$MB$200=K$4),0),$E271-1973)</f>
        <v>#N/A</v>
      </c>
      <c r="L271" t="e" cm="1">
        <f t="array" ref="L271">INDEX('GMW - worst case'!$A$2:$MC$200,MATCH(1,('GMW - worst case'!$MC$2:$MC$200=L$3)*('GMW - worst case'!$MB$2:$MB$200=L$4),0),$E271-1973)</f>
        <v>#N/A</v>
      </c>
      <c r="M271" t="e" cm="1">
        <f t="array" ref="M271">INDEX('GMW - worst case'!$A$2:$MC$200,MATCH(1,('GMW - worst case'!$MC$2:$MC$200=M$3)*('GMW - worst case'!$MB$2:$MB$200=M$4),0),$E271-1973)</f>
        <v>#N/A</v>
      </c>
      <c r="N271" t="e" cm="1">
        <f t="array" ref="N271">INDEX('GMW - worst case'!$A$2:$MC$200,MATCH(1,('GMW - worst case'!$MC$2:$MC$200=N$3)*('GMW - worst case'!$MB$2:$MB$200=N$4),0),$E271-1973)</f>
        <v>#N/A</v>
      </c>
      <c r="O271" t="e" cm="1">
        <f t="array" ref="O271">INDEX('GMW - worst case'!$A$2:$MC$200,MATCH(1,('GMW - worst case'!$MC$2:$MC$200=O$3)*('GMW - worst case'!$MB$2:$MB$200=O$4),0),$E271-1973)</f>
        <v>#N/A</v>
      </c>
      <c r="P271" t="e" cm="1">
        <f t="array" ref="P271">INDEX('GMW - worst case'!$A$2:$MC$200,MATCH(1,('GMW - worst case'!$MC$2:$MC$200=P$3)*('GMW - worst case'!$MB$2:$MB$200=P$4),0),$E271-1973)</f>
        <v>#N/A</v>
      </c>
      <c r="Q271" t="e" cm="1">
        <f t="array" ref="Q271">INDEX('GMW - worst case'!$A$2:$MC$200,MATCH(1,('GMW - worst case'!$MC$2:$MC$200=Q$3)*('GMW - worst case'!$MB$2:$MB$200=Q$4),0),$E271-1973)</f>
        <v>#N/A</v>
      </c>
      <c r="R271" t="e" cm="1">
        <f t="array" ref="R271">INDEX('GMW - worst case'!$A$2:$MC$200,MATCH(1,('GMW - worst case'!$MC$2:$MC$200=R$3)*('GMW - worst case'!$MB$2:$MB$200=R$4),0),$E271-1973)</f>
        <v>#N/A</v>
      </c>
      <c r="S271" t="e" cm="1">
        <f t="array" ref="S271">INDEX('GMW - worst case'!$A$2:$MC$200,MATCH(1,('GMW - worst case'!$MC$2:$MC$200=S$3)*('GMW - worst case'!$MB$2:$MB$200=S$4),0),$E271-1973)</f>
        <v>#N/A</v>
      </c>
    </row>
    <row r="272" spans="1:19" x14ac:dyDescent="0.25">
      <c r="B272">
        <f t="shared" si="22"/>
        <v>2046</v>
      </c>
      <c r="C272">
        <f t="shared" si="22"/>
        <v>2046</v>
      </c>
      <c r="E272">
        <f t="shared" si="21"/>
        <v>2245</v>
      </c>
      <c r="F272" t="str" cm="1">
        <f t="array" ref="F272">INDEX('GMW - worst case'!$A$2:$MC$200,MATCH(1,('GMW - worst case'!$MC$2:$MC$200=F$3)*('GMW - worst case'!$MB$2:$MB$200=F$4),0),$E272-1973)</f>
        <v>NA</v>
      </c>
      <c r="G272" t="str" cm="1">
        <f t="array" ref="G272">INDEX('GMW - worst case'!$A$2:$MC$200,MATCH(1,('GMW - worst case'!$MC$2:$MC$200=G$3)*('GMW - worst case'!$MB$2:$MB$200=G$4),0),$E272-1973)</f>
        <v>NA</v>
      </c>
      <c r="H272" t="str" cm="1">
        <f t="array" ref="H272">INDEX('GMW - worst case'!$A$2:$MC$200,MATCH(1,('GMW - worst case'!$MC$2:$MC$200=H$3)*('GMW - worst case'!$MB$2:$MB$200=H$4),0),$E272-1973)</f>
        <v>NA</v>
      </c>
      <c r="I272" t="str" cm="1">
        <f t="array" ref="I272">INDEX('GMW - worst case'!$A$2:$MC$200,MATCH(1,('GMW - worst case'!$MC$2:$MC$200=I$3)*('GMW - worst case'!$MB$2:$MB$200=I$4),0),$E272-1973)</f>
        <v>NA</v>
      </c>
      <c r="J272" t="e" cm="1">
        <f t="array" ref="J272">INDEX('GMW - worst case'!$A$2:$MC$200,MATCH(1,('GMW - worst case'!$MC$2:$MC$200=J$3)*('GMW - worst case'!$MB$2:$MB$200=J$4),0),$E272-1973)</f>
        <v>#N/A</v>
      </c>
      <c r="K272" t="e" cm="1">
        <f t="array" ref="K272">INDEX('GMW - worst case'!$A$2:$MC$200,MATCH(1,('GMW - worst case'!$MC$2:$MC$200=K$3)*('GMW - worst case'!$MB$2:$MB$200=K$4),0),$E272-1973)</f>
        <v>#N/A</v>
      </c>
      <c r="L272" t="e" cm="1">
        <f t="array" ref="L272">INDEX('GMW - worst case'!$A$2:$MC$200,MATCH(1,('GMW - worst case'!$MC$2:$MC$200=L$3)*('GMW - worst case'!$MB$2:$MB$200=L$4),0),$E272-1973)</f>
        <v>#N/A</v>
      </c>
      <c r="M272" t="e" cm="1">
        <f t="array" ref="M272">INDEX('GMW - worst case'!$A$2:$MC$200,MATCH(1,('GMW - worst case'!$MC$2:$MC$200=M$3)*('GMW - worst case'!$MB$2:$MB$200=M$4),0),$E272-1973)</f>
        <v>#N/A</v>
      </c>
      <c r="N272" t="e" cm="1">
        <f t="array" ref="N272">INDEX('GMW - worst case'!$A$2:$MC$200,MATCH(1,('GMW - worst case'!$MC$2:$MC$200=N$3)*('GMW - worst case'!$MB$2:$MB$200=N$4),0),$E272-1973)</f>
        <v>#N/A</v>
      </c>
      <c r="O272" t="e" cm="1">
        <f t="array" ref="O272">INDEX('GMW - worst case'!$A$2:$MC$200,MATCH(1,('GMW - worst case'!$MC$2:$MC$200=O$3)*('GMW - worst case'!$MB$2:$MB$200=O$4),0),$E272-1973)</f>
        <v>#N/A</v>
      </c>
      <c r="P272" t="e" cm="1">
        <f t="array" ref="P272">INDEX('GMW - worst case'!$A$2:$MC$200,MATCH(1,('GMW - worst case'!$MC$2:$MC$200=P$3)*('GMW - worst case'!$MB$2:$MB$200=P$4),0),$E272-1973)</f>
        <v>#N/A</v>
      </c>
      <c r="Q272" t="e" cm="1">
        <f t="array" ref="Q272">INDEX('GMW - worst case'!$A$2:$MC$200,MATCH(1,('GMW - worst case'!$MC$2:$MC$200=Q$3)*('GMW - worst case'!$MB$2:$MB$200=Q$4),0),$E272-1973)</f>
        <v>#N/A</v>
      </c>
      <c r="R272" t="e" cm="1">
        <f t="array" ref="R272">INDEX('GMW - worst case'!$A$2:$MC$200,MATCH(1,('GMW - worst case'!$MC$2:$MC$200=R$3)*('GMW - worst case'!$MB$2:$MB$200=R$4),0),$E272-1973)</f>
        <v>#N/A</v>
      </c>
      <c r="S272" t="e" cm="1">
        <f t="array" ref="S272">INDEX('GMW - worst case'!$A$2:$MC$200,MATCH(1,('GMW - worst case'!$MC$2:$MC$200=S$3)*('GMW - worst case'!$MB$2:$MB$200=S$4),0),$E272-1973)</f>
        <v>#N/A</v>
      </c>
    </row>
    <row r="273" spans="1:19" x14ac:dyDescent="0.25">
      <c r="B273">
        <f t="shared" si="22"/>
        <v>2046</v>
      </c>
      <c r="C273">
        <f t="shared" si="22"/>
        <v>2046</v>
      </c>
      <c r="E273">
        <f t="shared" si="21"/>
        <v>2246</v>
      </c>
      <c r="F273" t="str" cm="1">
        <f t="array" ref="F273">INDEX('GMW - worst case'!$A$2:$MC$200,MATCH(1,('GMW - worst case'!$MC$2:$MC$200=F$3)*('GMW - worst case'!$MB$2:$MB$200=F$4),0),$E273-1973)</f>
        <v>NA</v>
      </c>
      <c r="G273" t="str" cm="1">
        <f t="array" ref="G273">INDEX('GMW - worst case'!$A$2:$MC$200,MATCH(1,('GMW - worst case'!$MC$2:$MC$200=G$3)*('GMW - worst case'!$MB$2:$MB$200=G$4),0),$E273-1973)</f>
        <v>NA</v>
      </c>
      <c r="H273" t="str" cm="1">
        <f t="array" ref="H273">INDEX('GMW - worst case'!$A$2:$MC$200,MATCH(1,('GMW - worst case'!$MC$2:$MC$200=H$3)*('GMW - worst case'!$MB$2:$MB$200=H$4),0),$E273-1973)</f>
        <v>NA</v>
      </c>
      <c r="I273" t="str" cm="1">
        <f t="array" ref="I273">INDEX('GMW - worst case'!$A$2:$MC$200,MATCH(1,('GMW - worst case'!$MC$2:$MC$200=I$3)*('GMW - worst case'!$MB$2:$MB$200=I$4),0),$E273-1973)</f>
        <v>NA</v>
      </c>
      <c r="J273" t="e" cm="1">
        <f t="array" ref="J273">INDEX('GMW - worst case'!$A$2:$MC$200,MATCH(1,('GMW - worst case'!$MC$2:$MC$200=J$3)*('GMW - worst case'!$MB$2:$MB$200=J$4),0),$E273-1973)</f>
        <v>#N/A</v>
      </c>
      <c r="K273" t="e" cm="1">
        <f t="array" ref="K273">INDEX('GMW - worst case'!$A$2:$MC$200,MATCH(1,('GMW - worst case'!$MC$2:$MC$200=K$3)*('GMW - worst case'!$MB$2:$MB$200=K$4),0),$E273-1973)</f>
        <v>#N/A</v>
      </c>
      <c r="L273" t="e" cm="1">
        <f t="array" ref="L273">INDEX('GMW - worst case'!$A$2:$MC$200,MATCH(1,('GMW - worst case'!$MC$2:$MC$200=L$3)*('GMW - worst case'!$MB$2:$MB$200=L$4),0),$E273-1973)</f>
        <v>#N/A</v>
      </c>
      <c r="M273" t="e" cm="1">
        <f t="array" ref="M273">INDEX('GMW - worst case'!$A$2:$MC$200,MATCH(1,('GMW - worst case'!$MC$2:$MC$200=M$3)*('GMW - worst case'!$MB$2:$MB$200=M$4),0),$E273-1973)</f>
        <v>#N/A</v>
      </c>
      <c r="N273" t="e" cm="1">
        <f t="array" ref="N273">INDEX('GMW - worst case'!$A$2:$MC$200,MATCH(1,('GMW - worst case'!$MC$2:$MC$200=N$3)*('GMW - worst case'!$MB$2:$MB$200=N$4),0),$E273-1973)</f>
        <v>#N/A</v>
      </c>
      <c r="O273" t="e" cm="1">
        <f t="array" ref="O273">INDEX('GMW - worst case'!$A$2:$MC$200,MATCH(1,('GMW - worst case'!$MC$2:$MC$200=O$3)*('GMW - worst case'!$MB$2:$MB$200=O$4),0),$E273-1973)</f>
        <v>#N/A</v>
      </c>
      <c r="P273" t="e" cm="1">
        <f t="array" ref="P273">INDEX('GMW - worst case'!$A$2:$MC$200,MATCH(1,('GMW - worst case'!$MC$2:$MC$200=P$3)*('GMW - worst case'!$MB$2:$MB$200=P$4),0),$E273-1973)</f>
        <v>#N/A</v>
      </c>
      <c r="Q273" t="e" cm="1">
        <f t="array" ref="Q273">INDEX('GMW - worst case'!$A$2:$MC$200,MATCH(1,('GMW - worst case'!$MC$2:$MC$200=Q$3)*('GMW - worst case'!$MB$2:$MB$200=Q$4),0),$E273-1973)</f>
        <v>#N/A</v>
      </c>
      <c r="R273" t="e" cm="1">
        <f t="array" ref="R273">INDEX('GMW - worst case'!$A$2:$MC$200,MATCH(1,('GMW - worst case'!$MC$2:$MC$200=R$3)*('GMW - worst case'!$MB$2:$MB$200=R$4),0),$E273-1973)</f>
        <v>#N/A</v>
      </c>
      <c r="S273" t="e" cm="1">
        <f t="array" ref="S273">INDEX('GMW - worst case'!$A$2:$MC$200,MATCH(1,('GMW - worst case'!$MC$2:$MC$200=S$3)*('GMW - worst case'!$MB$2:$MB$200=S$4),0),$E273-1973)</f>
        <v>#N/A</v>
      </c>
    </row>
    <row r="274" spans="1:19" x14ac:dyDescent="0.25">
      <c r="B274">
        <f t="shared" si="22"/>
        <v>2046</v>
      </c>
      <c r="C274">
        <f t="shared" si="22"/>
        <v>2046</v>
      </c>
      <c r="E274">
        <f t="shared" si="21"/>
        <v>2247</v>
      </c>
      <c r="F274" t="str" cm="1">
        <f t="array" ref="F274">INDEX('GMW - worst case'!$A$2:$MC$200,MATCH(1,('GMW - worst case'!$MC$2:$MC$200=F$3)*('GMW - worst case'!$MB$2:$MB$200=F$4),0),$E274-1973)</f>
        <v>NA</v>
      </c>
      <c r="G274" t="str" cm="1">
        <f t="array" ref="G274">INDEX('GMW - worst case'!$A$2:$MC$200,MATCH(1,('GMW - worst case'!$MC$2:$MC$200=G$3)*('GMW - worst case'!$MB$2:$MB$200=G$4),0),$E274-1973)</f>
        <v>NA</v>
      </c>
      <c r="H274" t="str" cm="1">
        <f t="array" ref="H274">INDEX('GMW - worst case'!$A$2:$MC$200,MATCH(1,('GMW - worst case'!$MC$2:$MC$200=H$3)*('GMW - worst case'!$MB$2:$MB$200=H$4),0),$E274-1973)</f>
        <v>NA</v>
      </c>
      <c r="I274" t="str" cm="1">
        <f t="array" ref="I274">INDEX('GMW - worst case'!$A$2:$MC$200,MATCH(1,('GMW - worst case'!$MC$2:$MC$200=I$3)*('GMW - worst case'!$MB$2:$MB$200=I$4),0),$E274-1973)</f>
        <v>NA</v>
      </c>
      <c r="J274" t="e" cm="1">
        <f t="array" ref="J274">INDEX('GMW - worst case'!$A$2:$MC$200,MATCH(1,('GMW - worst case'!$MC$2:$MC$200=J$3)*('GMW - worst case'!$MB$2:$MB$200=J$4),0),$E274-1973)</f>
        <v>#N/A</v>
      </c>
      <c r="K274" t="e" cm="1">
        <f t="array" ref="K274">INDEX('GMW - worst case'!$A$2:$MC$200,MATCH(1,('GMW - worst case'!$MC$2:$MC$200=K$3)*('GMW - worst case'!$MB$2:$MB$200=K$4),0),$E274-1973)</f>
        <v>#N/A</v>
      </c>
      <c r="L274" t="e" cm="1">
        <f t="array" ref="L274">INDEX('GMW - worst case'!$A$2:$MC$200,MATCH(1,('GMW - worst case'!$MC$2:$MC$200=L$3)*('GMW - worst case'!$MB$2:$MB$200=L$4),0),$E274-1973)</f>
        <v>#N/A</v>
      </c>
      <c r="M274" t="e" cm="1">
        <f t="array" ref="M274">INDEX('GMW - worst case'!$A$2:$MC$200,MATCH(1,('GMW - worst case'!$MC$2:$MC$200=M$3)*('GMW - worst case'!$MB$2:$MB$200=M$4),0),$E274-1973)</f>
        <v>#N/A</v>
      </c>
      <c r="N274" t="e" cm="1">
        <f t="array" ref="N274">INDEX('GMW - worst case'!$A$2:$MC$200,MATCH(1,('GMW - worst case'!$MC$2:$MC$200=N$3)*('GMW - worst case'!$MB$2:$MB$200=N$4),0),$E274-1973)</f>
        <v>#N/A</v>
      </c>
      <c r="O274" t="e" cm="1">
        <f t="array" ref="O274">INDEX('GMW - worst case'!$A$2:$MC$200,MATCH(1,('GMW - worst case'!$MC$2:$MC$200=O$3)*('GMW - worst case'!$MB$2:$MB$200=O$4),0),$E274-1973)</f>
        <v>#N/A</v>
      </c>
      <c r="P274" t="e" cm="1">
        <f t="array" ref="P274">INDEX('GMW - worst case'!$A$2:$MC$200,MATCH(1,('GMW - worst case'!$MC$2:$MC$200=P$3)*('GMW - worst case'!$MB$2:$MB$200=P$4),0),$E274-1973)</f>
        <v>#N/A</v>
      </c>
      <c r="Q274" t="e" cm="1">
        <f t="array" ref="Q274">INDEX('GMW - worst case'!$A$2:$MC$200,MATCH(1,('GMW - worst case'!$MC$2:$MC$200=Q$3)*('GMW - worst case'!$MB$2:$MB$200=Q$4),0),$E274-1973)</f>
        <v>#N/A</v>
      </c>
      <c r="R274" t="e" cm="1">
        <f t="array" ref="R274">INDEX('GMW - worst case'!$A$2:$MC$200,MATCH(1,('GMW - worst case'!$MC$2:$MC$200=R$3)*('GMW - worst case'!$MB$2:$MB$200=R$4),0),$E274-1973)</f>
        <v>#N/A</v>
      </c>
      <c r="S274" t="e" cm="1">
        <f t="array" ref="S274">INDEX('GMW - worst case'!$A$2:$MC$200,MATCH(1,('GMW - worst case'!$MC$2:$MC$200=S$3)*('GMW - worst case'!$MB$2:$MB$200=S$4),0),$E274-1973)</f>
        <v>#N/A</v>
      </c>
    </row>
    <row r="275" spans="1:19" x14ac:dyDescent="0.25">
      <c r="A275">
        <v>2047</v>
      </c>
      <c r="B275">
        <f t="shared" si="22"/>
        <v>2047</v>
      </c>
      <c r="C275">
        <f t="shared" si="22"/>
        <v>2046</v>
      </c>
      <c r="D275">
        <f t="shared" si="22"/>
        <v>2046</v>
      </c>
      <c r="E275">
        <f t="shared" si="21"/>
        <v>2248</v>
      </c>
      <c r="F275" t="str" cm="1">
        <f t="array" ref="F275">INDEX('GMW - worst case'!$A$2:$MC$200,MATCH(1,('GMW - worst case'!$MC$2:$MC$200=F$3)*('GMW - worst case'!$MB$2:$MB$200=F$4),0),$E275-1973)</f>
        <v>NA</v>
      </c>
      <c r="G275" t="str" cm="1">
        <f t="array" ref="G275">INDEX('GMW - worst case'!$A$2:$MC$200,MATCH(1,('GMW - worst case'!$MC$2:$MC$200=G$3)*('GMW - worst case'!$MB$2:$MB$200=G$4),0),$E275-1973)</f>
        <v>NA</v>
      </c>
      <c r="H275" t="str" cm="1">
        <f t="array" ref="H275">INDEX('GMW - worst case'!$A$2:$MC$200,MATCH(1,('GMW - worst case'!$MC$2:$MC$200=H$3)*('GMW - worst case'!$MB$2:$MB$200=H$4),0),$E275-1973)</f>
        <v>NA</v>
      </c>
      <c r="I275" t="str" cm="1">
        <f t="array" ref="I275">INDEX('GMW - worst case'!$A$2:$MC$200,MATCH(1,('GMW - worst case'!$MC$2:$MC$200=I$3)*('GMW - worst case'!$MB$2:$MB$200=I$4),0),$E275-1973)</f>
        <v>NA</v>
      </c>
      <c r="J275" t="e" cm="1">
        <f t="array" ref="J275">INDEX('GMW - worst case'!$A$2:$MC$200,MATCH(1,('GMW - worst case'!$MC$2:$MC$200=J$3)*('GMW - worst case'!$MB$2:$MB$200=J$4),0),$E275-1973)</f>
        <v>#N/A</v>
      </c>
      <c r="K275" t="e" cm="1">
        <f t="array" ref="K275">INDEX('GMW - worst case'!$A$2:$MC$200,MATCH(1,('GMW - worst case'!$MC$2:$MC$200=K$3)*('GMW - worst case'!$MB$2:$MB$200=K$4),0),$E275-1973)</f>
        <v>#N/A</v>
      </c>
      <c r="L275" t="e" cm="1">
        <f t="array" ref="L275">INDEX('GMW - worst case'!$A$2:$MC$200,MATCH(1,('GMW - worst case'!$MC$2:$MC$200=L$3)*('GMW - worst case'!$MB$2:$MB$200=L$4),0),$E275-1973)</f>
        <v>#N/A</v>
      </c>
      <c r="M275" t="e" cm="1">
        <f t="array" ref="M275">INDEX('GMW - worst case'!$A$2:$MC$200,MATCH(1,('GMW - worst case'!$MC$2:$MC$200=M$3)*('GMW - worst case'!$MB$2:$MB$200=M$4),0),$E275-1973)</f>
        <v>#N/A</v>
      </c>
      <c r="N275" t="e" cm="1">
        <f t="array" ref="N275">INDEX('GMW - worst case'!$A$2:$MC$200,MATCH(1,('GMW - worst case'!$MC$2:$MC$200=N$3)*('GMW - worst case'!$MB$2:$MB$200=N$4),0),$E275-1973)</f>
        <v>#N/A</v>
      </c>
      <c r="O275" t="e" cm="1">
        <f t="array" ref="O275">INDEX('GMW - worst case'!$A$2:$MC$200,MATCH(1,('GMW - worst case'!$MC$2:$MC$200=O$3)*('GMW - worst case'!$MB$2:$MB$200=O$4),0),$E275-1973)</f>
        <v>#N/A</v>
      </c>
      <c r="P275" t="e" cm="1">
        <f t="array" ref="P275">INDEX('GMW - worst case'!$A$2:$MC$200,MATCH(1,('GMW - worst case'!$MC$2:$MC$200=P$3)*('GMW - worst case'!$MB$2:$MB$200=P$4),0),$E275-1973)</f>
        <v>#N/A</v>
      </c>
      <c r="Q275" t="e" cm="1">
        <f t="array" ref="Q275">INDEX('GMW - worst case'!$A$2:$MC$200,MATCH(1,('GMW - worst case'!$MC$2:$MC$200=Q$3)*('GMW - worst case'!$MB$2:$MB$200=Q$4),0),$E275-1973)</f>
        <v>#N/A</v>
      </c>
      <c r="R275" t="e" cm="1">
        <f t="array" ref="R275">INDEX('GMW - worst case'!$A$2:$MC$200,MATCH(1,('GMW - worst case'!$MC$2:$MC$200=R$3)*('GMW - worst case'!$MB$2:$MB$200=R$4),0),$E275-1973)</f>
        <v>#N/A</v>
      </c>
      <c r="S275" t="e" cm="1">
        <f t="array" ref="S275">INDEX('GMW - worst case'!$A$2:$MC$200,MATCH(1,('GMW - worst case'!$MC$2:$MC$200=S$3)*('GMW - worst case'!$MB$2:$MB$200=S$4),0),$E275-1973)</f>
        <v>#N/A</v>
      </c>
    </row>
    <row r="276" spans="1:19" x14ac:dyDescent="0.25">
      <c r="B276">
        <f t="shared" si="22"/>
        <v>2047</v>
      </c>
      <c r="C276">
        <f t="shared" si="22"/>
        <v>2047</v>
      </c>
      <c r="E276">
        <f t="shared" si="21"/>
        <v>2249</v>
      </c>
      <c r="F276" t="str" cm="1">
        <f t="array" ref="F276">INDEX('GMW - worst case'!$A$2:$MC$200,MATCH(1,('GMW - worst case'!$MC$2:$MC$200=F$3)*('GMW - worst case'!$MB$2:$MB$200=F$4),0),$E276-1973)</f>
        <v>NA</v>
      </c>
      <c r="G276" t="str" cm="1">
        <f t="array" ref="G276">INDEX('GMW - worst case'!$A$2:$MC$200,MATCH(1,('GMW - worst case'!$MC$2:$MC$200=G$3)*('GMW - worst case'!$MB$2:$MB$200=G$4),0),$E276-1973)</f>
        <v>NA</v>
      </c>
      <c r="H276" t="str" cm="1">
        <f t="array" ref="H276">INDEX('GMW - worst case'!$A$2:$MC$200,MATCH(1,('GMW - worst case'!$MC$2:$MC$200=H$3)*('GMW - worst case'!$MB$2:$MB$200=H$4),0),$E276-1973)</f>
        <v>NA</v>
      </c>
      <c r="I276" t="str" cm="1">
        <f t="array" ref="I276">INDEX('GMW - worst case'!$A$2:$MC$200,MATCH(1,('GMW - worst case'!$MC$2:$MC$200=I$3)*('GMW - worst case'!$MB$2:$MB$200=I$4),0),$E276-1973)</f>
        <v>NA</v>
      </c>
      <c r="J276" t="e" cm="1">
        <f t="array" ref="J276">INDEX('GMW - worst case'!$A$2:$MC$200,MATCH(1,('GMW - worst case'!$MC$2:$MC$200=J$3)*('GMW - worst case'!$MB$2:$MB$200=J$4),0),$E276-1973)</f>
        <v>#N/A</v>
      </c>
      <c r="K276" t="e" cm="1">
        <f t="array" ref="K276">INDEX('GMW - worst case'!$A$2:$MC$200,MATCH(1,('GMW - worst case'!$MC$2:$MC$200=K$3)*('GMW - worst case'!$MB$2:$MB$200=K$4),0),$E276-1973)</f>
        <v>#N/A</v>
      </c>
      <c r="L276" t="e" cm="1">
        <f t="array" ref="L276">INDEX('GMW - worst case'!$A$2:$MC$200,MATCH(1,('GMW - worst case'!$MC$2:$MC$200=L$3)*('GMW - worst case'!$MB$2:$MB$200=L$4),0),$E276-1973)</f>
        <v>#N/A</v>
      </c>
      <c r="M276" t="e" cm="1">
        <f t="array" ref="M276">INDEX('GMW - worst case'!$A$2:$MC$200,MATCH(1,('GMW - worst case'!$MC$2:$MC$200=M$3)*('GMW - worst case'!$MB$2:$MB$200=M$4),0),$E276-1973)</f>
        <v>#N/A</v>
      </c>
      <c r="N276" t="e" cm="1">
        <f t="array" ref="N276">INDEX('GMW - worst case'!$A$2:$MC$200,MATCH(1,('GMW - worst case'!$MC$2:$MC$200=N$3)*('GMW - worst case'!$MB$2:$MB$200=N$4),0),$E276-1973)</f>
        <v>#N/A</v>
      </c>
      <c r="O276" t="e" cm="1">
        <f t="array" ref="O276">INDEX('GMW - worst case'!$A$2:$MC$200,MATCH(1,('GMW - worst case'!$MC$2:$MC$200=O$3)*('GMW - worst case'!$MB$2:$MB$200=O$4),0),$E276-1973)</f>
        <v>#N/A</v>
      </c>
      <c r="P276" t="e" cm="1">
        <f t="array" ref="P276">INDEX('GMW - worst case'!$A$2:$MC$200,MATCH(1,('GMW - worst case'!$MC$2:$MC$200=P$3)*('GMW - worst case'!$MB$2:$MB$200=P$4),0),$E276-1973)</f>
        <v>#N/A</v>
      </c>
      <c r="Q276" t="e" cm="1">
        <f t="array" ref="Q276">INDEX('GMW - worst case'!$A$2:$MC$200,MATCH(1,('GMW - worst case'!$MC$2:$MC$200=Q$3)*('GMW - worst case'!$MB$2:$MB$200=Q$4),0),$E276-1973)</f>
        <v>#N/A</v>
      </c>
      <c r="R276" t="e" cm="1">
        <f t="array" ref="R276">INDEX('GMW - worst case'!$A$2:$MC$200,MATCH(1,('GMW - worst case'!$MC$2:$MC$200=R$3)*('GMW - worst case'!$MB$2:$MB$200=R$4),0),$E276-1973)</f>
        <v>#N/A</v>
      </c>
      <c r="S276" t="e" cm="1">
        <f t="array" ref="S276">INDEX('GMW - worst case'!$A$2:$MC$200,MATCH(1,('GMW - worst case'!$MC$2:$MC$200=S$3)*('GMW - worst case'!$MB$2:$MB$200=S$4),0),$E276-1973)</f>
        <v>#N/A</v>
      </c>
    </row>
    <row r="277" spans="1:19" x14ac:dyDescent="0.25">
      <c r="B277">
        <f t="shared" si="22"/>
        <v>2047</v>
      </c>
      <c r="C277">
        <f t="shared" si="22"/>
        <v>2047</v>
      </c>
      <c r="E277">
        <f t="shared" si="21"/>
        <v>2250</v>
      </c>
      <c r="F277" t="str" cm="1">
        <f t="array" ref="F277">INDEX('GMW - worst case'!$A$2:$MC$200,MATCH(1,('GMW - worst case'!$MC$2:$MC$200=F$3)*('GMW - worst case'!$MB$2:$MB$200=F$4),0),$E277-1973)</f>
        <v>NA</v>
      </c>
      <c r="G277" t="str" cm="1">
        <f t="array" ref="G277">INDEX('GMW - worst case'!$A$2:$MC$200,MATCH(1,('GMW - worst case'!$MC$2:$MC$200=G$3)*('GMW - worst case'!$MB$2:$MB$200=G$4),0),$E277-1973)</f>
        <v>NA</v>
      </c>
      <c r="H277" t="str" cm="1">
        <f t="array" ref="H277">INDEX('GMW - worst case'!$A$2:$MC$200,MATCH(1,('GMW - worst case'!$MC$2:$MC$200=H$3)*('GMW - worst case'!$MB$2:$MB$200=H$4),0),$E277-1973)</f>
        <v>NA</v>
      </c>
      <c r="I277" t="str" cm="1">
        <f t="array" ref="I277">INDEX('GMW - worst case'!$A$2:$MC$200,MATCH(1,('GMW - worst case'!$MC$2:$MC$200=I$3)*('GMW - worst case'!$MB$2:$MB$200=I$4),0),$E277-1973)</f>
        <v>NA</v>
      </c>
      <c r="J277" t="e" cm="1">
        <f t="array" ref="J277">INDEX('GMW - worst case'!$A$2:$MC$200,MATCH(1,('GMW - worst case'!$MC$2:$MC$200=J$3)*('GMW - worst case'!$MB$2:$MB$200=J$4),0),$E277-1973)</f>
        <v>#N/A</v>
      </c>
      <c r="K277" t="e" cm="1">
        <f t="array" ref="K277">INDEX('GMW - worst case'!$A$2:$MC$200,MATCH(1,('GMW - worst case'!$MC$2:$MC$200=K$3)*('GMW - worst case'!$MB$2:$MB$200=K$4),0),$E277-1973)</f>
        <v>#N/A</v>
      </c>
      <c r="L277" t="e" cm="1">
        <f t="array" ref="L277">INDEX('GMW - worst case'!$A$2:$MC$200,MATCH(1,('GMW - worst case'!$MC$2:$MC$200=L$3)*('GMW - worst case'!$MB$2:$MB$200=L$4),0),$E277-1973)</f>
        <v>#N/A</v>
      </c>
      <c r="M277" t="e" cm="1">
        <f t="array" ref="M277">INDEX('GMW - worst case'!$A$2:$MC$200,MATCH(1,('GMW - worst case'!$MC$2:$MC$200=M$3)*('GMW - worst case'!$MB$2:$MB$200=M$4),0),$E277-1973)</f>
        <v>#N/A</v>
      </c>
      <c r="N277" t="e" cm="1">
        <f t="array" ref="N277">INDEX('GMW - worst case'!$A$2:$MC$200,MATCH(1,('GMW - worst case'!$MC$2:$MC$200=N$3)*('GMW - worst case'!$MB$2:$MB$200=N$4),0),$E277-1973)</f>
        <v>#N/A</v>
      </c>
      <c r="O277" t="e" cm="1">
        <f t="array" ref="O277">INDEX('GMW - worst case'!$A$2:$MC$200,MATCH(1,('GMW - worst case'!$MC$2:$MC$200=O$3)*('GMW - worst case'!$MB$2:$MB$200=O$4),0),$E277-1973)</f>
        <v>#N/A</v>
      </c>
      <c r="P277" t="e" cm="1">
        <f t="array" ref="P277">INDEX('GMW - worst case'!$A$2:$MC$200,MATCH(1,('GMW - worst case'!$MC$2:$MC$200=P$3)*('GMW - worst case'!$MB$2:$MB$200=P$4),0),$E277-1973)</f>
        <v>#N/A</v>
      </c>
      <c r="Q277" t="e" cm="1">
        <f t="array" ref="Q277">INDEX('GMW - worst case'!$A$2:$MC$200,MATCH(1,('GMW - worst case'!$MC$2:$MC$200=Q$3)*('GMW - worst case'!$MB$2:$MB$200=Q$4),0),$E277-1973)</f>
        <v>#N/A</v>
      </c>
      <c r="R277" t="e" cm="1">
        <f t="array" ref="R277">INDEX('GMW - worst case'!$A$2:$MC$200,MATCH(1,('GMW - worst case'!$MC$2:$MC$200=R$3)*('GMW - worst case'!$MB$2:$MB$200=R$4),0),$E277-1973)</f>
        <v>#N/A</v>
      </c>
      <c r="S277" t="e" cm="1">
        <f t="array" ref="S277">INDEX('GMW - worst case'!$A$2:$MC$200,MATCH(1,('GMW - worst case'!$MC$2:$MC$200=S$3)*('GMW - worst case'!$MB$2:$MB$200=S$4),0),$E277-1973)</f>
        <v>#N/A</v>
      </c>
    </row>
    <row r="278" spans="1:19" x14ac:dyDescent="0.25">
      <c r="B278">
        <f t="shared" si="22"/>
        <v>2047</v>
      </c>
      <c r="C278">
        <f t="shared" si="22"/>
        <v>2047</v>
      </c>
      <c r="E278">
        <f t="shared" si="21"/>
        <v>2251</v>
      </c>
      <c r="F278" t="str" cm="1">
        <f t="array" ref="F278">INDEX('GMW - worst case'!$A$2:$MC$200,MATCH(1,('GMW - worst case'!$MC$2:$MC$200=F$3)*('GMW - worst case'!$MB$2:$MB$200=F$4),0),$E278-1973)</f>
        <v>NA</v>
      </c>
      <c r="G278" t="str" cm="1">
        <f t="array" ref="G278">INDEX('GMW - worst case'!$A$2:$MC$200,MATCH(1,('GMW - worst case'!$MC$2:$MC$200=G$3)*('GMW - worst case'!$MB$2:$MB$200=G$4),0),$E278-1973)</f>
        <v>NA</v>
      </c>
      <c r="H278" t="str" cm="1">
        <f t="array" ref="H278">INDEX('GMW - worst case'!$A$2:$MC$200,MATCH(1,('GMW - worst case'!$MC$2:$MC$200=H$3)*('GMW - worst case'!$MB$2:$MB$200=H$4),0),$E278-1973)</f>
        <v>NA</v>
      </c>
      <c r="I278" t="str" cm="1">
        <f t="array" ref="I278">INDEX('GMW - worst case'!$A$2:$MC$200,MATCH(1,('GMW - worst case'!$MC$2:$MC$200=I$3)*('GMW - worst case'!$MB$2:$MB$200=I$4),0),$E278-1973)</f>
        <v>NA</v>
      </c>
      <c r="J278" t="e" cm="1">
        <f t="array" ref="J278">INDEX('GMW - worst case'!$A$2:$MC$200,MATCH(1,('GMW - worst case'!$MC$2:$MC$200=J$3)*('GMW - worst case'!$MB$2:$MB$200=J$4),0),$E278-1973)</f>
        <v>#N/A</v>
      </c>
      <c r="K278" t="e" cm="1">
        <f t="array" ref="K278">INDEX('GMW - worst case'!$A$2:$MC$200,MATCH(1,('GMW - worst case'!$MC$2:$MC$200=K$3)*('GMW - worst case'!$MB$2:$MB$200=K$4),0),$E278-1973)</f>
        <v>#N/A</v>
      </c>
      <c r="L278" t="e" cm="1">
        <f t="array" ref="L278">INDEX('GMW - worst case'!$A$2:$MC$200,MATCH(1,('GMW - worst case'!$MC$2:$MC$200=L$3)*('GMW - worst case'!$MB$2:$MB$200=L$4),0),$E278-1973)</f>
        <v>#N/A</v>
      </c>
      <c r="M278" t="e" cm="1">
        <f t="array" ref="M278">INDEX('GMW - worst case'!$A$2:$MC$200,MATCH(1,('GMW - worst case'!$MC$2:$MC$200=M$3)*('GMW - worst case'!$MB$2:$MB$200=M$4),0),$E278-1973)</f>
        <v>#N/A</v>
      </c>
      <c r="N278" t="e" cm="1">
        <f t="array" ref="N278">INDEX('GMW - worst case'!$A$2:$MC$200,MATCH(1,('GMW - worst case'!$MC$2:$MC$200=N$3)*('GMW - worst case'!$MB$2:$MB$200=N$4),0),$E278-1973)</f>
        <v>#N/A</v>
      </c>
      <c r="O278" t="e" cm="1">
        <f t="array" ref="O278">INDEX('GMW - worst case'!$A$2:$MC$200,MATCH(1,('GMW - worst case'!$MC$2:$MC$200=O$3)*('GMW - worst case'!$MB$2:$MB$200=O$4),0),$E278-1973)</f>
        <v>#N/A</v>
      </c>
      <c r="P278" t="e" cm="1">
        <f t="array" ref="P278">INDEX('GMW - worst case'!$A$2:$MC$200,MATCH(1,('GMW - worst case'!$MC$2:$MC$200=P$3)*('GMW - worst case'!$MB$2:$MB$200=P$4),0),$E278-1973)</f>
        <v>#N/A</v>
      </c>
      <c r="Q278" t="e" cm="1">
        <f t="array" ref="Q278">INDEX('GMW - worst case'!$A$2:$MC$200,MATCH(1,('GMW - worst case'!$MC$2:$MC$200=Q$3)*('GMW - worst case'!$MB$2:$MB$200=Q$4),0),$E278-1973)</f>
        <v>#N/A</v>
      </c>
      <c r="R278" t="e" cm="1">
        <f t="array" ref="R278">INDEX('GMW - worst case'!$A$2:$MC$200,MATCH(1,('GMW - worst case'!$MC$2:$MC$200=R$3)*('GMW - worst case'!$MB$2:$MB$200=R$4),0),$E278-1973)</f>
        <v>#N/A</v>
      </c>
      <c r="S278" t="e" cm="1">
        <f t="array" ref="S278">INDEX('GMW - worst case'!$A$2:$MC$200,MATCH(1,('GMW - worst case'!$MC$2:$MC$200=S$3)*('GMW - worst case'!$MB$2:$MB$200=S$4),0),$E278-1973)</f>
        <v>#N/A</v>
      </c>
    </row>
    <row r="279" spans="1:19" x14ac:dyDescent="0.25">
      <c r="A279">
        <v>2048</v>
      </c>
      <c r="B279">
        <f t="shared" si="22"/>
        <v>2048</v>
      </c>
      <c r="C279">
        <f t="shared" si="22"/>
        <v>2047</v>
      </c>
      <c r="D279">
        <f t="shared" si="22"/>
        <v>2047</v>
      </c>
      <c r="E279">
        <f t="shared" si="21"/>
        <v>2252</v>
      </c>
      <c r="F279" t="str" cm="1">
        <f t="array" ref="F279">INDEX('GMW - worst case'!$A$2:$MC$200,MATCH(1,('GMW - worst case'!$MC$2:$MC$200=F$3)*('GMW - worst case'!$MB$2:$MB$200=F$4),0),$E279-1973)</f>
        <v>NA</v>
      </c>
      <c r="G279" t="str" cm="1">
        <f t="array" ref="G279">INDEX('GMW - worst case'!$A$2:$MC$200,MATCH(1,('GMW - worst case'!$MC$2:$MC$200=G$3)*('GMW - worst case'!$MB$2:$MB$200=G$4),0),$E279-1973)</f>
        <v>NA</v>
      </c>
      <c r="H279" t="str" cm="1">
        <f t="array" ref="H279">INDEX('GMW - worst case'!$A$2:$MC$200,MATCH(1,('GMW - worst case'!$MC$2:$MC$200=H$3)*('GMW - worst case'!$MB$2:$MB$200=H$4),0),$E279-1973)</f>
        <v>NA</v>
      </c>
      <c r="I279" t="str" cm="1">
        <f t="array" ref="I279">INDEX('GMW - worst case'!$A$2:$MC$200,MATCH(1,('GMW - worst case'!$MC$2:$MC$200=I$3)*('GMW - worst case'!$MB$2:$MB$200=I$4),0),$E279-1973)</f>
        <v>NA</v>
      </c>
      <c r="J279" t="e" cm="1">
        <f t="array" ref="J279">INDEX('GMW - worst case'!$A$2:$MC$200,MATCH(1,('GMW - worst case'!$MC$2:$MC$200=J$3)*('GMW - worst case'!$MB$2:$MB$200=J$4),0),$E279-1973)</f>
        <v>#N/A</v>
      </c>
      <c r="K279" t="e" cm="1">
        <f t="array" ref="K279">INDEX('GMW - worst case'!$A$2:$MC$200,MATCH(1,('GMW - worst case'!$MC$2:$MC$200=K$3)*('GMW - worst case'!$MB$2:$MB$200=K$4),0),$E279-1973)</f>
        <v>#N/A</v>
      </c>
      <c r="L279" t="e" cm="1">
        <f t="array" ref="L279">INDEX('GMW - worst case'!$A$2:$MC$200,MATCH(1,('GMW - worst case'!$MC$2:$MC$200=L$3)*('GMW - worst case'!$MB$2:$MB$200=L$4),0),$E279-1973)</f>
        <v>#N/A</v>
      </c>
      <c r="M279" t="e" cm="1">
        <f t="array" ref="M279">INDEX('GMW - worst case'!$A$2:$MC$200,MATCH(1,('GMW - worst case'!$MC$2:$MC$200=M$3)*('GMW - worst case'!$MB$2:$MB$200=M$4),0),$E279-1973)</f>
        <v>#N/A</v>
      </c>
      <c r="N279" t="e" cm="1">
        <f t="array" ref="N279">INDEX('GMW - worst case'!$A$2:$MC$200,MATCH(1,('GMW - worst case'!$MC$2:$MC$200=N$3)*('GMW - worst case'!$MB$2:$MB$200=N$4),0),$E279-1973)</f>
        <v>#N/A</v>
      </c>
      <c r="O279" t="e" cm="1">
        <f t="array" ref="O279">INDEX('GMW - worst case'!$A$2:$MC$200,MATCH(1,('GMW - worst case'!$MC$2:$MC$200=O$3)*('GMW - worst case'!$MB$2:$MB$200=O$4),0),$E279-1973)</f>
        <v>#N/A</v>
      </c>
      <c r="P279" t="e" cm="1">
        <f t="array" ref="P279">INDEX('GMW - worst case'!$A$2:$MC$200,MATCH(1,('GMW - worst case'!$MC$2:$MC$200=P$3)*('GMW - worst case'!$MB$2:$MB$200=P$4),0),$E279-1973)</f>
        <v>#N/A</v>
      </c>
      <c r="Q279" t="e" cm="1">
        <f t="array" ref="Q279">INDEX('GMW - worst case'!$A$2:$MC$200,MATCH(1,('GMW - worst case'!$MC$2:$MC$200=Q$3)*('GMW - worst case'!$MB$2:$MB$200=Q$4),0),$E279-1973)</f>
        <v>#N/A</v>
      </c>
      <c r="R279" t="e" cm="1">
        <f t="array" ref="R279">INDEX('GMW - worst case'!$A$2:$MC$200,MATCH(1,('GMW - worst case'!$MC$2:$MC$200=R$3)*('GMW - worst case'!$MB$2:$MB$200=R$4),0),$E279-1973)</f>
        <v>#N/A</v>
      </c>
      <c r="S279" t="e" cm="1">
        <f t="array" ref="S279">INDEX('GMW - worst case'!$A$2:$MC$200,MATCH(1,('GMW - worst case'!$MC$2:$MC$200=S$3)*('GMW - worst case'!$MB$2:$MB$200=S$4),0),$E279-1973)</f>
        <v>#N/A</v>
      </c>
    </row>
    <row r="280" spans="1:19" x14ac:dyDescent="0.25">
      <c r="B280">
        <f t="shared" si="22"/>
        <v>2048</v>
      </c>
      <c r="C280">
        <f t="shared" si="22"/>
        <v>2048</v>
      </c>
      <c r="E280">
        <f t="shared" si="21"/>
        <v>2253</v>
      </c>
      <c r="F280" t="str" cm="1">
        <f t="array" ref="F280">INDEX('GMW - worst case'!$A$2:$MC$200,MATCH(1,('GMW - worst case'!$MC$2:$MC$200=F$3)*('GMW - worst case'!$MB$2:$MB$200=F$4),0),$E280-1973)</f>
        <v>NA</v>
      </c>
      <c r="G280" t="str" cm="1">
        <f t="array" ref="G280">INDEX('GMW - worst case'!$A$2:$MC$200,MATCH(1,('GMW - worst case'!$MC$2:$MC$200=G$3)*('GMW - worst case'!$MB$2:$MB$200=G$4),0),$E280-1973)</f>
        <v>NA</v>
      </c>
      <c r="H280" t="str" cm="1">
        <f t="array" ref="H280">INDEX('GMW - worst case'!$A$2:$MC$200,MATCH(1,('GMW - worst case'!$MC$2:$MC$200=H$3)*('GMW - worst case'!$MB$2:$MB$200=H$4),0),$E280-1973)</f>
        <v>NA</v>
      </c>
      <c r="I280" t="str" cm="1">
        <f t="array" ref="I280">INDEX('GMW - worst case'!$A$2:$MC$200,MATCH(1,('GMW - worst case'!$MC$2:$MC$200=I$3)*('GMW - worst case'!$MB$2:$MB$200=I$4),0),$E280-1973)</f>
        <v>NA</v>
      </c>
      <c r="J280" t="e" cm="1">
        <f t="array" ref="J280">INDEX('GMW - worst case'!$A$2:$MC$200,MATCH(1,('GMW - worst case'!$MC$2:$MC$200=J$3)*('GMW - worst case'!$MB$2:$MB$200=J$4),0),$E280-1973)</f>
        <v>#N/A</v>
      </c>
      <c r="K280" t="e" cm="1">
        <f t="array" ref="K280">INDEX('GMW - worst case'!$A$2:$MC$200,MATCH(1,('GMW - worst case'!$MC$2:$MC$200=K$3)*('GMW - worst case'!$MB$2:$MB$200=K$4),0),$E280-1973)</f>
        <v>#N/A</v>
      </c>
      <c r="L280" t="e" cm="1">
        <f t="array" ref="L280">INDEX('GMW - worst case'!$A$2:$MC$200,MATCH(1,('GMW - worst case'!$MC$2:$MC$200=L$3)*('GMW - worst case'!$MB$2:$MB$200=L$4),0),$E280-1973)</f>
        <v>#N/A</v>
      </c>
      <c r="M280" t="e" cm="1">
        <f t="array" ref="M280">INDEX('GMW - worst case'!$A$2:$MC$200,MATCH(1,('GMW - worst case'!$MC$2:$MC$200=M$3)*('GMW - worst case'!$MB$2:$MB$200=M$4),0),$E280-1973)</f>
        <v>#N/A</v>
      </c>
      <c r="N280" t="e" cm="1">
        <f t="array" ref="N280">INDEX('GMW - worst case'!$A$2:$MC$200,MATCH(1,('GMW - worst case'!$MC$2:$MC$200=N$3)*('GMW - worst case'!$MB$2:$MB$200=N$4),0),$E280-1973)</f>
        <v>#N/A</v>
      </c>
      <c r="O280" t="e" cm="1">
        <f t="array" ref="O280">INDEX('GMW - worst case'!$A$2:$MC$200,MATCH(1,('GMW - worst case'!$MC$2:$MC$200=O$3)*('GMW - worst case'!$MB$2:$MB$200=O$4),0),$E280-1973)</f>
        <v>#N/A</v>
      </c>
      <c r="P280" t="e" cm="1">
        <f t="array" ref="P280">INDEX('GMW - worst case'!$A$2:$MC$200,MATCH(1,('GMW - worst case'!$MC$2:$MC$200=P$3)*('GMW - worst case'!$MB$2:$MB$200=P$4),0),$E280-1973)</f>
        <v>#N/A</v>
      </c>
      <c r="Q280" t="e" cm="1">
        <f t="array" ref="Q280">INDEX('GMW - worst case'!$A$2:$MC$200,MATCH(1,('GMW - worst case'!$MC$2:$MC$200=Q$3)*('GMW - worst case'!$MB$2:$MB$200=Q$4),0),$E280-1973)</f>
        <v>#N/A</v>
      </c>
      <c r="R280" t="e" cm="1">
        <f t="array" ref="R280">INDEX('GMW - worst case'!$A$2:$MC$200,MATCH(1,('GMW - worst case'!$MC$2:$MC$200=R$3)*('GMW - worst case'!$MB$2:$MB$200=R$4),0),$E280-1973)</f>
        <v>#N/A</v>
      </c>
      <c r="S280" t="e" cm="1">
        <f t="array" ref="S280">INDEX('GMW - worst case'!$A$2:$MC$200,MATCH(1,('GMW - worst case'!$MC$2:$MC$200=S$3)*('GMW - worst case'!$MB$2:$MB$200=S$4),0),$E280-1973)</f>
        <v>#N/A</v>
      </c>
    </row>
    <row r="281" spans="1:19" x14ac:dyDescent="0.25">
      <c r="B281">
        <f t="shared" si="22"/>
        <v>2048</v>
      </c>
      <c r="C281">
        <f t="shared" si="22"/>
        <v>2048</v>
      </c>
      <c r="E281">
        <f t="shared" si="21"/>
        <v>2254</v>
      </c>
      <c r="F281" t="str" cm="1">
        <f t="array" ref="F281">INDEX('GMW - worst case'!$A$2:$MC$200,MATCH(1,('GMW - worst case'!$MC$2:$MC$200=F$3)*('GMW - worst case'!$MB$2:$MB$200=F$4),0),$E281-1973)</f>
        <v>NA</v>
      </c>
      <c r="G281" t="str" cm="1">
        <f t="array" ref="G281">INDEX('GMW - worst case'!$A$2:$MC$200,MATCH(1,('GMW - worst case'!$MC$2:$MC$200=G$3)*('GMW - worst case'!$MB$2:$MB$200=G$4),0),$E281-1973)</f>
        <v>NA</v>
      </c>
      <c r="H281" t="str" cm="1">
        <f t="array" ref="H281">INDEX('GMW - worst case'!$A$2:$MC$200,MATCH(1,('GMW - worst case'!$MC$2:$MC$200=H$3)*('GMW - worst case'!$MB$2:$MB$200=H$4),0),$E281-1973)</f>
        <v>NA</v>
      </c>
      <c r="I281" t="str" cm="1">
        <f t="array" ref="I281">INDEX('GMW - worst case'!$A$2:$MC$200,MATCH(1,('GMW - worst case'!$MC$2:$MC$200=I$3)*('GMW - worst case'!$MB$2:$MB$200=I$4),0),$E281-1973)</f>
        <v>NA</v>
      </c>
      <c r="J281" t="e" cm="1">
        <f t="array" ref="J281">INDEX('GMW - worst case'!$A$2:$MC$200,MATCH(1,('GMW - worst case'!$MC$2:$MC$200=J$3)*('GMW - worst case'!$MB$2:$MB$200=J$4),0),$E281-1973)</f>
        <v>#N/A</v>
      </c>
      <c r="K281" t="e" cm="1">
        <f t="array" ref="K281">INDEX('GMW - worst case'!$A$2:$MC$200,MATCH(1,('GMW - worst case'!$MC$2:$MC$200=K$3)*('GMW - worst case'!$MB$2:$MB$200=K$4),0),$E281-1973)</f>
        <v>#N/A</v>
      </c>
      <c r="L281" t="e" cm="1">
        <f t="array" ref="L281">INDEX('GMW - worst case'!$A$2:$MC$200,MATCH(1,('GMW - worst case'!$MC$2:$MC$200=L$3)*('GMW - worst case'!$MB$2:$MB$200=L$4),0),$E281-1973)</f>
        <v>#N/A</v>
      </c>
      <c r="M281" t="e" cm="1">
        <f t="array" ref="M281">INDEX('GMW - worst case'!$A$2:$MC$200,MATCH(1,('GMW - worst case'!$MC$2:$MC$200=M$3)*('GMW - worst case'!$MB$2:$MB$200=M$4),0),$E281-1973)</f>
        <v>#N/A</v>
      </c>
      <c r="N281" t="e" cm="1">
        <f t="array" ref="N281">INDEX('GMW - worst case'!$A$2:$MC$200,MATCH(1,('GMW - worst case'!$MC$2:$MC$200=N$3)*('GMW - worst case'!$MB$2:$MB$200=N$4),0),$E281-1973)</f>
        <v>#N/A</v>
      </c>
      <c r="O281" t="e" cm="1">
        <f t="array" ref="O281">INDEX('GMW - worst case'!$A$2:$MC$200,MATCH(1,('GMW - worst case'!$MC$2:$MC$200=O$3)*('GMW - worst case'!$MB$2:$MB$200=O$4),0),$E281-1973)</f>
        <v>#N/A</v>
      </c>
      <c r="P281" t="e" cm="1">
        <f t="array" ref="P281">INDEX('GMW - worst case'!$A$2:$MC$200,MATCH(1,('GMW - worst case'!$MC$2:$MC$200=P$3)*('GMW - worst case'!$MB$2:$MB$200=P$4),0),$E281-1973)</f>
        <v>#N/A</v>
      </c>
      <c r="Q281" t="e" cm="1">
        <f t="array" ref="Q281">INDEX('GMW - worst case'!$A$2:$MC$200,MATCH(1,('GMW - worst case'!$MC$2:$MC$200=Q$3)*('GMW - worst case'!$MB$2:$MB$200=Q$4),0),$E281-1973)</f>
        <v>#N/A</v>
      </c>
      <c r="R281" t="e" cm="1">
        <f t="array" ref="R281">INDEX('GMW - worst case'!$A$2:$MC$200,MATCH(1,('GMW - worst case'!$MC$2:$MC$200=R$3)*('GMW - worst case'!$MB$2:$MB$200=R$4),0),$E281-1973)</f>
        <v>#N/A</v>
      </c>
      <c r="S281" t="e" cm="1">
        <f t="array" ref="S281">INDEX('GMW - worst case'!$A$2:$MC$200,MATCH(1,('GMW - worst case'!$MC$2:$MC$200=S$3)*('GMW - worst case'!$MB$2:$MB$200=S$4),0),$E281-1973)</f>
        <v>#N/A</v>
      </c>
    </row>
    <row r="282" spans="1:19" x14ac:dyDescent="0.25">
      <c r="B282">
        <f t="shared" si="22"/>
        <v>2048</v>
      </c>
      <c r="C282">
        <f t="shared" si="22"/>
        <v>2048</v>
      </c>
      <c r="E282">
        <f t="shared" si="21"/>
        <v>2255</v>
      </c>
      <c r="F282" t="str" cm="1">
        <f t="array" ref="F282">INDEX('GMW - worst case'!$A$2:$MC$200,MATCH(1,('GMW - worst case'!$MC$2:$MC$200=F$3)*('GMW - worst case'!$MB$2:$MB$200=F$4),0),$E282-1973)</f>
        <v>NA</v>
      </c>
      <c r="G282" t="str" cm="1">
        <f t="array" ref="G282">INDEX('GMW - worst case'!$A$2:$MC$200,MATCH(1,('GMW - worst case'!$MC$2:$MC$200=G$3)*('GMW - worst case'!$MB$2:$MB$200=G$4),0),$E282-1973)</f>
        <v>NA</v>
      </c>
      <c r="H282" t="str" cm="1">
        <f t="array" ref="H282">INDEX('GMW - worst case'!$A$2:$MC$200,MATCH(1,('GMW - worst case'!$MC$2:$MC$200=H$3)*('GMW - worst case'!$MB$2:$MB$200=H$4),0),$E282-1973)</f>
        <v>NA</v>
      </c>
      <c r="I282" t="str" cm="1">
        <f t="array" ref="I282">INDEX('GMW - worst case'!$A$2:$MC$200,MATCH(1,('GMW - worst case'!$MC$2:$MC$200=I$3)*('GMW - worst case'!$MB$2:$MB$200=I$4),0),$E282-1973)</f>
        <v>NA</v>
      </c>
      <c r="J282" t="e" cm="1">
        <f t="array" ref="J282">INDEX('GMW - worst case'!$A$2:$MC$200,MATCH(1,('GMW - worst case'!$MC$2:$MC$200=J$3)*('GMW - worst case'!$MB$2:$MB$200=J$4),0),$E282-1973)</f>
        <v>#N/A</v>
      </c>
      <c r="K282" t="e" cm="1">
        <f t="array" ref="K282">INDEX('GMW - worst case'!$A$2:$MC$200,MATCH(1,('GMW - worst case'!$MC$2:$MC$200=K$3)*('GMW - worst case'!$MB$2:$MB$200=K$4),0),$E282-1973)</f>
        <v>#N/A</v>
      </c>
      <c r="L282" t="e" cm="1">
        <f t="array" ref="L282">INDEX('GMW - worst case'!$A$2:$MC$200,MATCH(1,('GMW - worst case'!$MC$2:$MC$200=L$3)*('GMW - worst case'!$MB$2:$MB$200=L$4),0),$E282-1973)</f>
        <v>#N/A</v>
      </c>
      <c r="M282" t="e" cm="1">
        <f t="array" ref="M282">INDEX('GMW - worst case'!$A$2:$MC$200,MATCH(1,('GMW - worst case'!$MC$2:$MC$200=M$3)*('GMW - worst case'!$MB$2:$MB$200=M$4),0),$E282-1973)</f>
        <v>#N/A</v>
      </c>
      <c r="N282" t="e" cm="1">
        <f t="array" ref="N282">INDEX('GMW - worst case'!$A$2:$MC$200,MATCH(1,('GMW - worst case'!$MC$2:$MC$200=N$3)*('GMW - worst case'!$MB$2:$MB$200=N$4),0),$E282-1973)</f>
        <v>#N/A</v>
      </c>
      <c r="O282" t="e" cm="1">
        <f t="array" ref="O282">INDEX('GMW - worst case'!$A$2:$MC$200,MATCH(1,('GMW - worst case'!$MC$2:$MC$200=O$3)*('GMW - worst case'!$MB$2:$MB$200=O$4),0),$E282-1973)</f>
        <v>#N/A</v>
      </c>
      <c r="P282" t="e" cm="1">
        <f t="array" ref="P282">INDEX('GMW - worst case'!$A$2:$MC$200,MATCH(1,('GMW - worst case'!$MC$2:$MC$200=P$3)*('GMW - worst case'!$MB$2:$MB$200=P$4),0),$E282-1973)</f>
        <v>#N/A</v>
      </c>
      <c r="Q282" t="e" cm="1">
        <f t="array" ref="Q282">INDEX('GMW - worst case'!$A$2:$MC$200,MATCH(1,('GMW - worst case'!$MC$2:$MC$200=Q$3)*('GMW - worst case'!$MB$2:$MB$200=Q$4),0),$E282-1973)</f>
        <v>#N/A</v>
      </c>
      <c r="R282" t="e" cm="1">
        <f t="array" ref="R282">INDEX('GMW - worst case'!$A$2:$MC$200,MATCH(1,('GMW - worst case'!$MC$2:$MC$200=R$3)*('GMW - worst case'!$MB$2:$MB$200=R$4),0),$E282-1973)</f>
        <v>#N/A</v>
      </c>
      <c r="S282" t="e" cm="1">
        <f t="array" ref="S282">INDEX('GMW - worst case'!$A$2:$MC$200,MATCH(1,('GMW - worst case'!$MC$2:$MC$200=S$3)*('GMW - worst case'!$MB$2:$MB$200=S$4),0),$E282-1973)</f>
        <v>#N/A</v>
      </c>
    </row>
    <row r="283" spans="1:19" x14ac:dyDescent="0.25">
      <c r="A283">
        <v>2049</v>
      </c>
      <c r="B283">
        <f t="shared" si="22"/>
        <v>2049</v>
      </c>
      <c r="C283">
        <f t="shared" si="22"/>
        <v>2048</v>
      </c>
      <c r="D283">
        <f t="shared" si="22"/>
        <v>2048</v>
      </c>
      <c r="E283">
        <f t="shared" si="21"/>
        <v>2256</v>
      </c>
      <c r="F283" t="str" cm="1">
        <f t="array" ref="F283">INDEX('GMW - worst case'!$A$2:$MC$200,MATCH(1,('GMW - worst case'!$MC$2:$MC$200=F$3)*('GMW - worst case'!$MB$2:$MB$200=F$4),0),$E283-1973)</f>
        <v>NA</v>
      </c>
      <c r="G283" t="str" cm="1">
        <f t="array" ref="G283">INDEX('GMW - worst case'!$A$2:$MC$200,MATCH(1,('GMW - worst case'!$MC$2:$MC$200=G$3)*('GMW - worst case'!$MB$2:$MB$200=G$4),0),$E283-1973)</f>
        <v>NA</v>
      </c>
      <c r="H283" t="str" cm="1">
        <f t="array" ref="H283">INDEX('GMW - worst case'!$A$2:$MC$200,MATCH(1,('GMW - worst case'!$MC$2:$MC$200=H$3)*('GMW - worst case'!$MB$2:$MB$200=H$4),0),$E283-1973)</f>
        <v>NA</v>
      </c>
      <c r="I283" t="str" cm="1">
        <f t="array" ref="I283">INDEX('GMW - worst case'!$A$2:$MC$200,MATCH(1,('GMW - worst case'!$MC$2:$MC$200=I$3)*('GMW - worst case'!$MB$2:$MB$200=I$4),0),$E283-1973)</f>
        <v>NA</v>
      </c>
      <c r="J283" t="e" cm="1">
        <f t="array" ref="J283">INDEX('GMW - worst case'!$A$2:$MC$200,MATCH(1,('GMW - worst case'!$MC$2:$MC$200=J$3)*('GMW - worst case'!$MB$2:$MB$200=J$4),0),$E283-1973)</f>
        <v>#N/A</v>
      </c>
      <c r="K283" t="e" cm="1">
        <f t="array" ref="K283">INDEX('GMW - worst case'!$A$2:$MC$200,MATCH(1,('GMW - worst case'!$MC$2:$MC$200=K$3)*('GMW - worst case'!$MB$2:$MB$200=K$4),0),$E283-1973)</f>
        <v>#N/A</v>
      </c>
      <c r="L283" t="e" cm="1">
        <f t="array" ref="L283">INDEX('GMW - worst case'!$A$2:$MC$200,MATCH(1,('GMW - worst case'!$MC$2:$MC$200=L$3)*('GMW - worst case'!$MB$2:$MB$200=L$4),0),$E283-1973)</f>
        <v>#N/A</v>
      </c>
      <c r="M283" t="e" cm="1">
        <f t="array" ref="M283">INDEX('GMW - worst case'!$A$2:$MC$200,MATCH(1,('GMW - worst case'!$MC$2:$MC$200=M$3)*('GMW - worst case'!$MB$2:$MB$200=M$4),0),$E283-1973)</f>
        <v>#N/A</v>
      </c>
      <c r="N283" t="e" cm="1">
        <f t="array" ref="N283">INDEX('GMW - worst case'!$A$2:$MC$200,MATCH(1,('GMW - worst case'!$MC$2:$MC$200=N$3)*('GMW - worst case'!$MB$2:$MB$200=N$4),0),$E283-1973)</f>
        <v>#N/A</v>
      </c>
      <c r="O283" t="e" cm="1">
        <f t="array" ref="O283">INDEX('GMW - worst case'!$A$2:$MC$200,MATCH(1,('GMW - worst case'!$MC$2:$MC$200=O$3)*('GMW - worst case'!$MB$2:$MB$200=O$4),0),$E283-1973)</f>
        <v>#N/A</v>
      </c>
      <c r="P283" t="e" cm="1">
        <f t="array" ref="P283">INDEX('GMW - worst case'!$A$2:$MC$200,MATCH(1,('GMW - worst case'!$MC$2:$MC$200=P$3)*('GMW - worst case'!$MB$2:$MB$200=P$4),0),$E283-1973)</f>
        <v>#N/A</v>
      </c>
      <c r="Q283" t="e" cm="1">
        <f t="array" ref="Q283">INDEX('GMW - worst case'!$A$2:$MC$200,MATCH(1,('GMW - worst case'!$MC$2:$MC$200=Q$3)*('GMW - worst case'!$MB$2:$MB$200=Q$4),0),$E283-1973)</f>
        <v>#N/A</v>
      </c>
      <c r="R283" t="e" cm="1">
        <f t="array" ref="R283">INDEX('GMW - worst case'!$A$2:$MC$200,MATCH(1,('GMW - worst case'!$MC$2:$MC$200=R$3)*('GMW - worst case'!$MB$2:$MB$200=R$4),0),$E283-1973)</f>
        <v>#N/A</v>
      </c>
      <c r="S283" t="e" cm="1">
        <f t="array" ref="S283">INDEX('GMW - worst case'!$A$2:$MC$200,MATCH(1,('GMW - worst case'!$MC$2:$MC$200=S$3)*('GMW - worst case'!$MB$2:$MB$200=S$4),0),$E283-1973)</f>
        <v>#N/A</v>
      </c>
    </row>
    <row r="284" spans="1:19" x14ac:dyDescent="0.25">
      <c r="B284">
        <f t="shared" ref="B284:D299" si="23">+B280+1</f>
        <v>2049</v>
      </c>
      <c r="C284">
        <f t="shared" si="23"/>
        <v>2049</v>
      </c>
      <c r="E284">
        <f t="shared" si="21"/>
        <v>2257</v>
      </c>
      <c r="F284" t="str" cm="1">
        <f t="array" ref="F284">INDEX('GMW - worst case'!$A$2:$MC$200,MATCH(1,('GMW - worst case'!$MC$2:$MC$200=F$3)*('GMW - worst case'!$MB$2:$MB$200=F$4),0),$E284-1973)</f>
        <v>NA</v>
      </c>
      <c r="G284" t="str" cm="1">
        <f t="array" ref="G284">INDEX('GMW - worst case'!$A$2:$MC$200,MATCH(1,('GMW - worst case'!$MC$2:$MC$200=G$3)*('GMW - worst case'!$MB$2:$MB$200=G$4),0),$E284-1973)</f>
        <v>NA</v>
      </c>
      <c r="H284" t="str" cm="1">
        <f t="array" ref="H284">INDEX('GMW - worst case'!$A$2:$MC$200,MATCH(1,('GMW - worst case'!$MC$2:$MC$200=H$3)*('GMW - worst case'!$MB$2:$MB$200=H$4),0),$E284-1973)</f>
        <v>NA</v>
      </c>
      <c r="I284" t="str" cm="1">
        <f t="array" ref="I284">INDEX('GMW - worst case'!$A$2:$MC$200,MATCH(1,('GMW - worst case'!$MC$2:$MC$200=I$3)*('GMW - worst case'!$MB$2:$MB$200=I$4),0),$E284-1973)</f>
        <v>NA</v>
      </c>
      <c r="J284" t="e" cm="1">
        <f t="array" ref="J284">INDEX('GMW - worst case'!$A$2:$MC$200,MATCH(1,('GMW - worst case'!$MC$2:$MC$200=J$3)*('GMW - worst case'!$MB$2:$MB$200=J$4),0),$E284-1973)</f>
        <v>#N/A</v>
      </c>
      <c r="K284" t="e" cm="1">
        <f t="array" ref="K284">INDEX('GMW - worst case'!$A$2:$MC$200,MATCH(1,('GMW - worst case'!$MC$2:$MC$200=K$3)*('GMW - worst case'!$MB$2:$MB$200=K$4),0),$E284-1973)</f>
        <v>#N/A</v>
      </c>
      <c r="L284" t="e" cm="1">
        <f t="array" ref="L284">INDEX('GMW - worst case'!$A$2:$MC$200,MATCH(1,('GMW - worst case'!$MC$2:$MC$200=L$3)*('GMW - worst case'!$MB$2:$MB$200=L$4),0),$E284-1973)</f>
        <v>#N/A</v>
      </c>
      <c r="M284" t="e" cm="1">
        <f t="array" ref="M284">INDEX('GMW - worst case'!$A$2:$MC$200,MATCH(1,('GMW - worst case'!$MC$2:$MC$200=M$3)*('GMW - worst case'!$MB$2:$MB$200=M$4),0),$E284-1973)</f>
        <v>#N/A</v>
      </c>
      <c r="N284" t="e" cm="1">
        <f t="array" ref="N284">INDEX('GMW - worst case'!$A$2:$MC$200,MATCH(1,('GMW - worst case'!$MC$2:$MC$200=N$3)*('GMW - worst case'!$MB$2:$MB$200=N$4),0),$E284-1973)</f>
        <v>#N/A</v>
      </c>
      <c r="O284" t="e" cm="1">
        <f t="array" ref="O284">INDEX('GMW - worst case'!$A$2:$MC$200,MATCH(1,('GMW - worst case'!$MC$2:$MC$200=O$3)*('GMW - worst case'!$MB$2:$MB$200=O$4),0),$E284-1973)</f>
        <v>#N/A</v>
      </c>
      <c r="P284" t="e" cm="1">
        <f t="array" ref="P284">INDEX('GMW - worst case'!$A$2:$MC$200,MATCH(1,('GMW - worst case'!$MC$2:$MC$200=P$3)*('GMW - worst case'!$MB$2:$MB$200=P$4),0),$E284-1973)</f>
        <v>#N/A</v>
      </c>
      <c r="Q284" t="e" cm="1">
        <f t="array" ref="Q284">INDEX('GMW - worst case'!$A$2:$MC$200,MATCH(1,('GMW - worst case'!$MC$2:$MC$200=Q$3)*('GMW - worst case'!$MB$2:$MB$200=Q$4),0),$E284-1973)</f>
        <v>#N/A</v>
      </c>
      <c r="R284" t="e" cm="1">
        <f t="array" ref="R284">INDEX('GMW - worst case'!$A$2:$MC$200,MATCH(1,('GMW - worst case'!$MC$2:$MC$200=R$3)*('GMW - worst case'!$MB$2:$MB$200=R$4),0),$E284-1973)</f>
        <v>#N/A</v>
      </c>
      <c r="S284" t="e" cm="1">
        <f t="array" ref="S284">INDEX('GMW - worst case'!$A$2:$MC$200,MATCH(1,('GMW - worst case'!$MC$2:$MC$200=S$3)*('GMW - worst case'!$MB$2:$MB$200=S$4),0),$E284-1973)</f>
        <v>#N/A</v>
      </c>
    </row>
    <row r="285" spans="1:19" x14ac:dyDescent="0.25">
      <c r="B285">
        <f t="shared" si="23"/>
        <v>2049</v>
      </c>
      <c r="C285">
        <f t="shared" si="23"/>
        <v>2049</v>
      </c>
      <c r="E285">
        <f t="shared" si="21"/>
        <v>2258</v>
      </c>
      <c r="F285" t="str" cm="1">
        <f t="array" ref="F285">INDEX('GMW - worst case'!$A$2:$MC$200,MATCH(1,('GMW - worst case'!$MC$2:$MC$200=F$3)*('GMW - worst case'!$MB$2:$MB$200=F$4),0),$E285-1973)</f>
        <v>NA</v>
      </c>
      <c r="G285" t="str" cm="1">
        <f t="array" ref="G285">INDEX('GMW - worst case'!$A$2:$MC$200,MATCH(1,('GMW - worst case'!$MC$2:$MC$200=G$3)*('GMW - worst case'!$MB$2:$MB$200=G$4),0),$E285-1973)</f>
        <v>NA</v>
      </c>
      <c r="H285" t="str" cm="1">
        <f t="array" ref="H285">INDEX('GMW - worst case'!$A$2:$MC$200,MATCH(1,('GMW - worst case'!$MC$2:$MC$200=H$3)*('GMW - worst case'!$MB$2:$MB$200=H$4),0),$E285-1973)</f>
        <v>NA</v>
      </c>
      <c r="I285" t="str" cm="1">
        <f t="array" ref="I285">INDEX('GMW - worst case'!$A$2:$MC$200,MATCH(1,('GMW - worst case'!$MC$2:$MC$200=I$3)*('GMW - worst case'!$MB$2:$MB$200=I$4),0),$E285-1973)</f>
        <v>NA</v>
      </c>
      <c r="J285" t="e" cm="1">
        <f t="array" ref="J285">INDEX('GMW - worst case'!$A$2:$MC$200,MATCH(1,('GMW - worst case'!$MC$2:$MC$200=J$3)*('GMW - worst case'!$MB$2:$MB$200=J$4),0),$E285-1973)</f>
        <v>#N/A</v>
      </c>
      <c r="K285" t="e" cm="1">
        <f t="array" ref="K285">INDEX('GMW - worst case'!$A$2:$MC$200,MATCH(1,('GMW - worst case'!$MC$2:$MC$200=K$3)*('GMW - worst case'!$MB$2:$MB$200=K$4),0),$E285-1973)</f>
        <v>#N/A</v>
      </c>
      <c r="L285" t="e" cm="1">
        <f t="array" ref="L285">INDEX('GMW - worst case'!$A$2:$MC$200,MATCH(1,('GMW - worst case'!$MC$2:$MC$200=L$3)*('GMW - worst case'!$MB$2:$MB$200=L$4),0),$E285-1973)</f>
        <v>#N/A</v>
      </c>
      <c r="M285" t="e" cm="1">
        <f t="array" ref="M285">INDEX('GMW - worst case'!$A$2:$MC$200,MATCH(1,('GMW - worst case'!$MC$2:$MC$200=M$3)*('GMW - worst case'!$MB$2:$MB$200=M$4),0),$E285-1973)</f>
        <v>#N/A</v>
      </c>
      <c r="N285" t="e" cm="1">
        <f t="array" ref="N285">INDEX('GMW - worst case'!$A$2:$MC$200,MATCH(1,('GMW - worst case'!$MC$2:$MC$200=N$3)*('GMW - worst case'!$MB$2:$MB$200=N$4),0),$E285-1973)</f>
        <v>#N/A</v>
      </c>
      <c r="O285" t="e" cm="1">
        <f t="array" ref="O285">INDEX('GMW - worst case'!$A$2:$MC$200,MATCH(1,('GMW - worst case'!$MC$2:$MC$200=O$3)*('GMW - worst case'!$MB$2:$MB$200=O$4),0),$E285-1973)</f>
        <v>#N/A</v>
      </c>
      <c r="P285" t="e" cm="1">
        <f t="array" ref="P285">INDEX('GMW - worst case'!$A$2:$MC$200,MATCH(1,('GMW - worst case'!$MC$2:$MC$200=P$3)*('GMW - worst case'!$MB$2:$MB$200=P$4),0),$E285-1973)</f>
        <v>#N/A</v>
      </c>
      <c r="Q285" t="e" cm="1">
        <f t="array" ref="Q285">INDEX('GMW - worst case'!$A$2:$MC$200,MATCH(1,('GMW - worst case'!$MC$2:$MC$200=Q$3)*('GMW - worst case'!$MB$2:$MB$200=Q$4),0),$E285-1973)</f>
        <v>#N/A</v>
      </c>
      <c r="R285" t="e" cm="1">
        <f t="array" ref="R285">INDEX('GMW - worst case'!$A$2:$MC$200,MATCH(1,('GMW - worst case'!$MC$2:$MC$200=R$3)*('GMW - worst case'!$MB$2:$MB$200=R$4),0),$E285-1973)</f>
        <v>#N/A</v>
      </c>
      <c r="S285" t="e" cm="1">
        <f t="array" ref="S285">INDEX('GMW - worst case'!$A$2:$MC$200,MATCH(1,('GMW - worst case'!$MC$2:$MC$200=S$3)*('GMW - worst case'!$MB$2:$MB$200=S$4),0),$E285-1973)</f>
        <v>#N/A</v>
      </c>
    </row>
    <row r="286" spans="1:19" x14ac:dyDescent="0.25">
      <c r="B286">
        <f t="shared" si="23"/>
        <v>2049</v>
      </c>
      <c r="C286">
        <f t="shared" si="23"/>
        <v>2049</v>
      </c>
      <c r="E286">
        <f t="shared" si="21"/>
        <v>2259</v>
      </c>
      <c r="F286" t="str" cm="1">
        <f t="array" ref="F286">INDEX('GMW - worst case'!$A$2:$MC$200,MATCH(1,('GMW - worst case'!$MC$2:$MC$200=F$3)*('GMW - worst case'!$MB$2:$MB$200=F$4),0),$E286-1973)</f>
        <v>NA</v>
      </c>
      <c r="G286" t="str" cm="1">
        <f t="array" ref="G286">INDEX('GMW - worst case'!$A$2:$MC$200,MATCH(1,('GMW - worst case'!$MC$2:$MC$200=G$3)*('GMW - worst case'!$MB$2:$MB$200=G$4),0),$E286-1973)</f>
        <v>NA</v>
      </c>
      <c r="H286" t="str" cm="1">
        <f t="array" ref="H286">INDEX('GMW - worst case'!$A$2:$MC$200,MATCH(1,('GMW - worst case'!$MC$2:$MC$200=H$3)*('GMW - worst case'!$MB$2:$MB$200=H$4),0),$E286-1973)</f>
        <v>NA</v>
      </c>
      <c r="I286" t="str" cm="1">
        <f t="array" ref="I286">INDEX('GMW - worst case'!$A$2:$MC$200,MATCH(1,('GMW - worst case'!$MC$2:$MC$200=I$3)*('GMW - worst case'!$MB$2:$MB$200=I$4),0),$E286-1973)</f>
        <v>NA</v>
      </c>
      <c r="J286" t="e" cm="1">
        <f t="array" ref="J286">INDEX('GMW - worst case'!$A$2:$MC$200,MATCH(1,('GMW - worst case'!$MC$2:$MC$200=J$3)*('GMW - worst case'!$MB$2:$MB$200=J$4),0),$E286-1973)</f>
        <v>#N/A</v>
      </c>
      <c r="K286" t="e" cm="1">
        <f t="array" ref="K286">INDEX('GMW - worst case'!$A$2:$MC$200,MATCH(1,('GMW - worst case'!$MC$2:$MC$200=K$3)*('GMW - worst case'!$MB$2:$MB$200=K$4),0),$E286-1973)</f>
        <v>#N/A</v>
      </c>
      <c r="L286" t="e" cm="1">
        <f t="array" ref="L286">INDEX('GMW - worst case'!$A$2:$MC$200,MATCH(1,('GMW - worst case'!$MC$2:$MC$200=L$3)*('GMW - worst case'!$MB$2:$MB$200=L$4),0),$E286-1973)</f>
        <v>#N/A</v>
      </c>
      <c r="M286" t="e" cm="1">
        <f t="array" ref="M286">INDEX('GMW - worst case'!$A$2:$MC$200,MATCH(1,('GMW - worst case'!$MC$2:$MC$200=M$3)*('GMW - worst case'!$MB$2:$MB$200=M$4),0),$E286-1973)</f>
        <v>#N/A</v>
      </c>
      <c r="N286" t="e" cm="1">
        <f t="array" ref="N286">INDEX('GMW - worst case'!$A$2:$MC$200,MATCH(1,('GMW - worst case'!$MC$2:$MC$200=N$3)*('GMW - worst case'!$MB$2:$MB$200=N$4),0),$E286-1973)</f>
        <v>#N/A</v>
      </c>
      <c r="O286" t="e" cm="1">
        <f t="array" ref="O286">INDEX('GMW - worst case'!$A$2:$MC$200,MATCH(1,('GMW - worst case'!$MC$2:$MC$200=O$3)*('GMW - worst case'!$MB$2:$MB$200=O$4),0),$E286-1973)</f>
        <v>#N/A</v>
      </c>
      <c r="P286" t="e" cm="1">
        <f t="array" ref="P286">INDEX('GMW - worst case'!$A$2:$MC$200,MATCH(1,('GMW - worst case'!$MC$2:$MC$200=P$3)*('GMW - worst case'!$MB$2:$MB$200=P$4),0),$E286-1973)</f>
        <v>#N/A</v>
      </c>
      <c r="Q286" t="e" cm="1">
        <f t="array" ref="Q286">INDEX('GMW - worst case'!$A$2:$MC$200,MATCH(1,('GMW - worst case'!$MC$2:$MC$200=Q$3)*('GMW - worst case'!$MB$2:$MB$200=Q$4),0),$E286-1973)</f>
        <v>#N/A</v>
      </c>
      <c r="R286" t="e" cm="1">
        <f t="array" ref="R286">INDEX('GMW - worst case'!$A$2:$MC$200,MATCH(1,('GMW - worst case'!$MC$2:$MC$200=R$3)*('GMW - worst case'!$MB$2:$MB$200=R$4),0),$E286-1973)</f>
        <v>#N/A</v>
      </c>
      <c r="S286" t="e" cm="1">
        <f t="array" ref="S286">INDEX('GMW - worst case'!$A$2:$MC$200,MATCH(1,('GMW - worst case'!$MC$2:$MC$200=S$3)*('GMW - worst case'!$MB$2:$MB$200=S$4),0),$E286-1973)</f>
        <v>#N/A</v>
      </c>
    </row>
    <row r="287" spans="1:19" x14ac:dyDescent="0.25">
      <c r="A287">
        <v>2050</v>
      </c>
      <c r="B287">
        <f t="shared" si="23"/>
        <v>2050</v>
      </c>
      <c r="C287">
        <f t="shared" si="23"/>
        <v>2049</v>
      </c>
      <c r="D287">
        <f t="shared" si="23"/>
        <v>2049</v>
      </c>
      <c r="E287">
        <f t="shared" si="21"/>
        <v>2260</v>
      </c>
      <c r="F287" t="str" cm="1">
        <f t="array" ref="F287">INDEX('GMW - worst case'!$A$2:$MC$200,MATCH(1,('GMW - worst case'!$MC$2:$MC$200=F$3)*('GMW - worst case'!$MB$2:$MB$200=F$4),0),$E287-1973)</f>
        <v>NA</v>
      </c>
      <c r="G287" t="str" cm="1">
        <f t="array" ref="G287">INDEX('GMW - worst case'!$A$2:$MC$200,MATCH(1,('GMW - worst case'!$MC$2:$MC$200=G$3)*('GMW - worst case'!$MB$2:$MB$200=G$4),0),$E287-1973)</f>
        <v>NA</v>
      </c>
      <c r="H287" t="str" cm="1">
        <f t="array" ref="H287">INDEX('GMW - worst case'!$A$2:$MC$200,MATCH(1,('GMW - worst case'!$MC$2:$MC$200=H$3)*('GMW - worst case'!$MB$2:$MB$200=H$4),0),$E287-1973)</f>
        <v>NA</v>
      </c>
      <c r="I287" t="str" cm="1">
        <f t="array" ref="I287">INDEX('GMW - worst case'!$A$2:$MC$200,MATCH(1,('GMW - worst case'!$MC$2:$MC$200=I$3)*('GMW - worst case'!$MB$2:$MB$200=I$4),0),$E287-1973)</f>
        <v>NA</v>
      </c>
      <c r="J287" t="e" cm="1">
        <f t="array" ref="J287">INDEX('GMW - worst case'!$A$2:$MC$200,MATCH(1,('GMW - worst case'!$MC$2:$MC$200=J$3)*('GMW - worst case'!$MB$2:$MB$200=J$4),0),$E287-1973)</f>
        <v>#N/A</v>
      </c>
      <c r="K287" t="e" cm="1">
        <f t="array" ref="K287">INDEX('GMW - worst case'!$A$2:$MC$200,MATCH(1,('GMW - worst case'!$MC$2:$MC$200=K$3)*('GMW - worst case'!$MB$2:$MB$200=K$4),0),$E287-1973)</f>
        <v>#N/A</v>
      </c>
      <c r="L287" t="e" cm="1">
        <f t="array" ref="L287">INDEX('GMW - worst case'!$A$2:$MC$200,MATCH(1,('GMW - worst case'!$MC$2:$MC$200=L$3)*('GMW - worst case'!$MB$2:$MB$200=L$4),0),$E287-1973)</f>
        <v>#N/A</v>
      </c>
      <c r="M287" t="e" cm="1">
        <f t="array" ref="M287">INDEX('GMW - worst case'!$A$2:$MC$200,MATCH(1,('GMW - worst case'!$MC$2:$MC$200=M$3)*('GMW - worst case'!$MB$2:$MB$200=M$4),0),$E287-1973)</f>
        <v>#N/A</v>
      </c>
      <c r="N287" t="e" cm="1">
        <f t="array" ref="N287">INDEX('GMW - worst case'!$A$2:$MC$200,MATCH(1,('GMW - worst case'!$MC$2:$MC$200=N$3)*('GMW - worst case'!$MB$2:$MB$200=N$4),0),$E287-1973)</f>
        <v>#N/A</v>
      </c>
      <c r="O287" t="e" cm="1">
        <f t="array" ref="O287">INDEX('GMW - worst case'!$A$2:$MC$200,MATCH(1,('GMW - worst case'!$MC$2:$MC$200=O$3)*('GMW - worst case'!$MB$2:$MB$200=O$4),0),$E287-1973)</f>
        <v>#N/A</v>
      </c>
      <c r="P287" t="e" cm="1">
        <f t="array" ref="P287">INDEX('GMW - worst case'!$A$2:$MC$200,MATCH(1,('GMW - worst case'!$MC$2:$MC$200=P$3)*('GMW - worst case'!$MB$2:$MB$200=P$4),0),$E287-1973)</f>
        <v>#N/A</v>
      </c>
      <c r="Q287" t="e" cm="1">
        <f t="array" ref="Q287">INDEX('GMW - worst case'!$A$2:$MC$200,MATCH(1,('GMW - worst case'!$MC$2:$MC$200=Q$3)*('GMW - worst case'!$MB$2:$MB$200=Q$4),0),$E287-1973)</f>
        <v>#N/A</v>
      </c>
      <c r="R287" t="e" cm="1">
        <f t="array" ref="R287">INDEX('GMW - worst case'!$A$2:$MC$200,MATCH(1,('GMW - worst case'!$MC$2:$MC$200=R$3)*('GMW - worst case'!$MB$2:$MB$200=R$4),0),$E287-1973)</f>
        <v>#N/A</v>
      </c>
      <c r="S287" t="e" cm="1">
        <f t="array" ref="S287">INDEX('GMW - worst case'!$A$2:$MC$200,MATCH(1,('GMW - worst case'!$MC$2:$MC$200=S$3)*('GMW - worst case'!$MB$2:$MB$200=S$4),0),$E287-1973)</f>
        <v>#N/A</v>
      </c>
    </row>
    <row r="288" spans="1:19" x14ac:dyDescent="0.25">
      <c r="B288">
        <f t="shared" si="23"/>
        <v>2050</v>
      </c>
      <c r="C288">
        <f t="shared" si="23"/>
        <v>2050</v>
      </c>
      <c r="E288">
        <f t="shared" si="21"/>
        <v>2261</v>
      </c>
      <c r="F288" t="str" cm="1">
        <f t="array" ref="F288">INDEX('GMW - worst case'!$A$2:$MC$200,MATCH(1,('GMW - worst case'!$MC$2:$MC$200=F$3)*('GMW - worst case'!$MB$2:$MB$200=F$4),0),$E288-1973)</f>
        <v>NA</v>
      </c>
      <c r="G288" t="str" cm="1">
        <f t="array" ref="G288">INDEX('GMW - worst case'!$A$2:$MC$200,MATCH(1,('GMW - worst case'!$MC$2:$MC$200=G$3)*('GMW - worst case'!$MB$2:$MB$200=G$4),0),$E288-1973)</f>
        <v>NA</v>
      </c>
      <c r="H288" t="str" cm="1">
        <f t="array" ref="H288">INDEX('GMW - worst case'!$A$2:$MC$200,MATCH(1,('GMW - worst case'!$MC$2:$MC$200=H$3)*('GMW - worst case'!$MB$2:$MB$200=H$4),0),$E288-1973)</f>
        <v>NA</v>
      </c>
      <c r="I288" t="str" cm="1">
        <f t="array" ref="I288">INDEX('GMW - worst case'!$A$2:$MC$200,MATCH(1,('GMW - worst case'!$MC$2:$MC$200=I$3)*('GMW - worst case'!$MB$2:$MB$200=I$4),0),$E288-1973)</f>
        <v>NA</v>
      </c>
      <c r="J288" t="e" cm="1">
        <f t="array" ref="J288">INDEX('GMW - worst case'!$A$2:$MC$200,MATCH(1,('GMW - worst case'!$MC$2:$MC$200=J$3)*('GMW - worst case'!$MB$2:$MB$200=J$4),0),$E288-1973)</f>
        <v>#N/A</v>
      </c>
      <c r="K288" t="e" cm="1">
        <f t="array" ref="K288">INDEX('GMW - worst case'!$A$2:$MC$200,MATCH(1,('GMW - worst case'!$MC$2:$MC$200=K$3)*('GMW - worst case'!$MB$2:$MB$200=K$4),0),$E288-1973)</f>
        <v>#N/A</v>
      </c>
      <c r="L288" t="e" cm="1">
        <f t="array" ref="L288">INDEX('GMW - worst case'!$A$2:$MC$200,MATCH(1,('GMW - worst case'!$MC$2:$MC$200=L$3)*('GMW - worst case'!$MB$2:$MB$200=L$4),0),$E288-1973)</f>
        <v>#N/A</v>
      </c>
      <c r="M288" t="e" cm="1">
        <f t="array" ref="M288">INDEX('GMW - worst case'!$A$2:$MC$200,MATCH(1,('GMW - worst case'!$MC$2:$MC$200=M$3)*('GMW - worst case'!$MB$2:$MB$200=M$4),0),$E288-1973)</f>
        <v>#N/A</v>
      </c>
      <c r="N288" t="e" cm="1">
        <f t="array" ref="N288">INDEX('GMW - worst case'!$A$2:$MC$200,MATCH(1,('GMW - worst case'!$MC$2:$MC$200=N$3)*('GMW - worst case'!$MB$2:$MB$200=N$4),0),$E288-1973)</f>
        <v>#N/A</v>
      </c>
      <c r="O288" t="e" cm="1">
        <f t="array" ref="O288">INDEX('GMW - worst case'!$A$2:$MC$200,MATCH(1,('GMW - worst case'!$MC$2:$MC$200=O$3)*('GMW - worst case'!$MB$2:$MB$200=O$4),0),$E288-1973)</f>
        <v>#N/A</v>
      </c>
      <c r="P288" t="e" cm="1">
        <f t="array" ref="P288">INDEX('GMW - worst case'!$A$2:$MC$200,MATCH(1,('GMW - worst case'!$MC$2:$MC$200=P$3)*('GMW - worst case'!$MB$2:$MB$200=P$4),0),$E288-1973)</f>
        <v>#N/A</v>
      </c>
      <c r="Q288" t="e" cm="1">
        <f t="array" ref="Q288">INDEX('GMW - worst case'!$A$2:$MC$200,MATCH(1,('GMW - worst case'!$MC$2:$MC$200=Q$3)*('GMW - worst case'!$MB$2:$MB$200=Q$4),0),$E288-1973)</f>
        <v>#N/A</v>
      </c>
      <c r="R288" t="e" cm="1">
        <f t="array" ref="R288">INDEX('GMW - worst case'!$A$2:$MC$200,MATCH(1,('GMW - worst case'!$MC$2:$MC$200=R$3)*('GMW - worst case'!$MB$2:$MB$200=R$4),0),$E288-1973)</f>
        <v>#N/A</v>
      </c>
      <c r="S288" t="e" cm="1">
        <f t="array" ref="S288">INDEX('GMW - worst case'!$A$2:$MC$200,MATCH(1,('GMW - worst case'!$MC$2:$MC$200=S$3)*('GMW - worst case'!$MB$2:$MB$200=S$4),0),$E288-1973)</f>
        <v>#N/A</v>
      </c>
    </row>
    <row r="289" spans="1:19" x14ac:dyDescent="0.25">
      <c r="B289">
        <f t="shared" si="23"/>
        <v>2050</v>
      </c>
      <c r="C289">
        <f t="shared" si="23"/>
        <v>2050</v>
      </c>
      <c r="E289">
        <f t="shared" si="21"/>
        <v>2262</v>
      </c>
      <c r="F289" t="str" cm="1">
        <f t="array" ref="F289">INDEX('GMW - worst case'!$A$2:$MC$200,MATCH(1,('GMW - worst case'!$MC$2:$MC$200=F$3)*('GMW - worst case'!$MB$2:$MB$200=F$4),0),$E289-1973)</f>
        <v>NA</v>
      </c>
      <c r="G289" t="str" cm="1">
        <f t="array" ref="G289">INDEX('GMW - worst case'!$A$2:$MC$200,MATCH(1,('GMW - worst case'!$MC$2:$MC$200=G$3)*('GMW - worst case'!$MB$2:$MB$200=G$4),0),$E289-1973)</f>
        <v>NA</v>
      </c>
      <c r="H289" t="str" cm="1">
        <f t="array" ref="H289">INDEX('GMW - worst case'!$A$2:$MC$200,MATCH(1,('GMW - worst case'!$MC$2:$MC$200=H$3)*('GMW - worst case'!$MB$2:$MB$200=H$4),0),$E289-1973)</f>
        <v>NA</v>
      </c>
      <c r="I289" t="str" cm="1">
        <f t="array" ref="I289">INDEX('GMW - worst case'!$A$2:$MC$200,MATCH(1,('GMW - worst case'!$MC$2:$MC$200=I$3)*('GMW - worst case'!$MB$2:$MB$200=I$4),0),$E289-1973)</f>
        <v>NA</v>
      </c>
      <c r="J289" t="e" cm="1">
        <f t="array" ref="J289">INDEX('GMW - worst case'!$A$2:$MC$200,MATCH(1,('GMW - worst case'!$MC$2:$MC$200=J$3)*('GMW - worst case'!$MB$2:$MB$200=J$4),0),$E289-1973)</f>
        <v>#N/A</v>
      </c>
      <c r="K289" t="e" cm="1">
        <f t="array" ref="K289">INDEX('GMW - worst case'!$A$2:$MC$200,MATCH(1,('GMW - worst case'!$MC$2:$MC$200=K$3)*('GMW - worst case'!$MB$2:$MB$200=K$4),0),$E289-1973)</f>
        <v>#N/A</v>
      </c>
      <c r="L289" t="e" cm="1">
        <f t="array" ref="L289">INDEX('GMW - worst case'!$A$2:$MC$200,MATCH(1,('GMW - worst case'!$MC$2:$MC$200=L$3)*('GMW - worst case'!$MB$2:$MB$200=L$4),0),$E289-1973)</f>
        <v>#N/A</v>
      </c>
      <c r="M289" t="e" cm="1">
        <f t="array" ref="M289">INDEX('GMW - worst case'!$A$2:$MC$200,MATCH(1,('GMW - worst case'!$MC$2:$MC$200=M$3)*('GMW - worst case'!$MB$2:$MB$200=M$4),0),$E289-1973)</f>
        <v>#N/A</v>
      </c>
      <c r="N289" t="e" cm="1">
        <f t="array" ref="N289">INDEX('GMW - worst case'!$A$2:$MC$200,MATCH(1,('GMW - worst case'!$MC$2:$MC$200=N$3)*('GMW - worst case'!$MB$2:$MB$200=N$4),0),$E289-1973)</f>
        <v>#N/A</v>
      </c>
      <c r="O289" t="e" cm="1">
        <f t="array" ref="O289">INDEX('GMW - worst case'!$A$2:$MC$200,MATCH(1,('GMW - worst case'!$MC$2:$MC$200=O$3)*('GMW - worst case'!$MB$2:$MB$200=O$4),0),$E289-1973)</f>
        <v>#N/A</v>
      </c>
      <c r="P289" t="e" cm="1">
        <f t="array" ref="P289">INDEX('GMW - worst case'!$A$2:$MC$200,MATCH(1,('GMW - worst case'!$MC$2:$MC$200=P$3)*('GMW - worst case'!$MB$2:$MB$200=P$4),0),$E289-1973)</f>
        <v>#N/A</v>
      </c>
      <c r="Q289" t="e" cm="1">
        <f t="array" ref="Q289">INDEX('GMW - worst case'!$A$2:$MC$200,MATCH(1,('GMW - worst case'!$MC$2:$MC$200=Q$3)*('GMW - worst case'!$MB$2:$MB$200=Q$4),0),$E289-1973)</f>
        <v>#N/A</v>
      </c>
      <c r="R289" t="e" cm="1">
        <f t="array" ref="R289">INDEX('GMW - worst case'!$A$2:$MC$200,MATCH(1,('GMW - worst case'!$MC$2:$MC$200=R$3)*('GMW - worst case'!$MB$2:$MB$200=R$4),0),$E289-1973)</f>
        <v>#N/A</v>
      </c>
      <c r="S289" t="e" cm="1">
        <f t="array" ref="S289">INDEX('GMW - worst case'!$A$2:$MC$200,MATCH(1,('GMW - worst case'!$MC$2:$MC$200=S$3)*('GMW - worst case'!$MB$2:$MB$200=S$4),0),$E289-1973)</f>
        <v>#N/A</v>
      </c>
    </row>
    <row r="290" spans="1:19" x14ac:dyDescent="0.25">
      <c r="B290">
        <f t="shared" si="23"/>
        <v>2050</v>
      </c>
      <c r="C290">
        <f t="shared" si="23"/>
        <v>2050</v>
      </c>
      <c r="E290">
        <f t="shared" si="21"/>
        <v>2263</v>
      </c>
      <c r="F290" t="str" cm="1">
        <f t="array" ref="F290">INDEX('GMW - worst case'!$A$2:$MC$200,MATCH(1,('GMW - worst case'!$MC$2:$MC$200=F$3)*('GMW - worst case'!$MB$2:$MB$200=F$4),0),$E290-1973)</f>
        <v>NA</v>
      </c>
      <c r="G290" t="str" cm="1">
        <f t="array" ref="G290">INDEX('GMW - worst case'!$A$2:$MC$200,MATCH(1,('GMW - worst case'!$MC$2:$MC$200=G$3)*('GMW - worst case'!$MB$2:$MB$200=G$4),0),$E290-1973)</f>
        <v>NA</v>
      </c>
      <c r="H290" t="str" cm="1">
        <f t="array" ref="H290">INDEX('GMW - worst case'!$A$2:$MC$200,MATCH(1,('GMW - worst case'!$MC$2:$MC$200=H$3)*('GMW - worst case'!$MB$2:$MB$200=H$4),0),$E290-1973)</f>
        <v>NA</v>
      </c>
      <c r="I290" t="str" cm="1">
        <f t="array" ref="I290">INDEX('GMW - worst case'!$A$2:$MC$200,MATCH(1,('GMW - worst case'!$MC$2:$MC$200=I$3)*('GMW - worst case'!$MB$2:$MB$200=I$4),0),$E290-1973)</f>
        <v>NA</v>
      </c>
      <c r="J290" t="e" cm="1">
        <f t="array" ref="J290">INDEX('GMW - worst case'!$A$2:$MC$200,MATCH(1,('GMW - worst case'!$MC$2:$MC$200=J$3)*('GMW - worst case'!$MB$2:$MB$200=J$4),0),$E290-1973)</f>
        <v>#N/A</v>
      </c>
      <c r="K290" t="e" cm="1">
        <f t="array" ref="K290">INDEX('GMW - worst case'!$A$2:$MC$200,MATCH(1,('GMW - worst case'!$MC$2:$MC$200=K$3)*('GMW - worst case'!$MB$2:$MB$200=K$4),0),$E290-1973)</f>
        <v>#N/A</v>
      </c>
      <c r="L290" t="e" cm="1">
        <f t="array" ref="L290">INDEX('GMW - worst case'!$A$2:$MC$200,MATCH(1,('GMW - worst case'!$MC$2:$MC$200=L$3)*('GMW - worst case'!$MB$2:$MB$200=L$4),0),$E290-1973)</f>
        <v>#N/A</v>
      </c>
      <c r="M290" t="e" cm="1">
        <f t="array" ref="M290">INDEX('GMW - worst case'!$A$2:$MC$200,MATCH(1,('GMW - worst case'!$MC$2:$MC$200=M$3)*('GMW - worst case'!$MB$2:$MB$200=M$4),0),$E290-1973)</f>
        <v>#N/A</v>
      </c>
      <c r="N290" t="e" cm="1">
        <f t="array" ref="N290">INDEX('GMW - worst case'!$A$2:$MC$200,MATCH(1,('GMW - worst case'!$MC$2:$MC$200=N$3)*('GMW - worst case'!$MB$2:$MB$200=N$4),0),$E290-1973)</f>
        <v>#N/A</v>
      </c>
      <c r="O290" t="e" cm="1">
        <f t="array" ref="O290">INDEX('GMW - worst case'!$A$2:$MC$200,MATCH(1,('GMW - worst case'!$MC$2:$MC$200=O$3)*('GMW - worst case'!$MB$2:$MB$200=O$4),0),$E290-1973)</f>
        <v>#N/A</v>
      </c>
      <c r="P290" t="e" cm="1">
        <f t="array" ref="P290">INDEX('GMW - worst case'!$A$2:$MC$200,MATCH(1,('GMW - worst case'!$MC$2:$MC$200=P$3)*('GMW - worst case'!$MB$2:$MB$200=P$4),0),$E290-1973)</f>
        <v>#N/A</v>
      </c>
      <c r="Q290" t="e" cm="1">
        <f t="array" ref="Q290">INDEX('GMW - worst case'!$A$2:$MC$200,MATCH(1,('GMW - worst case'!$MC$2:$MC$200=Q$3)*('GMW - worst case'!$MB$2:$MB$200=Q$4),0),$E290-1973)</f>
        <v>#N/A</v>
      </c>
      <c r="R290" t="e" cm="1">
        <f t="array" ref="R290">INDEX('GMW - worst case'!$A$2:$MC$200,MATCH(1,('GMW - worst case'!$MC$2:$MC$200=R$3)*('GMW - worst case'!$MB$2:$MB$200=R$4),0),$E290-1973)</f>
        <v>#N/A</v>
      </c>
      <c r="S290" t="e" cm="1">
        <f t="array" ref="S290">INDEX('GMW - worst case'!$A$2:$MC$200,MATCH(1,('GMW - worst case'!$MC$2:$MC$200=S$3)*('GMW - worst case'!$MB$2:$MB$200=S$4),0),$E290-1973)</f>
        <v>#N/A</v>
      </c>
    </row>
    <row r="291" spans="1:19" x14ac:dyDescent="0.25">
      <c r="A291">
        <v>2051</v>
      </c>
      <c r="B291">
        <f t="shared" si="23"/>
        <v>2051</v>
      </c>
      <c r="C291">
        <f t="shared" si="23"/>
        <v>2050</v>
      </c>
      <c r="D291">
        <f t="shared" si="23"/>
        <v>2050</v>
      </c>
      <c r="E291">
        <f t="shared" si="21"/>
        <v>2264</v>
      </c>
      <c r="F291" t="str" cm="1">
        <f t="array" ref="F291">INDEX('GMW - worst case'!$A$2:$MC$200,MATCH(1,('GMW - worst case'!$MC$2:$MC$200=F$3)*('GMW - worst case'!$MB$2:$MB$200=F$4),0),$E291-1973)</f>
        <v>NA</v>
      </c>
      <c r="G291" t="str" cm="1">
        <f t="array" ref="G291">INDEX('GMW - worst case'!$A$2:$MC$200,MATCH(1,('GMW - worst case'!$MC$2:$MC$200=G$3)*('GMW - worst case'!$MB$2:$MB$200=G$4),0),$E291-1973)</f>
        <v>NA</v>
      </c>
      <c r="H291" t="str" cm="1">
        <f t="array" ref="H291">INDEX('GMW - worst case'!$A$2:$MC$200,MATCH(1,('GMW - worst case'!$MC$2:$MC$200=H$3)*('GMW - worst case'!$MB$2:$MB$200=H$4),0),$E291-1973)</f>
        <v>NA</v>
      </c>
      <c r="I291" t="str" cm="1">
        <f t="array" ref="I291">INDEX('GMW - worst case'!$A$2:$MC$200,MATCH(1,('GMW - worst case'!$MC$2:$MC$200=I$3)*('GMW - worst case'!$MB$2:$MB$200=I$4),0),$E291-1973)</f>
        <v>NA</v>
      </c>
      <c r="J291" t="e" cm="1">
        <f t="array" ref="J291">INDEX('GMW - worst case'!$A$2:$MC$200,MATCH(1,('GMW - worst case'!$MC$2:$MC$200=J$3)*('GMW - worst case'!$MB$2:$MB$200=J$4),0),$E291-1973)</f>
        <v>#N/A</v>
      </c>
      <c r="K291" t="e" cm="1">
        <f t="array" ref="K291">INDEX('GMW - worst case'!$A$2:$MC$200,MATCH(1,('GMW - worst case'!$MC$2:$MC$200=K$3)*('GMW - worst case'!$MB$2:$MB$200=K$4),0),$E291-1973)</f>
        <v>#N/A</v>
      </c>
      <c r="L291" t="e" cm="1">
        <f t="array" ref="L291">INDEX('GMW - worst case'!$A$2:$MC$200,MATCH(1,('GMW - worst case'!$MC$2:$MC$200=L$3)*('GMW - worst case'!$MB$2:$MB$200=L$4),0),$E291-1973)</f>
        <v>#N/A</v>
      </c>
      <c r="M291" t="e" cm="1">
        <f t="array" ref="M291">INDEX('GMW - worst case'!$A$2:$MC$200,MATCH(1,('GMW - worst case'!$MC$2:$MC$200=M$3)*('GMW - worst case'!$MB$2:$MB$200=M$4),0),$E291-1973)</f>
        <v>#N/A</v>
      </c>
      <c r="N291" t="e" cm="1">
        <f t="array" ref="N291">INDEX('GMW - worst case'!$A$2:$MC$200,MATCH(1,('GMW - worst case'!$MC$2:$MC$200=N$3)*('GMW - worst case'!$MB$2:$MB$200=N$4),0),$E291-1973)</f>
        <v>#N/A</v>
      </c>
      <c r="O291" t="e" cm="1">
        <f t="array" ref="O291">INDEX('GMW - worst case'!$A$2:$MC$200,MATCH(1,('GMW - worst case'!$MC$2:$MC$200=O$3)*('GMW - worst case'!$MB$2:$MB$200=O$4),0),$E291-1973)</f>
        <v>#N/A</v>
      </c>
      <c r="P291" t="e" cm="1">
        <f t="array" ref="P291">INDEX('GMW - worst case'!$A$2:$MC$200,MATCH(1,('GMW - worst case'!$MC$2:$MC$200=P$3)*('GMW - worst case'!$MB$2:$MB$200=P$4),0),$E291-1973)</f>
        <v>#N/A</v>
      </c>
      <c r="Q291" t="e" cm="1">
        <f t="array" ref="Q291">INDEX('GMW - worst case'!$A$2:$MC$200,MATCH(1,('GMW - worst case'!$MC$2:$MC$200=Q$3)*('GMW - worst case'!$MB$2:$MB$200=Q$4),0),$E291-1973)</f>
        <v>#N/A</v>
      </c>
      <c r="R291" t="e" cm="1">
        <f t="array" ref="R291">INDEX('GMW - worst case'!$A$2:$MC$200,MATCH(1,('GMW - worst case'!$MC$2:$MC$200=R$3)*('GMW - worst case'!$MB$2:$MB$200=R$4),0),$E291-1973)</f>
        <v>#N/A</v>
      </c>
      <c r="S291" t="e" cm="1">
        <f t="array" ref="S291">INDEX('GMW - worst case'!$A$2:$MC$200,MATCH(1,('GMW - worst case'!$MC$2:$MC$200=S$3)*('GMW - worst case'!$MB$2:$MB$200=S$4),0),$E291-1973)</f>
        <v>#N/A</v>
      </c>
    </row>
    <row r="292" spans="1:19" x14ac:dyDescent="0.25">
      <c r="B292">
        <f t="shared" si="23"/>
        <v>2051</v>
      </c>
      <c r="C292">
        <f t="shared" si="23"/>
        <v>2051</v>
      </c>
      <c r="E292">
        <f t="shared" si="21"/>
        <v>2265</v>
      </c>
      <c r="F292" t="str" cm="1">
        <f t="array" ref="F292">INDEX('GMW - worst case'!$A$2:$MC$200,MATCH(1,('GMW - worst case'!$MC$2:$MC$200=F$3)*('GMW - worst case'!$MB$2:$MB$200=F$4),0),$E292-1973)</f>
        <v>NA</v>
      </c>
      <c r="G292" t="str" cm="1">
        <f t="array" ref="G292">INDEX('GMW - worst case'!$A$2:$MC$200,MATCH(1,('GMW - worst case'!$MC$2:$MC$200=G$3)*('GMW - worst case'!$MB$2:$MB$200=G$4),0),$E292-1973)</f>
        <v>NA</v>
      </c>
      <c r="H292" t="str" cm="1">
        <f t="array" ref="H292">INDEX('GMW - worst case'!$A$2:$MC$200,MATCH(1,('GMW - worst case'!$MC$2:$MC$200=H$3)*('GMW - worst case'!$MB$2:$MB$200=H$4),0),$E292-1973)</f>
        <v>NA</v>
      </c>
      <c r="I292" t="str" cm="1">
        <f t="array" ref="I292">INDEX('GMW - worst case'!$A$2:$MC$200,MATCH(1,('GMW - worst case'!$MC$2:$MC$200=I$3)*('GMW - worst case'!$MB$2:$MB$200=I$4),0),$E292-1973)</f>
        <v>NA</v>
      </c>
      <c r="J292" t="e" cm="1">
        <f t="array" ref="J292">INDEX('GMW - worst case'!$A$2:$MC$200,MATCH(1,('GMW - worst case'!$MC$2:$MC$200=J$3)*('GMW - worst case'!$MB$2:$MB$200=J$4),0),$E292-1973)</f>
        <v>#N/A</v>
      </c>
      <c r="K292" t="e" cm="1">
        <f t="array" ref="K292">INDEX('GMW - worst case'!$A$2:$MC$200,MATCH(1,('GMW - worst case'!$MC$2:$MC$200=K$3)*('GMW - worst case'!$MB$2:$MB$200=K$4),0),$E292-1973)</f>
        <v>#N/A</v>
      </c>
      <c r="L292" t="e" cm="1">
        <f t="array" ref="L292">INDEX('GMW - worst case'!$A$2:$MC$200,MATCH(1,('GMW - worst case'!$MC$2:$MC$200=L$3)*('GMW - worst case'!$MB$2:$MB$200=L$4),0),$E292-1973)</f>
        <v>#N/A</v>
      </c>
      <c r="M292" t="e" cm="1">
        <f t="array" ref="M292">INDEX('GMW - worst case'!$A$2:$MC$200,MATCH(1,('GMW - worst case'!$MC$2:$MC$200=M$3)*('GMW - worst case'!$MB$2:$MB$200=M$4),0),$E292-1973)</f>
        <v>#N/A</v>
      </c>
      <c r="N292" t="e" cm="1">
        <f t="array" ref="N292">INDEX('GMW - worst case'!$A$2:$MC$200,MATCH(1,('GMW - worst case'!$MC$2:$MC$200=N$3)*('GMW - worst case'!$MB$2:$MB$200=N$4),0),$E292-1973)</f>
        <v>#N/A</v>
      </c>
      <c r="O292" t="e" cm="1">
        <f t="array" ref="O292">INDEX('GMW - worst case'!$A$2:$MC$200,MATCH(1,('GMW - worst case'!$MC$2:$MC$200=O$3)*('GMW - worst case'!$MB$2:$MB$200=O$4),0),$E292-1973)</f>
        <v>#N/A</v>
      </c>
      <c r="P292" t="e" cm="1">
        <f t="array" ref="P292">INDEX('GMW - worst case'!$A$2:$MC$200,MATCH(1,('GMW - worst case'!$MC$2:$MC$200=P$3)*('GMW - worst case'!$MB$2:$MB$200=P$4),0),$E292-1973)</f>
        <v>#N/A</v>
      </c>
      <c r="Q292" t="e" cm="1">
        <f t="array" ref="Q292">INDEX('GMW - worst case'!$A$2:$MC$200,MATCH(1,('GMW - worst case'!$MC$2:$MC$200=Q$3)*('GMW - worst case'!$MB$2:$MB$200=Q$4),0),$E292-1973)</f>
        <v>#N/A</v>
      </c>
      <c r="R292" t="e" cm="1">
        <f t="array" ref="R292">INDEX('GMW - worst case'!$A$2:$MC$200,MATCH(1,('GMW - worst case'!$MC$2:$MC$200=R$3)*('GMW - worst case'!$MB$2:$MB$200=R$4),0),$E292-1973)</f>
        <v>#N/A</v>
      </c>
      <c r="S292" t="e" cm="1">
        <f t="array" ref="S292">INDEX('GMW - worst case'!$A$2:$MC$200,MATCH(1,('GMW - worst case'!$MC$2:$MC$200=S$3)*('GMW - worst case'!$MB$2:$MB$200=S$4),0),$E292-1973)</f>
        <v>#N/A</v>
      </c>
    </row>
    <row r="293" spans="1:19" x14ac:dyDescent="0.25">
      <c r="B293">
        <f t="shared" si="23"/>
        <v>2051</v>
      </c>
      <c r="C293">
        <f t="shared" si="23"/>
        <v>2051</v>
      </c>
      <c r="E293">
        <f t="shared" si="21"/>
        <v>2266</v>
      </c>
      <c r="F293" t="str" cm="1">
        <f t="array" ref="F293">INDEX('GMW - worst case'!$A$2:$MC$200,MATCH(1,('GMW - worst case'!$MC$2:$MC$200=F$3)*('GMW - worst case'!$MB$2:$MB$200=F$4),0),$E293-1973)</f>
        <v>NA</v>
      </c>
      <c r="G293" t="str" cm="1">
        <f t="array" ref="G293">INDEX('GMW - worst case'!$A$2:$MC$200,MATCH(1,('GMW - worst case'!$MC$2:$MC$200=G$3)*('GMW - worst case'!$MB$2:$MB$200=G$4),0),$E293-1973)</f>
        <v>NA</v>
      </c>
      <c r="H293" t="str" cm="1">
        <f t="array" ref="H293">INDEX('GMW - worst case'!$A$2:$MC$200,MATCH(1,('GMW - worst case'!$MC$2:$MC$200=H$3)*('GMW - worst case'!$MB$2:$MB$200=H$4),0),$E293-1973)</f>
        <v>NA</v>
      </c>
      <c r="I293" t="str" cm="1">
        <f t="array" ref="I293">INDEX('GMW - worst case'!$A$2:$MC$200,MATCH(1,('GMW - worst case'!$MC$2:$MC$200=I$3)*('GMW - worst case'!$MB$2:$MB$200=I$4),0),$E293-1973)</f>
        <v>NA</v>
      </c>
      <c r="J293" t="e" cm="1">
        <f t="array" ref="J293">INDEX('GMW - worst case'!$A$2:$MC$200,MATCH(1,('GMW - worst case'!$MC$2:$MC$200=J$3)*('GMW - worst case'!$MB$2:$MB$200=J$4),0),$E293-1973)</f>
        <v>#N/A</v>
      </c>
      <c r="K293" t="e" cm="1">
        <f t="array" ref="K293">INDEX('GMW - worst case'!$A$2:$MC$200,MATCH(1,('GMW - worst case'!$MC$2:$MC$200=K$3)*('GMW - worst case'!$MB$2:$MB$200=K$4),0),$E293-1973)</f>
        <v>#N/A</v>
      </c>
      <c r="L293" t="e" cm="1">
        <f t="array" ref="L293">INDEX('GMW - worst case'!$A$2:$MC$200,MATCH(1,('GMW - worst case'!$MC$2:$MC$200=L$3)*('GMW - worst case'!$MB$2:$MB$200=L$4),0),$E293-1973)</f>
        <v>#N/A</v>
      </c>
      <c r="M293" t="e" cm="1">
        <f t="array" ref="M293">INDEX('GMW - worst case'!$A$2:$MC$200,MATCH(1,('GMW - worst case'!$MC$2:$MC$200=M$3)*('GMW - worst case'!$MB$2:$MB$200=M$4),0),$E293-1973)</f>
        <v>#N/A</v>
      </c>
      <c r="N293" t="e" cm="1">
        <f t="array" ref="N293">INDEX('GMW - worst case'!$A$2:$MC$200,MATCH(1,('GMW - worst case'!$MC$2:$MC$200=N$3)*('GMW - worst case'!$MB$2:$MB$200=N$4),0),$E293-1973)</f>
        <v>#N/A</v>
      </c>
      <c r="O293" t="e" cm="1">
        <f t="array" ref="O293">INDEX('GMW - worst case'!$A$2:$MC$200,MATCH(1,('GMW - worst case'!$MC$2:$MC$200=O$3)*('GMW - worst case'!$MB$2:$MB$200=O$4),0),$E293-1973)</f>
        <v>#N/A</v>
      </c>
      <c r="P293" t="e" cm="1">
        <f t="array" ref="P293">INDEX('GMW - worst case'!$A$2:$MC$200,MATCH(1,('GMW - worst case'!$MC$2:$MC$200=P$3)*('GMW - worst case'!$MB$2:$MB$200=P$4),0),$E293-1973)</f>
        <v>#N/A</v>
      </c>
      <c r="Q293" t="e" cm="1">
        <f t="array" ref="Q293">INDEX('GMW - worst case'!$A$2:$MC$200,MATCH(1,('GMW - worst case'!$MC$2:$MC$200=Q$3)*('GMW - worst case'!$MB$2:$MB$200=Q$4),0),$E293-1973)</f>
        <v>#N/A</v>
      </c>
      <c r="R293" t="e" cm="1">
        <f t="array" ref="R293">INDEX('GMW - worst case'!$A$2:$MC$200,MATCH(1,('GMW - worst case'!$MC$2:$MC$200=R$3)*('GMW - worst case'!$MB$2:$MB$200=R$4),0),$E293-1973)</f>
        <v>#N/A</v>
      </c>
      <c r="S293" t="e" cm="1">
        <f t="array" ref="S293">INDEX('GMW - worst case'!$A$2:$MC$200,MATCH(1,('GMW - worst case'!$MC$2:$MC$200=S$3)*('GMW - worst case'!$MB$2:$MB$200=S$4),0),$E293-1973)</f>
        <v>#N/A</v>
      </c>
    </row>
    <row r="294" spans="1:19" x14ac:dyDescent="0.25">
      <c r="B294">
        <f t="shared" si="23"/>
        <v>2051</v>
      </c>
      <c r="C294">
        <f t="shared" si="23"/>
        <v>2051</v>
      </c>
      <c r="E294">
        <f t="shared" si="21"/>
        <v>2267</v>
      </c>
      <c r="F294" t="str" cm="1">
        <f t="array" ref="F294">INDEX('GMW - worst case'!$A$2:$MC$200,MATCH(1,('GMW - worst case'!$MC$2:$MC$200=F$3)*('GMW - worst case'!$MB$2:$MB$200=F$4),0),$E294-1973)</f>
        <v>NA</v>
      </c>
      <c r="G294" t="str" cm="1">
        <f t="array" ref="G294">INDEX('GMW - worst case'!$A$2:$MC$200,MATCH(1,('GMW - worst case'!$MC$2:$MC$200=G$3)*('GMW - worst case'!$MB$2:$MB$200=G$4),0),$E294-1973)</f>
        <v>NA</v>
      </c>
      <c r="H294" t="str" cm="1">
        <f t="array" ref="H294">INDEX('GMW - worst case'!$A$2:$MC$200,MATCH(1,('GMW - worst case'!$MC$2:$MC$200=H$3)*('GMW - worst case'!$MB$2:$MB$200=H$4),0),$E294-1973)</f>
        <v>NA</v>
      </c>
      <c r="I294" t="str" cm="1">
        <f t="array" ref="I294">INDEX('GMW - worst case'!$A$2:$MC$200,MATCH(1,('GMW - worst case'!$MC$2:$MC$200=I$3)*('GMW - worst case'!$MB$2:$MB$200=I$4),0),$E294-1973)</f>
        <v>NA</v>
      </c>
      <c r="J294" t="e" cm="1">
        <f t="array" ref="J294">INDEX('GMW - worst case'!$A$2:$MC$200,MATCH(1,('GMW - worst case'!$MC$2:$MC$200=J$3)*('GMW - worst case'!$MB$2:$MB$200=J$4),0),$E294-1973)</f>
        <v>#N/A</v>
      </c>
      <c r="K294" t="e" cm="1">
        <f t="array" ref="K294">INDEX('GMW - worst case'!$A$2:$MC$200,MATCH(1,('GMW - worst case'!$MC$2:$MC$200=K$3)*('GMW - worst case'!$MB$2:$MB$200=K$4),0),$E294-1973)</f>
        <v>#N/A</v>
      </c>
      <c r="L294" t="e" cm="1">
        <f t="array" ref="L294">INDEX('GMW - worst case'!$A$2:$MC$200,MATCH(1,('GMW - worst case'!$MC$2:$MC$200=L$3)*('GMW - worst case'!$MB$2:$MB$200=L$4),0),$E294-1973)</f>
        <v>#N/A</v>
      </c>
      <c r="M294" t="e" cm="1">
        <f t="array" ref="M294">INDEX('GMW - worst case'!$A$2:$MC$200,MATCH(1,('GMW - worst case'!$MC$2:$MC$200=M$3)*('GMW - worst case'!$MB$2:$MB$200=M$4),0),$E294-1973)</f>
        <v>#N/A</v>
      </c>
      <c r="N294" t="e" cm="1">
        <f t="array" ref="N294">INDEX('GMW - worst case'!$A$2:$MC$200,MATCH(1,('GMW - worst case'!$MC$2:$MC$200=N$3)*('GMW - worst case'!$MB$2:$MB$200=N$4),0),$E294-1973)</f>
        <v>#N/A</v>
      </c>
      <c r="O294" t="e" cm="1">
        <f t="array" ref="O294">INDEX('GMW - worst case'!$A$2:$MC$200,MATCH(1,('GMW - worst case'!$MC$2:$MC$200=O$3)*('GMW - worst case'!$MB$2:$MB$200=O$4),0),$E294-1973)</f>
        <v>#N/A</v>
      </c>
      <c r="P294" t="e" cm="1">
        <f t="array" ref="P294">INDEX('GMW - worst case'!$A$2:$MC$200,MATCH(1,('GMW - worst case'!$MC$2:$MC$200=P$3)*('GMW - worst case'!$MB$2:$MB$200=P$4),0),$E294-1973)</f>
        <v>#N/A</v>
      </c>
      <c r="Q294" t="e" cm="1">
        <f t="array" ref="Q294">INDEX('GMW - worst case'!$A$2:$MC$200,MATCH(1,('GMW - worst case'!$MC$2:$MC$200=Q$3)*('GMW - worst case'!$MB$2:$MB$200=Q$4),0),$E294-1973)</f>
        <v>#N/A</v>
      </c>
      <c r="R294" t="e" cm="1">
        <f t="array" ref="R294">INDEX('GMW - worst case'!$A$2:$MC$200,MATCH(1,('GMW - worst case'!$MC$2:$MC$200=R$3)*('GMW - worst case'!$MB$2:$MB$200=R$4),0),$E294-1973)</f>
        <v>#N/A</v>
      </c>
      <c r="S294" t="e" cm="1">
        <f t="array" ref="S294">INDEX('GMW - worst case'!$A$2:$MC$200,MATCH(1,('GMW - worst case'!$MC$2:$MC$200=S$3)*('GMW - worst case'!$MB$2:$MB$200=S$4),0),$E294-1973)</f>
        <v>#N/A</v>
      </c>
    </row>
    <row r="295" spans="1:19" x14ac:dyDescent="0.25">
      <c r="A295">
        <v>2052</v>
      </c>
      <c r="B295">
        <f t="shared" si="23"/>
        <v>2052</v>
      </c>
      <c r="C295">
        <f t="shared" si="23"/>
        <v>2051</v>
      </c>
      <c r="D295">
        <f t="shared" si="23"/>
        <v>2051</v>
      </c>
      <c r="E295">
        <f t="shared" si="21"/>
        <v>2268</v>
      </c>
      <c r="F295" t="str" cm="1">
        <f t="array" ref="F295">INDEX('GMW - worst case'!$A$2:$MC$200,MATCH(1,('GMW - worst case'!$MC$2:$MC$200=F$3)*('GMW - worst case'!$MB$2:$MB$200=F$4),0),$E295-1973)</f>
        <v>NA</v>
      </c>
      <c r="G295" t="str" cm="1">
        <f t="array" ref="G295">INDEX('GMW - worst case'!$A$2:$MC$200,MATCH(1,('GMW - worst case'!$MC$2:$MC$200=G$3)*('GMW - worst case'!$MB$2:$MB$200=G$4),0),$E295-1973)</f>
        <v>NA</v>
      </c>
      <c r="H295" t="str" cm="1">
        <f t="array" ref="H295">INDEX('GMW - worst case'!$A$2:$MC$200,MATCH(1,('GMW - worst case'!$MC$2:$MC$200=H$3)*('GMW - worst case'!$MB$2:$MB$200=H$4),0),$E295-1973)</f>
        <v>NA</v>
      </c>
      <c r="I295" t="str" cm="1">
        <f t="array" ref="I295">INDEX('GMW - worst case'!$A$2:$MC$200,MATCH(1,('GMW - worst case'!$MC$2:$MC$200=I$3)*('GMW - worst case'!$MB$2:$MB$200=I$4),0),$E295-1973)</f>
        <v>NA</v>
      </c>
      <c r="J295" t="e" cm="1">
        <f t="array" ref="J295">INDEX('GMW - worst case'!$A$2:$MC$200,MATCH(1,('GMW - worst case'!$MC$2:$MC$200=J$3)*('GMW - worst case'!$MB$2:$MB$200=J$4),0),$E295-1973)</f>
        <v>#N/A</v>
      </c>
      <c r="K295" t="e" cm="1">
        <f t="array" ref="K295">INDEX('GMW - worst case'!$A$2:$MC$200,MATCH(1,('GMW - worst case'!$MC$2:$MC$200=K$3)*('GMW - worst case'!$MB$2:$MB$200=K$4),0),$E295-1973)</f>
        <v>#N/A</v>
      </c>
      <c r="L295" t="e" cm="1">
        <f t="array" ref="L295">INDEX('GMW - worst case'!$A$2:$MC$200,MATCH(1,('GMW - worst case'!$MC$2:$MC$200=L$3)*('GMW - worst case'!$MB$2:$MB$200=L$4),0),$E295-1973)</f>
        <v>#N/A</v>
      </c>
      <c r="M295" t="e" cm="1">
        <f t="array" ref="M295">INDEX('GMW - worst case'!$A$2:$MC$200,MATCH(1,('GMW - worst case'!$MC$2:$MC$200=M$3)*('GMW - worst case'!$MB$2:$MB$200=M$4),0),$E295-1973)</f>
        <v>#N/A</v>
      </c>
      <c r="N295" t="e" cm="1">
        <f t="array" ref="N295">INDEX('GMW - worst case'!$A$2:$MC$200,MATCH(1,('GMW - worst case'!$MC$2:$MC$200=N$3)*('GMW - worst case'!$MB$2:$MB$200=N$4),0),$E295-1973)</f>
        <v>#N/A</v>
      </c>
      <c r="O295" t="e" cm="1">
        <f t="array" ref="O295">INDEX('GMW - worst case'!$A$2:$MC$200,MATCH(1,('GMW - worst case'!$MC$2:$MC$200=O$3)*('GMW - worst case'!$MB$2:$MB$200=O$4),0),$E295-1973)</f>
        <v>#N/A</v>
      </c>
      <c r="P295" t="e" cm="1">
        <f t="array" ref="P295">INDEX('GMW - worst case'!$A$2:$MC$200,MATCH(1,('GMW - worst case'!$MC$2:$MC$200=P$3)*('GMW - worst case'!$MB$2:$MB$200=P$4),0),$E295-1973)</f>
        <v>#N/A</v>
      </c>
      <c r="Q295" t="e" cm="1">
        <f t="array" ref="Q295">INDEX('GMW - worst case'!$A$2:$MC$200,MATCH(1,('GMW - worst case'!$MC$2:$MC$200=Q$3)*('GMW - worst case'!$MB$2:$MB$200=Q$4),0),$E295-1973)</f>
        <v>#N/A</v>
      </c>
      <c r="R295" t="e" cm="1">
        <f t="array" ref="R295">INDEX('GMW - worst case'!$A$2:$MC$200,MATCH(1,('GMW - worst case'!$MC$2:$MC$200=R$3)*('GMW - worst case'!$MB$2:$MB$200=R$4),0),$E295-1973)</f>
        <v>#N/A</v>
      </c>
      <c r="S295" t="e" cm="1">
        <f t="array" ref="S295">INDEX('GMW - worst case'!$A$2:$MC$200,MATCH(1,('GMW - worst case'!$MC$2:$MC$200=S$3)*('GMW - worst case'!$MB$2:$MB$200=S$4),0),$E295-1973)</f>
        <v>#N/A</v>
      </c>
    </row>
    <row r="296" spans="1:19" x14ac:dyDescent="0.25">
      <c r="B296">
        <f t="shared" si="23"/>
        <v>2052</v>
      </c>
      <c r="C296">
        <f t="shared" si="23"/>
        <v>2052</v>
      </c>
      <c r="E296">
        <f t="shared" si="21"/>
        <v>2269</v>
      </c>
      <c r="F296" t="str" cm="1">
        <f t="array" ref="F296">INDEX('GMW - worst case'!$A$2:$MC$200,MATCH(1,('GMW - worst case'!$MC$2:$MC$200=F$3)*('GMW - worst case'!$MB$2:$MB$200=F$4),0),$E296-1973)</f>
        <v>NA</v>
      </c>
      <c r="G296" t="str" cm="1">
        <f t="array" ref="G296">INDEX('GMW - worst case'!$A$2:$MC$200,MATCH(1,('GMW - worst case'!$MC$2:$MC$200=G$3)*('GMW - worst case'!$MB$2:$MB$200=G$4),0),$E296-1973)</f>
        <v>NA</v>
      </c>
      <c r="H296" t="str" cm="1">
        <f t="array" ref="H296">INDEX('GMW - worst case'!$A$2:$MC$200,MATCH(1,('GMW - worst case'!$MC$2:$MC$200=H$3)*('GMW - worst case'!$MB$2:$MB$200=H$4),0),$E296-1973)</f>
        <v>NA</v>
      </c>
      <c r="I296" t="str" cm="1">
        <f t="array" ref="I296">INDEX('GMW - worst case'!$A$2:$MC$200,MATCH(1,('GMW - worst case'!$MC$2:$MC$200=I$3)*('GMW - worst case'!$MB$2:$MB$200=I$4),0),$E296-1973)</f>
        <v>NA</v>
      </c>
      <c r="J296" t="e" cm="1">
        <f t="array" ref="J296">INDEX('GMW - worst case'!$A$2:$MC$200,MATCH(1,('GMW - worst case'!$MC$2:$MC$200=J$3)*('GMW - worst case'!$MB$2:$MB$200=J$4),0),$E296-1973)</f>
        <v>#N/A</v>
      </c>
      <c r="K296" t="e" cm="1">
        <f t="array" ref="K296">INDEX('GMW - worst case'!$A$2:$MC$200,MATCH(1,('GMW - worst case'!$MC$2:$MC$200=K$3)*('GMW - worst case'!$MB$2:$MB$200=K$4),0),$E296-1973)</f>
        <v>#N/A</v>
      </c>
      <c r="L296" t="e" cm="1">
        <f t="array" ref="L296">INDEX('GMW - worst case'!$A$2:$MC$200,MATCH(1,('GMW - worst case'!$MC$2:$MC$200=L$3)*('GMW - worst case'!$MB$2:$MB$200=L$4),0),$E296-1973)</f>
        <v>#N/A</v>
      </c>
      <c r="M296" t="e" cm="1">
        <f t="array" ref="M296">INDEX('GMW - worst case'!$A$2:$MC$200,MATCH(1,('GMW - worst case'!$MC$2:$MC$200=M$3)*('GMW - worst case'!$MB$2:$MB$200=M$4),0),$E296-1973)</f>
        <v>#N/A</v>
      </c>
      <c r="N296" t="e" cm="1">
        <f t="array" ref="N296">INDEX('GMW - worst case'!$A$2:$MC$200,MATCH(1,('GMW - worst case'!$MC$2:$MC$200=N$3)*('GMW - worst case'!$MB$2:$MB$200=N$4),0),$E296-1973)</f>
        <v>#N/A</v>
      </c>
      <c r="O296" t="e" cm="1">
        <f t="array" ref="O296">INDEX('GMW - worst case'!$A$2:$MC$200,MATCH(1,('GMW - worst case'!$MC$2:$MC$200=O$3)*('GMW - worst case'!$MB$2:$MB$200=O$4),0),$E296-1973)</f>
        <v>#N/A</v>
      </c>
      <c r="P296" t="e" cm="1">
        <f t="array" ref="P296">INDEX('GMW - worst case'!$A$2:$MC$200,MATCH(1,('GMW - worst case'!$MC$2:$MC$200=P$3)*('GMW - worst case'!$MB$2:$MB$200=P$4),0),$E296-1973)</f>
        <v>#N/A</v>
      </c>
      <c r="Q296" t="e" cm="1">
        <f t="array" ref="Q296">INDEX('GMW - worst case'!$A$2:$MC$200,MATCH(1,('GMW - worst case'!$MC$2:$MC$200=Q$3)*('GMW - worst case'!$MB$2:$MB$200=Q$4),0),$E296-1973)</f>
        <v>#N/A</v>
      </c>
      <c r="R296" t="e" cm="1">
        <f t="array" ref="R296">INDEX('GMW - worst case'!$A$2:$MC$200,MATCH(1,('GMW - worst case'!$MC$2:$MC$200=R$3)*('GMW - worst case'!$MB$2:$MB$200=R$4),0),$E296-1973)</f>
        <v>#N/A</v>
      </c>
      <c r="S296" t="e" cm="1">
        <f t="array" ref="S296">INDEX('GMW - worst case'!$A$2:$MC$200,MATCH(1,('GMW - worst case'!$MC$2:$MC$200=S$3)*('GMW - worst case'!$MB$2:$MB$200=S$4),0),$E296-1973)</f>
        <v>#N/A</v>
      </c>
    </row>
    <row r="297" spans="1:19" x14ac:dyDescent="0.25">
      <c r="B297">
        <f t="shared" si="23"/>
        <v>2052</v>
      </c>
      <c r="C297">
        <f t="shared" si="23"/>
        <v>2052</v>
      </c>
      <c r="E297">
        <f t="shared" si="21"/>
        <v>2270</v>
      </c>
      <c r="F297" t="str" cm="1">
        <f t="array" ref="F297">INDEX('GMW - worst case'!$A$2:$MC$200,MATCH(1,('GMW - worst case'!$MC$2:$MC$200=F$3)*('GMW - worst case'!$MB$2:$MB$200=F$4),0),$E297-1973)</f>
        <v>NA</v>
      </c>
      <c r="G297" t="str" cm="1">
        <f t="array" ref="G297">INDEX('GMW - worst case'!$A$2:$MC$200,MATCH(1,('GMW - worst case'!$MC$2:$MC$200=G$3)*('GMW - worst case'!$MB$2:$MB$200=G$4),0),$E297-1973)</f>
        <v>NA</v>
      </c>
      <c r="H297" t="str" cm="1">
        <f t="array" ref="H297">INDEX('GMW - worst case'!$A$2:$MC$200,MATCH(1,('GMW - worst case'!$MC$2:$MC$200=H$3)*('GMW - worst case'!$MB$2:$MB$200=H$4),0),$E297-1973)</f>
        <v>NA</v>
      </c>
      <c r="I297" t="str" cm="1">
        <f t="array" ref="I297">INDEX('GMW - worst case'!$A$2:$MC$200,MATCH(1,('GMW - worst case'!$MC$2:$MC$200=I$3)*('GMW - worst case'!$MB$2:$MB$200=I$4),0),$E297-1973)</f>
        <v>NA</v>
      </c>
      <c r="J297" t="e" cm="1">
        <f t="array" ref="J297">INDEX('GMW - worst case'!$A$2:$MC$200,MATCH(1,('GMW - worst case'!$MC$2:$MC$200=J$3)*('GMW - worst case'!$MB$2:$MB$200=J$4),0),$E297-1973)</f>
        <v>#N/A</v>
      </c>
      <c r="K297" t="e" cm="1">
        <f t="array" ref="K297">INDEX('GMW - worst case'!$A$2:$MC$200,MATCH(1,('GMW - worst case'!$MC$2:$MC$200=K$3)*('GMW - worst case'!$MB$2:$MB$200=K$4),0),$E297-1973)</f>
        <v>#N/A</v>
      </c>
      <c r="L297" t="e" cm="1">
        <f t="array" ref="L297">INDEX('GMW - worst case'!$A$2:$MC$200,MATCH(1,('GMW - worst case'!$MC$2:$MC$200=L$3)*('GMW - worst case'!$MB$2:$MB$200=L$4),0),$E297-1973)</f>
        <v>#N/A</v>
      </c>
      <c r="M297" t="e" cm="1">
        <f t="array" ref="M297">INDEX('GMW - worst case'!$A$2:$MC$200,MATCH(1,('GMW - worst case'!$MC$2:$MC$200=M$3)*('GMW - worst case'!$MB$2:$MB$200=M$4),0),$E297-1973)</f>
        <v>#N/A</v>
      </c>
      <c r="N297" t="e" cm="1">
        <f t="array" ref="N297">INDEX('GMW - worst case'!$A$2:$MC$200,MATCH(1,('GMW - worst case'!$MC$2:$MC$200=N$3)*('GMW - worst case'!$MB$2:$MB$200=N$4),0),$E297-1973)</f>
        <v>#N/A</v>
      </c>
      <c r="O297" t="e" cm="1">
        <f t="array" ref="O297">INDEX('GMW - worst case'!$A$2:$MC$200,MATCH(1,('GMW - worst case'!$MC$2:$MC$200=O$3)*('GMW - worst case'!$MB$2:$MB$200=O$4),0),$E297-1973)</f>
        <v>#N/A</v>
      </c>
      <c r="P297" t="e" cm="1">
        <f t="array" ref="P297">INDEX('GMW - worst case'!$A$2:$MC$200,MATCH(1,('GMW - worst case'!$MC$2:$MC$200=P$3)*('GMW - worst case'!$MB$2:$MB$200=P$4),0),$E297-1973)</f>
        <v>#N/A</v>
      </c>
      <c r="Q297" t="e" cm="1">
        <f t="array" ref="Q297">INDEX('GMW - worst case'!$A$2:$MC$200,MATCH(1,('GMW - worst case'!$MC$2:$MC$200=Q$3)*('GMW - worst case'!$MB$2:$MB$200=Q$4),0),$E297-1973)</f>
        <v>#N/A</v>
      </c>
      <c r="R297" t="e" cm="1">
        <f t="array" ref="R297">INDEX('GMW - worst case'!$A$2:$MC$200,MATCH(1,('GMW - worst case'!$MC$2:$MC$200=R$3)*('GMW - worst case'!$MB$2:$MB$200=R$4),0),$E297-1973)</f>
        <v>#N/A</v>
      </c>
      <c r="S297" t="e" cm="1">
        <f t="array" ref="S297">INDEX('GMW - worst case'!$A$2:$MC$200,MATCH(1,('GMW - worst case'!$MC$2:$MC$200=S$3)*('GMW - worst case'!$MB$2:$MB$200=S$4),0),$E297-1973)</f>
        <v>#N/A</v>
      </c>
    </row>
    <row r="298" spans="1:19" x14ac:dyDescent="0.25">
      <c r="B298">
        <f t="shared" si="23"/>
        <v>2052</v>
      </c>
      <c r="C298">
        <f t="shared" si="23"/>
        <v>2052</v>
      </c>
      <c r="E298">
        <f t="shared" si="21"/>
        <v>2271</v>
      </c>
      <c r="F298" t="str" cm="1">
        <f t="array" ref="F298">INDEX('GMW - worst case'!$A$2:$MC$200,MATCH(1,('GMW - worst case'!$MC$2:$MC$200=F$3)*('GMW - worst case'!$MB$2:$MB$200=F$4),0),$E298-1973)</f>
        <v>NA</v>
      </c>
      <c r="G298" t="str" cm="1">
        <f t="array" ref="G298">INDEX('GMW - worst case'!$A$2:$MC$200,MATCH(1,('GMW - worst case'!$MC$2:$MC$200=G$3)*('GMW - worst case'!$MB$2:$MB$200=G$4),0),$E298-1973)</f>
        <v>NA</v>
      </c>
      <c r="H298" t="str" cm="1">
        <f t="array" ref="H298">INDEX('GMW - worst case'!$A$2:$MC$200,MATCH(1,('GMW - worst case'!$MC$2:$MC$200=H$3)*('GMW - worst case'!$MB$2:$MB$200=H$4),0),$E298-1973)</f>
        <v>NA</v>
      </c>
      <c r="I298" t="str" cm="1">
        <f t="array" ref="I298">INDEX('GMW - worst case'!$A$2:$MC$200,MATCH(1,('GMW - worst case'!$MC$2:$MC$200=I$3)*('GMW - worst case'!$MB$2:$MB$200=I$4),0),$E298-1973)</f>
        <v>NA</v>
      </c>
      <c r="J298" t="e" cm="1">
        <f t="array" ref="J298">INDEX('GMW - worst case'!$A$2:$MC$200,MATCH(1,('GMW - worst case'!$MC$2:$MC$200=J$3)*('GMW - worst case'!$MB$2:$MB$200=J$4),0),$E298-1973)</f>
        <v>#N/A</v>
      </c>
      <c r="K298" t="e" cm="1">
        <f t="array" ref="K298">INDEX('GMW - worst case'!$A$2:$MC$200,MATCH(1,('GMW - worst case'!$MC$2:$MC$200=K$3)*('GMW - worst case'!$MB$2:$MB$200=K$4),0),$E298-1973)</f>
        <v>#N/A</v>
      </c>
      <c r="L298" t="e" cm="1">
        <f t="array" ref="L298">INDEX('GMW - worst case'!$A$2:$MC$200,MATCH(1,('GMW - worst case'!$MC$2:$MC$200=L$3)*('GMW - worst case'!$MB$2:$MB$200=L$4),0),$E298-1973)</f>
        <v>#N/A</v>
      </c>
      <c r="M298" t="e" cm="1">
        <f t="array" ref="M298">INDEX('GMW - worst case'!$A$2:$MC$200,MATCH(1,('GMW - worst case'!$MC$2:$MC$200=M$3)*('GMW - worst case'!$MB$2:$MB$200=M$4),0),$E298-1973)</f>
        <v>#N/A</v>
      </c>
      <c r="N298" t="e" cm="1">
        <f t="array" ref="N298">INDEX('GMW - worst case'!$A$2:$MC$200,MATCH(1,('GMW - worst case'!$MC$2:$MC$200=N$3)*('GMW - worst case'!$MB$2:$MB$200=N$4),0),$E298-1973)</f>
        <v>#N/A</v>
      </c>
      <c r="O298" t="e" cm="1">
        <f t="array" ref="O298">INDEX('GMW - worst case'!$A$2:$MC$200,MATCH(1,('GMW - worst case'!$MC$2:$MC$200=O$3)*('GMW - worst case'!$MB$2:$MB$200=O$4),0),$E298-1973)</f>
        <v>#N/A</v>
      </c>
      <c r="P298" t="e" cm="1">
        <f t="array" ref="P298">INDEX('GMW - worst case'!$A$2:$MC$200,MATCH(1,('GMW - worst case'!$MC$2:$MC$200=P$3)*('GMW - worst case'!$MB$2:$MB$200=P$4),0),$E298-1973)</f>
        <v>#N/A</v>
      </c>
      <c r="Q298" t="e" cm="1">
        <f t="array" ref="Q298">INDEX('GMW - worst case'!$A$2:$MC$200,MATCH(1,('GMW - worst case'!$MC$2:$MC$200=Q$3)*('GMW - worst case'!$MB$2:$MB$200=Q$4),0),$E298-1973)</f>
        <v>#N/A</v>
      </c>
      <c r="R298" t="e" cm="1">
        <f t="array" ref="R298">INDEX('GMW - worst case'!$A$2:$MC$200,MATCH(1,('GMW - worst case'!$MC$2:$MC$200=R$3)*('GMW - worst case'!$MB$2:$MB$200=R$4),0),$E298-1973)</f>
        <v>#N/A</v>
      </c>
      <c r="S298" t="e" cm="1">
        <f t="array" ref="S298">INDEX('GMW - worst case'!$A$2:$MC$200,MATCH(1,('GMW - worst case'!$MC$2:$MC$200=S$3)*('GMW - worst case'!$MB$2:$MB$200=S$4),0),$E298-1973)</f>
        <v>#N/A</v>
      </c>
    </row>
    <row r="299" spans="1:19" x14ac:dyDescent="0.25">
      <c r="A299">
        <v>2053</v>
      </c>
      <c r="B299">
        <f t="shared" si="23"/>
        <v>2053</v>
      </c>
      <c r="C299">
        <f t="shared" si="23"/>
        <v>2052</v>
      </c>
      <c r="D299">
        <f t="shared" si="23"/>
        <v>2052</v>
      </c>
      <c r="E299">
        <f t="shared" si="21"/>
        <v>2272</v>
      </c>
      <c r="F299" t="str" cm="1">
        <f t="array" ref="F299">INDEX('GMW - worst case'!$A$2:$MC$200,MATCH(1,('GMW - worst case'!$MC$2:$MC$200=F$3)*('GMW - worst case'!$MB$2:$MB$200=F$4),0),$E299-1973)</f>
        <v>NA</v>
      </c>
      <c r="G299" t="str" cm="1">
        <f t="array" ref="G299">INDEX('GMW - worst case'!$A$2:$MC$200,MATCH(1,('GMW - worst case'!$MC$2:$MC$200=G$3)*('GMW - worst case'!$MB$2:$MB$200=G$4),0),$E299-1973)</f>
        <v>NA</v>
      </c>
      <c r="H299" t="str" cm="1">
        <f t="array" ref="H299">INDEX('GMW - worst case'!$A$2:$MC$200,MATCH(1,('GMW - worst case'!$MC$2:$MC$200=H$3)*('GMW - worst case'!$MB$2:$MB$200=H$4),0),$E299-1973)</f>
        <v>NA</v>
      </c>
      <c r="I299" t="str" cm="1">
        <f t="array" ref="I299">INDEX('GMW - worst case'!$A$2:$MC$200,MATCH(1,('GMW - worst case'!$MC$2:$MC$200=I$3)*('GMW - worst case'!$MB$2:$MB$200=I$4),0),$E299-1973)</f>
        <v>NA</v>
      </c>
      <c r="J299" t="e" cm="1">
        <f t="array" ref="J299">INDEX('GMW - worst case'!$A$2:$MC$200,MATCH(1,('GMW - worst case'!$MC$2:$MC$200=J$3)*('GMW - worst case'!$MB$2:$MB$200=J$4),0),$E299-1973)</f>
        <v>#N/A</v>
      </c>
      <c r="K299" t="e" cm="1">
        <f t="array" ref="K299">INDEX('GMW - worst case'!$A$2:$MC$200,MATCH(1,('GMW - worst case'!$MC$2:$MC$200=K$3)*('GMW - worst case'!$MB$2:$MB$200=K$4),0),$E299-1973)</f>
        <v>#N/A</v>
      </c>
      <c r="L299" t="e" cm="1">
        <f t="array" ref="L299">INDEX('GMW - worst case'!$A$2:$MC$200,MATCH(1,('GMW - worst case'!$MC$2:$MC$200=L$3)*('GMW - worst case'!$MB$2:$MB$200=L$4),0),$E299-1973)</f>
        <v>#N/A</v>
      </c>
      <c r="M299" t="e" cm="1">
        <f t="array" ref="M299">INDEX('GMW - worst case'!$A$2:$MC$200,MATCH(1,('GMW - worst case'!$MC$2:$MC$200=M$3)*('GMW - worst case'!$MB$2:$MB$200=M$4),0),$E299-1973)</f>
        <v>#N/A</v>
      </c>
      <c r="N299" t="e" cm="1">
        <f t="array" ref="N299">INDEX('GMW - worst case'!$A$2:$MC$200,MATCH(1,('GMW - worst case'!$MC$2:$MC$200=N$3)*('GMW - worst case'!$MB$2:$MB$200=N$4),0),$E299-1973)</f>
        <v>#N/A</v>
      </c>
      <c r="O299" t="e" cm="1">
        <f t="array" ref="O299">INDEX('GMW - worst case'!$A$2:$MC$200,MATCH(1,('GMW - worst case'!$MC$2:$MC$200=O$3)*('GMW - worst case'!$MB$2:$MB$200=O$4),0),$E299-1973)</f>
        <v>#N/A</v>
      </c>
      <c r="P299" t="e" cm="1">
        <f t="array" ref="P299">INDEX('GMW - worst case'!$A$2:$MC$200,MATCH(1,('GMW - worst case'!$MC$2:$MC$200=P$3)*('GMW - worst case'!$MB$2:$MB$200=P$4),0),$E299-1973)</f>
        <v>#N/A</v>
      </c>
      <c r="Q299" t="e" cm="1">
        <f t="array" ref="Q299">INDEX('GMW - worst case'!$A$2:$MC$200,MATCH(1,('GMW - worst case'!$MC$2:$MC$200=Q$3)*('GMW - worst case'!$MB$2:$MB$200=Q$4),0),$E299-1973)</f>
        <v>#N/A</v>
      </c>
      <c r="R299" t="e" cm="1">
        <f t="array" ref="R299">INDEX('GMW - worst case'!$A$2:$MC$200,MATCH(1,('GMW - worst case'!$MC$2:$MC$200=R$3)*('GMW - worst case'!$MB$2:$MB$200=R$4),0),$E299-1973)</f>
        <v>#N/A</v>
      </c>
      <c r="S299" t="e" cm="1">
        <f t="array" ref="S299">INDEX('GMW - worst case'!$A$2:$MC$200,MATCH(1,('GMW - worst case'!$MC$2:$MC$200=S$3)*('GMW - worst case'!$MB$2:$MB$200=S$4),0),$E299-1973)</f>
        <v>#N/A</v>
      </c>
    </row>
    <row r="300" spans="1:19" x14ac:dyDescent="0.25">
      <c r="B300">
        <f t="shared" ref="B300:D315" si="24">+B296+1</f>
        <v>2053</v>
      </c>
      <c r="C300">
        <f t="shared" si="24"/>
        <v>2053</v>
      </c>
      <c r="E300">
        <f t="shared" si="21"/>
        <v>2273</v>
      </c>
      <c r="F300" t="str" cm="1">
        <f t="array" ref="F300">INDEX('GMW - worst case'!$A$2:$MC$200,MATCH(1,('GMW - worst case'!$MC$2:$MC$200=F$3)*('GMW - worst case'!$MB$2:$MB$200=F$4),0),$E300-1973)</f>
        <v>NA</v>
      </c>
      <c r="G300" t="str" cm="1">
        <f t="array" ref="G300">INDEX('GMW - worst case'!$A$2:$MC$200,MATCH(1,('GMW - worst case'!$MC$2:$MC$200=G$3)*('GMW - worst case'!$MB$2:$MB$200=G$4),0),$E300-1973)</f>
        <v>NA</v>
      </c>
      <c r="H300" t="str" cm="1">
        <f t="array" ref="H300">INDEX('GMW - worst case'!$A$2:$MC$200,MATCH(1,('GMW - worst case'!$MC$2:$MC$200=H$3)*('GMW - worst case'!$MB$2:$MB$200=H$4),0),$E300-1973)</f>
        <v>NA</v>
      </c>
      <c r="I300" t="str" cm="1">
        <f t="array" ref="I300">INDEX('GMW - worst case'!$A$2:$MC$200,MATCH(1,('GMW - worst case'!$MC$2:$MC$200=I$3)*('GMW - worst case'!$MB$2:$MB$200=I$4),0),$E300-1973)</f>
        <v>NA</v>
      </c>
      <c r="J300" t="e" cm="1">
        <f t="array" ref="J300">INDEX('GMW - worst case'!$A$2:$MC$200,MATCH(1,('GMW - worst case'!$MC$2:$MC$200=J$3)*('GMW - worst case'!$MB$2:$MB$200=J$4),0),$E300-1973)</f>
        <v>#N/A</v>
      </c>
      <c r="K300" t="e" cm="1">
        <f t="array" ref="K300">INDEX('GMW - worst case'!$A$2:$MC$200,MATCH(1,('GMW - worst case'!$MC$2:$MC$200=K$3)*('GMW - worst case'!$MB$2:$MB$200=K$4),0),$E300-1973)</f>
        <v>#N/A</v>
      </c>
      <c r="L300" t="e" cm="1">
        <f t="array" ref="L300">INDEX('GMW - worst case'!$A$2:$MC$200,MATCH(1,('GMW - worst case'!$MC$2:$MC$200=L$3)*('GMW - worst case'!$MB$2:$MB$200=L$4),0),$E300-1973)</f>
        <v>#N/A</v>
      </c>
      <c r="M300" t="e" cm="1">
        <f t="array" ref="M300">INDEX('GMW - worst case'!$A$2:$MC$200,MATCH(1,('GMW - worst case'!$MC$2:$MC$200=M$3)*('GMW - worst case'!$MB$2:$MB$200=M$4),0),$E300-1973)</f>
        <v>#N/A</v>
      </c>
      <c r="N300" t="e" cm="1">
        <f t="array" ref="N300">INDEX('GMW - worst case'!$A$2:$MC$200,MATCH(1,('GMW - worst case'!$MC$2:$MC$200=N$3)*('GMW - worst case'!$MB$2:$MB$200=N$4),0),$E300-1973)</f>
        <v>#N/A</v>
      </c>
      <c r="O300" t="e" cm="1">
        <f t="array" ref="O300">INDEX('GMW - worst case'!$A$2:$MC$200,MATCH(1,('GMW - worst case'!$MC$2:$MC$200=O$3)*('GMW - worst case'!$MB$2:$MB$200=O$4),0),$E300-1973)</f>
        <v>#N/A</v>
      </c>
      <c r="P300" t="e" cm="1">
        <f t="array" ref="P300">INDEX('GMW - worst case'!$A$2:$MC$200,MATCH(1,('GMW - worst case'!$MC$2:$MC$200=P$3)*('GMW - worst case'!$MB$2:$MB$200=P$4),0),$E300-1973)</f>
        <v>#N/A</v>
      </c>
      <c r="Q300" t="e" cm="1">
        <f t="array" ref="Q300">INDEX('GMW - worst case'!$A$2:$MC$200,MATCH(1,('GMW - worst case'!$MC$2:$MC$200=Q$3)*('GMW - worst case'!$MB$2:$MB$200=Q$4),0),$E300-1973)</f>
        <v>#N/A</v>
      </c>
      <c r="R300" t="e" cm="1">
        <f t="array" ref="R300">INDEX('GMW - worst case'!$A$2:$MC$200,MATCH(1,('GMW - worst case'!$MC$2:$MC$200=R$3)*('GMW - worst case'!$MB$2:$MB$200=R$4),0),$E300-1973)</f>
        <v>#N/A</v>
      </c>
      <c r="S300" t="e" cm="1">
        <f t="array" ref="S300">INDEX('GMW - worst case'!$A$2:$MC$200,MATCH(1,('GMW - worst case'!$MC$2:$MC$200=S$3)*('GMW - worst case'!$MB$2:$MB$200=S$4),0),$E300-1973)</f>
        <v>#N/A</v>
      </c>
    </row>
    <row r="301" spans="1:19" x14ac:dyDescent="0.25">
      <c r="B301">
        <f t="shared" si="24"/>
        <v>2053</v>
      </c>
      <c r="C301">
        <f t="shared" si="24"/>
        <v>2053</v>
      </c>
      <c r="E301">
        <f t="shared" si="21"/>
        <v>2274</v>
      </c>
      <c r="F301" t="str" cm="1">
        <f t="array" ref="F301">INDEX('GMW - worst case'!$A$2:$MC$200,MATCH(1,('GMW - worst case'!$MC$2:$MC$200=F$3)*('GMW - worst case'!$MB$2:$MB$200=F$4),0),$E301-1973)</f>
        <v>NA</v>
      </c>
      <c r="G301" t="str" cm="1">
        <f t="array" ref="G301">INDEX('GMW - worst case'!$A$2:$MC$200,MATCH(1,('GMW - worst case'!$MC$2:$MC$200=G$3)*('GMW - worst case'!$MB$2:$MB$200=G$4),0),$E301-1973)</f>
        <v>NA</v>
      </c>
      <c r="H301" t="str" cm="1">
        <f t="array" ref="H301">INDEX('GMW - worst case'!$A$2:$MC$200,MATCH(1,('GMW - worst case'!$MC$2:$MC$200=H$3)*('GMW - worst case'!$MB$2:$MB$200=H$4),0),$E301-1973)</f>
        <v>NA</v>
      </c>
      <c r="I301" t="str" cm="1">
        <f t="array" ref="I301">INDEX('GMW - worst case'!$A$2:$MC$200,MATCH(1,('GMW - worst case'!$MC$2:$MC$200=I$3)*('GMW - worst case'!$MB$2:$MB$200=I$4),0),$E301-1973)</f>
        <v>NA</v>
      </c>
      <c r="J301" t="e" cm="1">
        <f t="array" ref="J301">INDEX('GMW - worst case'!$A$2:$MC$200,MATCH(1,('GMW - worst case'!$MC$2:$MC$200=J$3)*('GMW - worst case'!$MB$2:$MB$200=J$4),0),$E301-1973)</f>
        <v>#N/A</v>
      </c>
      <c r="K301" t="e" cm="1">
        <f t="array" ref="K301">INDEX('GMW - worst case'!$A$2:$MC$200,MATCH(1,('GMW - worst case'!$MC$2:$MC$200=K$3)*('GMW - worst case'!$MB$2:$MB$200=K$4),0),$E301-1973)</f>
        <v>#N/A</v>
      </c>
      <c r="L301" t="e" cm="1">
        <f t="array" ref="L301">INDEX('GMW - worst case'!$A$2:$MC$200,MATCH(1,('GMW - worst case'!$MC$2:$MC$200=L$3)*('GMW - worst case'!$MB$2:$MB$200=L$4),0),$E301-1973)</f>
        <v>#N/A</v>
      </c>
      <c r="M301" t="e" cm="1">
        <f t="array" ref="M301">INDEX('GMW - worst case'!$A$2:$MC$200,MATCH(1,('GMW - worst case'!$MC$2:$MC$200=M$3)*('GMW - worst case'!$MB$2:$MB$200=M$4),0),$E301-1973)</f>
        <v>#N/A</v>
      </c>
      <c r="N301" t="e" cm="1">
        <f t="array" ref="N301">INDEX('GMW - worst case'!$A$2:$MC$200,MATCH(1,('GMW - worst case'!$MC$2:$MC$200=N$3)*('GMW - worst case'!$MB$2:$MB$200=N$4),0),$E301-1973)</f>
        <v>#N/A</v>
      </c>
      <c r="O301" t="e" cm="1">
        <f t="array" ref="O301">INDEX('GMW - worst case'!$A$2:$MC$200,MATCH(1,('GMW - worst case'!$MC$2:$MC$200=O$3)*('GMW - worst case'!$MB$2:$MB$200=O$4),0),$E301-1973)</f>
        <v>#N/A</v>
      </c>
      <c r="P301" t="e" cm="1">
        <f t="array" ref="P301">INDEX('GMW - worst case'!$A$2:$MC$200,MATCH(1,('GMW - worst case'!$MC$2:$MC$200=P$3)*('GMW - worst case'!$MB$2:$MB$200=P$4),0),$E301-1973)</f>
        <v>#N/A</v>
      </c>
      <c r="Q301" t="e" cm="1">
        <f t="array" ref="Q301">INDEX('GMW - worst case'!$A$2:$MC$200,MATCH(1,('GMW - worst case'!$MC$2:$MC$200=Q$3)*('GMW - worst case'!$MB$2:$MB$200=Q$4),0),$E301-1973)</f>
        <v>#N/A</v>
      </c>
      <c r="R301" t="e" cm="1">
        <f t="array" ref="R301">INDEX('GMW - worst case'!$A$2:$MC$200,MATCH(1,('GMW - worst case'!$MC$2:$MC$200=R$3)*('GMW - worst case'!$MB$2:$MB$200=R$4),0),$E301-1973)</f>
        <v>#N/A</v>
      </c>
      <c r="S301" t="e" cm="1">
        <f t="array" ref="S301">INDEX('GMW - worst case'!$A$2:$MC$200,MATCH(1,('GMW - worst case'!$MC$2:$MC$200=S$3)*('GMW - worst case'!$MB$2:$MB$200=S$4),0),$E301-1973)</f>
        <v>#N/A</v>
      </c>
    </row>
    <row r="302" spans="1:19" x14ac:dyDescent="0.25">
      <c r="B302">
        <f t="shared" si="24"/>
        <v>2053</v>
      </c>
      <c r="C302">
        <f t="shared" si="24"/>
        <v>2053</v>
      </c>
      <c r="E302">
        <f t="shared" si="21"/>
        <v>2275</v>
      </c>
      <c r="F302" t="str" cm="1">
        <f t="array" ref="F302">INDEX('GMW - worst case'!$A$2:$MC$200,MATCH(1,('GMW - worst case'!$MC$2:$MC$200=F$3)*('GMW - worst case'!$MB$2:$MB$200=F$4),0),$E302-1973)</f>
        <v>NA</v>
      </c>
      <c r="G302" t="str" cm="1">
        <f t="array" ref="G302">INDEX('GMW - worst case'!$A$2:$MC$200,MATCH(1,('GMW - worst case'!$MC$2:$MC$200=G$3)*('GMW - worst case'!$MB$2:$MB$200=G$4),0),$E302-1973)</f>
        <v>NA</v>
      </c>
      <c r="H302" t="str" cm="1">
        <f t="array" ref="H302">INDEX('GMW - worst case'!$A$2:$MC$200,MATCH(1,('GMW - worst case'!$MC$2:$MC$200=H$3)*('GMW - worst case'!$MB$2:$MB$200=H$4),0),$E302-1973)</f>
        <v>NA</v>
      </c>
      <c r="I302" t="str" cm="1">
        <f t="array" ref="I302">INDEX('GMW - worst case'!$A$2:$MC$200,MATCH(1,('GMW - worst case'!$MC$2:$MC$200=I$3)*('GMW - worst case'!$MB$2:$MB$200=I$4),0),$E302-1973)</f>
        <v>NA</v>
      </c>
      <c r="J302" t="e" cm="1">
        <f t="array" ref="J302">INDEX('GMW - worst case'!$A$2:$MC$200,MATCH(1,('GMW - worst case'!$MC$2:$MC$200=J$3)*('GMW - worst case'!$MB$2:$MB$200=J$4),0),$E302-1973)</f>
        <v>#N/A</v>
      </c>
      <c r="K302" t="e" cm="1">
        <f t="array" ref="K302">INDEX('GMW - worst case'!$A$2:$MC$200,MATCH(1,('GMW - worst case'!$MC$2:$MC$200=K$3)*('GMW - worst case'!$MB$2:$MB$200=K$4),0),$E302-1973)</f>
        <v>#N/A</v>
      </c>
      <c r="L302" t="e" cm="1">
        <f t="array" ref="L302">INDEX('GMW - worst case'!$A$2:$MC$200,MATCH(1,('GMW - worst case'!$MC$2:$MC$200=L$3)*('GMW - worst case'!$MB$2:$MB$200=L$4),0),$E302-1973)</f>
        <v>#N/A</v>
      </c>
      <c r="M302" t="e" cm="1">
        <f t="array" ref="M302">INDEX('GMW - worst case'!$A$2:$MC$200,MATCH(1,('GMW - worst case'!$MC$2:$MC$200=M$3)*('GMW - worst case'!$MB$2:$MB$200=M$4),0),$E302-1973)</f>
        <v>#N/A</v>
      </c>
      <c r="N302" t="e" cm="1">
        <f t="array" ref="N302">INDEX('GMW - worst case'!$A$2:$MC$200,MATCH(1,('GMW - worst case'!$MC$2:$MC$200=N$3)*('GMW - worst case'!$MB$2:$MB$200=N$4),0),$E302-1973)</f>
        <v>#N/A</v>
      </c>
      <c r="O302" t="e" cm="1">
        <f t="array" ref="O302">INDEX('GMW - worst case'!$A$2:$MC$200,MATCH(1,('GMW - worst case'!$MC$2:$MC$200=O$3)*('GMW - worst case'!$MB$2:$MB$200=O$4),0),$E302-1973)</f>
        <v>#N/A</v>
      </c>
      <c r="P302" t="e" cm="1">
        <f t="array" ref="P302">INDEX('GMW - worst case'!$A$2:$MC$200,MATCH(1,('GMW - worst case'!$MC$2:$MC$200=P$3)*('GMW - worst case'!$MB$2:$MB$200=P$4),0),$E302-1973)</f>
        <v>#N/A</v>
      </c>
      <c r="Q302" t="e" cm="1">
        <f t="array" ref="Q302">INDEX('GMW - worst case'!$A$2:$MC$200,MATCH(1,('GMW - worst case'!$MC$2:$MC$200=Q$3)*('GMW - worst case'!$MB$2:$MB$200=Q$4),0),$E302-1973)</f>
        <v>#N/A</v>
      </c>
      <c r="R302" t="e" cm="1">
        <f t="array" ref="R302">INDEX('GMW - worst case'!$A$2:$MC$200,MATCH(1,('GMW - worst case'!$MC$2:$MC$200=R$3)*('GMW - worst case'!$MB$2:$MB$200=R$4),0),$E302-1973)</f>
        <v>#N/A</v>
      </c>
      <c r="S302" t="e" cm="1">
        <f t="array" ref="S302">INDEX('GMW - worst case'!$A$2:$MC$200,MATCH(1,('GMW - worst case'!$MC$2:$MC$200=S$3)*('GMW - worst case'!$MB$2:$MB$200=S$4),0),$E302-1973)</f>
        <v>#N/A</v>
      </c>
    </row>
    <row r="303" spans="1:19" x14ac:dyDescent="0.25">
      <c r="A303">
        <v>2054</v>
      </c>
      <c r="B303">
        <f t="shared" si="24"/>
        <v>2054</v>
      </c>
      <c r="C303">
        <f t="shared" si="24"/>
        <v>2053</v>
      </c>
      <c r="D303">
        <f t="shared" si="24"/>
        <v>2053</v>
      </c>
      <c r="E303">
        <f t="shared" si="21"/>
        <v>2276</v>
      </c>
      <c r="F303" t="str" cm="1">
        <f t="array" ref="F303">INDEX('GMW - worst case'!$A$2:$MC$200,MATCH(1,('GMW - worst case'!$MC$2:$MC$200=F$3)*('GMW - worst case'!$MB$2:$MB$200=F$4),0),$E303-1973)</f>
        <v>NA</v>
      </c>
      <c r="G303" t="str" cm="1">
        <f t="array" ref="G303">INDEX('GMW - worst case'!$A$2:$MC$200,MATCH(1,('GMW - worst case'!$MC$2:$MC$200=G$3)*('GMW - worst case'!$MB$2:$MB$200=G$4),0),$E303-1973)</f>
        <v>NA</v>
      </c>
      <c r="H303" t="str" cm="1">
        <f t="array" ref="H303">INDEX('GMW - worst case'!$A$2:$MC$200,MATCH(1,('GMW - worst case'!$MC$2:$MC$200=H$3)*('GMW - worst case'!$MB$2:$MB$200=H$4),0),$E303-1973)</f>
        <v>NA</v>
      </c>
      <c r="I303" t="str" cm="1">
        <f t="array" ref="I303">INDEX('GMW - worst case'!$A$2:$MC$200,MATCH(1,('GMW - worst case'!$MC$2:$MC$200=I$3)*('GMW - worst case'!$MB$2:$MB$200=I$4),0),$E303-1973)</f>
        <v>NA</v>
      </c>
      <c r="J303" t="e" cm="1">
        <f t="array" ref="J303">INDEX('GMW - worst case'!$A$2:$MC$200,MATCH(1,('GMW - worst case'!$MC$2:$MC$200=J$3)*('GMW - worst case'!$MB$2:$MB$200=J$4),0),$E303-1973)</f>
        <v>#N/A</v>
      </c>
      <c r="K303" t="e" cm="1">
        <f t="array" ref="K303">INDEX('GMW - worst case'!$A$2:$MC$200,MATCH(1,('GMW - worst case'!$MC$2:$MC$200=K$3)*('GMW - worst case'!$MB$2:$MB$200=K$4),0),$E303-1973)</f>
        <v>#N/A</v>
      </c>
      <c r="L303" t="e" cm="1">
        <f t="array" ref="L303">INDEX('GMW - worst case'!$A$2:$MC$200,MATCH(1,('GMW - worst case'!$MC$2:$MC$200=L$3)*('GMW - worst case'!$MB$2:$MB$200=L$4),0),$E303-1973)</f>
        <v>#N/A</v>
      </c>
      <c r="M303" t="e" cm="1">
        <f t="array" ref="M303">INDEX('GMW - worst case'!$A$2:$MC$200,MATCH(1,('GMW - worst case'!$MC$2:$MC$200=M$3)*('GMW - worst case'!$MB$2:$MB$200=M$4),0),$E303-1973)</f>
        <v>#N/A</v>
      </c>
      <c r="N303" t="e" cm="1">
        <f t="array" ref="N303">INDEX('GMW - worst case'!$A$2:$MC$200,MATCH(1,('GMW - worst case'!$MC$2:$MC$200=N$3)*('GMW - worst case'!$MB$2:$MB$200=N$4),0),$E303-1973)</f>
        <v>#N/A</v>
      </c>
      <c r="O303" t="e" cm="1">
        <f t="array" ref="O303">INDEX('GMW - worst case'!$A$2:$MC$200,MATCH(1,('GMW - worst case'!$MC$2:$MC$200=O$3)*('GMW - worst case'!$MB$2:$MB$200=O$4),0),$E303-1973)</f>
        <v>#N/A</v>
      </c>
      <c r="P303" t="e" cm="1">
        <f t="array" ref="P303">INDEX('GMW - worst case'!$A$2:$MC$200,MATCH(1,('GMW - worst case'!$MC$2:$MC$200=P$3)*('GMW - worst case'!$MB$2:$MB$200=P$4),0),$E303-1973)</f>
        <v>#N/A</v>
      </c>
      <c r="Q303" t="e" cm="1">
        <f t="array" ref="Q303">INDEX('GMW - worst case'!$A$2:$MC$200,MATCH(1,('GMW - worst case'!$MC$2:$MC$200=Q$3)*('GMW - worst case'!$MB$2:$MB$200=Q$4),0),$E303-1973)</f>
        <v>#N/A</v>
      </c>
      <c r="R303" t="e" cm="1">
        <f t="array" ref="R303">INDEX('GMW - worst case'!$A$2:$MC$200,MATCH(1,('GMW - worst case'!$MC$2:$MC$200=R$3)*('GMW - worst case'!$MB$2:$MB$200=R$4),0),$E303-1973)</f>
        <v>#N/A</v>
      </c>
      <c r="S303" t="e" cm="1">
        <f t="array" ref="S303">INDEX('GMW - worst case'!$A$2:$MC$200,MATCH(1,('GMW - worst case'!$MC$2:$MC$200=S$3)*('GMW - worst case'!$MB$2:$MB$200=S$4),0),$E303-1973)</f>
        <v>#N/A</v>
      </c>
    </row>
    <row r="304" spans="1:19" x14ac:dyDescent="0.25">
      <c r="B304">
        <f t="shared" si="24"/>
        <v>2054</v>
      </c>
      <c r="C304">
        <f t="shared" si="24"/>
        <v>2054</v>
      </c>
      <c r="E304">
        <f t="shared" si="21"/>
        <v>2277</v>
      </c>
      <c r="F304" t="str" cm="1">
        <f t="array" ref="F304">INDEX('GMW - worst case'!$A$2:$MC$200,MATCH(1,('GMW - worst case'!$MC$2:$MC$200=F$3)*('GMW - worst case'!$MB$2:$MB$200=F$4),0),$E304-1973)</f>
        <v>NA</v>
      </c>
      <c r="G304" t="str" cm="1">
        <f t="array" ref="G304">INDEX('GMW - worst case'!$A$2:$MC$200,MATCH(1,('GMW - worst case'!$MC$2:$MC$200=G$3)*('GMW - worst case'!$MB$2:$MB$200=G$4),0),$E304-1973)</f>
        <v>NA</v>
      </c>
      <c r="H304" t="str" cm="1">
        <f t="array" ref="H304">INDEX('GMW - worst case'!$A$2:$MC$200,MATCH(1,('GMW - worst case'!$MC$2:$MC$200=H$3)*('GMW - worst case'!$MB$2:$MB$200=H$4),0),$E304-1973)</f>
        <v>NA</v>
      </c>
      <c r="I304" t="str" cm="1">
        <f t="array" ref="I304">INDEX('GMW - worst case'!$A$2:$MC$200,MATCH(1,('GMW - worst case'!$MC$2:$MC$200=I$3)*('GMW - worst case'!$MB$2:$MB$200=I$4),0),$E304-1973)</f>
        <v>NA</v>
      </c>
      <c r="J304" t="e" cm="1">
        <f t="array" ref="J304">INDEX('GMW - worst case'!$A$2:$MC$200,MATCH(1,('GMW - worst case'!$MC$2:$MC$200=J$3)*('GMW - worst case'!$MB$2:$MB$200=J$4),0),$E304-1973)</f>
        <v>#N/A</v>
      </c>
      <c r="K304" t="e" cm="1">
        <f t="array" ref="K304">INDEX('GMW - worst case'!$A$2:$MC$200,MATCH(1,('GMW - worst case'!$MC$2:$MC$200=K$3)*('GMW - worst case'!$MB$2:$MB$200=K$4),0),$E304-1973)</f>
        <v>#N/A</v>
      </c>
      <c r="L304" t="e" cm="1">
        <f t="array" ref="L304">INDEX('GMW - worst case'!$A$2:$MC$200,MATCH(1,('GMW - worst case'!$MC$2:$MC$200=L$3)*('GMW - worst case'!$MB$2:$MB$200=L$4),0),$E304-1973)</f>
        <v>#N/A</v>
      </c>
      <c r="M304" t="e" cm="1">
        <f t="array" ref="M304">INDEX('GMW - worst case'!$A$2:$MC$200,MATCH(1,('GMW - worst case'!$MC$2:$MC$200=M$3)*('GMW - worst case'!$MB$2:$MB$200=M$4),0),$E304-1973)</f>
        <v>#N/A</v>
      </c>
      <c r="N304" t="e" cm="1">
        <f t="array" ref="N304">INDEX('GMW - worst case'!$A$2:$MC$200,MATCH(1,('GMW - worst case'!$MC$2:$MC$200=N$3)*('GMW - worst case'!$MB$2:$MB$200=N$4),0),$E304-1973)</f>
        <v>#N/A</v>
      </c>
      <c r="O304" t="e" cm="1">
        <f t="array" ref="O304">INDEX('GMW - worst case'!$A$2:$MC$200,MATCH(1,('GMW - worst case'!$MC$2:$MC$200=O$3)*('GMW - worst case'!$MB$2:$MB$200=O$4),0),$E304-1973)</f>
        <v>#N/A</v>
      </c>
      <c r="P304" t="e" cm="1">
        <f t="array" ref="P304">INDEX('GMW - worst case'!$A$2:$MC$200,MATCH(1,('GMW - worst case'!$MC$2:$MC$200=P$3)*('GMW - worst case'!$MB$2:$MB$200=P$4),0),$E304-1973)</f>
        <v>#N/A</v>
      </c>
      <c r="Q304" t="e" cm="1">
        <f t="array" ref="Q304">INDEX('GMW - worst case'!$A$2:$MC$200,MATCH(1,('GMW - worst case'!$MC$2:$MC$200=Q$3)*('GMW - worst case'!$MB$2:$MB$200=Q$4),0),$E304-1973)</f>
        <v>#N/A</v>
      </c>
      <c r="R304" t="e" cm="1">
        <f t="array" ref="R304">INDEX('GMW - worst case'!$A$2:$MC$200,MATCH(1,('GMW - worst case'!$MC$2:$MC$200=R$3)*('GMW - worst case'!$MB$2:$MB$200=R$4),0),$E304-1973)</f>
        <v>#N/A</v>
      </c>
      <c r="S304" t="e" cm="1">
        <f t="array" ref="S304">INDEX('GMW - worst case'!$A$2:$MC$200,MATCH(1,('GMW - worst case'!$MC$2:$MC$200=S$3)*('GMW - worst case'!$MB$2:$MB$200=S$4),0),$E304-1973)</f>
        <v>#N/A</v>
      </c>
    </row>
    <row r="305" spans="1:19" x14ac:dyDescent="0.25">
      <c r="B305">
        <f t="shared" si="24"/>
        <v>2054</v>
      </c>
      <c r="C305">
        <f t="shared" si="24"/>
        <v>2054</v>
      </c>
      <c r="E305">
        <f t="shared" si="21"/>
        <v>2278</v>
      </c>
      <c r="F305" t="str" cm="1">
        <f t="array" ref="F305">INDEX('GMW - worst case'!$A$2:$MC$200,MATCH(1,('GMW - worst case'!$MC$2:$MC$200=F$3)*('GMW - worst case'!$MB$2:$MB$200=F$4),0),$E305-1973)</f>
        <v>NA</v>
      </c>
      <c r="G305" t="str" cm="1">
        <f t="array" ref="G305">INDEX('GMW - worst case'!$A$2:$MC$200,MATCH(1,('GMW - worst case'!$MC$2:$MC$200=G$3)*('GMW - worst case'!$MB$2:$MB$200=G$4),0),$E305-1973)</f>
        <v>NA</v>
      </c>
      <c r="H305" t="str" cm="1">
        <f t="array" ref="H305">INDEX('GMW - worst case'!$A$2:$MC$200,MATCH(1,('GMW - worst case'!$MC$2:$MC$200=H$3)*('GMW - worst case'!$MB$2:$MB$200=H$4),0),$E305-1973)</f>
        <v>NA</v>
      </c>
      <c r="I305" t="str" cm="1">
        <f t="array" ref="I305">INDEX('GMW - worst case'!$A$2:$MC$200,MATCH(1,('GMW - worst case'!$MC$2:$MC$200=I$3)*('GMW - worst case'!$MB$2:$MB$200=I$4),0),$E305-1973)</f>
        <v>NA</v>
      </c>
      <c r="J305" t="e" cm="1">
        <f t="array" ref="J305">INDEX('GMW - worst case'!$A$2:$MC$200,MATCH(1,('GMW - worst case'!$MC$2:$MC$200=J$3)*('GMW - worst case'!$MB$2:$MB$200=J$4),0),$E305-1973)</f>
        <v>#N/A</v>
      </c>
      <c r="K305" t="e" cm="1">
        <f t="array" ref="K305">INDEX('GMW - worst case'!$A$2:$MC$200,MATCH(1,('GMW - worst case'!$MC$2:$MC$200=K$3)*('GMW - worst case'!$MB$2:$MB$200=K$4),0),$E305-1973)</f>
        <v>#N/A</v>
      </c>
      <c r="L305" t="e" cm="1">
        <f t="array" ref="L305">INDEX('GMW - worst case'!$A$2:$MC$200,MATCH(1,('GMW - worst case'!$MC$2:$MC$200=L$3)*('GMW - worst case'!$MB$2:$MB$200=L$4),0),$E305-1973)</f>
        <v>#N/A</v>
      </c>
      <c r="M305" t="e" cm="1">
        <f t="array" ref="M305">INDEX('GMW - worst case'!$A$2:$MC$200,MATCH(1,('GMW - worst case'!$MC$2:$MC$200=M$3)*('GMW - worst case'!$MB$2:$MB$200=M$4),0),$E305-1973)</f>
        <v>#N/A</v>
      </c>
      <c r="N305" t="e" cm="1">
        <f t="array" ref="N305">INDEX('GMW - worst case'!$A$2:$MC$200,MATCH(1,('GMW - worst case'!$MC$2:$MC$200=N$3)*('GMW - worst case'!$MB$2:$MB$200=N$4),0),$E305-1973)</f>
        <v>#N/A</v>
      </c>
      <c r="O305" t="e" cm="1">
        <f t="array" ref="O305">INDEX('GMW - worst case'!$A$2:$MC$200,MATCH(1,('GMW - worst case'!$MC$2:$MC$200=O$3)*('GMW - worst case'!$MB$2:$MB$200=O$4),0),$E305-1973)</f>
        <v>#N/A</v>
      </c>
      <c r="P305" t="e" cm="1">
        <f t="array" ref="P305">INDEX('GMW - worst case'!$A$2:$MC$200,MATCH(1,('GMW - worst case'!$MC$2:$MC$200=P$3)*('GMW - worst case'!$MB$2:$MB$200=P$4),0),$E305-1973)</f>
        <v>#N/A</v>
      </c>
      <c r="Q305" t="e" cm="1">
        <f t="array" ref="Q305">INDEX('GMW - worst case'!$A$2:$MC$200,MATCH(1,('GMW - worst case'!$MC$2:$MC$200=Q$3)*('GMW - worst case'!$MB$2:$MB$200=Q$4),0),$E305-1973)</f>
        <v>#N/A</v>
      </c>
      <c r="R305" t="e" cm="1">
        <f t="array" ref="R305">INDEX('GMW - worst case'!$A$2:$MC$200,MATCH(1,('GMW - worst case'!$MC$2:$MC$200=R$3)*('GMW - worst case'!$MB$2:$MB$200=R$4),0),$E305-1973)</f>
        <v>#N/A</v>
      </c>
      <c r="S305" t="e" cm="1">
        <f t="array" ref="S305">INDEX('GMW - worst case'!$A$2:$MC$200,MATCH(1,('GMW - worst case'!$MC$2:$MC$200=S$3)*('GMW - worst case'!$MB$2:$MB$200=S$4),0),$E305-1973)</f>
        <v>#N/A</v>
      </c>
    </row>
    <row r="306" spans="1:19" x14ac:dyDescent="0.25">
      <c r="B306">
        <f t="shared" si="24"/>
        <v>2054</v>
      </c>
      <c r="C306">
        <f t="shared" si="24"/>
        <v>2054</v>
      </c>
      <c r="E306">
        <f t="shared" si="21"/>
        <v>2279</v>
      </c>
      <c r="F306" t="str" cm="1">
        <f t="array" ref="F306">INDEX('GMW - worst case'!$A$2:$MC$200,MATCH(1,('GMW - worst case'!$MC$2:$MC$200=F$3)*('GMW - worst case'!$MB$2:$MB$200=F$4),0),$E306-1973)</f>
        <v>NA</v>
      </c>
      <c r="G306" t="str" cm="1">
        <f t="array" ref="G306">INDEX('GMW - worst case'!$A$2:$MC$200,MATCH(1,('GMW - worst case'!$MC$2:$MC$200=G$3)*('GMW - worst case'!$MB$2:$MB$200=G$4),0),$E306-1973)</f>
        <v>NA</v>
      </c>
      <c r="H306" t="str" cm="1">
        <f t="array" ref="H306">INDEX('GMW - worst case'!$A$2:$MC$200,MATCH(1,('GMW - worst case'!$MC$2:$MC$200=H$3)*('GMW - worst case'!$MB$2:$MB$200=H$4),0),$E306-1973)</f>
        <v>NA</v>
      </c>
      <c r="I306" t="str" cm="1">
        <f t="array" ref="I306">INDEX('GMW - worst case'!$A$2:$MC$200,MATCH(1,('GMW - worst case'!$MC$2:$MC$200=I$3)*('GMW - worst case'!$MB$2:$MB$200=I$4),0),$E306-1973)</f>
        <v>NA</v>
      </c>
      <c r="J306" t="e" cm="1">
        <f t="array" ref="J306">INDEX('GMW - worst case'!$A$2:$MC$200,MATCH(1,('GMW - worst case'!$MC$2:$MC$200=J$3)*('GMW - worst case'!$MB$2:$MB$200=J$4),0),$E306-1973)</f>
        <v>#N/A</v>
      </c>
      <c r="K306" t="e" cm="1">
        <f t="array" ref="K306">INDEX('GMW - worst case'!$A$2:$MC$200,MATCH(1,('GMW - worst case'!$MC$2:$MC$200=K$3)*('GMW - worst case'!$MB$2:$MB$200=K$4),0),$E306-1973)</f>
        <v>#N/A</v>
      </c>
      <c r="L306" t="e" cm="1">
        <f t="array" ref="L306">INDEX('GMW - worst case'!$A$2:$MC$200,MATCH(1,('GMW - worst case'!$MC$2:$MC$200=L$3)*('GMW - worst case'!$MB$2:$MB$200=L$4),0),$E306-1973)</f>
        <v>#N/A</v>
      </c>
      <c r="M306" t="e" cm="1">
        <f t="array" ref="M306">INDEX('GMW - worst case'!$A$2:$MC$200,MATCH(1,('GMW - worst case'!$MC$2:$MC$200=M$3)*('GMW - worst case'!$MB$2:$MB$200=M$4),0),$E306-1973)</f>
        <v>#N/A</v>
      </c>
      <c r="N306" t="e" cm="1">
        <f t="array" ref="N306">INDEX('GMW - worst case'!$A$2:$MC$200,MATCH(1,('GMW - worst case'!$MC$2:$MC$200=N$3)*('GMW - worst case'!$MB$2:$MB$200=N$4),0),$E306-1973)</f>
        <v>#N/A</v>
      </c>
      <c r="O306" t="e" cm="1">
        <f t="array" ref="O306">INDEX('GMW - worst case'!$A$2:$MC$200,MATCH(1,('GMW - worst case'!$MC$2:$MC$200=O$3)*('GMW - worst case'!$MB$2:$MB$200=O$4),0),$E306-1973)</f>
        <v>#N/A</v>
      </c>
      <c r="P306" t="e" cm="1">
        <f t="array" ref="P306">INDEX('GMW - worst case'!$A$2:$MC$200,MATCH(1,('GMW - worst case'!$MC$2:$MC$200=P$3)*('GMW - worst case'!$MB$2:$MB$200=P$4),0),$E306-1973)</f>
        <v>#N/A</v>
      </c>
      <c r="Q306" t="e" cm="1">
        <f t="array" ref="Q306">INDEX('GMW - worst case'!$A$2:$MC$200,MATCH(1,('GMW - worst case'!$MC$2:$MC$200=Q$3)*('GMW - worst case'!$MB$2:$MB$200=Q$4),0),$E306-1973)</f>
        <v>#N/A</v>
      </c>
      <c r="R306" t="e" cm="1">
        <f t="array" ref="R306">INDEX('GMW - worst case'!$A$2:$MC$200,MATCH(1,('GMW - worst case'!$MC$2:$MC$200=R$3)*('GMW - worst case'!$MB$2:$MB$200=R$4),0),$E306-1973)</f>
        <v>#N/A</v>
      </c>
      <c r="S306" t="e" cm="1">
        <f t="array" ref="S306">INDEX('GMW - worst case'!$A$2:$MC$200,MATCH(1,('GMW - worst case'!$MC$2:$MC$200=S$3)*('GMW - worst case'!$MB$2:$MB$200=S$4),0),$E306-1973)</f>
        <v>#N/A</v>
      </c>
    </row>
    <row r="307" spans="1:19" x14ac:dyDescent="0.25">
      <c r="A307">
        <v>2055</v>
      </c>
      <c r="B307">
        <f t="shared" si="24"/>
        <v>2055</v>
      </c>
      <c r="C307">
        <f t="shared" si="24"/>
        <v>2054</v>
      </c>
      <c r="D307">
        <f t="shared" si="24"/>
        <v>2054</v>
      </c>
      <c r="E307">
        <f t="shared" si="21"/>
        <v>2280</v>
      </c>
      <c r="F307" t="str" cm="1">
        <f t="array" ref="F307">INDEX('GMW - worst case'!$A$2:$MC$200,MATCH(1,('GMW - worst case'!$MC$2:$MC$200=F$3)*('GMW - worst case'!$MB$2:$MB$200=F$4),0),$E307-1973)</f>
        <v>NA</v>
      </c>
      <c r="G307" t="str" cm="1">
        <f t="array" ref="G307">INDEX('GMW - worst case'!$A$2:$MC$200,MATCH(1,('GMW - worst case'!$MC$2:$MC$200=G$3)*('GMW - worst case'!$MB$2:$MB$200=G$4),0),$E307-1973)</f>
        <v>NA</v>
      </c>
      <c r="H307" t="str" cm="1">
        <f t="array" ref="H307">INDEX('GMW - worst case'!$A$2:$MC$200,MATCH(1,('GMW - worst case'!$MC$2:$MC$200=H$3)*('GMW - worst case'!$MB$2:$MB$200=H$4),0),$E307-1973)</f>
        <v>NA</v>
      </c>
      <c r="I307" t="str" cm="1">
        <f t="array" ref="I307">INDEX('GMW - worst case'!$A$2:$MC$200,MATCH(1,('GMW - worst case'!$MC$2:$MC$200=I$3)*('GMW - worst case'!$MB$2:$MB$200=I$4),0),$E307-1973)</f>
        <v>NA</v>
      </c>
      <c r="J307" t="e" cm="1">
        <f t="array" ref="J307">INDEX('GMW - worst case'!$A$2:$MC$200,MATCH(1,('GMW - worst case'!$MC$2:$MC$200=J$3)*('GMW - worst case'!$MB$2:$MB$200=J$4),0),$E307-1973)</f>
        <v>#N/A</v>
      </c>
      <c r="K307" t="e" cm="1">
        <f t="array" ref="K307">INDEX('GMW - worst case'!$A$2:$MC$200,MATCH(1,('GMW - worst case'!$MC$2:$MC$200=K$3)*('GMW - worst case'!$MB$2:$MB$200=K$4),0),$E307-1973)</f>
        <v>#N/A</v>
      </c>
      <c r="L307" t="e" cm="1">
        <f t="array" ref="L307">INDEX('GMW - worst case'!$A$2:$MC$200,MATCH(1,('GMW - worst case'!$MC$2:$MC$200=L$3)*('GMW - worst case'!$MB$2:$MB$200=L$4),0),$E307-1973)</f>
        <v>#N/A</v>
      </c>
      <c r="M307" t="e" cm="1">
        <f t="array" ref="M307">INDEX('GMW - worst case'!$A$2:$MC$200,MATCH(1,('GMW - worst case'!$MC$2:$MC$200=M$3)*('GMW - worst case'!$MB$2:$MB$200=M$4),0),$E307-1973)</f>
        <v>#N/A</v>
      </c>
      <c r="N307" t="e" cm="1">
        <f t="array" ref="N307">INDEX('GMW - worst case'!$A$2:$MC$200,MATCH(1,('GMW - worst case'!$MC$2:$MC$200=N$3)*('GMW - worst case'!$MB$2:$MB$200=N$4),0),$E307-1973)</f>
        <v>#N/A</v>
      </c>
      <c r="O307" t="e" cm="1">
        <f t="array" ref="O307">INDEX('GMW - worst case'!$A$2:$MC$200,MATCH(1,('GMW - worst case'!$MC$2:$MC$200=O$3)*('GMW - worst case'!$MB$2:$MB$200=O$4),0),$E307-1973)</f>
        <v>#N/A</v>
      </c>
      <c r="P307" t="e" cm="1">
        <f t="array" ref="P307">INDEX('GMW - worst case'!$A$2:$MC$200,MATCH(1,('GMW - worst case'!$MC$2:$MC$200=P$3)*('GMW - worst case'!$MB$2:$MB$200=P$4),0),$E307-1973)</f>
        <v>#N/A</v>
      </c>
      <c r="Q307" t="e" cm="1">
        <f t="array" ref="Q307">INDEX('GMW - worst case'!$A$2:$MC$200,MATCH(1,('GMW - worst case'!$MC$2:$MC$200=Q$3)*('GMW - worst case'!$MB$2:$MB$200=Q$4),0),$E307-1973)</f>
        <v>#N/A</v>
      </c>
      <c r="R307" t="e" cm="1">
        <f t="array" ref="R307">INDEX('GMW - worst case'!$A$2:$MC$200,MATCH(1,('GMW - worst case'!$MC$2:$MC$200=R$3)*('GMW - worst case'!$MB$2:$MB$200=R$4),0),$E307-1973)</f>
        <v>#N/A</v>
      </c>
      <c r="S307" t="e" cm="1">
        <f t="array" ref="S307">INDEX('GMW - worst case'!$A$2:$MC$200,MATCH(1,('GMW - worst case'!$MC$2:$MC$200=S$3)*('GMW - worst case'!$MB$2:$MB$200=S$4),0),$E307-1973)</f>
        <v>#N/A</v>
      </c>
    </row>
    <row r="308" spans="1:19" x14ac:dyDescent="0.25">
      <c r="B308">
        <f t="shared" si="24"/>
        <v>2055</v>
      </c>
      <c r="C308">
        <f t="shared" si="24"/>
        <v>2055</v>
      </c>
      <c r="E308">
        <f t="shared" si="21"/>
        <v>2281</v>
      </c>
      <c r="F308" t="str" cm="1">
        <f t="array" ref="F308">INDEX('GMW - worst case'!$A$2:$MC$200,MATCH(1,('GMW - worst case'!$MC$2:$MC$200=F$3)*('GMW - worst case'!$MB$2:$MB$200=F$4),0),$E308-1973)</f>
        <v>NA</v>
      </c>
      <c r="G308" t="str" cm="1">
        <f t="array" ref="G308">INDEX('GMW - worst case'!$A$2:$MC$200,MATCH(1,('GMW - worst case'!$MC$2:$MC$200=G$3)*('GMW - worst case'!$MB$2:$MB$200=G$4),0),$E308-1973)</f>
        <v>NA</v>
      </c>
      <c r="H308" t="str" cm="1">
        <f t="array" ref="H308">INDEX('GMW - worst case'!$A$2:$MC$200,MATCH(1,('GMW - worst case'!$MC$2:$MC$200=H$3)*('GMW - worst case'!$MB$2:$MB$200=H$4),0),$E308-1973)</f>
        <v>NA</v>
      </c>
      <c r="I308" t="str" cm="1">
        <f t="array" ref="I308">INDEX('GMW - worst case'!$A$2:$MC$200,MATCH(1,('GMW - worst case'!$MC$2:$MC$200=I$3)*('GMW - worst case'!$MB$2:$MB$200=I$4),0),$E308-1973)</f>
        <v>NA</v>
      </c>
      <c r="J308" t="e" cm="1">
        <f t="array" ref="J308">INDEX('GMW - worst case'!$A$2:$MC$200,MATCH(1,('GMW - worst case'!$MC$2:$MC$200=J$3)*('GMW - worst case'!$MB$2:$MB$200=J$4),0),$E308-1973)</f>
        <v>#N/A</v>
      </c>
      <c r="K308" t="e" cm="1">
        <f t="array" ref="K308">INDEX('GMW - worst case'!$A$2:$MC$200,MATCH(1,('GMW - worst case'!$MC$2:$MC$200=K$3)*('GMW - worst case'!$MB$2:$MB$200=K$4),0),$E308-1973)</f>
        <v>#N/A</v>
      </c>
      <c r="L308" t="e" cm="1">
        <f t="array" ref="L308">INDEX('GMW - worst case'!$A$2:$MC$200,MATCH(1,('GMW - worst case'!$MC$2:$MC$200=L$3)*('GMW - worst case'!$MB$2:$MB$200=L$4),0),$E308-1973)</f>
        <v>#N/A</v>
      </c>
      <c r="M308" t="e" cm="1">
        <f t="array" ref="M308">INDEX('GMW - worst case'!$A$2:$MC$200,MATCH(1,('GMW - worst case'!$MC$2:$MC$200=M$3)*('GMW - worst case'!$MB$2:$MB$200=M$4),0),$E308-1973)</f>
        <v>#N/A</v>
      </c>
      <c r="N308" t="e" cm="1">
        <f t="array" ref="N308">INDEX('GMW - worst case'!$A$2:$MC$200,MATCH(1,('GMW - worst case'!$MC$2:$MC$200=N$3)*('GMW - worst case'!$MB$2:$MB$200=N$4),0),$E308-1973)</f>
        <v>#N/A</v>
      </c>
      <c r="O308" t="e" cm="1">
        <f t="array" ref="O308">INDEX('GMW - worst case'!$A$2:$MC$200,MATCH(1,('GMW - worst case'!$MC$2:$MC$200=O$3)*('GMW - worst case'!$MB$2:$MB$200=O$4),0),$E308-1973)</f>
        <v>#N/A</v>
      </c>
      <c r="P308" t="e" cm="1">
        <f t="array" ref="P308">INDEX('GMW - worst case'!$A$2:$MC$200,MATCH(1,('GMW - worst case'!$MC$2:$MC$200=P$3)*('GMW - worst case'!$MB$2:$MB$200=P$4),0),$E308-1973)</f>
        <v>#N/A</v>
      </c>
      <c r="Q308" t="e" cm="1">
        <f t="array" ref="Q308">INDEX('GMW - worst case'!$A$2:$MC$200,MATCH(1,('GMW - worst case'!$MC$2:$MC$200=Q$3)*('GMW - worst case'!$MB$2:$MB$200=Q$4),0),$E308-1973)</f>
        <v>#N/A</v>
      </c>
      <c r="R308" t="e" cm="1">
        <f t="array" ref="R308">INDEX('GMW - worst case'!$A$2:$MC$200,MATCH(1,('GMW - worst case'!$MC$2:$MC$200=R$3)*('GMW - worst case'!$MB$2:$MB$200=R$4),0),$E308-1973)</f>
        <v>#N/A</v>
      </c>
      <c r="S308" t="e" cm="1">
        <f t="array" ref="S308">INDEX('GMW - worst case'!$A$2:$MC$200,MATCH(1,('GMW - worst case'!$MC$2:$MC$200=S$3)*('GMW - worst case'!$MB$2:$MB$200=S$4),0),$E308-1973)</f>
        <v>#N/A</v>
      </c>
    </row>
    <row r="309" spans="1:19" x14ac:dyDescent="0.25">
      <c r="B309">
        <f t="shared" si="24"/>
        <v>2055</v>
      </c>
      <c r="C309">
        <f t="shared" si="24"/>
        <v>2055</v>
      </c>
      <c r="E309">
        <f t="shared" si="21"/>
        <v>2282</v>
      </c>
      <c r="F309" t="str" cm="1">
        <f t="array" ref="F309">INDEX('GMW - worst case'!$A$2:$MC$200,MATCH(1,('GMW - worst case'!$MC$2:$MC$200=F$3)*('GMW - worst case'!$MB$2:$MB$200=F$4),0),$E309-1973)</f>
        <v>NA</v>
      </c>
      <c r="G309" t="str" cm="1">
        <f t="array" ref="G309">INDEX('GMW - worst case'!$A$2:$MC$200,MATCH(1,('GMW - worst case'!$MC$2:$MC$200=G$3)*('GMW - worst case'!$MB$2:$MB$200=G$4),0),$E309-1973)</f>
        <v>NA</v>
      </c>
      <c r="H309" t="str" cm="1">
        <f t="array" ref="H309">INDEX('GMW - worst case'!$A$2:$MC$200,MATCH(1,('GMW - worst case'!$MC$2:$MC$200=H$3)*('GMW - worst case'!$MB$2:$MB$200=H$4),0),$E309-1973)</f>
        <v>NA</v>
      </c>
      <c r="I309" t="str" cm="1">
        <f t="array" ref="I309">INDEX('GMW - worst case'!$A$2:$MC$200,MATCH(1,('GMW - worst case'!$MC$2:$MC$200=I$3)*('GMW - worst case'!$MB$2:$MB$200=I$4),0),$E309-1973)</f>
        <v>NA</v>
      </c>
      <c r="J309" t="e" cm="1">
        <f t="array" ref="J309">INDEX('GMW - worst case'!$A$2:$MC$200,MATCH(1,('GMW - worst case'!$MC$2:$MC$200=J$3)*('GMW - worst case'!$MB$2:$MB$200=J$4),0),$E309-1973)</f>
        <v>#N/A</v>
      </c>
      <c r="K309" t="e" cm="1">
        <f t="array" ref="K309">INDEX('GMW - worst case'!$A$2:$MC$200,MATCH(1,('GMW - worst case'!$MC$2:$MC$200=K$3)*('GMW - worst case'!$MB$2:$MB$200=K$4),0),$E309-1973)</f>
        <v>#N/A</v>
      </c>
      <c r="L309" t="e" cm="1">
        <f t="array" ref="L309">INDEX('GMW - worst case'!$A$2:$MC$200,MATCH(1,('GMW - worst case'!$MC$2:$MC$200=L$3)*('GMW - worst case'!$MB$2:$MB$200=L$4),0),$E309-1973)</f>
        <v>#N/A</v>
      </c>
      <c r="M309" t="e" cm="1">
        <f t="array" ref="M309">INDEX('GMW - worst case'!$A$2:$MC$200,MATCH(1,('GMW - worst case'!$MC$2:$MC$200=M$3)*('GMW - worst case'!$MB$2:$MB$200=M$4),0),$E309-1973)</f>
        <v>#N/A</v>
      </c>
      <c r="N309" t="e" cm="1">
        <f t="array" ref="N309">INDEX('GMW - worst case'!$A$2:$MC$200,MATCH(1,('GMW - worst case'!$MC$2:$MC$200=N$3)*('GMW - worst case'!$MB$2:$MB$200=N$4),0),$E309-1973)</f>
        <v>#N/A</v>
      </c>
      <c r="O309" t="e" cm="1">
        <f t="array" ref="O309">INDEX('GMW - worst case'!$A$2:$MC$200,MATCH(1,('GMW - worst case'!$MC$2:$MC$200=O$3)*('GMW - worst case'!$MB$2:$MB$200=O$4),0),$E309-1973)</f>
        <v>#N/A</v>
      </c>
      <c r="P309" t="e" cm="1">
        <f t="array" ref="P309">INDEX('GMW - worst case'!$A$2:$MC$200,MATCH(1,('GMW - worst case'!$MC$2:$MC$200=P$3)*('GMW - worst case'!$MB$2:$MB$200=P$4),0),$E309-1973)</f>
        <v>#N/A</v>
      </c>
      <c r="Q309" t="e" cm="1">
        <f t="array" ref="Q309">INDEX('GMW - worst case'!$A$2:$MC$200,MATCH(1,('GMW - worst case'!$MC$2:$MC$200=Q$3)*('GMW - worst case'!$MB$2:$MB$200=Q$4),0),$E309-1973)</f>
        <v>#N/A</v>
      </c>
      <c r="R309" t="e" cm="1">
        <f t="array" ref="R309">INDEX('GMW - worst case'!$A$2:$MC$200,MATCH(1,('GMW - worst case'!$MC$2:$MC$200=R$3)*('GMW - worst case'!$MB$2:$MB$200=R$4),0),$E309-1973)</f>
        <v>#N/A</v>
      </c>
      <c r="S309" t="e" cm="1">
        <f t="array" ref="S309">INDEX('GMW - worst case'!$A$2:$MC$200,MATCH(1,('GMW - worst case'!$MC$2:$MC$200=S$3)*('GMW - worst case'!$MB$2:$MB$200=S$4),0),$E309-1973)</f>
        <v>#N/A</v>
      </c>
    </row>
    <row r="310" spans="1:19" x14ac:dyDescent="0.25">
      <c r="B310">
        <f t="shared" si="24"/>
        <v>2055</v>
      </c>
      <c r="C310">
        <f t="shared" si="24"/>
        <v>2055</v>
      </c>
      <c r="E310">
        <f t="shared" si="21"/>
        <v>2283</v>
      </c>
      <c r="F310" t="str" cm="1">
        <f t="array" ref="F310">INDEX('GMW - worst case'!$A$2:$MC$200,MATCH(1,('GMW - worst case'!$MC$2:$MC$200=F$3)*('GMW - worst case'!$MB$2:$MB$200=F$4),0),$E310-1973)</f>
        <v>NA</v>
      </c>
      <c r="G310" t="str" cm="1">
        <f t="array" ref="G310">INDEX('GMW - worst case'!$A$2:$MC$200,MATCH(1,('GMW - worst case'!$MC$2:$MC$200=G$3)*('GMW - worst case'!$MB$2:$MB$200=G$4),0),$E310-1973)</f>
        <v>NA</v>
      </c>
      <c r="H310" t="str" cm="1">
        <f t="array" ref="H310">INDEX('GMW - worst case'!$A$2:$MC$200,MATCH(1,('GMW - worst case'!$MC$2:$MC$200=H$3)*('GMW - worst case'!$MB$2:$MB$200=H$4),0),$E310-1973)</f>
        <v>NA</v>
      </c>
      <c r="I310" t="str" cm="1">
        <f t="array" ref="I310">INDEX('GMW - worst case'!$A$2:$MC$200,MATCH(1,('GMW - worst case'!$MC$2:$MC$200=I$3)*('GMW - worst case'!$MB$2:$MB$200=I$4),0),$E310-1973)</f>
        <v>NA</v>
      </c>
      <c r="J310" t="e" cm="1">
        <f t="array" ref="J310">INDEX('GMW - worst case'!$A$2:$MC$200,MATCH(1,('GMW - worst case'!$MC$2:$MC$200=J$3)*('GMW - worst case'!$MB$2:$MB$200=J$4),0),$E310-1973)</f>
        <v>#N/A</v>
      </c>
      <c r="K310" t="e" cm="1">
        <f t="array" ref="K310">INDEX('GMW - worst case'!$A$2:$MC$200,MATCH(1,('GMW - worst case'!$MC$2:$MC$200=K$3)*('GMW - worst case'!$MB$2:$MB$200=K$4),0),$E310-1973)</f>
        <v>#N/A</v>
      </c>
      <c r="L310" t="e" cm="1">
        <f t="array" ref="L310">INDEX('GMW - worst case'!$A$2:$MC$200,MATCH(1,('GMW - worst case'!$MC$2:$MC$200=L$3)*('GMW - worst case'!$MB$2:$MB$200=L$4),0),$E310-1973)</f>
        <v>#N/A</v>
      </c>
      <c r="M310" t="e" cm="1">
        <f t="array" ref="M310">INDEX('GMW - worst case'!$A$2:$MC$200,MATCH(1,('GMW - worst case'!$MC$2:$MC$200=M$3)*('GMW - worst case'!$MB$2:$MB$200=M$4),0),$E310-1973)</f>
        <v>#N/A</v>
      </c>
      <c r="N310" t="e" cm="1">
        <f t="array" ref="N310">INDEX('GMW - worst case'!$A$2:$MC$200,MATCH(1,('GMW - worst case'!$MC$2:$MC$200=N$3)*('GMW - worst case'!$MB$2:$MB$200=N$4),0),$E310-1973)</f>
        <v>#N/A</v>
      </c>
      <c r="O310" t="e" cm="1">
        <f t="array" ref="O310">INDEX('GMW - worst case'!$A$2:$MC$200,MATCH(1,('GMW - worst case'!$MC$2:$MC$200=O$3)*('GMW - worst case'!$MB$2:$MB$200=O$4),0),$E310-1973)</f>
        <v>#N/A</v>
      </c>
      <c r="P310" t="e" cm="1">
        <f t="array" ref="P310">INDEX('GMW - worst case'!$A$2:$MC$200,MATCH(1,('GMW - worst case'!$MC$2:$MC$200=P$3)*('GMW - worst case'!$MB$2:$MB$200=P$4),0),$E310-1973)</f>
        <v>#N/A</v>
      </c>
      <c r="Q310" t="e" cm="1">
        <f t="array" ref="Q310">INDEX('GMW - worst case'!$A$2:$MC$200,MATCH(1,('GMW - worst case'!$MC$2:$MC$200=Q$3)*('GMW - worst case'!$MB$2:$MB$200=Q$4),0),$E310-1973)</f>
        <v>#N/A</v>
      </c>
      <c r="R310" t="e" cm="1">
        <f t="array" ref="R310">INDEX('GMW - worst case'!$A$2:$MC$200,MATCH(1,('GMW - worst case'!$MC$2:$MC$200=R$3)*('GMW - worst case'!$MB$2:$MB$200=R$4),0),$E310-1973)</f>
        <v>#N/A</v>
      </c>
      <c r="S310" t="e" cm="1">
        <f t="array" ref="S310">INDEX('GMW - worst case'!$A$2:$MC$200,MATCH(1,('GMW - worst case'!$MC$2:$MC$200=S$3)*('GMW - worst case'!$MB$2:$MB$200=S$4),0),$E310-1973)</f>
        <v>#N/A</v>
      </c>
    </row>
    <row r="311" spans="1:19" x14ac:dyDescent="0.25">
      <c r="A311">
        <v>2056</v>
      </c>
      <c r="B311">
        <f t="shared" si="24"/>
        <v>2056</v>
      </c>
      <c r="C311">
        <f t="shared" si="24"/>
        <v>2055</v>
      </c>
      <c r="D311">
        <f t="shared" si="24"/>
        <v>2055</v>
      </c>
      <c r="E311">
        <f t="shared" si="21"/>
        <v>2284</v>
      </c>
      <c r="F311" t="str" cm="1">
        <f t="array" ref="F311">INDEX('GMW - worst case'!$A$2:$MC$200,MATCH(1,('GMW - worst case'!$MC$2:$MC$200=F$3)*('GMW - worst case'!$MB$2:$MB$200=F$4),0),$E311-1973)</f>
        <v>NA</v>
      </c>
      <c r="G311" t="str" cm="1">
        <f t="array" ref="G311">INDEX('GMW - worst case'!$A$2:$MC$200,MATCH(1,('GMW - worst case'!$MC$2:$MC$200=G$3)*('GMW - worst case'!$MB$2:$MB$200=G$4),0),$E311-1973)</f>
        <v>NA</v>
      </c>
      <c r="H311" t="str" cm="1">
        <f t="array" ref="H311">INDEX('GMW - worst case'!$A$2:$MC$200,MATCH(1,('GMW - worst case'!$MC$2:$MC$200=H$3)*('GMW - worst case'!$MB$2:$MB$200=H$4),0),$E311-1973)</f>
        <v>NA</v>
      </c>
      <c r="I311" t="str" cm="1">
        <f t="array" ref="I311">INDEX('GMW - worst case'!$A$2:$MC$200,MATCH(1,('GMW - worst case'!$MC$2:$MC$200=I$3)*('GMW - worst case'!$MB$2:$MB$200=I$4),0),$E311-1973)</f>
        <v>NA</v>
      </c>
      <c r="J311" t="e" cm="1">
        <f t="array" ref="J311">INDEX('GMW - worst case'!$A$2:$MC$200,MATCH(1,('GMW - worst case'!$MC$2:$MC$200=J$3)*('GMW - worst case'!$MB$2:$MB$200=J$4),0),$E311-1973)</f>
        <v>#N/A</v>
      </c>
      <c r="K311" t="e" cm="1">
        <f t="array" ref="K311">INDEX('GMW - worst case'!$A$2:$MC$200,MATCH(1,('GMW - worst case'!$MC$2:$MC$200=K$3)*('GMW - worst case'!$MB$2:$MB$200=K$4),0),$E311-1973)</f>
        <v>#N/A</v>
      </c>
      <c r="L311" t="e" cm="1">
        <f t="array" ref="L311">INDEX('GMW - worst case'!$A$2:$MC$200,MATCH(1,('GMW - worst case'!$MC$2:$MC$200=L$3)*('GMW - worst case'!$MB$2:$MB$200=L$4),0),$E311-1973)</f>
        <v>#N/A</v>
      </c>
      <c r="M311" t="e" cm="1">
        <f t="array" ref="M311">INDEX('GMW - worst case'!$A$2:$MC$200,MATCH(1,('GMW - worst case'!$MC$2:$MC$200=M$3)*('GMW - worst case'!$MB$2:$MB$200=M$4),0),$E311-1973)</f>
        <v>#N/A</v>
      </c>
      <c r="N311" t="e" cm="1">
        <f t="array" ref="N311">INDEX('GMW - worst case'!$A$2:$MC$200,MATCH(1,('GMW - worst case'!$MC$2:$MC$200=N$3)*('GMW - worst case'!$MB$2:$MB$200=N$4),0),$E311-1973)</f>
        <v>#N/A</v>
      </c>
      <c r="O311" t="e" cm="1">
        <f t="array" ref="O311">INDEX('GMW - worst case'!$A$2:$MC$200,MATCH(1,('GMW - worst case'!$MC$2:$MC$200=O$3)*('GMW - worst case'!$MB$2:$MB$200=O$4),0),$E311-1973)</f>
        <v>#N/A</v>
      </c>
      <c r="P311" t="e" cm="1">
        <f t="array" ref="P311">INDEX('GMW - worst case'!$A$2:$MC$200,MATCH(1,('GMW - worst case'!$MC$2:$MC$200=P$3)*('GMW - worst case'!$MB$2:$MB$200=P$4),0),$E311-1973)</f>
        <v>#N/A</v>
      </c>
      <c r="Q311" t="e" cm="1">
        <f t="array" ref="Q311">INDEX('GMW - worst case'!$A$2:$MC$200,MATCH(1,('GMW - worst case'!$MC$2:$MC$200=Q$3)*('GMW - worst case'!$MB$2:$MB$200=Q$4),0),$E311-1973)</f>
        <v>#N/A</v>
      </c>
      <c r="R311" t="e" cm="1">
        <f t="array" ref="R311">INDEX('GMW - worst case'!$A$2:$MC$200,MATCH(1,('GMW - worst case'!$MC$2:$MC$200=R$3)*('GMW - worst case'!$MB$2:$MB$200=R$4),0),$E311-1973)</f>
        <v>#N/A</v>
      </c>
      <c r="S311" t="e" cm="1">
        <f t="array" ref="S311">INDEX('GMW - worst case'!$A$2:$MC$200,MATCH(1,('GMW - worst case'!$MC$2:$MC$200=S$3)*('GMW - worst case'!$MB$2:$MB$200=S$4),0),$E311-1973)</f>
        <v>#N/A</v>
      </c>
    </row>
    <row r="312" spans="1:19" x14ac:dyDescent="0.25">
      <c r="B312">
        <f t="shared" si="24"/>
        <v>2056</v>
      </c>
      <c r="C312">
        <f t="shared" si="24"/>
        <v>2056</v>
      </c>
      <c r="E312">
        <f t="shared" si="21"/>
        <v>2285</v>
      </c>
      <c r="F312" t="str" cm="1">
        <f t="array" ref="F312">INDEX('GMW - worst case'!$A$2:$MC$200,MATCH(1,('GMW - worst case'!$MC$2:$MC$200=F$3)*('GMW - worst case'!$MB$2:$MB$200=F$4),0),$E312-1973)</f>
        <v>NA</v>
      </c>
      <c r="G312" t="str" cm="1">
        <f t="array" ref="G312">INDEX('GMW - worst case'!$A$2:$MC$200,MATCH(1,('GMW - worst case'!$MC$2:$MC$200=G$3)*('GMW - worst case'!$MB$2:$MB$200=G$4),0),$E312-1973)</f>
        <v>NA</v>
      </c>
      <c r="H312" t="str" cm="1">
        <f t="array" ref="H312">INDEX('GMW - worst case'!$A$2:$MC$200,MATCH(1,('GMW - worst case'!$MC$2:$MC$200=H$3)*('GMW - worst case'!$MB$2:$MB$200=H$4),0),$E312-1973)</f>
        <v>NA</v>
      </c>
      <c r="I312" t="str" cm="1">
        <f t="array" ref="I312">INDEX('GMW - worst case'!$A$2:$MC$200,MATCH(1,('GMW - worst case'!$MC$2:$MC$200=I$3)*('GMW - worst case'!$MB$2:$MB$200=I$4),0),$E312-1973)</f>
        <v>NA</v>
      </c>
      <c r="J312" t="e" cm="1">
        <f t="array" ref="J312">INDEX('GMW - worst case'!$A$2:$MC$200,MATCH(1,('GMW - worst case'!$MC$2:$MC$200=J$3)*('GMW - worst case'!$MB$2:$MB$200=J$4),0),$E312-1973)</f>
        <v>#N/A</v>
      </c>
      <c r="K312" t="e" cm="1">
        <f t="array" ref="K312">INDEX('GMW - worst case'!$A$2:$MC$200,MATCH(1,('GMW - worst case'!$MC$2:$MC$200=K$3)*('GMW - worst case'!$MB$2:$MB$200=K$4),0),$E312-1973)</f>
        <v>#N/A</v>
      </c>
      <c r="L312" t="e" cm="1">
        <f t="array" ref="L312">INDEX('GMW - worst case'!$A$2:$MC$200,MATCH(1,('GMW - worst case'!$MC$2:$MC$200=L$3)*('GMW - worst case'!$MB$2:$MB$200=L$4),0),$E312-1973)</f>
        <v>#N/A</v>
      </c>
      <c r="M312" t="e" cm="1">
        <f t="array" ref="M312">INDEX('GMW - worst case'!$A$2:$MC$200,MATCH(1,('GMW - worst case'!$MC$2:$MC$200=M$3)*('GMW - worst case'!$MB$2:$MB$200=M$4),0),$E312-1973)</f>
        <v>#N/A</v>
      </c>
      <c r="N312" t="e" cm="1">
        <f t="array" ref="N312">INDEX('GMW - worst case'!$A$2:$MC$200,MATCH(1,('GMW - worst case'!$MC$2:$MC$200=N$3)*('GMW - worst case'!$MB$2:$MB$200=N$4),0),$E312-1973)</f>
        <v>#N/A</v>
      </c>
      <c r="O312" t="e" cm="1">
        <f t="array" ref="O312">INDEX('GMW - worst case'!$A$2:$MC$200,MATCH(1,('GMW - worst case'!$MC$2:$MC$200=O$3)*('GMW - worst case'!$MB$2:$MB$200=O$4),0),$E312-1973)</f>
        <v>#N/A</v>
      </c>
      <c r="P312" t="e" cm="1">
        <f t="array" ref="P312">INDEX('GMW - worst case'!$A$2:$MC$200,MATCH(1,('GMW - worst case'!$MC$2:$MC$200=P$3)*('GMW - worst case'!$MB$2:$MB$200=P$4),0),$E312-1973)</f>
        <v>#N/A</v>
      </c>
      <c r="Q312" t="e" cm="1">
        <f t="array" ref="Q312">INDEX('GMW - worst case'!$A$2:$MC$200,MATCH(1,('GMW - worst case'!$MC$2:$MC$200=Q$3)*('GMW - worst case'!$MB$2:$MB$200=Q$4),0),$E312-1973)</f>
        <v>#N/A</v>
      </c>
      <c r="R312" t="e" cm="1">
        <f t="array" ref="R312">INDEX('GMW - worst case'!$A$2:$MC$200,MATCH(1,('GMW - worst case'!$MC$2:$MC$200=R$3)*('GMW - worst case'!$MB$2:$MB$200=R$4),0),$E312-1973)</f>
        <v>#N/A</v>
      </c>
      <c r="S312" t="e" cm="1">
        <f t="array" ref="S312">INDEX('GMW - worst case'!$A$2:$MC$200,MATCH(1,('GMW - worst case'!$MC$2:$MC$200=S$3)*('GMW - worst case'!$MB$2:$MB$200=S$4),0),$E312-1973)</f>
        <v>#N/A</v>
      </c>
    </row>
    <row r="313" spans="1:19" x14ac:dyDescent="0.25">
      <c r="B313">
        <f t="shared" si="24"/>
        <v>2056</v>
      </c>
      <c r="C313">
        <f t="shared" si="24"/>
        <v>2056</v>
      </c>
      <c r="E313">
        <f t="shared" si="21"/>
        <v>2286</v>
      </c>
      <c r="F313" t="str" cm="1">
        <f t="array" ref="F313">INDEX('GMW - worst case'!$A$2:$MC$200,MATCH(1,('GMW - worst case'!$MC$2:$MC$200=F$3)*('GMW - worst case'!$MB$2:$MB$200=F$4),0),$E313-1973)</f>
        <v>NA</v>
      </c>
      <c r="G313" t="str" cm="1">
        <f t="array" ref="G313">INDEX('GMW - worst case'!$A$2:$MC$200,MATCH(1,('GMW - worst case'!$MC$2:$MC$200=G$3)*('GMW - worst case'!$MB$2:$MB$200=G$4),0),$E313-1973)</f>
        <v>NA</v>
      </c>
      <c r="H313" t="str" cm="1">
        <f t="array" ref="H313">INDEX('GMW - worst case'!$A$2:$MC$200,MATCH(1,('GMW - worst case'!$MC$2:$MC$200=H$3)*('GMW - worst case'!$MB$2:$MB$200=H$4),0),$E313-1973)</f>
        <v>NA</v>
      </c>
      <c r="I313" t="str" cm="1">
        <f t="array" ref="I313">INDEX('GMW - worst case'!$A$2:$MC$200,MATCH(1,('GMW - worst case'!$MC$2:$MC$200=I$3)*('GMW - worst case'!$MB$2:$MB$200=I$4),0),$E313-1973)</f>
        <v>NA</v>
      </c>
      <c r="J313" t="e" cm="1">
        <f t="array" ref="J313">INDEX('GMW - worst case'!$A$2:$MC$200,MATCH(1,('GMW - worst case'!$MC$2:$MC$200=J$3)*('GMW - worst case'!$MB$2:$MB$200=J$4),0),$E313-1973)</f>
        <v>#N/A</v>
      </c>
      <c r="K313" t="e" cm="1">
        <f t="array" ref="K313">INDEX('GMW - worst case'!$A$2:$MC$200,MATCH(1,('GMW - worst case'!$MC$2:$MC$200=K$3)*('GMW - worst case'!$MB$2:$MB$200=K$4),0),$E313-1973)</f>
        <v>#N/A</v>
      </c>
      <c r="L313" t="e" cm="1">
        <f t="array" ref="L313">INDEX('GMW - worst case'!$A$2:$MC$200,MATCH(1,('GMW - worst case'!$MC$2:$MC$200=L$3)*('GMW - worst case'!$MB$2:$MB$200=L$4),0),$E313-1973)</f>
        <v>#N/A</v>
      </c>
      <c r="M313" t="e" cm="1">
        <f t="array" ref="M313">INDEX('GMW - worst case'!$A$2:$MC$200,MATCH(1,('GMW - worst case'!$MC$2:$MC$200=M$3)*('GMW - worst case'!$MB$2:$MB$200=M$4),0),$E313-1973)</f>
        <v>#N/A</v>
      </c>
      <c r="N313" t="e" cm="1">
        <f t="array" ref="N313">INDEX('GMW - worst case'!$A$2:$MC$200,MATCH(1,('GMW - worst case'!$MC$2:$MC$200=N$3)*('GMW - worst case'!$MB$2:$MB$200=N$4),0),$E313-1973)</f>
        <v>#N/A</v>
      </c>
      <c r="O313" t="e" cm="1">
        <f t="array" ref="O313">INDEX('GMW - worst case'!$A$2:$MC$200,MATCH(1,('GMW - worst case'!$MC$2:$MC$200=O$3)*('GMW - worst case'!$MB$2:$MB$200=O$4),0),$E313-1973)</f>
        <v>#N/A</v>
      </c>
      <c r="P313" t="e" cm="1">
        <f t="array" ref="P313">INDEX('GMW - worst case'!$A$2:$MC$200,MATCH(1,('GMW - worst case'!$MC$2:$MC$200=P$3)*('GMW - worst case'!$MB$2:$MB$200=P$4),0),$E313-1973)</f>
        <v>#N/A</v>
      </c>
      <c r="Q313" t="e" cm="1">
        <f t="array" ref="Q313">INDEX('GMW - worst case'!$A$2:$MC$200,MATCH(1,('GMW - worst case'!$MC$2:$MC$200=Q$3)*('GMW - worst case'!$MB$2:$MB$200=Q$4),0),$E313-1973)</f>
        <v>#N/A</v>
      </c>
      <c r="R313" t="e" cm="1">
        <f t="array" ref="R313">INDEX('GMW - worst case'!$A$2:$MC$200,MATCH(1,('GMW - worst case'!$MC$2:$MC$200=R$3)*('GMW - worst case'!$MB$2:$MB$200=R$4),0),$E313-1973)</f>
        <v>#N/A</v>
      </c>
      <c r="S313" t="e" cm="1">
        <f t="array" ref="S313">INDEX('GMW - worst case'!$A$2:$MC$200,MATCH(1,('GMW - worst case'!$MC$2:$MC$200=S$3)*('GMW - worst case'!$MB$2:$MB$200=S$4),0),$E313-1973)</f>
        <v>#N/A</v>
      </c>
    </row>
    <row r="314" spans="1:19" x14ac:dyDescent="0.25">
      <c r="B314">
        <f t="shared" si="24"/>
        <v>2056</v>
      </c>
      <c r="C314">
        <f t="shared" si="24"/>
        <v>2056</v>
      </c>
      <c r="E314">
        <f t="shared" si="21"/>
        <v>2287</v>
      </c>
      <c r="F314" t="str" cm="1">
        <f t="array" ref="F314">INDEX('GMW - worst case'!$A$2:$MC$200,MATCH(1,('GMW - worst case'!$MC$2:$MC$200=F$3)*('GMW - worst case'!$MB$2:$MB$200=F$4),0),$E314-1973)</f>
        <v>NA</v>
      </c>
      <c r="G314" t="str" cm="1">
        <f t="array" ref="G314">INDEX('GMW - worst case'!$A$2:$MC$200,MATCH(1,('GMW - worst case'!$MC$2:$MC$200=G$3)*('GMW - worst case'!$MB$2:$MB$200=G$4),0),$E314-1973)</f>
        <v>NA</v>
      </c>
      <c r="H314" t="str" cm="1">
        <f t="array" ref="H314">INDEX('GMW - worst case'!$A$2:$MC$200,MATCH(1,('GMW - worst case'!$MC$2:$MC$200=H$3)*('GMW - worst case'!$MB$2:$MB$200=H$4),0),$E314-1973)</f>
        <v>NA</v>
      </c>
      <c r="I314" t="str" cm="1">
        <f t="array" ref="I314">INDEX('GMW - worst case'!$A$2:$MC$200,MATCH(1,('GMW - worst case'!$MC$2:$MC$200=I$3)*('GMW - worst case'!$MB$2:$MB$200=I$4),0),$E314-1973)</f>
        <v>NA</v>
      </c>
      <c r="J314" t="e" cm="1">
        <f t="array" ref="J314">INDEX('GMW - worst case'!$A$2:$MC$200,MATCH(1,('GMW - worst case'!$MC$2:$MC$200=J$3)*('GMW - worst case'!$MB$2:$MB$200=J$4),0),$E314-1973)</f>
        <v>#N/A</v>
      </c>
      <c r="K314" t="e" cm="1">
        <f t="array" ref="K314">INDEX('GMW - worst case'!$A$2:$MC$200,MATCH(1,('GMW - worst case'!$MC$2:$MC$200=K$3)*('GMW - worst case'!$MB$2:$MB$200=K$4),0),$E314-1973)</f>
        <v>#N/A</v>
      </c>
      <c r="L314" t="e" cm="1">
        <f t="array" ref="L314">INDEX('GMW - worst case'!$A$2:$MC$200,MATCH(1,('GMW - worst case'!$MC$2:$MC$200=L$3)*('GMW - worst case'!$MB$2:$MB$200=L$4),0),$E314-1973)</f>
        <v>#N/A</v>
      </c>
      <c r="M314" t="e" cm="1">
        <f t="array" ref="M314">INDEX('GMW - worst case'!$A$2:$MC$200,MATCH(1,('GMW - worst case'!$MC$2:$MC$200=M$3)*('GMW - worst case'!$MB$2:$MB$200=M$4),0),$E314-1973)</f>
        <v>#N/A</v>
      </c>
      <c r="N314" t="e" cm="1">
        <f t="array" ref="N314">INDEX('GMW - worst case'!$A$2:$MC$200,MATCH(1,('GMW - worst case'!$MC$2:$MC$200=N$3)*('GMW - worst case'!$MB$2:$MB$200=N$4),0),$E314-1973)</f>
        <v>#N/A</v>
      </c>
      <c r="O314" t="e" cm="1">
        <f t="array" ref="O314">INDEX('GMW - worst case'!$A$2:$MC$200,MATCH(1,('GMW - worst case'!$MC$2:$MC$200=O$3)*('GMW - worst case'!$MB$2:$MB$200=O$4),0),$E314-1973)</f>
        <v>#N/A</v>
      </c>
      <c r="P314" t="e" cm="1">
        <f t="array" ref="P314">INDEX('GMW - worst case'!$A$2:$MC$200,MATCH(1,('GMW - worst case'!$MC$2:$MC$200=P$3)*('GMW - worst case'!$MB$2:$MB$200=P$4),0),$E314-1973)</f>
        <v>#N/A</v>
      </c>
      <c r="Q314" t="e" cm="1">
        <f t="array" ref="Q314">INDEX('GMW - worst case'!$A$2:$MC$200,MATCH(1,('GMW - worst case'!$MC$2:$MC$200=Q$3)*('GMW - worst case'!$MB$2:$MB$200=Q$4),0),$E314-1973)</f>
        <v>#N/A</v>
      </c>
      <c r="R314" t="e" cm="1">
        <f t="array" ref="R314">INDEX('GMW - worst case'!$A$2:$MC$200,MATCH(1,('GMW - worst case'!$MC$2:$MC$200=R$3)*('GMW - worst case'!$MB$2:$MB$200=R$4),0),$E314-1973)</f>
        <v>#N/A</v>
      </c>
      <c r="S314" t="e" cm="1">
        <f t="array" ref="S314">INDEX('GMW - worst case'!$A$2:$MC$200,MATCH(1,('GMW - worst case'!$MC$2:$MC$200=S$3)*('GMW - worst case'!$MB$2:$MB$200=S$4),0),$E314-1973)</f>
        <v>#N/A</v>
      </c>
    </row>
    <row r="315" spans="1:19" x14ac:dyDescent="0.25">
      <c r="A315">
        <v>2057</v>
      </c>
      <c r="B315">
        <f t="shared" si="24"/>
        <v>2057</v>
      </c>
      <c r="C315">
        <f t="shared" si="24"/>
        <v>2056</v>
      </c>
      <c r="D315">
        <f t="shared" si="24"/>
        <v>2056</v>
      </c>
      <c r="E315">
        <f t="shared" si="21"/>
        <v>2288</v>
      </c>
      <c r="F315" t="str" cm="1">
        <f t="array" ref="F315">INDEX('GMW - worst case'!$A$2:$MC$200,MATCH(1,('GMW - worst case'!$MC$2:$MC$200=F$3)*('GMW - worst case'!$MB$2:$MB$200=F$4),0),$E315-1973)</f>
        <v>NA</v>
      </c>
      <c r="G315" t="str" cm="1">
        <f t="array" ref="G315">INDEX('GMW - worst case'!$A$2:$MC$200,MATCH(1,('GMW - worst case'!$MC$2:$MC$200=G$3)*('GMW - worst case'!$MB$2:$MB$200=G$4),0),$E315-1973)</f>
        <v>NA</v>
      </c>
      <c r="H315" t="str" cm="1">
        <f t="array" ref="H315">INDEX('GMW - worst case'!$A$2:$MC$200,MATCH(1,('GMW - worst case'!$MC$2:$MC$200=H$3)*('GMW - worst case'!$MB$2:$MB$200=H$4),0),$E315-1973)</f>
        <v>NA</v>
      </c>
      <c r="I315" t="str" cm="1">
        <f t="array" ref="I315">INDEX('GMW - worst case'!$A$2:$MC$200,MATCH(1,('GMW - worst case'!$MC$2:$MC$200=I$3)*('GMW - worst case'!$MB$2:$MB$200=I$4),0),$E315-1973)</f>
        <v>NA</v>
      </c>
      <c r="J315" t="e" cm="1">
        <f t="array" ref="J315">INDEX('GMW - worst case'!$A$2:$MC$200,MATCH(1,('GMW - worst case'!$MC$2:$MC$200=J$3)*('GMW - worst case'!$MB$2:$MB$200=J$4),0),$E315-1973)</f>
        <v>#N/A</v>
      </c>
      <c r="K315" t="e" cm="1">
        <f t="array" ref="K315">INDEX('GMW - worst case'!$A$2:$MC$200,MATCH(1,('GMW - worst case'!$MC$2:$MC$200=K$3)*('GMW - worst case'!$MB$2:$MB$200=K$4),0),$E315-1973)</f>
        <v>#N/A</v>
      </c>
      <c r="L315" t="e" cm="1">
        <f t="array" ref="L315">INDEX('GMW - worst case'!$A$2:$MC$200,MATCH(1,('GMW - worst case'!$MC$2:$MC$200=L$3)*('GMW - worst case'!$MB$2:$MB$200=L$4),0),$E315-1973)</f>
        <v>#N/A</v>
      </c>
      <c r="M315" t="e" cm="1">
        <f t="array" ref="M315">INDEX('GMW - worst case'!$A$2:$MC$200,MATCH(1,('GMW - worst case'!$MC$2:$MC$200=M$3)*('GMW - worst case'!$MB$2:$MB$200=M$4),0),$E315-1973)</f>
        <v>#N/A</v>
      </c>
      <c r="N315" t="e" cm="1">
        <f t="array" ref="N315">INDEX('GMW - worst case'!$A$2:$MC$200,MATCH(1,('GMW - worst case'!$MC$2:$MC$200=N$3)*('GMW - worst case'!$MB$2:$MB$200=N$4),0),$E315-1973)</f>
        <v>#N/A</v>
      </c>
      <c r="O315" t="e" cm="1">
        <f t="array" ref="O315">INDEX('GMW - worst case'!$A$2:$MC$200,MATCH(1,('GMW - worst case'!$MC$2:$MC$200=O$3)*('GMW - worst case'!$MB$2:$MB$200=O$4),0),$E315-1973)</f>
        <v>#N/A</v>
      </c>
      <c r="P315" t="e" cm="1">
        <f t="array" ref="P315">INDEX('GMW - worst case'!$A$2:$MC$200,MATCH(1,('GMW - worst case'!$MC$2:$MC$200=P$3)*('GMW - worst case'!$MB$2:$MB$200=P$4),0),$E315-1973)</f>
        <v>#N/A</v>
      </c>
      <c r="Q315" t="e" cm="1">
        <f t="array" ref="Q315">INDEX('GMW - worst case'!$A$2:$MC$200,MATCH(1,('GMW - worst case'!$MC$2:$MC$200=Q$3)*('GMW - worst case'!$MB$2:$MB$200=Q$4),0),$E315-1973)</f>
        <v>#N/A</v>
      </c>
      <c r="R315" t="e" cm="1">
        <f t="array" ref="R315">INDEX('GMW - worst case'!$A$2:$MC$200,MATCH(1,('GMW - worst case'!$MC$2:$MC$200=R$3)*('GMW - worst case'!$MB$2:$MB$200=R$4),0),$E315-1973)</f>
        <v>#N/A</v>
      </c>
      <c r="S315" t="e" cm="1">
        <f t="array" ref="S315">INDEX('GMW - worst case'!$A$2:$MC$200,MATCH(1,('GMW - worst case'!$MC$2:$MC$200=S$3)*('GMW - worst case'!$MB$2:$MB$200=S$4),0),$E315-1973)</f>
        <v>#N/A</v>
      </c>
    </row>
    <row r="316" spans="1:19" x14ac:dyDescent="0.25">
      <c r="B316">
        <f t="shared" ref="B316:D330" si="25">+B312+1</f>
        <v>2057</v>
      </c>
      <c r="C316">
        <f t="shared" si="25"/>
        <v>2057</v>
      </c>
      <c r="E316">
        <f t="shared" si="21"/>
        <v>2289</v>
      </c>
      <c r="F316" t="str" cm="1">
        <f t="array" ref="F316">INDEX('GMW - worst case'!$A$2:$MC$200,MATCH(1,('GMW - worst case'!$MC$2:$MC$200=F$3)*('GMW - worst case'!$MB$2:$MB$200=F$4),0),$E316-1973)</f>
        <v>NA</v>
      </c>
      <c r="G316" t="str" cm="1">
        <f t="array" ref="G316">INDEX('GMW - worst case'!$A$2:$MC$200,MATCH(1,('GMW - worst case'!$MC$2:$MC$200=G$3)*('GMW - worst case'!$MB$2:$MB$200=G$4),0),$E316-1973)</f>
        <v>NA</v>
      </c>
      <c r="H316" t="str" cm="1">
        <f t="array" ref="H316">INDEX('GMW - worst case'!$A$2:$MC$200,MATCH(1,('GMW - worst case'!$MC$2:$MC$200=H$3)*('GMW - worst case'!$MB$2:$MB$200=H$4),0),$E316-1973)</f>
        <v>NA</v>
      </c>
      <c r="I316" t="str" cm="1">
        <f t="array" ref="I316">INDEX('GMW - worst case'!$A$2:$MC$200,MATCH(1,('GMW - worst case'!$MC$2:$MC$200=I$3)*('GMW - worst case'!$MB$2:$MB$200=I$4),0),$E316-1973)</f>
        <v>NA</v>
      </c>
      <c r="J316" t="e" cm="1">
        <f t="array" ref="J316">INDEX('GMW - worst case'!$A$2:$MC$200,MATCH(1,('GMW - worst case'!$MC$2:$MC$200=J$3)*('GMW - worst case'!$MB$2:$MB$200=J$4),0),$E316-1973)</f>
        <v>#N/A</v>
      </c>
      <c r="K316" t="e" cm="1">
        <f t="array" ref="K316">INDEX('GMW - worst case'!$A$2:$MC$200,MATCH(1,('GMW - worst case'!$MC$2:$MC$200=K$3)*('GMW - worst case'!$MB$2:$MB$200=K$4),0),$E316-1973)</f>
        <v>#N/A</v>
      </c>
      <c r="L316" t="e" cm="1">
        <f t="array" ref="L316">INDEX('GMW - worst case'!$A$2:$MC$200,MATCH(1,('GMW - worst case'!$MC$2:$MC$200=L$3)*('GMW - worst case'!$MB$2:$MB$200=L$4),0),$E316-1973)</f>
        <v>#N/A</v>
      </c>
      <c r="M316" t="e" cm="1">
        <f t="array" ref="M316">INDEX('GMW - worst case'!$A$2:$MC$200,MATCH(1,('GMW - worst case'!$MC$2:$MC$200=M$3)*('GMW - worst case'!$MB$2:$MB$200=M$4),0),$E316-1973)</f>
        <v>#N/A</v>
      </c>
      <c r="N316" t="e" cm="1">
        <f t="array" ref="N316">INDEX('GMW - worst case'!$A$2:$MC$200,MATCH(1,('GMW - worst case'!$MC$2:$MC$200=N$3)*('GMW - worst case'!$MB$2:$MB$200=N$4),0),$E316-1973)</f>
        <v>#N/A</v>
      </c>
      <c r="O316" t="e" cm="1">
        <f t="array" ref="O316">INDEX('GMW - worst case'!$A$2:$MC$200,MATCH(1,('GMW - worst case'!$MC$2:$MC$200=O$3)*('GMW - worst case'!$MB$2:$MB$200=O$4),0),$E316-1973)</f>
        <v>#N/A</v>
      </c>
      <c r="P316" t="e" cm="1">
        <f t="array" ref="P316">INDEX('GMW - worst case'!$A$2:$MC$200,MATCH(1,('GMW - worst case'!$MC$2:$MC$200=P$3)*('GMW - worst case'!$MB$2:$MB$200=P$4),0),$E316-1973)</f>
        <v>#N/A</v>
      </c>
      <c r="Q316" t="e" cm="1">
        <f t="array" ref="Q316">INDEX('GMW - worst case'!$A$2:$MC$200,MATCH(1,('GMW - worst case'!$MC$2:$MC$200=Q$3)*('GMW - worst case'!$MB$2:$MB$200=Q$4),0),$E316-1973)</f>
        <v>#N/A</v>
      </c>
      <c r="R316" t="e" cm="1">
        <f t="array" ref="R316">INDEX('GMW - worst case'!$A$2:$MC$200,MATCH(1,('GMW - worst case'!$MC$2:$MC$200=R$3)*('GMW - worst case'!$MB$2:$MB$200=R$4),0),$E316-1973)</f>
        <v>#N/A</v>
      </c>
      <c r="S316" t="e" cm="1">
        <f t="array" ref="S316">INDEX('GMW - worst case'!$A$2:$MC$200,MATCH(1,('GMW - worst case'!$MC$2:$MC$200=S$3)*('GMW - worst case'!$MB$2:$MB$200=S$4),0),$E316-1973)</f>
        <v>#N/A</v>
      </c>
    </row>
    <row r="317" spans="1:19" x14ac:dyDescent="0.25">
      <c r="B317">
        <f t="shared" si="25"/>
        <v>2057</v>
      </c>
      <c r="C317">
        <f t="shared" si="25"/>
        <v>2057</v>
      </c>
      <c r="E317">
        <f t="shared" si="21"/>
        <v>2290</v>
      </c>
      <c r="F317" t="str" cm="1">
        <f t="array" ref="F317">INDEX('GMW - worst case'!$A$2:$MC$200,MATCH(1,('GMW - worst case'!$MC$2:$MC$200=F$3)*('GMW - worst case'!$MB$2:$MB$200=F$4),0),$E317-1973)</f>
        <v>NA</v>
      </c>
      <c r="G317" t="str" cm="1">
        <f t="array" ref="G317">INDEX('GMW - worst case'!$A$2:$MC$200,MATCH(1,('GMW - worst case'!$MC$2:$MC$200=G$3)*('GMW - worst case'!$MB$2:$MB$200=G$4),0),$E317-1973)</f>
        <v>NA</v>
      </c>
      <c r="H317" t="str" cm="1">
        <f t="array" ref="H317">INDEX('GMW - worst case'!$A$2:$MC$200,MATCH(1,('GMW - worst case'!$MC$2:$MC$200=H$3)*('GMW - worst case'!$MB$2:$MB$200=H$4),0),$E317-1973)</f>
        <v>NA</v>
      </c>
      <c r="I317" t="str" cm="1">
        <f t="array" ref="I317">INDEX('GMW - worst case'!$A$2:$MC$200,MATCH(1,('GMW - worst case'!$MC$2:$MC$200=I$3)*('GMW - worst case'!$MB$2:$MB$200=I$4),0),$E317-1973)</f>
        <v>NA</v>
      </c>
      <c r="J317" t="e" cm="1">
        <f t="array" ref="J317">INDEX('GMW - worst case'!$A$2:$MC$200,MATCH(1,('GMW - worst case'!$MC$2:$MC$200=J$3)*('GMW - worst case'!$MB$2:$MB$200=J$4),0),$E317-1973)</f>
        <v>#N/A</v>
      </c>
      <c r="K317" t="e" cm="1">
        <f t="array" ref="K317">INDEX('GMW - worst case'!$A$2:$MC$200,MATCH(1,('GMW - worst case'!$MC$2:$MC$200=K$3)*('GMW - worst case'!$MB$2:$MB$200=K$4),0),$E317-1973)</f>
        <v>#N/A</v>
      </c>
      <c r="L317" t="e" cm="1">
        <f t="array" ref="L317">INDEX('GMW - worst case'!$A$2:$MC$200,MATCH(1,('GMW - worst case'!$MC$2:$MC$200=L$3)*('GMW - worst case'!$MB$2:$MB$200=L$4),0),$E317-1973)</f>
        <v>#N/A</v>
      </c>
      <c r="M317" t="e" cm="1">
        <f t="array" ref="M317">INDEX('GMW - worst case'!$A$2:$MC$200,MATCH(1,('GMW - worst case'!$MC$2:$MC$200=M$3)*('GMW - worst case'!$MB$2:$MB$200=M$4),0),$E317-1973)</f>
        <v>#N/A</v>
      </c>
      <c r="N317" t="e" cm="1">
        <f t="array" ref="N317">INDEX('GMW - worst case'!$A$2:$MC$200,MATCH(1,('GMW - worst case'!$MC$2:$MC$200=N$3)*('GMW - worst case'!$MB$2:$MB$200=N$4),0),$E317-1973)</f>
        <v>#N/A</v>
      </c>
      <c r="O317" t="e" cm="1">
        <f t="array" ref="O317">INDEX('GMW - worst case'!$A$2:$MC$200,MATCH(1,('GMW - worst case'!$MC$2:$MC$200=O$3)*('GMW - worst case'!$MB$2:$MB$200=O$4),0),$E317-1973)</f>
        <v>#N/A</v>
      </c>
      <c r="P317" t="e" cm="1">
        <f t="array" ref="P317">INDEX('GMW - worst case'!$A$2:$MC$200,MATCH(1,('GMW - worst case'!$MC$2:$MC$200=P$3)*('GMW - worst case'!$MB$2:$MB$200=P$4),0),$E317-1973)</f>
        <v>#N/A</v>
      </c>
      <c r="Q317" t="e" cm="1">
        <f t="array" ref="Q317">INDEX('GMW - worst case'!$A$2:$MC$200,MATCH(1,('GMW - worst case'!$MC$2:$MC$200=Q$3)*('GMW - worst case'!$MB$2:$MB$200=Q$4),0),$E317-1973)</f>
        <v>#N/A</v>
      </c>
      <c r="R317" t="e" cm="1">
        <f t="array" ref="R317">INDEX('GMW - worst case'!$A$2:$MC$200,MATCH(1,('GMW - worst case'!$MC$2:$MC$200=R$3)*('GMW - worst case'!$MB$2:$MB$200=R$4),0),$E317-1973)</f>
        <v>#N/A</v>
      </c>
      <c r="S317" t="e" cm="1">
        <f t="array" ref="S317">INDEX('GMW - worst case'!$A$2:$MC$200,MATCH(1,('GMW - worst case'!$MC$2:$MC$200=S$3)*('GMW - worst case'!$MB$2:$MB$200=S$4),0),$E317-1973)</f>
        <v>#N/A</v>
      </c>
    </row>
    <row r="318" spans="1:19" x14ac:dyDescent="0.25">
      <c r="B318">
        <f t="shared" si="25"/>
        <v>2057</v>
      </c>
      <c r="C318">
        <f t="shared" si="25"/>
        <v>2057</v>
      </c>
      <c r="E318">
        <f t="shared" si="21"/>
        <v>2291</v>
      </c>
      <c r="F318" t="str" cm="1">
        <f t="array" ref="F318">INDEX('GMW - worst case'!$A$2:$MC$200,MATCH(1,('GMW - worst case'!$MC$2:$MC$200=F$3)*('GMW - worst case'!$MB$2:$MB$200=F$4),0),$E318-1973)</f>
        <v>NA</v>
      </c>
      <c r="G318" t="str" cm="1">
        <f t="array" ref="G318">INDEX('GMW - worst case'!$A$2:$MC$200,MATCH(1,('GMW - worst case'!$MC$2:$MC$200=G$3)*('GMW - worst case'!$MB$2:$MB$200=G$4),0),$E318-1973)</f>
        <v>NA</v>
      </c>
      <c r="H318" t="str" cm="1">
        <f t="array" ref="H318">INDEX('GMW - worst case'!$A$2:$MC$200,MATCH(1,('GMW - worst case'!$MC$2:$MC$200=H$3)*('GMW - worst case'!$MB$2:$MB$200=H$4),0),$E318-1973)</f>
        <v>NA</v>
      </c>
      <c r="I318" t="str" cm="1">
        <f t="array" ref="I318">INDEX('GMW - worst case'!$A$2:$MC$200,MATCH(1,('GMW - worst case'!$MC$2:$MC$200=I$3)*('GMW - worst case'!$MB$2:$MB$200=I$4),0),$E318-1973)</f>
        <v>NA</v>
      </c>
      <c r="J318" t="e" cm="1">
        <f t="array" ref="J318">INDEX('GMW - worst case'!$A$2:$MC$200,MATCH(1,('GMW - worst case'!$MC$2:$MC$200=J$3)*('GMW - worst case'!$MB$2:$MB$200=J$4),0),$E318-1973)</f>
        <v>#N/A</v>
      </c>
      <c r="K318" t="e" cm="1">
        <f t="array" ref="K318">INDEX('GMW - worst case'!$A$2:$MC$200,MATCH(1,('GMW - worst case'!$MC$2:$MC$200=K$3)*('GMW - worst case'!$MB$2:$MB$200=K$4),0),$E318-1973)</f>
        <v>#N/A</v>
      </c>
      <c r="L318" t="e" cm="1">
        <f t="array" ref="L318">INDEX('GMW - worst case'!$A$2:$MC$200,MATCH(1,('GMW - worst case'!$MC$2:$MC$200=L$3)*('GMW - worst case'!$MB$2:$MB$200=L$4),0),$E318-1973)</f>
        <v>#N/A</v>
      </c>
      <c r="M318" t="e" cm="1">
        <f t="array" ref="M318">INDEX('GMW - worst case'!$A$2:$MC$200,MATCH(1,('GMW - worst case'!$MC$2:$MC$200=M$3)*('GMW - worst case'!$MB$2:$MB$200=M$4),0),$E318-1973)</f>
        <v>#N/A</v>
      </c>
      <c r="N318" t="e" cm="1">
        <f t="array" ref="N318">INDEX('GMW - worst case'!$A$2:$MC$200,MATCH(1,('GMW - worst case'!$MC$2:$MC$200=N$3)*('GMW - worst case'!$MB$2:$MB$200=N$4),0),$E318-1973)</f>
        <v>#N/A</v>
      </c>
      <c r="O318" t="e" cm="1">
        <f t="array" ref="O318">INDEX('GMW - worst case'!$A$2:$MC$200,MATCH(1,('GMW - worst case'!$MC$2:$MC$200=O$3)*('GMW - worst case'!$MB$2:$MB$200=O$4),0),$E318-1973)</f>
        <v>#N/A</v>
      </c>
      <c r="P318" t="e" cm="1">
        <f t="array" ref="P318">INDEX('GMW - worst case'!$A$2:$MC$200,MATCH(1,('GMW - worst case'!$MC$2:$MC$200=P$3)*('GMW - worst case'!$MB$2:$MB$200=P$4),0),$E318-1973)</f>
        <v>#N/A</v>
      </c>
      <c r="Q318" t="e" cm="1">
        <f t="array" ref="Q318">INDEX('GMW - worst case'!$A$2:$MC$200,MATCH(1,('GMW - worst case'!$MC$2:$MC$200=Q$3)*('GMW - worst case'!$MB$2:$MB$200=Q$4),0),$E318-1973)</f>
        <v>#N/A</v>
      </c>
      <c r="R318" t="e" cm="1">
        <f t="array" ref="R318">INDEX('GMW - worst case'!$A$2:$MC$200,MATCH(1,('GMW - worst case'!$MC$2:$MC$200=R$3)*('GMW - worst case'!$MB$2:$MB$200=R$4),0),$E318-1973)</f>
        <v>#N/A</v>
      </c>
      <c r="S318" t="e" cm="1">
        <f t="array" ref="S318">INDEX('GMW - worst case'!$A$2:$MC$200,MATCH(1,('GMW - worst case'!$MC$2:$MC$200=S$3)*('GMW - worst case'!$MB$2:$MB$200=S$4),0),$E318-1973)</f>
        <v>#N/A</v>
      </c>
    </row>
    <row r="319" spans="1:19" x14ac:dyDescent="0.25">
      <c r="A319">
        <v>2058</v>
      </c>
      <c r="B319">
        <f t="shared" si="25"/>
        <v>2058</v>
      </c>
      <c r="C319">
        <f t="shared" si="25"/>
        <v>2057</v>
      </c>
      <c r="D319">
        <f t="shared" si="25"/>
        <v>2057</v>
      </c>
      <c r="E319">
        <f t="shared" si="21"/>
        <v>2292</v>
      </c>
      <c r="F319" t="str" cm="1">
        <f t="array" ref="F319">INDEX('GMW - worst case'!$A$2:$MC$200,MATCH(1,('GMW - worst case'!$MC$2:$MC$200=F$3)*('GMW - worst case'!$MB$2:$MB$200=F$4),0),$E319-1973)</f>
        <v>NA</v>
      </c>
      <c r="G319" t="str" cm="1">
        <f t="array" ref="G319">INDEX('GMW - worst case'!$A$2:$MC$200,MATCH(1,('GMW - worst case'!$MC$2:$MC$200=G$3)*('GMW - worst case'!$MB$2:$MB$200=G$4),0),$E319-1973)</f>
        <v>NA</v>
      </c>
      <c r="H319" t="str" cm="1">
        <f t="array" ref="H319">INDEX('GMW - worst case'!$A$2:$MC$200,MATCH(1,('GMW - worst case'!$MC$2:$MC$200=H$3)*('GMW - worst case'!$MB$2:$MB$200=H$4),0),$E319-1973)</f>
        <v>NA</v>
      </c>
      <c r="I319" t="str" cm="1">
        <f t="array" ref="I319">INDEX('GMW - worst case'!$A$2:$MC$200,MATCH(1,('GMW - worst case'!$MC$2:$MC$200=I$3)*('GMW - worst case'!$MB$2:$MB$200=I$4),0),$E319-1973)</f>
        <v>NA</v>
      </c>
      <c r="J319" t="e" cm="1">
        <f t="array" ref="J319">INDEX('GMW - worst case'!$A$2:$MC$200,MATCH(1,('GMW - worst case'!$MC$2:$MC$200=J$3)*('GMW - worst case'!$MB$2:$MB$200=J$4),0),$E319-1973)</f>
        <v>#N/A</v>
      </c>
      <c r="K319" t="e" cm="1">
        <f t="array" ref="K319">INDEX('GMW - worst case'!$A$2:$MC$200,MATCH(1,('GMW - worst case'!$MC$2:$MC$200=K$3)*('GMW - worst case'!$MB$2:$MB$200=K$4),0),$E319-1973)</f>
        <v>#N/A</v>
      </c>
      <c r="L319" t="e" cm="1">
        <f t="array" ref="L319">INDEX('GMW - worst case'!$A$2:$MC$200,MATCH(1,('GMW - worst case'!$MC$2:$MC$200=L$3)*('GMW - worst case'!$MB$2:$MB$200=L$4),0),$E319-1973)</f>
        <v>#N/A</v>
      </c>
      <c r="M319" t="e" cm="1">
        <f t="array" ref="M319">INDEX('GMW - worst case'!$A$2:$MC$200,MATCH(1,('GMW - worst case'!$MC$2:$MC$200=M$3)*('GMW - worst case'!$MB$2:$MB$200=M$4),0),$E319-1973)</f>
        <v>#N/A</v>
      </c>
      <c r="N319" t="e" cm="1">
        <f t="array" ref="N319">INDEX('GMW - worst case'!$A$2:$MC$200,MATCH(1,('GMW - worst case'!$MC$2:$MC$200=N$3)*('GMW - worst case'!$MB$2:$MB$200=N$4),0),$E319-1973)</f>
        <v>#N/A</v>
      </c>
      <c r="O319" t="e" cm="1">
        <f t="array" ref="O319">INDEX('GMW - worst case'!$A$2:$MC$200,MATCH(1,('GMW - worst case'!$MC$2:$MC$200=O$3)*('GMW - worst case'!$MB$2:$MB$200=O$4),0),$E319-1973)</f>
        <v>#N/A</v>
      </c>
      <c r="P319" t="e" cm="1">
        <f t="array" ref="P319">INDEX('GMW - worst case'!$A$2:$MC$200,MATCH(1,('GMW - worst case'!$MC$2:$MC$200=P$3)*('GMW - worst case'!$MB$2:$MB$200=P$4),0),$E319-1973)</f>
        <v>#N/A</v>
      </c>
      <c r="Q319" t="e" cm="1">
        <f t="array" ref="Q319">INDEX('GMW - worst case'!$A$2:$MC$200,MATCH(1,('GMW - worst case'!$MC$2:$MC$200=Q$3)*('GMW - worst case'!$MB$2:$MB$200=Q$4),0),$E319-1973)</f>
        <v>#N/A</v>
      </c>
      <c r="R319" t="e" cm="1">
        <f t="array" ref="R319">INDEX('GMW - worst case'!$A$2:$MC$200,MATCH(1,('GMW - worst case'!$MC$2:$MC$200=R$3)*('GMW - worst case'!$MB$2:$MB$200=R$4),0),$E319-1973)</f>
        <v>#N/A</v>
      </c>
      <c r="S319" t="e" cm="1">
        <f t="array" ref="S319">INDEX('GMW - worst case'!$A$2:$MC$200,MATCH(1,('GMW - worst case'!$MC$2:$MC$200=S$3)*('GMW - worst case'!$MB$2:$MB$200=S$4),0),$E319-1973)</f>
        <v>#N/A</v>
      </c>
    </row>
    <row r="320" spans="1:19" x14ac:dyDescent="0.25">
      <c r="B320">
        <f t="shared" si="25"/>
        <v>2058</v>
      </c>
      <c r="C320">
        <f t="shared" si="25"/>
        <v>2058</v>
      </c>
      <c r="E320">
        <f t="shared" si="21"/>
        <v>2293</v>
      </c>
      <c r="F320" t="str" cm="1">
        <f t="array" ref="F320">INDEX('GMW - worst case'!$A$2:$MC$200,MATCH(1,('GMW - worst case'!$MC$2:$MC$200=F$3)*('GMW - worst case'!$MB$2:$MB$200=F$4),0),$E320-1973)</f>
        <v>NA</v>
      </c>
      <c r="G320" t="str" cm="1">
        <f t="array" ref="G320">INDEX('GMW - worst case'!$A$2:$MC$200,MATCH(1,('GMW - worst case'!$MC$2:$MC$200=G$3)*('GMW - worst case'!$MB$2:$MB$200=G$4),0),$E320-1973)</f>
        <v>NA</v>
      </c>
      <c r="H320" t="str" cm="1">
        <f t="array" ref="H320">INDEX('GMW - worst case'!$A$2:$MC$200,MATCH(1,('GMW - worst case'!$MC$2:$MC$200=H$3)*('GMW - worst case'!$MB$2:$MB$200=H$4),0),$E320-1973)</f>
        <v>NA</v>
      </c>
      <c r="I320" t="str" cm="1">
        <f t="array" ref="I320">INDEX('GMW - worst case'!$A$2:$MC$200,MATCH(1,('GMW - worst case'!$MC$2:$MC$200=I$3)*('GMW - worst case'!$MB$2:$MB$200=I$4),0),$E320-1973)</f>
        <v>NA</v>
      </c>
      <c r="J320" t="e" cm="1">
        <f t="array" ref="J320">INDEX('GMW - worst case'!$A$2:$MC$200,MATCH(1,('GMW - worst case'!$MC$2:$MC$200=J$3)*('GMW - worst case'!$MB$2:$MB$200=J$4),0),$E320-1973)</f>
        <v>#N/A</v>
      </c>
      <c r="K320" t="e" cm="1">
        <f t="array" ref="K320">INDEX('GMW - worst case'!$A$2:$MC$200,MATCH(1,('GMW - worst case'!$MC$2:$MC$200=K$3)*('GMW - worst case'!$MB$2:$MB$200=K$4),0),$E320-1973)</f>
        <v>#N/A</v>
      </c>
      <c r="L320" t="e" cm="1">
        <f t="array" ref="L320">INDEX('GMW - worst case'!$A$2:$MC$200,MATCH(1,('GMW - worst case'!$MC$2:$MC$200=L$3)*('GMW - worst case'!$MB$2:$MB$200=L$4),0),$E320-1973)</f>
        <v>#N/A</v>
      </c>
      <c r="M320" t="e" cm="1">
        <f t="array" ref="M320">INDEX('GMW - worst case'!$A$2:$MC$200,MATCH(1,('GMW - worst case'!$MC$2:$MC$200=M$3)*('GMW - worst case'!$MB$2:$MB$200=M$4),0),$E320-1973)</f>
        <v>#N/A</v>
      </c>
      <c r="N320" t="e" cm="1">
        <f t="array" ref="N320">INDEX('GMW - worst case'!$A$2:$MC$200,MATCH(1,('GMW - worst case'!$MC$2:$MC$200=N$3)*('GMW - worst case'!$MB$2:$MB$200=N$4),0),$E320-1973)</f>
        <v>#N/A</v>
      </c>
      <c r="O320" t="e" cm="1">
        <f t="array" ref="O320">INDEX('GMW - worst case'!$A$2:$MC$200,MATCH(1,('GMW - worst case'!$MC$2:$MC$200=O$3)*('GMW - worst case'!$MB$2:$MB$200=O$4),0),$E320-1973)</f>
        <v>#N/A</v>
      </c>
      <c r="P320" t="e" cm="1">
        <f t="array" ref="P320">INDEX('GMW - worst case'!$A$2:$MC$200,MATCH(1,('GMW - worst case'!$MC$2:$MC$200=P$3)*('GMW - worst case'!$MB$2:$MB$200=P$4),0),$E320-1973)</f>
        <v>#N/A</v>
      </c>
      <c r="Q320" t="e" cm="1">
        <f t="array" ref="Q320">INDEX('GMW - worst case'!$A$2:$MC$200,MATCH(1,('GMW - worst case'!$MC$2:$MC$200=Q$3)*('GMW - worst case'!$MB$2:$MB$200=Q$4),0),$E320-1973)</f>
        <v>#N/A</v>
      </c>
      <c r="R320" t="e" cm="1">
        <f t="array" ref="R320">INDEX('GMW - worst case'!$A$2:$MC$200,MATCH(1,('GMW - worst case'!$MC$2:$MC$200=R$3)*('GMW - worst case'!$MB$2:$MB$200=R$4),0),$E320-1973)</f>
        <v>#N/A</v>
      </c>
      <c r="S320" t="e" cm="1">
        <f t="array" ref="S320">INDEX('GMW - worst case'!$A$2:$MC$200,MATCH(1,('GMW - worst case'!$MC$2:$MC$200=S$3)*('GMW - worst case'!$MB$2:$MB$200=S$4),0),$E320-1973)</f>
        <v>#N/A</v>
      </c>
    </row>
    <row r="321" spans="1:19" x14ac:dyDescent="0.25">
      <c r="B321">
        <f t="shared" si="25"/>
        <v>2058</v>
      </c>
      <c r="C321">
        <f t="shared" si="25"/>
        <v>2058</v>
      </c>
      <c r="E321">
        <f t="shared" si="21"/>
        <v>2294</v>
      </c>
      <c r="F321" t="str" cm="1">
        <f t="array" ref="F321">INDEX('GMW - worst case'!$A$2:$MC$200,MATCH(1,('GMW - worst case'!$MC$2:$MC$200=F$3)*('GMW - worst case'!$MB$2:$MB$200=F$4),0),$E321-1973)</f>
        <v>NA</v>
      </c>
      <c r="G321" t="str" cm="1">
        <f t="array" ref="G321">INDEX('GMW - worst case'!$A$2:$MC$200,MATCH(1,('GMW - worst case'!$MC$2:$MC$200=G$3)*('GMW - worst case'!$MB$2:$MB$200=G$4),0),$E321-1973)</f>
        <v>NA</v>
      </c>
      <c r="H321" t="str" cm="1">
        <f t="array" ref="H321">INDEX('GMW - worst case'!$A$2:$MC$200,MATCH(1,('GMW - worst case'!$MC$2:$MC$200=H$3)*('GMW - worst case'!$MB$2:$MB$200=H$4),0),$E321-1973)</f>
        <v>NA</v>
      </c>
      <c r="I321" t="str" cm="1">
        <f t="array" ref="I321">INDEX('GMW - worst case'!$A$2:$MC$200,MATCH(1,('GMW - worst case'!$MC$2:$MC$200=I$3)*('GMW - worst case'!$MB$2:$MB$200=I$4),0),$E321-1973)</f>
        <v>NA</v>
      </c>
      <c r="J321" t="e" cm="1">
        <f t="array" ref="J321">INDEX('GMW - worst case'!$A$2:$MC$200,MATCH(1,('GMW - worst case'!$MC$2:$MC$200=J$3)*('GMW - worst case'!$MB$2:$MB$200=J$4),0),$E321-1973)</f>
        <v>#N/A</v>
      </c>
      <c r="K321" t="e" cm="1">
        <f t="array" ref="K321">INDEX('GMW - worst case'!$A$2:$MC$200,MATCH(1,('GMW - worst case'!$MC$2:$MC$200=K$3)*('GMW - worst case'!$MB$2:$MB$200=K$4),0),$E321-1973)</f>
        <v>#N/A</v>
      </c>
      <c r="L321" t="e" cm="1">
        <f t="array" ref="L321">INDEX('GMW - worst case'!$A$2:$MC$200,MATCH(1,('GMW - worst case'!$MC$2:$MC$200=L$3)*('GMW - worst case'!$MB$2:$MB$200=L$4),0),$E321-1973)</f>
        <v>#N/A</v>
      </c>
      <c r="M321" t="e" cm="1">
        <f t="array" ref="M321">INDEX('GMW - worst case'!$A$2:$MC$200,MATCH(1,('GMW - worst case'!$MC$2:$MC$200=M$3)*('GMW - worst case'!$MB$2:$MB$200=M$4),0),$E321-1973)</f>
        <v>#N/A</v>
      </c>
      <c r="N321" t="e" cm="1">
        <f t="array" ref="N321">INDEX('GMW - worst case'!$A$2:$MC$200,MATCH(1,('GMW - worst case'!$MC$2:$MC$200=N$3)*('GMW - worst case'!$MB$2:$MB$200=N$4),0),$E321-1973)</f>
        <v>#N/A</v>
      </c>
      <c r="O321" t="e" cm="1">
        <f t="array" ref="O321">INDEX('GMW - worst case'!$A$2:$MC$200,MATCH(1,('GMW - worst case'!$MC$2:$MC$200=O$3)*('GMW - worst case'!$MB$2:$MB$200=O$4),0),$E321-1973)</f>
        <v>#N/A</v>
      </c>
      <c r="P321" t="e" cm="1">
        <f t="array" ref="P321">INDEX('GMW - worst case'!$A$2:$MC$200,MATCH(1,('GMW - worst case'!$MC$2:$MC$200=P$3)*('GMW - worst case'!$MB$2:$MB$200=P$4),0),$E321-1973)</f>
        <v>#N/A</v>
      </c>
      <c r="Q321" t="e" cm="1">
        <f t="array" ref="Q321">INDEX('GMW - worst case'!$A$2:$MC$200,MATCH(1,('GMW - worst case'!$MC$2:$MC$200=Q$3)*('GMW - worst case'!$MB$2:$MB$200=Q$4),0),$E321-1973)</f>
        <v>#N/A</v>
      </c>
      <c r="R321" t="e" cm="1">
        <f t="array" ref="R321">INDEX('GMW - worst case'!$A$2:$MC$200,MATCH(1,('GMW - worst case'!$MC$2:$MC$200=R$3)*('GMW - worst case'!$MB$2:$MB$200=R$4),0),$E321-1973)</f>
        <v>#N/A</v>
      </c>
      <c r="S321" t="e" cm="1">
        <f t="array" ref="S321">INDEX('GMW - worst case'!$A$2:$MC$200,MATCH(1,('GMW - worst case'!$MC$2:$MC$200=S$3)*('GMW - worst case'!$MB$2:$MB$200=S$4),0),$E321-1973)</f>
        <v>#N/A</v>
      </c>
    </row>
    <row r="322" spans="1:19" x14ac:dyDescent="0.25">
      <c r="B322">
        <f t="shared" si="25"/>
        <v>2058</v>
      </c>
      <c r="C322">
        <f t="shared" si="25"/>
        <v>2058</v>
      </c>
      <c r="E322">
        <f t="shared" si="21"/>
        <v>2295</v>
      </c>
      <c r="F322" t="str" cm="1">
        <f t="array" ref="F322">INDEX('GMW - worst case'!$A$2:$MC$200,MATCH(1,('GMW - worst case'!$MC$2:$MC$200=F$3)*('GMW - worst case'!$MB$2:$MB$200=F$4),0),$E322-1973)</f>
        <v>NA</v>
      </c>
      <c r="G322" t="str" cm="1">
        <f t="array" ref="G322">INDEX('GMW - worst case'!$A$2:$MC$200,MATCH(1,('GMW - worst case'!$MC$2:$MC$200=G$3)*('GMW - worst case'!$MB$2:$MB$200=G$4),0),$E322-1973)</f>
        <v>NA</v>
      </c>
      <c r="H322" t="str" cm="1">
        <f t="array" ref="H322">INDEX('GMW - worst case'!$A$2:$MC$200,MATCH(1,('GMW - worst case'!$MC$2:$MC$200=H$3)*('GMW - worst case'!$MB$2:$MB$200=H$4),0),$E322-1973)</f>
        <v>NA</v>
      </c>
      <c r="I322" t="str" cm="1">
        <f t="array" ref="I322">INDEX('GMW - worst case'!$A$2:$MC$200,MATCH(1,('GMW - worst case'!$MC$2:$MC$200=I$3)*('GMW - worst case'!$MB$2:$MB$200=I$4),0),$E322-1973)</f>
        <v>NA</v>
      </c>
      <c r="J322" t="e" cm="1">
        <f t="array" ref="J322">INDEX('GMW - worst case'!$A$2:$MC$200,MATCH(1,('GMW - worst case'!$MC$2:$MC$200=J$3)*('GMW - worst case'!$MB$2:$MB$200=J$4),0),$E322-1973)</f>
        <v>#N/A</v>
      </c>
      <c r="K322" t="e" cm="1">
        <f t="array" ref="K322">INDEX('GMW - worst case'!$A$2:$MC$200,MATCH(1,('GMW - worst case'!$MC$2:$MC$200=K$3)*('GMW - worst case'!$MB$2:$MB$200=K$4),0),$E322-1973)</f>
        <v>#N/A</v>
      </c>
      <c r="L322" t="e" cm="1">
        <f t="array" ref="L322">INDEX('GMW - worst case'!$A$2:$MC$200,MATCH(1,('GMW - worst case'!$MC$2:$MC$200=L$3)*('GMW - worst case'!$MB$2:$MB$200=L$4),0),$E322-1973)</f>
        <v>#N/A</v>
      </c>
      <c r="M322" t="e" cm="1">
        <f t="array" ref="M322">INDEX('GMW - worst case'!$A$2:$MC$200,MATCH(1,('GMW - worst case'!$MC$2:$MC$200=M$3)*('GMW - worst case'!$MB$2:$MB$200=M$4),0),$E322-1973)</f>
        <v>#N/A</v>
      </c>
      <c r="N322" t="e" cm="1">
        <f t="array" ref="N322">INDEX('GMW - worst case'!$A$2:$MC$200,MATCH(1,('GMW - worst case'!$MC$2:$MC$200=N$3)*('GMW - worst case'!$MB$2:$MB$200=N$4),0),$E322-1973)</f>
        <v>#N/A</v>
      </c>
      <c r="O322" t="e" cm="1">
        <f t="array" ref="O322">INDEX('GMW - worst case'!$A$2:$MC$200,MATCH(1,('GMW - worst case'!$MC$2:$MC$200=O$3)*('GMW - worst case'!$MB$2:$MB$200=O$4),0),$E322-1973)</f>
        <v>#N/A</v>
      </c>
      <c r="P322" t="e" cm="1">
        <f t="array" ref="P322">INDEX('GMW - worst case'!$A$2:$MC$200,MATCH(1,('GMW - worst case'!$MC$2:$MC$200=P$3)*('GMW - worst case'!$MB$2:$MB$200=P$4),0),$E322-1973)</f>
        <v>#N/A</v>
      </c>
      <c r="Q322" t="e" cm="1">
        <f t="array" ref="Q322">INDEX('GMW - worst case'!$A$2:$MC$200,MATCH(1,('GMW - worst case'!$MC$2:$MC$200=Q$3)*('GMW - worst case'!$MB$2:$MB$200=Q$4),0),$E322-1973)</f>
        <v>#N/A</v>
      </c>
      <c r="R322" t="e" cm="1">
        <f t="array" ref="R322">INDEX('GMW - worst case'!$A$2:$MC$200,MATCH(1,('GMW - worst case'!$MC$2:$MC$200=R$3)*('GMW - worst case'!$MB$2:$MB$200=R$4),0),$E322-1973)</f>
        <v>#N/A</v>
      </c>
      <c r="S322" t="e" cm="1">
        <f t="array" ref="S322">INDEX('GMW - worst case'!$A$2:$MC$200,MATCH(1,('GMW - worst case'!$MC$2:$MC$200=S$3)*('GMW - worst case'!$MB$2:$MB$200=S$4),0),$E322-1973)</f>
        <v>#N/A</v>
      </c>
    </row>
    <row r="323" spans="1:19" x14ac:dyDescent="0.25">
      <c r="A323">
        <v>2059</v>
      </c>
      <c r="B323">
        <f t="shared" si="25"/>
        <v>2059</v>
      </c>
      <c r="C323">
        <f t="shared" si="25"/>
        <v>2058</v>
      </c>
      <c r="D323">
        <f t="shared" si="25"/>
        <v>2058</v>
      </c>
      <c r="E323">
        <f t="shared" si="21"/>
        <v>2296</v>
      </c>
      <c r="F323" t="str" cm="1">
        <f t="array" ref="F323">INDEX('GMW - worst case'!$A$2:$MC$200,MATCH(1,('GMW - worst case'!$MC$2:$MC$200=F$3)*('GMW - worst case'!$MB$2:$MB$200=F$4),0),$E323-1973)</f>
        <v>NA</v>
      </c>
      <c r="G323" t="str" cm="1">
        <f t="array" ref="G323">INDEX('GMW - worst case'!$A$2:$MC$200,MATCH(1,('GMW - worst case'!$MC$2:$MC$200=G$3)*('GMW - worst case'!$MB$2:$MB$200=G$4),0),$E323-1973)</f>
        <v>NA</v>
      </c>
      <c r="H323" t="str" cm="1">
        <f t="array" ref="H323">INDEX('GMW - worst case'!$A$2:$MC$200,MATCH(1,('GMW - worst case'!$MC$2:$MC$200=H$3)*('GMW - worst case'!$MB$2:$MB$200=H$4),0),$E323-1973)</f>
        <v>NA</v>
      </c>
      <c r="I323" t="str" cm="1">
        <f t="array" ref="I323">INDEX('GMW - worst case'!$A$2:$MC$200,MATCH(1,('GMW - worst case'!$MC$2:$MC$200=I$3)*('GMW - worst case'!$MB$2:$MB$200=I$4),0),$E323-1973)</f>
        <v>NA</v>
      </c>
      <c r="J323" t="e" cm="1">
        <f t="array" ref="J323">INDEX('GMW - worst case'!$A$2:$MC$200,MATCH(1,('GMW - worst case'!$MC$2:$MC$200=J$3)*('GMW - worst case'!$MB$2:$MB$200=J$4),0),$E323-1973)</f>
        <v>#N/A</v>
      </c>
      <c r="K323" t="e" cm="1">
        <f t="array" ref="K323">INDEX('GMW - worst case'!$A$2:$MC$200,MATCH(1,('GMW - worst case'!$MC$2:$MC$200=K$3)*('GMW - worst case'!$MB$2:$MB$200=K$4),0),$E323-1973)</f>
        <v>#N/A</v>
      </c>
      <c r="L323" t="e" cm="1">
        <f t="array" ref="L323">INDEX('GMW - worst case'!$A$2:$MC$200,MATCH(1,('GMW - worst case'!$MC$2:$MC$200=L$3)*('GMW - worst case'!$MB$2:$MB$200=L$4),0),$E323-1973)</f>
        <v>#N/A</v>
      </c>
      <c r="M323" t="e" cm="1">
        <f t="array" ref="M323">INDEX('GMW - worst case'!$A$2:$MC$200,MATCH(1,('GMW - worst case'!$MC$2:$MC$200=M$3)*('GMW - worst case'!$MB$2:$MB$200=M$4),0),$E323-1973)</f>
        <v>#N/A</v>
      </c>
      <c r="N323" t="e" cm="1">
        <f t="array" ref="N323">INDEX('GMW - worst case'!$A$2:$MC$200,MATCH(1,('GMW - worst case'!$MC$2:$MC$200=N$3)*('GMW - worst case'!$MB$2:$MB$200=N$4),0),$E323-1973)</f>
        <v>#N/A</v>
      </c>
      <c r="O323" t="e" cm="1">
        <f t="array" ref="O323">INDEX('GMW - worst case'!$A$2:$MC$200,MATCH(1,('GMW - worst case'!$MC$2:$MC$200=O$3)*('GMW - worst case'!$MB$2:$MB$200=O$4),0),$E323-1973)</f>
        <v>#N/A</v>
      </c>
      <c r="P323" t="e" cm="1">
        <f t="array" ref="P323">INDEX('GMW - worst case'!$A$2:$MC$200,MATCH(1,('GMW - worst case'!$MC$2:$MC$200=P$3)*('GMW - worst case'!$MB$2:$MB$200=P$4),0),$E323-1973)</f>
        <v>#N/A</v>
      </c>
      <c r="Q323" t="e" cm="1">
        <f t="array" ref="Q323">INDEX('GMW - worst case'!$A$2:$MC$200,MATCH(1,('GMW - worst case'!$MC$2:$MC$200=Q$3)*('GMW - worst case'!$MB$2:$MB$200=Q$4),0),$E323-1973)</f>
        <v>#N/A</v>
      </c>
      <c r="R323" t="e" cm="1">
        <f t="array" ref="R323">INDEX('GMW - worst case'!$A$2:$MC$200,MATCH(1,('GMW - worst case'!$MC$2:$MC$200=R$3)*('GMW - worst case'!$MB$2:$MB$200=R$4),0),$E323-1973)</f>
        <v>#N/A</v>
      </c>
      <c r="S323" t="e" cm="1">
        <f t="array" ref="S323">INDEX('GMW - worst case'!$A$2:$MC$200,MATCH(1,('GMW - worst case'!$MC$2:$MC$200=S$3)*('GMW - worst case'!$MB$2:$MB$200=S$4),0),$E323-1973)</f>
        <v>#N/A</v>
      </c>
    </row>
    <row r="324" spans="1:19" x14ac:dyDescent="0.25">
      <c r="B324">
        <f t="shared" si="25"/>
        <v>2059</v>
      </c>
      <c r="C324">
        <f t="shared" si="25"/>
        <v>2059</v>
      </c>
      <c r="E324">
        <f t="shared" si="21"/>
        <v>2297</v>
      </c>
      <c r="F324" t="str" cm="1">
        <f t="array" ref="F324">INDEX('GMW - worst case'!$A$2:$MC$200,MATCH(1,('GMW - worst case'!$MC$2:$MC$200=F$3)*('GMW - worst case'!$MB$2:$MB$200=F$4),0),$E324-1973)</f>
        <v>NA</v>
      </c>
      <c r="G324" t="str" cm="1">
        <f t="array" ref="G324">INDEX('GMW - worst case'!$A$2:$MC$200,MATCH(1,('GMW - worst case'!$MC$2:$MC$200=G$3)*('GMW - worst case'!$MB$2:$MB$200=G$4),0),$E324-1973)</f>
        <v>NA</v>
      </c>
      <c r="H324" t="str" cm="1">
        <f t="array" ref="H324">INDEX('GMW - worst case'!$A$2:$MC$200,MATCH(1,('GMW - worst case'!$MC$2:$MC$200=H$3)*('GMW - worst case'!$MB$2:$MB$200=H$4),0),$E324-1973)</f>
        <v>NA</v>
      </c>
      <c r="I324" t="str" cm="1">
        <f t="array" ref="I324">INDEX('GMW - worst case'!$A$2:$MC$200,MATCH(1,('GMW - worst case'!$MC$2:$MC$200=I$3)*('GMW - worst case'!$MB$2:$MB$200=I$4),0),$E324-1973)</f>
        <v>NA</v>
      </c>
      <c r="J324" t="e" cm="1">
        <f t="array" ref="J324">INDEX('GMW - worst case'!$A$2:$MC$200,MATCH(1,('GMW - worst case'!$MC$2:$MC$200=J$3)*('GMW - worst case'!$MB$2:$MB$200=J$4),0),$E324-1973)</f>
        <v>#N/A</v>
      </c>
      <c r="K324" t="e" cm="1">
        <f t="array" ref="K324">INDEX('GMW - worst case'!$A$2:$MC$200,MATCH(1,('GMW - worst case'!$MC$2:$MC$200=K$3)*('GMW - worst case'!$MB$2:$MB$200=K$4),0),$E324-1973)</f>
        <v>#N/A</v>
      </c>
      <c r="L324" t="e" cm="1">
        <f t="array" ref="L324">INDEX('GMW - worst case'!$A$2:$MC$200,MATCH(1,('GMW - worst case'!$MC$2:$MC$200=L$3)*('GMW - worst case'!$MB$2:$MB$200=L$4),0),$E324-1973)</f>
        <v>#N/A</v>
      </c>
      <c r="M324" t="e" cm="1">
        <f t="array" ref="M324">INDEX('GMW - worst case'!$A$2:$MC$200,MATCH(1,('GMW - worst case'!$MC$2:$MC$200=M$3)*('GMW - worst case'!$MB$2:$MB$200=M$4),0),$E324-1973)</f>
        <v>#N/A</v>
      </c>
      <c r="N324" t="e" cm="1">
        <f t="array" ref="N324">INDEX('GMW - worst case'!$A$2:$MC$200,MATCH(1,('GMW - worst case'!$MC$2:$MC$200=N$3)*('GMW - worst case'!$MB$2:$MB$200=N$4),0),$E324-1973)</f>
        <v>#N/A</v>
      </c>
      <c r="O324" t="e" cm="1">
        <f t="array" ref="O324">INDEX('GMW - worst case'!$A$2:$MC$200,MATCH(1,('GMW - worst case'!$MC$2:$MC$200=O$3)*('GMW - worst case'!$MB$2:$MB$200=O$4),0),$E324-1973)</f>
        <v>#N/A</v>
      </c>
      <c r="P324" t="e" cm="1">
        <f t="array" ref="P324">INDEX('GMW - worst case'!$A$2:$MC$200,MATCH(1,('GMW - worst case'!$MC$2:$MC$200=P$3)*('GMW - worst case'!$MB$2:$MB$200=P$4),0),$E324-1973)</f>
        <v>#N/A</v>
      </c>
      <c r="Q324" t="e" cm="1">
        <f t="array" ref="Q324">INDEX('GMW - worst case'!$A$2:$MC$200,MATCH(1,('GMW - worst case'!$MC$2:$MC$200=Q$3)*('GMW - worst case'!$MB$2:$MB$200=Q$4),0),$E324-1973)</f>
        <v>#N/A</v>
      </c>
      <c r="R324" t="e" cm="1">
        <f t="array" ref="R324">INDEX('GMW - worst case'!$A$2:$MC$200,MATCH(1,('GMW - worst case'!$MC$2:$MC$200=R$3)*('GMW - worst case'!$MB$2:$MB$200=R$4),0),$E324-1973)</f>
        <v>#N/A</v>
      </c>
      <c r="S324" t="e" cm="1">
        <f t="array" ref="S324">INDEX('GMW - worst case'!$A$2:$MC$200,MATCH(1,('GMW - worst case'!$MC$2:$MC$200=S$3)*('GMW - worst case'!$MB$2:$MB$200=S$4),0),$E324-1973)</f>
        <v>#N/A</v>
      </c>
    </row>
    <row r="325" spans="1:19" x14ac:dyDescent="0.25">
      <c r="B325">
        <f t="shared" si="25"/>
        <v>2059</v>
      </c>
      <c r="C325">
        <f t="shared" si="25"/>
        <v>2059</v>
      </c>
      <c r="E325">
        <f t="shared" si="21"/>
        <v>2298</v>
      </c>
      <c r="F325" t="str" cm="1">
        <f t="array" ref="F325">INDEX('GMW - worst case'!$A$2:$MC$200,MATCH(1,('GMW - worst case'!$MC$2:$MC$200=F$3)*('GMW - worst case'!$MB$2:$MB$200=F$4),0),$E325-1973)</f>
        <v>NA</v>
      </c>
      <c r="G325" t="str" cm="1">
        <f t="array" ref="G325">INDEX('GMW - worst case'!$A$2:$MC$200,MATCH(1,('GMW - worst case'!$MC$2:$MC$200=G$3)*('GMW - worst case'!$MB$2:$MB$200=G$4),0),$E325-1973)</f>
        <v>NA</v>
      </c>
      <c r="H325" t="str" cm="1">
        <f t="array" ref="H325">INDEX('GMW - worst case'!$A$2:$MC$200,MATCH(1,('GMW - worst case'!$MC$2:$MC$200=H$3)*('GMW - worst case'!$MB$2:$MB$200=H$4),0),$E325-1973)</f>
        <v>NA</v>
      </c>
      <c r="I325" t="str" cm="1">
        <f t="array" ref="I325">INDEX('GMW - worst case'!$A$2:$MC$200,MATCH(1,('GMW - worst case'!$MC$2:$MC$200=I$3)*('GMW - worst case'!$MB$2:$MB$200=I$4),0),$E325-1973)</f>
        <v>NA</v>
      </c>
      <c r="J325" t="e" cm="1">
        <f t="array" ref="J325">INDEX('GMW - worst case'!$A$2:$MC$200,MATCH(1,('GMW - worst case'!$MC$2:$MC$200=J$3)*('GMW - worst case'!$MB$2:$MB$200=J$4),0),$E325-1973)</f>
        <v>#N/A</v>
      </c>
      <c r="K325" t="e" cm="1">
        <f t="array" ref="K325">INDEX('GMW - worst case'!$A$2:$MC$200,MATCH(1,('GMW - worst case'!$MC$2:$MC$200=K$3)*('GMW - worst case'!$MB$2:$MB$200=K$4),0),$E325-1973)</f>
        <v>#N/A</v>
      </c>
      <c r="L325" t="e" cm="1">
        <f t="array" ref="L325">INDEX('GMW - worst case'!$A$2:$MC$200,MATCH(1,('GMW - worst case'!$MC$2:$MC$200=L$3)*('GMW - worst case'!$MB$2:$MB$200=L$4),0),$E325-1973)</f>
        <v>#N/A</v>
      </c>
      <c r="M325" t="e" cm="1">
        <f t="array" ref="M325">INDEX('GMW - worst case'!$A$2:$MC$200,MATCH(1,('GMW - worst case'!$MC$2:$MC$200=M$3)*('GMW - worst case'!$MB$2:$MB$200=M$4),0),$E325-1973)</f>
        <v>#N/A</v>
      </c>
      <c r="N325" t="e" cm="1">
        <f t="array" ref="N325">INDEX('GMW - worst case'!$A$2:$MC$200,MATCH(1,('GMW - worst case'!$MC$2:$MC$200=N$3)*('GMW - worst case'!$MB$2:$MB$200=N$4),0),$E325-1973)</f>
        <v>#N/A</v>
      </c>
      <c r="O325" t="e" cm="1">
        <f t="array" ref="O325">INDEX('GMW - worst case'!$A$2:$MC$200,MATCH(1,('GMW - worst case'!$MC$2:$MC$200=O$3)*('GMW - worst case'!$MB$2:$MB$200=O$4),0),$E325-1973)</f>
        <v>#N/A</v>
      </c>
      <c r="P325" t="e" cm="1">
        <f t="array" ref="P325">INDEX('GMW - worst case'!$A$2:$MC$200,MATCH(1,('GMW - worst case'!$MC$2:$MC$200=P$3)*('GMW - worst case'!$MB$2:$MB$200=P$4),0),$E325-1973)</f>
        <v>#N/A</v>
      </c>
      <c r="Q325" t="e" cm="1">
        <f t="array" ref="Q325">INDEX('GMW - worst case'!$A$2:$MC$200,MATCH(1,('GMW - worst case'!$MC$2:$MC$200=Q$3)*('GMW - worst case'!$MB$2:$MB$200=Q$4),0),$E325-1973)</f>
        <v>#N/A</v>
      </c>
      <c r="R325" t="e" cm="1">
        <f t="array" ref="R325">INDEX('GMW - worst case'!$A$2:$MC$200,MATCH(1,('GMW - worst case'!$MC$2:$MC$200=R$3)*('GMW - worst case'!$MB$2:$MB$200=R$4),0),$E325-1973)</f>
        <v>#N/A</v>
      </c>
      <c r="S325" t="e" cm="1">
        <f t="array" ref="S325">INDEX('GMW - worst case'!$A$2:$MC$200,MATCH(1,('GMW - worst case'!$MC$2:$MC$200=S$3)*('GMW - worst case'!$MB$2:$MB$200=S$4),0),$E325-1973)</f>
        <v>#N/A</v>
      </c>
    </row>
    <row r="326" spans="1:19" x14ac:dyDescent="0.25">
      <c r="B326">
        <f t="shared" si="25"/>
        <v>2059</v>
      </c>
      <c r="C326">
        <f t="shared" si="25"/>
        <v>2059</v>
      </c>
      <c r="E326">
        <f t="shared" si="21"/>
        <v>2299</v>
      </c>
      <c r="F326" t="str" cm="1">
        <f t="array" ref="F326">INDEX('GMW - worst case'!$A$2:$MC$200,MATCH(1,('GMW - worst case'!$MC$2:$MC$200=F$3)*('GMW - worst case'!$MB$2:$MB$200=F$4),0),$E326-1973)</f>
        <v>NA</v>
      </c>
      <c r="G326" t="str" cm="1">
        <f t="array" ref="G326">INDEX('GMW - worst case'!$A$2:$MC$200,MATCH(1,('GMW - worst case'!$MC$2:$MC$200=G$3)*('GMW - worst case'!$MB$2:$MB$200=G$4),0),$E326-1973)</f>
        <v>NA</v>
      </c>
      <c r="H326" t="str" cm="1">
        <f t="array" ref="H326">INDEX('GMW - worst case'!$A$2:$MC$200,MATCH(1,('GMW - worst case'!$MC$2:$MC$200=H$3)*('GMW - worst case'!$MB$2:$MB$200=H$4),0),$E326-1973)</f>
        <v>NA</v>
      </c>
      <c r="I326" t="str" cm="1">
        <f t="array" ref="I326">INDEX('GMW - worst case'!$A$2:$MC$200,MATCH(1,('GMW - worst case'!$MC$2:$MC$200=I$3)*('GMW - worst case'!$MB$2:$MB$200=I$4),0),$E326-1973)</f>
        <v>NA</v>
      </c>
      <c r="J326" t="e" cm="1">
        <f t="array" ref="J326">INDEX('GMW - worst case'!$A$2:$MC$200,MATCH(1,('GMW - worst case'!$MC$2:$MC$200=J$3)*('GMW - worst case'!$MB$2:$MB$200=J$4),0),$E326-1973)</f>
        <v>#N/A</v>
      </c>
      <c r="K326" t="e" cm="1">
        <f t="array" ref="K326">INDEX('GMW - worst case'!$A$2:$MC$200,MATCH(1,('GMW - worst case'!$MC$2:$MC$200=K$3)*('GMW - worst case'!$MB$2:$MB$200=K$4),0),$E326-1973)</f>
        <v>#N/A</v>
      </c>
      <c r="L326" t="e" cm="1">
        <f t="array" ref="L326">INDEX('GMW - worst case'!$A$2:$MC$200,MATCH(1,('GMW - worst case'!$MC$2:$MC$200=L$3)*('GMW - worst case'!$MB$2:$MB$200=L$4),0),$E326-1973)</f>
        <v>#N/A</v>
      </c>
      <c r="M326" t="e" cm="1">
        <f t="array" ref="M326">INDEX('GMW - worst case'!$A$2:$MC$200,MATCH(1,('GMW - worst case'!$MC$2:$MC$200=M$3)*('GMW - worst case'!$MB$2:$MB$200=M$4),0),$E326-1973)</f>
        <v>#N/A</v>
      </c>
      <c r="N326" t="e" cm="1">
        <f t="array" ref="N326">INDEX('GMW - worst case'!$A$2:$MC$200,MATCH(1,('GMW - worst case'!$MC$2:$MC$200=N$3)*('GMW - worst case'!$MB$2:$MB$200=N$4),0),$E326-1973)</f>
        <v>#N/A</v>
      </c>
      <c r="O326" t="e" cm="1">
        <f t="array" ref="O326">INDEX('GMW - worst case'!$A$2:$MC$200,MATCH(1,('GMW - worst case'!$MC$2:$MC$200=O$3)*('GMW - worst case'!$MB$2:$MB$200=O$4),0),$E326-1973)</f>
        <v>#N/A</v>
      </c>
      <c r="P326" t="e" cm="1">
        <f t="array" ref="P326">INDEX('GMW - worst case'!$A$2:$MC$200,MATCH(1,('GMW - worst case'!$MC$2:$MC$200=P$3)*('GMW - worst case'!$MB$2:$MB$200=P$4),0),$E326-1973)</f>
        <v>#N/A</v>
      </c>
      <c r="Q326" t="e" cm="1">
        <f t="array" ref="Q326">INDEX('GMW - worst case'!$A$2:$MC$200,MATCH(1,('GMW - worst case'!$MC$2:$MC$200=Q$3)*('GMW - worst case'!$MB$2:$MB$200=Q$4),0),$E326-1973)</f>
        <v>#N/A</v>
      </c>
      <c r="R326" t="e" cm="1">
        <f t="array" ref="R326">INDEX('GMW - worst case'!$A$2:$MC$200,MATCH(1,('GMW - worst case'!$MC$2:$MC$200=R$3)*('GMW - worst case'!$MB$2:$MB$200=R$4),0),$E326-1973)</f>
        <v>#N/A</v>
      </c>
      <c r="S326" t="e" cm="1">
        <f t="array" ref="S326">INDEX('GMW - worst case'!$A$2:$MC$200,MATCH(1,('GMW - worst case'!$MC$2:$MC$200=S$3)*('GMW - worst case'!$MB$2:$MB$200=S$4),0),$E326-1973)</f>
        <v>#N/A</v>
      </c>
    </row>
    <row r="327" spans="1:19" x14ac:dyDescent="0.25">
      <c r="A327">
        <v>2060</v>
      </c>
      <c r="B327">
        <f t="shared" si="25"/>
        <v>2060</v>
      </c>
      <c r="C327">
        <f t="shared" si="25"/>
        <v>2059</v>
      </c>
      <c r="D327">
        <f t="shared" si="25"/>
        <v>2059</v>
      </c>
      <c r="E327">
        <f t="shared" si="21"/>
        <v>2300</v>
      </c>
      <c r="F327" t="str" cm="1">
        <f t="array" ref="F327">INDEX('GMW - worst case'!$A$2:$MC$200,MATCH(1,('GMW - worst case'!$MC$2:$MC$200=F$3)*('GMW - worst case'!$MB$2:$MB$200=F$4),0),$E327-1973)</f>
        <v>NA</v>
      </c>
      <c r="G327" t="str" cm="1">
        <f t="array" ref="G327">INDEX('GMW - worst case'!$A$2:$MC$200,MATCH(1,('GMW - worst case'!$MC$2:$MC$200=G$3)*('GMW - worst case'!$MB$2:$MB$200=G$4),0),$E327-1973)</f>
        <v>NA</v>
      </c>
      <c r="H327" t="str" cm="1">
        <f t="array" ref="H327">INDEX('GMW - worst case'!$A$2:$MC$200,MATCH(1,('GMW - worst case'!$MC$2:$MC$200=H$3)*('GMW - worst case'!$MB$2:$MB$200=H$4),0),$E327-1973)</f>
        <v>NA</v>
      </c>
      <c r="I327" t="str" cm="1">
        <f t="array" ref="I327">INDEX('GMW - worst case'!$A$2:$MC$200,MATCH(1,('GMW - worst case'!$MC$2:$MC$200=I$3)*('GMW - worst case'!$MB$2:$MB$200=I$4),0),$E327-1973)</f>
        <v>NA</v>
      </c>
      <c r="J327" t="e" cm="1">
        <f t="array" ref="J327">INDEX('GMW - worst case'!$A$2:$MC$200,MATCH(1,('GMW - worst case'!$MC$2:$MC$200=J$3)*('GMW - worst case'!$MB$2:$MB$200=J$4),0),$E327-1973)</f>
        <v>#N/A</v>
      </c>
      <c r="K327" t="e" cm="1">
        <f t="array" ref="K327">INDEX('GMW - worst case'!$A$2:$MC$200,MATCH(1,('GMW - worst case'!$MC$2:$MC$200=K$3)*('GMW - worst case'!$MB$2:$MB$200=K$4),0),$E327-1973)</f>
        <v>#N/A</v>
      </c>
      <c r="L327" t="e" cm="1">
        <f t="array" ref="L327">INDEX('GMW - worst case'!$A$2:$MC$200,MATCH(1,('GMW - worst case'!$MC$2:$MC$200=L$3)*('GMW - worst case'!$MB$2:$MB$200=L$4),0),$E327-1973)</f>
        <v>#N/A</v>
      </c>
      <c r="M327" t="e" cm="1">
        <f t="array" ref="M327">INDEX('GMW - worst case'!$A$2:$MC$200,MATCH(1,('GMW - worst case'!$MC$2:$MC$200=M$3)*('GMW - worst case'!$MB$2:$MB$200=M$4),0),$E327-1973)</f>
        <v>#N/A</v>
      </c>
      <c r="N327" t="e" cm="1">
        <f t="array" ref="N327">INDEX('GMW - worst case'!$A$2:$MC$200,MATCH(1,('GMW - worst case'!$MC$2:$MC$200=N$3)*('GMW - worst case'!$MB$2:$MB$200=N$4),0),$E327-1973)</f>
        <v>#N/A</v>
      </c>
      <c r="O327" t="e" cm="1">
        <f t="array" ref="O327">INDEX('GMW - worst case'!$A$2:$MC$200,MATCH(1,('GMW - worst case'!$MC$2:$MC$200=O$3)*('GMW - worst case'!$MB$2:$MB$200=O$4),0),$E327-1973)</f>
        <v>#N/A</v>
      </c>
      <c r="P327" t="e" cm="1">
        <f t="array" ref="P327">INDEX('GMW - worst case'!$A$2:$MC$200,MATCH(1,('GMW - worst case'!$MC$2:$MC$200=P$3)*('GMW - worst case'!$MB$2:$MB$200=P$4),0),$E327-1973)</f>
        <v>#N/A</v>
      </c>
      <c r="Q327" t="e" cm="1">
        <f t="array" ref="Q327">INDEX('GMW - worst case'!$A$2:$MC$200,MATCH(1,('GMW - worst case'!$MC$2:$MC$200=Q$3)*('GMW - worst case'!$MB$2:$MB$200=Q$4),0),$E327-1973)</f>
        <v>#N/A</v>
      </c>
      <c r="R327" t="e" cm="1">
        <f t="array" ref="R327">INDEX('GMW - worst case'!$A$2:$MC$200,MATCH(1,('GMW - worst case'!$MC$2:$MC$200=R$3)*('GMW - worst case'!$MB$2:$MB$200=R$4),0),$E327-1973)</f>
        <v>#N/A</v>
      </c>
      <c r="S327" t="e" cm="1">
        <f t="array" ref="S327">INDEX('GMW - worst case'!$A$2:$MC$200,MATCH(1,('GMW - worst case'!$MC$2:$MC$200=S$3)*('GMW - worst case'!$MB$2:$MB$200=S$4),0),$E327-1973)</f>
        <v>#N/A</v>
      </c>
    </row>
    <row r="328" spans="1:19" x14ac:dyDescent="0.25">
      <c r="B328">
        <f t="shared" si="25"/>
        <v>2060</v>
      </c>
      <c r="C328">
        <f t="shared" si="25"/>
        <v>2060</v>
      </c>
      <c r="E328">
        <f t="shared" si="21"/>
        <v>2301</v>
      </c>
      <c r="F328" t="str" cm="1">
        <f t="array" ref="F328">INDEX('GMW - worst case'!$A$2:$MC$200,MATCH(1,('GMW - worst case'!$MC$2:$MC$200=F$3)*('GMW - worst case'!$MB$2:$MB$200=F$4),0),$E328-1973)</f>
        <v>NA</v>
      </c>
      <c r="G328" t="str" cm="1">
        <f t="array" ref="G328">INDEX('GMW - worst case'!$A$2:$MC$200,MATCH(1,('GMW - worst case'!$MC$2:$MC$200=G$3)*('GMW - worst case'!$MB$2:$MB$200=G$4),0),$E328-1973)</f>
        <v>NA</v>
      </c>
      <c r="H328" t="str" cm="1">
        <f t="array" ref="H328">INDEX('GMW - worst case'!$A$2:$MC$200,MATCH(1,('GMW - worst case'!$MC$2:$MC$200=H$3)*('GMW - worst case'!$MB$2:$MB$200=H$4),0),$E328-1973)</f>
        <v>NA</v>
      </c>
      <c r="I328" t="str" cm="1">
        <f t="array" ref="I328">INDEX('GMW - worst case'!$A$2:$MC$200,MATCH(1,('GMW - worst case'!$MC$2:$MC$200=I$3)*('GMW - worst case'!$MB$2:$MB$200=I$4),0),$E328-1973)</f>
        <v>NA</v>
      </c>
      <c r="J328" t="e" cm="1">
        <f t="array" ref="J328">INDEX('GMW - worst case'!$A$2:$MC$200,MATCH(1,('GMW - worst case'!$MC$2:$MC$200=J$3)*('GMW - worst case'!$MB$2:$MB$200=J$4),0),$E328-1973)</f>
        <v>#N/A</v>
      </c>
      <c r="K328" t="e" cm="1">
        <f t="array" ref="K328">INDEX('GMW - worst case'!$A$2:$MC$200,MATCH(1,('GMW - worst case'!$MC$2:$MC$200=K$3)*('GMW - worst case'!$MB$2:$MB$200=K$4),0),$E328-1973)</f>
        <v>#N/A</v>
      </c>
      <c r="L328" t="e" cm="1">
        <f t="array" ref="L328">INDEX('GMW - worst case'!$A$2:$MC$200,MATCH(1,('GMW - worst case'!$MC$2:$MC$200=L$3)*('GMW - worst case'!$MB$2:$MB$200=L$4),0),$E328-1973)</f>
        <v>#N/A</v>
      </c>
      <c r="M328" t="e" cm="1">
        <f t="array" ref="M328">INDEX('GMW - worst case'!$A$2:$MC$200,MATCH(1,('GMW - worst case'!$MC$2:$MC$200=M$3)*('GMW - worst case'!$MB$2:$MB$200=M$4),0),$E328-1973)</f>
        <v>#N/A</v>
      </c>
      <c r="N328" t="e" cm="1">
        <f t="array" ref="N328">INDEX('GMW - worst case'!$A$2:$MC$200,MATCH(1,('GMW - worst case'!$MC$2:$MC$200=N$3)*('GMW - worst case'!$MB$2:$MB$200=N$4),0),$E328-1973)</f>
        <v>#N/A</v>
      </c>
      <c r="O328" t="e" cm="1">
        <f t="array" ref="O328">INDEX('GMW - worst case'!$A$2:$MC$200,MATCH(1,('GMW - worst case'!$MC$2:$MC$200=O$3)*('GMW - worst case'!$MB$2:$MB$200=O$4),0),$E328-1973)</f>
        <v>#N/A</v>
      </c>
      <c r="P328" t="e" cm="1">
        <f t="array" ref="P328">INDEX('GMW - worst case'!$A$2:$MC$200,MATCH(1,('GMW - worst case'!$MC$2:$MC$200=P$3)*('GMW - worst case'!$MB$2:$MB$200=P$4),0),$E328-1973)</f>
        <v>#N/A</v>
      </c>
      <c r="Q328" t="e" cm="1">
        <f t="array" ref="Q328">INDEX('GMW - worst case'!$A$2:$MC$200,MATCH(1,('GMW - worst case'!$MC$2:$MC$200=Q$3)*('GMW - worst case'!$MB$2:$MB$200=Q$4),0),$E328-1973)</f>
        <v>#N/A</v>
      </c>
      <c r="R328" t="e" cm="1">
        <f t="array" ref="R328">INDEX('GMW - worst case'!$A$2:$MC$200,MATCH(1,('GMW - worst case'!$MC$2:$MC$200=R$3)*('GMW - worst case'!$MB$2:$MB$200=R$4),0),$E328-1973)</f>
        <v>#N/A</v>
      </c>
      <c r="S328" t="e" cm="1">
        <f t="array" ref="S328">INDEX('GMW - worst case'!$A$2:$MC$200,MATCH(1,('GMW - worst case'!$MC$2:$MC$200=S$3)*('GMW - worst case'!$MB$2:$MB$200=S$4),0),$E328-1973)</f>
        <v>#N/A</v>
      </c>
    </row>
    <row r="329" spans="1:19" x14ac:dyDescent="0.25">
      <c r="B329">
        <f t="shared" si="25"/>
        <v>2060</v>
      </c>
      <c r="C329">
        <f t="shared" si="25"/>
        <v>2060</v>
      </c>
      <c r="E329">
        <f t="shared" ref="E329:E330" si="26">+E328+1</f>
        <v>2302</v>
      </c>
      <c r="F329" t="str" cm="1">
        <f t="array" ref="F329">INDEX('GMW - worst case'!$A$2:$MC$200,MATCH(1,('GMW - worst case'!$MC$2:$MC$200=F$3)*('GMW - worst case'!$MB$2:$MB$200=F$4),0),$E329-1973)</f>
        <v>NA</v>
      </c>
      <c r="G329" t="str" cm="1">
        <f t="array" ref="G329">INDEX('GMW - worst case'!$A$2:$MC$200,MATCH(1,('GMW - worst case'!$MC$2:$MC$200=G$3)*('GMW - worst case'!$MB$2:$MB$200=G$4),0),$E329-1973)</f>
        <v>NA</v>
      </c>
      <c r="H329" t="str" cm="1">
        <f t="array" ref="H329">INDEX('GMW - worst case'!$A$2:$MC$200,MATCH(1,('GMW - worst case'!$MC$2:$MC$200=H$3)*('GMW - worst case'!$MB$2:$MB$200=H$4),0),$E329-1973)</f>
        <v>NA</v>
      </c>
      <c r="I329" t="str" cm="1">
        <f t="array" ref="I329">INDEX('GMW - worst case'!$A$2:$MC$200,MATCH(1,('GMW - worst case'!$MC$2:$MC$200=I$3)*('GMW - worst case'!$MB$2:$MB$200=I$4),0),$E329-1973)</f>
        <v>NA</v>
      </c>
      <c r="J329" t="e" cm="1">
        <f t="array" ref="J329">INDEX('GMW - worst case'!$A$2:$MC$200,MATCH(1,('GMW - worst case'!$MC$2:$MC$200=J$3)*('GMW - worst case'!$MB$2:$MB$200=J$4),0),$E329-1973)</f>
        <v>#N/A</v>
      </c>
      <c r="K329" t="e" cm="1">
        <f t="array" ref="K329">INDEX('GMW - worst case'!$A$2:$MC$200,MATCH(1,('GMW - worst case'!$MC$2:$MC$200=K$3)*('GMW - worst case'!$MB$2:$MB$200=K$4),0),$E329-1973)</f>
        <v>#N/A</v>
      </c>
      <c r="L329" t="e" cm="1">
        <f t="array" ref="L329">INDEX('GMW - worst case'!$A$2:$MC$200,MATCH(1,('GMW - worst case'!$MC$2:$MC$200=L$3)*('GMW - worst case'!$MB$2:$MB$200=L$4),0),$E329-1973)</f>
        <v>#N/A</v>
      </c>
      <c r="M329" t="e" cm="1">
        <f t="array" ref="M329">INDEX('GMW - worst case'!$A$2:$MC$200,MATCH(1,('GMW - worst case'!$MC$2:$MC$200=M$3)*('GMW - worst case'!$MB$2:$MB$200=M$4),0),$E329-1973)</f>
        <v>#N/A</v>
      </c>
      <c r="N329" t="e" cm="1">
        <f t="array" ref="N329">INDEX('GMW - worst case'!$A$2:$MC$200,MATCH(1,('GMW - worst case'!$MC$2:$MC$200=N$3)*('GMW - worst case'!$MB$2:$MB$200=N$4),0),$E329-1973)</f>
        <v>#N/A</v>
      </c>
      <c r="O329" t="e" cm="1">
        <f t="array" ref="O329">INDEX('GMW - worst case'!$A$2:$MC$200,MATCH(1,('GMW - worst case'!$MC$2:$MC$200=O$3)*('GMW - worst case'!$MB$2:$MB$200=O$4),0),$E329-1973)</f>
        <v>#N/A</v>
      </c>
      <c r="P329" t="e" cm="1">
        <f t="array" ref="P329">INDEX('GMW - worst case'!$A$2:$MC$200,MATCH(1,('GMW - worst case'!$MC$2:$MC$200=P$3)*('GMW - worst case'!$MB$2:$MB$200=P$4),0),$E329-1973)</f>
        <v>#N/A</v>
      </c>
      <c r="Q329" t="e" cm="1">
        <f t="array" ref="Q329">INDEX('GMW - worst case'!$A$2:$MC$200,MATCH(1,('GMW - worst case'!$MC$2:$MC$200=Q$3)*('GMW - worst case'!$MB$2:$MB$200=Q$4),0),$E329-1973)</f>
        <v>#N/A</v>
      </c>
      <c r="R329" t="e" cm="1">
        <f t="array" ref="R329">INDEX('GMW - worst case'!$A$2:$MC$200,MATCH(1,('GMW - worst case'!$MC$2:$MC$200=R$3)*('GMW - worst case'!$MB$2:$MB$200=R$4),0),$E329-1973)</f>
        <v>#N/A</v>
      </c>
      <c r="S329" t="e" cm="1">
        <f t="array" ref="S329">INDEX('GMW - worst case'!$A$2:$MC$200,MATCH(1,('GMW - worst case'!$MC$2:$MC$200=S$3)*('GMW - worst case'!$MB$2:$MB$200=S$4),0),$E329-1973)</f>
        <v>#N/A</v>
      </c>
    </row>
    <row r="330" spans="1:19" x14ac:dyDescent="0.25">
      <c r="B330">
        <f t="shared" si="25"/>
        <v>2060</v>
      </c>
      <c r="C330">
        <f t="shared" si="25"/>
        <v>2060</v>
      </c>
      <c r="E330">
        <f t="shared" si="26"/>
        <v>2303</v>
      </c>
      <c r="F330" t="str" cm="1">
        <f t="array" ref="F330">INDEX('GMW - worst case'!$A$2:$MC$200,MATCH(1,('GMW - worst case'!$MC$2:$MC$200=F$3)*('GMW - worst case'!$MB$2:$MB$200=F$4),0),$E330-1973)</f>
        <v>NA</v>
      </c>
      <c r="G330" t="str" cm="1">
        <f t="array" ref="G330">INDEX('GMW - worst case'!$A$2:$MC$200,MATCH(1,('GMW - worst case'!$MC$2:$MC$200=G$3)*('GMW - worst case'!$MB$2:$MB$200=G$4),0),$E330-1973)</f>
        <v>NA</v>
      </c>
      <c r="H330" t="str" cm="1">
        <f t="array" ref="H330">INDEX('GMW - worst case'!$A$2:$MC$200,MATCH(1,('GMW - worst case'!$MC$2:$MC$200=H$3)*('GMW - worst case'!$MB$2:$MB$200=H$4),0),$E330-1973)</f>
        <v>NA</v>
      </c>
      <c r="I330" t="str" cm="1">
        <f t="array" ref="I330">INDEX('GMW - worst case'!$A$2:$MC$200,MATCH(1,('GMW - worst case'!$MC$2:$MC$200=I$3)*('GMW - worst case'!$MB$2:$MB$200=I$4),0),$E330-1973)</f>
        <v>NA</v>
      </c>
      <c r="J330" t="e" cm="1">
        <f t="array" ref="J330">INDEX('GMW - worst case'!$A$2:$MC$200,MATCH(1,('GMW - worst case'!$MC$2:$MC$200=J$3)*('GMW - worst case'!$MB$2:$MB$200=J$4),0),$E330-1973)</f>
        <v>#N/A</v>
      </c>
      <c r="K330" t="e" cm="1">
        <f t="array" ref="K330">INDEX('GMW - worst case'!$A$2:$MC$200,MATCH(1,('GMW - worst case'!$MC$2:$MC$200=K$3)*('GMW - worst case'!$MB$2:$MB$200=K$4),0),$E330-1973)</f>
        <v>#N/A</v>
      </c>
      <c r="L330" t="e" cm="1">
        <f t="array" ref="L330">INDEX('GMW - worst case'!$A$2:$MC$200,MATCH(1,('GMW - worst case'!$MC$2:$MC$200=L$3)*('GMW - worst case'!$MB$2:$MB$200=L$4),0),$E330-1973)</f>
        <v>#N/A</v>
      </c>
      <c r="M330" t="e" cm="1">
        <f t="array" ref="M330">INDEX('GMW - worst case'!$A$2:$MC$200,MATCH(1,('GMW - worst case'!$MC$2:$MC$200=M$3)*('GMW - worst case'!$MB$2:$MB$200=M$4),0),$E330-1973)</f>
        <v>#N/A</v>
      </c>
      <c r="N330" t="e" cm="1">
        <f t="array" ref="N330">INDEX('GMW - worst case'!$A$2:$MC$200,MATCH(1,('GMW - worst case'!$MC$2:$MC$200=N$3)*('GMW - worst case'!$MB$2:$MB$200=N$4),0),$E330-1973)</f>
        <v>#N/A</v>
      </c>
      <c r="O330" t="e" cm="1">
        <f t="array" ref="O330">INDEX('GMW - worst case'!$A$2:$MC$200,MATCH(1,('GMW - worst case'!$MC$2:$MC$200=O$3)*('GMW - worst case'!$MB$2:$MB$200=O$4),0),$E330-1973)</f>
        <v>#N/A</v>
      </c>
      <c r="P330" t="e" cm="1">
        <f t="array" ref="P330">INDEX('GMW - worst case'!$A$2:$MC$200,MATCH(1,('GMW - worst case'!$MC$2:$MC$200=P$3)*('GMW - worst case'!$MB$2:$MB$200=P$4),0),$E330-1973)</f>
        <v>#N/A</v>
      </c>
      <c r="Q330" t="e" cm="1">
        <f t="array" ref="Q330">INDEX('GMW - worst case'!$A$2:$MC$200,MATCH(1,('GMW - worst case'!$MC$2:$MC$200=Q$3)*('GMW - worst case'!$MB$2:$MB$200=Q$4),0),$E330-1973)</f>
        <v>#N/A</v>
      </c>
      <c r="R330" t="e" cm="1">
        <f t="array" ref="R330">INDEX('GMW - worst case'!$A$2:$MC$200,MATCH(1,('GMW - worst case'!$MC$2:$MC$200=R$3)*('GMW - worst case'!$MB$2:$MB$200=R$4),0),$E330-1973)</f>
        <v>#N/A</v>
      </c>
      <c r="S330" t="e" cm="1">
        <f t="array" ref="S330">INDEX('GMW - worst case'!$A$2:$MC$200,MATCH(1,('GMW - worst case'!$MC$2:$MC$200=S$3)*('GMW - worst case'!$MB$2:$MB$200=S$4),0),$E330-1973)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58F0-C255-43AD-9001-53D1850B2E4F}">
  <dimension ref="A1:MD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9" sqref="G9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31" width="10.7109375" customWidth="1"/>
    <col min="332" max="332" width="20.7109375" customWidth="1"/>
    <col min="333" max="334" width="15.7109375" customWidth="1"/>
    <col min="335" max="336" width="20.7109375" customWidth="1"/>
    <col min="337" max="337" width="18.7109375" customWidth="1"/>
    <col min="338" max="339" width="22.7109375" customWidth="1"/>
    <col min="340" max="340" width="13.7109375" customWidth="1"/>
    <col min="341" max="341" width="14.7109375" customWidth="1"/>
    <col min="342" max="342" width="10.7109375" customWidth="1"/>
  </cols>
  <sheetData>
    <row r="1" spans="1:34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</row>
    <row r="2" spans="1:342" x14ac:dyDescent="0.25">
      <c r="A2" t="s">
        <v>342</v>
      </c>
      <c r="B2" t="s">
        <v>343</v>
      </c>
      <c r="C2" s="2" t="s">
        <v>344</v>
      </c>
      <c r="D2" t="s">
        <v>345</v>
      </c>
      <c r="E2" t="s">
        <v>346</v>
      </c>
      <c r="F2" t="s">
        <v>347</v>
      </c>
      <c r="G2" s="4">
        <v>30.605080000000001</v>
      </c>
      <c r="H2" s="4">
        <v>32.247430000000001</v>
      </c>
      <c r="I2" s="4">
        <v>32.951300000000003</v>
      </c>
      <c r="J2" s="4">
        <v>33.550879999999999</v>
      </c>
      <c r="K2" s="4">
        <v>34.385100000000001</v>
      </c>
      <c r="L2" s="4">
        <v>36.079590000000003</v>
      </c>
      <c r="M2" s="4">
        <v>36.731310000000001</v>
      </c>
      <c r="N2" s="4">
        <v>37.435180000000003</v>
      </c>
      <c r="O2" s="4">
        <v>37.878349999999998</v>
      </c>
      <c r="P2" s="4">
        <v>39.181800000000003</v>
      </c>
      <c r="Q2" s="4">
        <v>39.416420000000002</v>
      </c>
      <c r="R2" s="4">
        <v>39.885669999999998</v>
      </c>
      <c r="S2" s="4">
        <v>40.172429999999999</v>
      </c>
      <c r="T2" s="4">
        <v>40.85022</v>
      </c>
      <c r="U2" s="4">
        <v>41.293399999999998</v>
      </c>
      <c r="V2" s="4">
        <v>41.762639999999998</v>
      </c>
      <c r="W2" s="4">
        <v>41.86692</v>
      </c>
      <c r="X2" s="4">
        <v>42.779339999999998</v>
      </c>
      <c r="Y2" s="4">
        <v>42.98789</v>
      </c>
      <c r="Z2" s="4">
        <v>43.431060000000002</v>
      </c>
      <c r="AA2" s="4">
        <v>43.874229999999997</v>
      </c>
      <c r="AB2" s="4">
        <v>44.995199999999997</v>
      </c>
      <c r="AC2" s="4">
        <v>45.125549999999997</v>
      </c>
      <c r="AD2" s="4">
        <v>45.490519999999997</v>
      </c>
      <c r="AE2" s="4">
        <v>45.646929999999998</v>
      </c>
      <c r="AF2" s="4">
        <v>46.3508</v>
      </c>
      <c r="AG2" s="4">
        <v>46.533279999999998</v>
      </c>
      <c r="AH2" s="4">
        <v>46.924320000000002</v>
      </c>
      <c r="AI2" s="4">
        <v>47.237139999999997</v>
      </c>
      <c r="AJ2" s="4">
        <v>47.836730000000003</v>
      </c>
      <c r="AK2" s="4">
        <v>47.888869999999997</v>
      </c>
      <c r="AL2" s="4">
        <v>48.436320000000002</v>
      </c>
      <c r="AM2" s="4">
        <v>48.566670000000002</v>
      </c>
      <c r="AN2" s="4">
        <v>49.5</v>
      </c>
      <c r="AO2" s="4">
        <v>49.9</v>
      </c>
      <c r="AP2" s="4">
        <v>50.466670000000001</v>
      </c>
      <c r="AQ2" s="4">
        <v>51</v>
      </c>
      <c r="AR2" s="4">
        <v>52.133339999999997</v>
      </c>
      <c r="AS2" s="4">
        <v>52.466670000000001</v>
      </c>
      <c r="AT2" s="4">
        <v>53.266669999999998</v>
      </c>
      <c r="AU2" s="4">
        <v>53.933329999999998</v>
      </c>
      <c r="AV2" s="4">
        <v>55.6</v>
      </c>
      <c r="AW2" s="4">
        <v>56.4</v>
      </c>
      <c r="AX2" s="4">
        <v>57.466670000000001</v>
      </c>
      <c r="AY2" s="4">
        <v>57.666670000000003</v>
      </c>
      <c r="AZ2" s="4">
        <v>60.266669999999998</v>
      </c>
      <c r="BA2" s="4">
        <v>60.833329999999997</v>
      </c>
      <c r="BB2" s="4">
        <v>61.466670000000001</v>
      </c>
      <c r="BC2" s="4">
        <v>61.7</v>
      </c>
      <c r="BD2" s="4">
        <v>62.833329999999997</v>
      </c>
      <c r="BE2" s="4">
        <v>62.733330000000002</v>
      </c>
      <c r="BF2" s="4">
        <v>63.133339999999997</v>
      </c>
      <c r="BG2" s="4">
        <v>63.2</v>
      </c>
      <c r="BH2" s="4">
        <v>64.433329999999998</v>
      </c>
      <c r="BI2" s="4">
        <v>64.5</v>
      </c>
      <c r="BJ2" s="4">
        <v>64.666659999999993</v>
      </c>
      <c r="BK2" s="4">
        <v>64.766670000000005</v>
      </c>
      <c r="BL2" s="4">
        <v>65.7</v>
      </c>
      <c r="BM2" s="4">
        <v>65.633330000000001</v>
      </c>
      <c r="BN2" s="4">
        <v>65.8</v>
      </c>
      <c r="BO2" s="4">
        <v>66.333340000000007</v>
      </c>
      <c r="BP2" s="4">
        <v>67.266670000000005</v>
      </c>
      <c r="BQ2" s="4">
        <v>67.400000000000006</v>
      </c>
      <c r="BR2" s="4">
        <v>67.733329999999995</v>
      </c>
      <c r="BS2" s="4">
        <v>68.099999999999994</v>
      </c>
      <c r="BT2" s="4">
        <v>68.866669999999999</v>
      </c>
      <c r="BU2" s="4">
        <v>68.933329999999998</v>
      </c>
      <c r="BV2" s="4">
        <v>69.366669999999999</v>
      </c>
      <c r="BW2" s="4">
        <v>69.366669999999999</v>
      </c>
      <c r="BX2" s="4">
        <v>70</v>
      </c>
      <c r="BY2" s="4">
        <v>70.266670000000005</v>
      </c>
      <c r="BZ2" s="4">
        <v>70.633330000000001</v>
      </c>
      <c r="CA2" s="4">
        <v>70.5</v>
      </c>
      <c r="CB2" s="4">
        <v>71.266670000000005</v>
      </c>
      <c r="CC2" s="4">
        <v>71.233329999999995</v>
      </c>
      <c r="CD2" s="4">
        <v>71.633330000000001</v>
      </c>
      <c r="CE2" s="4">
        <v>71.599999999999994</v>
      </c>
      <c r="CF2" s="4">
        <v>72.3</v>
      </c>
      <c r="CG2" s="4">
        <v>72.133330000000001</v>
      </c>
      <c r="CH2" s="4">
        <v>72.433329999999998</v>
      </c>
      <c r="CI2" s="4">
        <v>72.133330000000001</v>
      </c>
      <c r="CJ2" s="4">
        <v>72.766670000000005</v>
      </c>
      <c r="CK2" s="4">
        <v>72.7</v>
      </c>
      <c r="CL2" s="4">
        <v>73.166659999999993</v>
      </c>
      <c r="CM2" s="4">
        <v>72.766670000000005</v>
      </c>
      <c r="CN2" s="4">
        <v>73.833340000000007</v>
      </c>
      <c r="CO2" s="4">
        <v>73.866669999999999</v>
      </c>
      <c r="CP2" s="4">
        <v>73.900000000000006</v>
      </c>
      <c r="CQ2" s="4">
        <v>73.866669999999999</v>
      </c>
      <c r="CR2" s="4">
        <v>74.533330000000007</v>
      </c>
      <c r="CS2" s="4">
        <v>74.599999999999994</v>
      </c>
      <c r="CT2" s="4">
        <v>75</v>
      </c>
      <c r="CU2" s="4">
        <v>75</v>
      </c>
      <c r="CV2" s="4">
        <v>75.466669999999993</v>
      </c>
      <c r="CW2" s="4">
        <v>75.599999999999994</v>
      </c>
      <c r="CX2" s="4">
        <v>76.033330000000007</v>
      </c>
      <c r="CY2" s="4">
        <v>75.966669999999993</v>
      </c>
      <c r="CZ2" s="4">
        <v>76.533330000000007</v>
      </c>
      <c r="DA2" s="4">
        <v>76.566670000000002</v>
      </c>
      <c r="DB2" s="4">
        <v>77.099999999999994</v>
      </c>
      <c r="DC2" s="4">
        <v>77.233329999999995</v>
      </c>
      <c r="DD2" s="4">
        <v>78</v>
      </c>
      <c r="DE2" s="4">
        <v>78.400000000000006</v>
      </c>
      <c r="DF2" s="4">
        <v>78.766670000000005</v>
      </c>
      <c r="DG2" s="4">
        <v>78.733329999999995</v>
      </c>
      <c r="DH2" s="4">
        <v>79.8</v>
      </c>
      <c r="DI2" s="4">
        <v>80.3</v>
      </c>
      <c r="DJ2" s="4">
        <v>80.900000000000006</v>
      </c>
      <c r="DK2" s="4">
        <v>81</v>
      </c>
      <c r="DL2" s="4">
        <v>81.8</v>
      </c>
      <c r="DM2" s="4">
        <v>81.733329999999995</v>
      </c>
      <c r="DN2" s="4">
        <v>82.6</v>
      </c>
      <c r="DO2" s="4">
        <v>82.933329999999998</v>
      </c>
      <c r="DP2" s="4">
        <v>84.6</v>
      </c>
      <c r="DQ2" s="4">
        <v>85.633330000000001</v>
      </c>
      <c r="DR2" s="4">
        <v>85.733329999999995</v>
      </c>
      <c r="DS2" s="4">
        <v>85.433329999999998</v>
      </c>
      <c r="DT2" s="4">
        <v>86.366669999999999</v>
      </c>
      <c r="DU2" s="4">
        <v>86.933329999999998</v>
      </c>
      <c r="DV2" s="4">
        <v>87.566670000000002</v>
      </c>
      <c r="DW2" s="4">
        <v>88.233329999999995</v>
      </c>
      <c r="DX2" s="4">
        <v>89.366669999999999</v>
      </c>
      <c r="DY2" s="4">
        <v>89.633330000000001</v>
      </c>
      <c r="DZ2" s="4">
        <v>90.5</v>
      </c>
      <c r="EA2" s="4">
        <v>91.833340000000007</v>
      </c>
      <c r="EB2" s="4">
        <v>93.3</v>
      </c>
      <c r="EC2" s="4">
        <v>93.833340000000007</v>
      </c>
      <c r="ED2" s="4">
        <v>94.733329999999995</v>
      </c>
      <c r="EE2" s="4">
        <v>95.033330000000007</v>
      </c>
      <c r="EF2" s="4">
        <v>95.8</v>
      </c>
      <c r="EG2" s="4">
        <v>96.066670000000002</v>
      </c>
      <c r="EH2" s="4">
        <v>97.266670000000005</v>
      </c>
      <c r="EI2" s="4">
        <v>97.666659999999993</v>
      </c>
      <c r="EJ2" s="4">
        <v>98.366669999999999</v>
      </c>
      <c r="EK2" s="4">
        <v>98.7</v>
      </c>
      <c r="EL2" s="4">
        <v>99.3</v>
      </c>
      <c r="EM2" s="4">
        <v>99.4</v>
      </c>
      <c r="EN2" s="4">
        <v>100.1</v>
      </c>
      <c r="EO2" s="4">
        <v>100.13330000000001</v>
      </c>
      <c r="EP2" s="4">
        <v>100.2</v>
      </c>
      <c r="EQ2" s="4">
        <v>99.5</v>
      </c>
      <c r="ER2" s="4">
        <v>100.0667</v>
      </c>
      <c r="ES2" s="4">
        <v>100.16670000000001</v>
      </c>
      <c r="ET2" s="4">
        <v>100.3</v>
      </c>
      <c r="EU2" s="4">
        <v>99.833340000000007</v>
      </c>
      <c r="EV2" s="4">
        <v>100.4</v>
      </c>
      <c r="EW2" s="4">
        <v>100.86669999999999</v>
      </c>
      <c r="EX2" s="4">
        <v>101.5</v>
      </c>
      <c r="EY2" s="4">
        <v>102</v>
      </c>
      <c r="EZ2" s="4">
        <v>103.16670000000001</v>
      </c>
      <c r="FA2" s="4">
        <v>103.7</v>
      </c>
      <c r="FB2" s="4">
        <v>104.5667</v>
      </c>
      <c r="FC2" s="4">
        <v>104.7667</v>
      </c>
      <c r="FD2" s="4">
        <v>105.66670000000001</v>
      </c>
      <c r="FE2" s="4">
        <v>106.3</v>
      </c>
      <c r="FF2" s="4">
        <v>106.9333</v>
      </c>
      <c r="FG2" s="4">
        <v>106.7</v>
      </c>
      <c r="FH2" s="4">
        <v>107.8</v>
      </c>
      <c r="FI2" s="4">
        <v>108.2667</v>
      </c>
      <c r="FJ2" s="4">
        <v>108.4333</v>
      </c>
      <c r="FK2" s="4">
        <v>108.4667</v>
      </c>
      <c r="FL2" s="4">
        <v>108.5333</v>
      </c>
      <c r="FM2" s="4">
        <v>108.9333</v>
      </c>
      <c r="FN2" s="4">
        <v>109.0667</v>
      </c>
      <c r="FO2" s="4">
        <v>109.16670000000001</v>
      </c>
      <c r="FP2" s="4">
        <v>110.7333</v>
      </c>
      <c r="FQ2" s="4">
        <v>111.9333</v>
      </c>
      <c r="FR2" s="4">
        <v>114.4</v>
      </c>
      <c r="FS2" s="4">
        <v>115.9333</v>
      </c>
      <c r="FT2" s="4">
        <v>120.86669999999999</v>
      </c>
      <c r="FU2" s="4">
        <v>123.13330000000001</v>
      </c>
      <c r="FV2" s="4">
        <v>126.7</v>
      </c>
      <c r="FW2" s="4">
        <v>127.7333</v>
      </c>
      <c r="FX2" s="4">
        <v>131.0667</v>
      </c>
      <c r="FY2" s="4">
        <v>131.4</v>
      </c>
      <c r="FZ2" s="4">
        <v>131.9667</v>
      </c>
      <c r="GA2" s="4">
        <v>132.26669999999999</v>
      </c>
      <c r="GB2" s="4">
        <v>133.83330000000001</v>
      </c>
      <c r="GC2" s="4">
        <v>134.1</v>
      </c>
      <c r="GD2" s="4">
        <v>135.23330000000001</v>
      </c>
      <c r="GE2" s="4">
        <v>135.9667</v>
      </c>
      <c r="GF2" s="4">
        <v>138.5</v>
      </c>
      <c r="GG2" s="4">
        <v>139.19999999999999</v>
      </c>
      <c r="GH2" s="4">
        <v>139.80000000000001</v>
      </c>
      <c r="GI2" s="5">
        <v>139.899</v>
      </c>
      <c r="GJ2" s="5">
        <v>141.94820000000001</v>
      </c>
      <c r="GK2" s="5">
        <v>143.16720000000001</v>
      </c>
      <c r="GL2" s="5">
        <v>143.49109999999999</v>
      </c>
      <c r="GM2" s="5">
        <v>143.51320000000001</v>
      </c>
      <c r="GN2" s="5">
        <v>145.04669999999999</v>
      </c>
      <c r="GO2" s="5">
        <v>145.76089999999999</v>
      </c>
      <c r="GP2" s="5">
        <v>146.41030000000001</v>
      </c>
      <c r="GQ2" s="5">
        <v>146.61170000000001</v>
      </c>
      <c r="GR2" s="5">
        <v>147.91040000000001</v>
      </c>
      <c r="GS2" s="5">
        <v>148.64680000000001</v>
      </c>
      <c r="GT2" s="5">
        <v>149.29660000000001</v>
      </c>
      <c r="GU2" s="5">
        <v>149.5146</v>
      </c>
      <c r="GV2" s="5">
        <v>150.79570000000001</v>
      </c>
      <c r="GW2" s="5">
        <v>151.51589999999999</v>
      </c>
      <c r="GX2" s="5">
        <v>152.1335</v>
      </c>
      <c r="GY2" s="5">
        <v>152.32490000000001</v>
      </c>
      <c r="GZ2" s="5">
        <v>153.60849999999999</v>
      </c>
      <c r="HA2" s="5">
        <v>154.34399999999999</v>
      </c>
      <c r="HB2" s="5">
        <v>154.9975</v>
      </c>
      <c r="HC2" s="5">
        <v>155.2535</v>
      </c>
      <c r="HD2" s="5">
        <v>156.62530000000001</v>
      </c>
      <c r="HE2" s="5">
        <v>157.43440000000001</v>
      </c>
      <c r="HF2" s="5">
        <v>158.1207</v>
      </c>
      <c r="HG2" s="5">
        <v>158.386</v>
      </c>
      <c r="HH2" s="5">
        <v>159.7963</v>
      </c>
      <c r="HI2" s="5">
        <v>160.6353</v>
      </c>
      <c r="HJ2" s="5">
        <v>161.3339</v>
      </c>
      <c r="HK2" s="5">
        <v>161.6096</v>
      </c>
      <c r="HL2" s="5">
        <v>163.05799999999999</v>
      </c>
      <c r="HM2" s="5">
        <v>163.92410000000001</v>
      </c>
      <c r="HN2" s="5">
        <v>164.62950000000001</v>
      </c>
      <c r="HO2" s="5">
        <v>164.90710000000001</v>
      </c>
      <c r="HP2" s="5">
        <v>166.38460000000001</v>
      </c>
      <c r="HQ2" s="5">
        <v>167.26920000000001</v>
      </c>
      <c r="HR2" s="5">
        <v>167.97479999999999</v>
      </c>
      <c r="HS2" s="5">
        <v>168.25120000000001</v>
      </c>
      <c r="HT2" s="5">
        <v>169.75980000000001</v>
      </c>
      <c r="HU2" s="5">
        <v>170.66640000000001</v>
      </c>
      <c r="HV2" s="5">
        <v>171.37260000000001</v>
      </c>
      <c r="HW2" s="5" t="s">
        <v>348</v>
      </c>
      <c r="HX2" s="5" t="s">
        <v>348</v>
      </c>
      <c r="HY2" s="5" t="s">
        <v>348</v>
      </c>
      <c r="HZ2" s="5" t="s">
        <v>348</v>
      </c>
      <c r="IA2" s="5" t="s">
        <v>348</v>
      </c>
      <c r="IB2" s="5" t="s">
        <v>348</v>
      </c>
      <c r="IC2" s="5" t="s">
        <v>348</v>
      </c>
      <c r="ID2" s="5" t="s">
        <v>348</v>
      </c>
      <c r="IE2" s="5" t="s">
        <v>348</v>
      </c>
      <c r="IF2" s="5" t="s">
        <v>348</v>
      </c>
      <c r="IG2" s="5" t="s">
        <v>348</v>
      </c>
      <c r="IH2" s="5" t="s">
        <v>348</v>
      </c>
      <c r="II2" s="5" t="s">
        <v>348</v>
      </c>
      <c r="IJ2" s="5" t="s">
        <v>348</v>
      </c>
      <c r="IK2" s="5" t="s">
        <v>348</v>
      </c>
      <c r="IL2" s="5" t="s">
        <v>348</v>
      </c>
      <c r="IM2" s="5" t="s">
        <v>348</v>
      </c>
      <c r="IN2" s="5" t="s">
        <v>348</v>
      </c>
      <c r="IO2" s="5" t="s">
        <v>348</v>
      </c>
      <c r="IP2" s="5" t="s">
        <v>348</v>
      </c>
      <c r="IQ2" s="5" t="s">
        <v>348</v>
      </c>
      <c r="IR2" s="5" t="s">
        <v>348</v>
      </c>
      <c r="IS2" s="5" t="s">
        <v>348</v>
      </c>
      <c r="IT2" s="5" t="s">
        <v>348</v>
      </c>
      <c r="IU2" s="5" t="s">
        <v>348</v>
      </c>
      <c r="IV2" s="5" t="s">
        <v>348</v>
      </c>
      <c r="IW2" s="5" t="s">
        <v>348</v>
      </c>
      <c r="IX2" s="5" t="s">
        <v>348</v>
      </c>
      <c r="IY2" s="5" t="s">
        <v>348</v>
      </c>
      <c r="IZ2" s="5" t="s">
        <v>348</v>
      </c>
      <c r="JA2" s="5" t="s">
        <v>348</v>
      </c>
      <c r="JB2" s="5" t="s">
        <v>348</v>
      </c>
      <c r="JC2" s="5" t="s">
        <v>348</v>
      </c>
      <c r="JD2" s="5" t="s">
        <v>348</v>
      </c>
      <c r="JE2" s="5" t="s">
        <v>348</v>
      </c>
      <c r="JF2" s="5" t="s">
        <v>348</v>
      </c>
      <c r="JG2" s="5" t="s">
        <v>348</v>
      </c>
      <c r="JH2" s="5" t="s">
        <v>348</v>
      </c>
      <c r="JI2" s="5" t="s">
        <v>348</v>
      </c>
      <c r="JJ2" s="5" t="s">
        <v>348</v>
      </c>
      <c r="JK2" s="5" t="s">
        <v>348</v>
      </c>
      <c r="JL2" s="5" t="s">
        <v>348</v>
      </c>
      <c r="JM2" s="5" t="s">
        <v>348</v>
      </c>
      <c r="JN2" s="5" t="s">
        <v>348</v>
      </c>
      <c r="JO2" s="5" t="s">
        <v>348</v>
      </c>
      <c r="JP2" s="5" t="s">
        <v>348</v>
      </c>
      <c r="JQ2" s="5" t="s">
        <v>348</v>
      </c>
      <c r="JR2" s="5" t="s">
        <v>348</v>
      </c>
      <c r="JS2" s="5" t="s">
        <v>348</v>
      </c>
      <c r="JT2" s="5" t="s">
        <v>348</v>
      </c>
      <c r="JU2" s="5" t="s">
        <v>348</v>
      </c>
      <c r="JV2" s="5" t="s">
        <v>348</v>
      </c>
      <c r="JW2" s="5" t="s">
        <v>348</v>
      </c>
      <c r="JX2" s="5" t="s">
        <v>348</v>
      </c>
      <c r="JY2" s="5" t="s">
        <v>348</v>
      </c>
      <c r="JZ2" s="5" t="s">
        <v>348</v>
      </c>
      <c r="KA2" s="5" t="s">
        <v>348</v>
      </c>
      <c r="KB2" s="5" t="s">
        <v>348</v>
      </c>
      <c r="KC2" s="5" t="s">
        <v>348</v>
      </c>
      <c r="KD2" s="5" t="s">
        <v>348</v>
      </c>
      <c r="KE2" s="5" t="s">
        <v>348</v>
      </c>
      <c r="KF2" s="5" t="s">
        <v>348</v>
      </c>
      <c r="KG2" s="5" t="s">
        <v>348</v>
      </c>
      <c r="KH2" s="5" t="s">
        <v>348</v>
      </c>
      <c r="KI2" s="5" t="s">
        <v>348</v>
      </c>
      <c r="KJ2" s="5" t="s">
        <v>348</v>
      </c>
      <c r="KK2" s="5" t="s">
        <v>348</v>
      </c>
      <c r="KL2" s="5" t="s">
        <v>348</v>
      </c>
      <c r="KM2" s="5" t="s">
        <v>348</v>
      </c>
      <c r="KN2" s="5" t="s">
        <v>348</v>
      </c>
      <c r="KO2" s="5" t="s">
        <v>348</v>
      </c>
      <c r="KP2" s="5" t="s">
        <v>348</v>
      </c>
      <c r="KQ2" s="5" t="s">
        <v>348</v>
      </c>
      <c r="KR2" s="5" t="s">
        <v>348</v>
      </c>
      <c r="KS2" s="5" t="s">
        <v>348</v>
      </c>
      <c r="KT2" s="5" t="s">
        <v>348</v>
      </c>
      <c r="KU2" s="5" t="s">
        <v>348</v>
      </c>
      <c r="KV2" s="5" t="s">
        <v>348</v>
      </c>
      <c r="KW2" s="5" t="s">
        <v>348</v>
      </c>
      <c r="KX2" s="5" t="s">
        <v>348</v>
      </c>
      <c r="KY2" s="5" t="s">
        <v>348</v>
      </c>
      <c r="KZ2" s="5" t="s">
        <v>348</v>
      </c>
      <c r="LA2" s="5" t="s">
        <v>348</v>
      </c>
      <c r="LB2" s="5" t="s">
        <v>348</v>
      </c>
      <c r="LC2" s="5" t="s">
        <v>348</v>
      </c>
      <c r="LD2" s="5" t="s">
        <v>348</v>
      </c>
      <c r="LE2" s="5" t="s">
        <v>348</v>
      </c>
      <c r="LF2" s="5" t="s">
        <v>348</v>
      </c>
      <c r="LG2" s="5" t="s">
        <v>348</v>
      </c>
      <c r="LH2" s="5" t="s">
        <v>348</v>
      </c>
      <c r="LI2" s="5" t="s">
        <v>348</v>
      </c>
      <c r="LJ2" s="5" t="s">
        <v>348</v>
      </c>
      <c r="LK2" s="5" t="s">
        <v>348</v>
      </c>
      <c r="LL2" s="5" t="s">
        <v>348</v>
      </c>
      <c r="LM2" s="5" t="s">
        <v>348</v>
      </c>
      <c r="LN2" s="5" t="s">
        <v>348</v>
      </c>
      <c r="LO2" s="5" t="s">
        <v>348</v>
      </c>
      <c r="LP2" s="5" t="s">
        <v>348</v>
      </c>
      <c r="LQ2" s="5" t="s">
        <v>348</v>
      </c>
      <c r="LR2" s="5" t="s">
        <v>348</v>
      </c>
      <c r="LS2" t="s">
        <v>349</v>
      </c>
      <c r="LT2" t="b">
        <v>0</v>
      </c>
      <c r="LU2" t="s">
        <v>348</v>
      </c>
      <c r="LV2">
        <v>2015</v>
      </c>
      <c r="LW2">
        <v>2025</v>
      </c>
      <c r="LX2">
        <v>4</v>
      </c>
      <c r="LY2" s="3">
        <v>46091</v>
      </c>
      <c r="LZ2" s="2" t="s">
        <v>350</v>
      </c>
      <c r="MA2" s="2" t="s">
        <v>351</v>
      </c>
      <c r="MB2" t="s">
        <v>352</v>
      </c>
      <c r="MC2" t="s">
        <v>353</v>
      </c>
      <c r="MD2" t="s">
        <v>354</v>
      </c>
    </row>
    <row r="3" spans="1:342" x14ac:dyDescent="0.25">
      <c r="A3" t="s">
        <v>342</v>
      </c>
      <c r="B3" t="s">
        <v>355</v>
      </c>
      <c r="C3" s="2" t="s">
        <v>344</v>
      </c>
      <c r="D3" t="s">
        <v>356</v>
      </c>
      <c r="E3" s="2" t="s">
        <v>357</v>
      </c>
      <c r="F3" t="s">
        <v>347</v>
      </c>
      <c r="G3" s="4">
        <v>153439</v>
      </c>
      <c r="H3" s="4">
        <v>149443</v>
      </c>
      <c r="I3" s="4">
        <v>151403</v>
      </c>
      <c r="J3" s="4">
        <v>148523</v>
      </c>
      <c r="K3" s="4">
        <v>151234</v>
      </c>
      <c r="L3" s="4">
        <v>151164</v>
      </c>
      <c r="M3" s="4">
        <v>151269</v>
      </c>
      <c r="N3" s="4">
        <v>150853</v>
      </c>
      <c r="O3" s="4">
        <v>151361</v>
      </c>
      <c r="P3" s="4">
        <v>151251</v>
      </c>
      <c r="Q3" s="4">
        <v>153796</v>
      </c>
      <c r="R3" s="4">
        <v>155106</v>
      </c>
      <c r="S3" s="4">
        <v>157443</v>
      </c>
      <c r="T3" s="4">
        <v>158445</v>
      </c>
      <c r="U3" s="4">
        <v>161027</v>
      </c>
      <c r="V3" s="4">
        <v>161090</v>
      </c>
      <c r="W3" s="4">
        <v>162074</v>
      </c>
      <c r="X3" s="4">
        <v>163369</v>
      </c>
      <c r="Y3" s="4">
        <v>162507</v>
      </c>
      <c r="Z3" s="4">
        <v>165575</v>
      </c>
      <c r="AA3" s="4">
        <v>169390</v>
      </c>
      <c r="AB3" s="4">
        <v>170284</v>
      </c>
      <c r="AC3" s="4">
        <v>172709</v>
      </c>
      <c r="AD3" s="4">
        <v>174066</v>
      </c>
      <c r="AE3" s="4">
        <v>178852</v>
      </c>
      <c r="AF3" s="4">
        <v>181672</v>
      </c>
      <c r="AG3" s="4">
        <v>182857</v>
      </c>
      <c r="AH3" s="4">
        <v>183752</v>
      </c>
      <c r="AI3" s="4">
        <v>185943</v>
      </c>
      <c r="AJ3" s="4">
        <v>189091</v>
      </c>
      <c r="AK3" s="4">
        <v>193017</v>
      </c>
      <c r="AL3" s="4">
        <v>197212</v>
      </c>
      <c r="AM3" s="4">
        <v>199926</v>
      </c>
      <c r="AN3" s="4">
        <v>202789</v>
      </c>
      <c r="AO3" s="4">
        <v>207502</v>
      </c>
      <c r="AP3" s="4">
        <v>209369</v>
      </c>
      <c r="AQ3" s="4">
        <v>211167</v>
      </c>
      <c r="AR3" s="4">
        <v>212989</v>
      </c>
      <c r="AS3" s="4">
        <v>212810</v>
      </c>
      <c r="AT3" s="4">
        <v>213685</v>
      </c>
      <c r="AU3" s="4">
        <v>215861</v>
      </c>
      <c r="AV3" s="4">
        <v>216571</v>
      </c>
      <c r="AW3" s="4">
        <v>215211</v>
      </c>
      <c r="AX3" s="4">
        <v>215007</v>
      </c>
      <c r="AY3" s="4">
        <v>214735</v>
      </c>
      <c r="AZ3" s="4">
        <v>213315</v>
      </c>
      <c r="BA3" s="4">
        <v>213544</v>
      </c>
      <c r="BB3" s="4">
        <v>213576</v>
      </c>
      <c r="BC3" s="4">
        <v>213040</v>
      </c>
      <c r="BD3" s="4">
        <v>215855</v>
      </c>
      <c r="BE3" s="4">
        <v>217123</v>
      </c>
      <c r="BF3" s="4">
        <v>217528</v>
      </c>
      <c r="BG3" s="4">
        <v>219343</v>
      </c>
      <c r="BH3" s="4">
        <v>219780</v>
      </c>
      <c r="BI3" s="4">
        <v>223611</v>
      </c>
      <c r="BJ3" s="4">
        <v>225346</v>
      </c>
      <c r="BK3" s="4">
        <v>227586</v>
      </c>
      <c r="BL3" s="4">
        <v>227983</v>
      </c>
      <c r="BM3" s="4">
        <v>229961</v>
      </c>
      <c r="BN3" s="4">
        <v>231570</v>
      </c>
      <c r="BO3" s="4">
        <v>231674</v>
      </c>
      <c r="BP3" s="4">
        <v>233343</v>
      </c>
      <c r="BQ3" s="4">
        <v>234345</v>
      </c>
      <c r="BR3" s="4">
        <v>237147</v>
      </c>
      <c r="BS3" s="4">
        <v>239556</v>
      </c>
      <c r="BT3" s="4">
        <v>241559</v>
      </c>
      <c r="BU3" s="4">
        <v>243639</v>
      </c>
      <c r="BV3" s="4">
        <v>246780</v>
      </c>
      <c r="BW3" s="4">
        <v>249328</v>
      </c>
      <c r="BX3" s="4">
        <v>253090</v>
      </c>
      <c r="BY3" s="4">
        <v>256735</v>
      </c>
      <c r="BZ3" s="4">
        <v>258701</v>
      </c>
      <c r="CA3" s="4">
        <v>260797</v>
      </c>
      <c r="CB3" s="4">
        <v>263411</v>
      </c>
      <c r="CC3" s="4">
        <v>267649</v>
      </c>
      <c r="CD3" s="4">
        <v>267397</v>
      </c>
      <c r="CE3" s="4">
        <v>270159</v>
      </c>
      <c r="CF3" s="4">
        <v>275407</v>
      </c>
      <c r="CG3" s="4">
        <v>278331</v>
      </c>
      <c r="CH3" s="4">
        <v>280651</v>
      </c>
      <c r="CI3" s="4">
        <v>284274</v>
      </c>
      <c r="CJ3" s="4">
        <v>287388</v>
      </c>
      <c r="CK3" s="4">
        <v>290894</v>
      </c>
      <c r="CL3" s="4">
        <v>293325</v>
      </c>
      <c r="CM3" s="4">
        <v>294155</v>
      </c>
      <c r="CN3" s="4">
        <v>296378</v>
      </c>
      <c r="CO3" s="4">
        <v>300827</v>
      </c>
      <c r="CP3" s="4">
        <v>303055</v>
      </c>
      <c r="CQ3" s="4">
        <v>303450</v>
      </c>
      <c r="CR3" s="4">
        <v>304764</v>
      </c>
      <c r="CS3" s="4">
        <v>307772</v>
      </c>
      <c r="CT3" s="4">
        <v>310517</v>
      </c>
      <c r="CU3" s="4">
        <v>312554</v>
      </c>
      <c r="CV3" s="4">
        <v>316413</v>
      </c>
      <c r="CW3" s="4">
        <v>318762</v>
      </c>
      <c r="CX3" s="4">
        <v>320529</v>
      </c>
      <c r="CY3" s="4">
        <v>322150</v>
      </c>
      <c r="CZ3" s="4">
        <v>325157</v>
      </c>
      <c r="DA3" s="4">
        <v>326983</v>
      </c>
      <c r="DB3" s="4">
        <v>329186</v>
      </c>
      <c r="DC3" s="4">
        <v>332385</v>
      </c>
      <c r="DD3" s="4">
        <v>333357</v>
      </c>
      <c r="DE3" s="4">
        <v>335900</v>
      </c>
      <c r="DF3" s="4">
        <v>336830</v>
      </c>
      <c r="DG3" s="4">
        <v>335359</v>
      </c>
      <c r="DH3" s="4">
        <v>335833</v>
      </c>
      <c r="DI3" s="4">
        <v>338624</v>
      </c>
      <c r="DJ3" s="4">
        <v>339339</v>
      </c>
      <c r="DK3" s="4">
        <v>343169</v>
      </c>
      <c r="DL3" s="4">
        <v>347001</v>
      </c>
      <c r="DM3" s="4">
        <v>353872</v>
      </c>
      <c r="DN3" s="4">
        <v>353402</v>
      </c>
      <c r="DO3" s="4">
        <v>355059</v>
      </c>
      <c r="DP3" s="4">
        <v>350021</v>
      </c>
      <c r="DQ3" s="4">
        <v>344231</v>
      </c>
      <c r="DR3" s="4">
        <v>335303</v>
      </c>
      <c r="DS3" s="4">
        <v>333667</v>
      </c>
      <c r="DT3" s="4">
        <v>332958</v>
      </c>
      <c r="DU3" s="4">
        <v>333656</v>
      </c>
      <c r="DV3" s="4">
        <v>336375</v>
      </c>
      <c r="DW3" s="4">
        <v>335932</v>
      </c>
      <c r="DX3" s="4">
        <v>345407</v>
      </c>
      <c r="DY3" s="4">
        <v>346142</v>
      </c>
      <c r="DZ3" s="4">
        <v>345426</v>
      </c>
      <c r="EA3" s="4">
        <v>342009</v>
      </c>
      <c r="EB3" s="4">
        <v>340153</v>
      </c>
      <c r="EC3" s="4">
        <v>340755</v>
      </c>
      <c r="ED3" s="4">
        <v>341255</v>
      </c>
      <c r="EE3" s="4">
        <v>341708</v>
      </c>
      <c r="EF3" s="4">
        <v>345006</v>
      </c>
      <c r="EG3" s="4">
        <v>349895</v>
      </c>
      <c r="EH3" s="4">
        <v>355752</v>
      </c>
      <c r="EI3" s="4">
        <v>352851</v>
      </c>
      <c r="EJ3" s="4">
        <v>355308</v>
      </c>
      <c r="EK3" s="4">
        <v>359151</v>
      </c>
      <c r="EL3" s="4">
        <v>360080</v>
      </c>
      <c r="EM3" s="4">
        <v>361463</v>
      </c>
      <c r="EN3" s="4">
        <v>364739</v>
      </c>
      <c r="EO3" s="4">
        <v>371275</v>
      </c>
      <c r="EP3" s="4">
        <v>374107</v>
      </c>
      <c r="EQ3" s="4">
        <v>375994</v>
      </c>
      <c r="ER3" s="4">
        <v>377177</v>
      </c>
      <c r="ES3" s="4">
        <v>381986</v>
      </c>
      <c r="ET3" s="4">
        <v>381066</v>
      </c>
      <c r="EU3" s="4">
        <v>388934</v>
      </c>
      <c r="EV3" s="4">
        <v>392507</v>
      </c>
      <c r="EW3" s="4">
        <v>395501</v>
      </c>
      <c r="EX3" s="4">
        <v>395973</v>
      </c>
      <c r="EY3" s="4">
        <v>399124</v>
      </c>
      <c r="EZ3" s="4">
        <v>399139</v>
      </c>
      <c r="FA3" s="4">
        <v>401714</v>
      </c>
      <c r="FB3" s="4">
        <v>403747</v>
      </c>
      <c r="FC3" s="4">
        <v>406073</v>
      </c>
      <c r="FD3" s="4">
        <v>404497</v>
      </c>
      <c r="FE3" s="4">
        <v>408017</v>
      </c>
      <c r="FF3" s="4">
        <v>412655</v>
      </c>
      <c r="FG3" s="4">
        <v>412090</v>
      </c>
      <c r="FH3" s="4">
        <v>413136</v>
      </c>
      <c r="FI3" s="4">
        <v>412951</v>
      </c>
      <c r="FJ3" s="4">
        <v>412487</v>
      </c>
      <c r="FK3" s="4">
        <v>400748</v>
      </c>
      <c r="FL3" s="4">
        <v>308486</v>
      </c>
      <c r="FM3" s="4">
        <v>369291</v>
      </c>
      <c r="FN3" s="4">
        <v>362708</v>
      </c>
      <c r="FO3" s="4">
        <v>349378</v>
      </c>
      <c r="FP3" s="4">
        <v>389324</v>
      </c>
      <c r="FQ3" s="4">
        <v>401314</v>
      </c>
      <c r="FR3" s="4">
        <v>402019</v>
      </c>
      <c r="FS3" s="4">
        <v>407981</v>
      </c>
      <c r="FT3" s="4">
        <v>415833</v>
      </c>
      <c r="FU3" s="4">
        <v>416076</v>
      </c>
      <c r="FV3" s="4">
        <v>417728</v>
      </c>
      <c r="FW3" s="4">
        <v>415180</v>
      </c>
      <c r="FX3" s="4">
        <v>416034</v>
      </c>
      <c r="FY3" s="4">
        <v>410873</v>
      </c>
      <c r="FZ3" s="4">
        <v>410194</v>
      </c>
      <c r="GA3" s="4">
        <v>411349</v>
      </c>
      <c r="GB3" s="4">
        <v>411115</v>
      </c>
      <c r="GC3" s="4">
        <v>413915</v>
      </c>
      <c r="GD3" s="4">
        <v>414482</v>
      </c>
      <c r="GE3" s="4">
        <v>415670</v>
      </c>
      <c r="GF3" s="4">
        <v>415858</v>
      </c>
      <c r="GG3" s="4">
        <v>417589</v>
      </c>
      <c r="GH3" s="4">
        <v>418232</v>
      </c>
      <c r="GI3" s="5">
        <v>419068.5</v>
      </c>
      <c r="GJ3" s="5">
        <v>419655.9</v>
      </c>
      <c r="GK3" s="5">
        <v>420263.7</v>
      </c>
      <c r="GL3" s="5">
        <v>421146.4</v>
      </c>
      <c r="GM3" s="5">
        <v>422262</v>
      </c>
      <c r="GN3" s="5">
        <v>423360.5</v>
      </c>
      <c r="GO3" s="5">
        <v>424656.6</v>
      </c>
      <c r="GP3" s="5">
        <v>425999.5</v>
      </c>
      <c r="GQ3" s="5">
        <v>427409.4</v>
      </c>
      <c r="GR3" s="5">
        <v>428995.4</v>
      </c>
      <c r="GS3" s="5">
        <v>430659.9</v>
      </c>
      <c r="GT3" s="5">
        <v>432258.3</v>
      </c>
      <c r="GU3" s="5">
        <v>433739</v>
      </c>
      <c r="GV3" s="5">
        <v>435196.2</v>
      </c>
      <c r="GW3" s="5">
        <v>436722.9</v>
      </c>
      <c r="GX3" s="5">
        <v>438184</v>
      </c>
      <c r="GY3" s="5">
        <v>439771.6</v>
      </c>
      <c r="GZ3" s="5">
        <v>441292.5</v>
      </c>
      <c r="HA3" s="5">
        <v>442797.1</v>
      </c>
      <c r="HB3" s="5">
        <v>444373.1</v>
      </c>
      <c r="HC3" s="5">
        <v>445962.5</v>
      </c>
      <c r="HD3" s="5">
        <v>447559.2</v>
      </c>
      <c r="HE3" s="5">
        <v>449129.8</v>
      </c>
      <c r="HF3" s="5">
        <v>450715.6</v>
      </c>
      <c r="HG3" s="5">
        <v>452257.6</v>
      </c>
      <c r="HH3" s="5">
        <v>453782.7</v>
      </c>
      <c r="HI3" s="5">
        <v>455274.9</v>
      </c>
      <c r="HJ3" s="5">
        <v>456751.5</v>
      </c>
      <c r="HK3" s="5">
        <v>458341.3</v>
      </c>
      <c r="HL3" s="5">
        <v>459938.4</v>
      </c>
      <c r="HM3" s="5">
        <v>461578.1</v>
      </c>
      <c r="HN3" s="5">
        <v>463225.5</v>
      </c>
      <c r="HO3" s="5">
        <v>464916.6</v>
      </c>
      <c r="HP3" s="5">
        <v>466615.9</v>
      </c>
      <c r="HQ3" s="5">
        <v>468307.20000000001</v>
      </c>
      <c r="HR3" s="5">
        <v>469967.4</v>
      </c>
      <c r="HS3" s="5">
        <v>471674.8</v>
      </c>
      <c r="HT3" s="5">
        <v>473389.3</v>
      </c>
      <c r="HU3" s="5">
        <v>475109.5</v>
      </c>
      <c r="HV3" s="5">
        <v>476836.9</v>
      </c>
      <c r="HW3" s="5" t="s">
        <v>348</v>
      </c>
      <c r="HX3" s="5" t="s">
        <v>348</v>
      </c>
      <c r="HY3" s="5" t="s">
        <v>348</v>
      </c>
      <c r="HZ3" s="5" t="s">
        <v>348</v>
      </c>
      <c r="IA3" s="5" t="s">
        <v>348</v>
      </c>
      <c r="IB3" s="5" t="s">
        <v>348</v>
      </c>
      <c r="IC3" s="5" t="s">
        <v>348</v>
      </c>
      <c r="ID3" s="5" t="s">
        <v>348</v>
      </c>
      <c r="IE3" s="5" t="s">
        <v>348</v>
      </c>
      <c r="IF3" s="5" t="s">
        <v>348</v>
      </c>
      <c r="IG3" s="5" t="s">
        <v>348</v>
      </c>
      <c r="IH3" s="5" t="s">
        <v>348</v>
      </c>
      <c r="II3" s="5" t="s">
        <v>348</v>
      </c>
      <c r="IJ3" s="5" t="s">
        <v>348</v>
      </c>
      <c r="IK3" s="5" t="s">
        <v>348</v>
      </c>
      <c r="IL3" s="5" t="s">
        <v>348</v>
      </c>
      <c r="IM3" s="5" t="s">
        <v>348</v>
      </c>
      <c r="IN3" s="5" t="s">
        <v>348</v>
      </c>
      <c r="IO3" s="5" t="s">
        <v>348</v>
      </c>
      <c r="IP3" s="5" t="s">
        <v>348</v>
      </c>
      <c r="IQ3" s="5" t="s">
        <v>348</v>
      </c>
      <c r="IR3" s="5" t="s">
        <v>348</v>
      </c>
      <c r="IS3" s="5" t="s">
        <v>348</v>
      </c>
      <c r="IT3" s="5" t="s">
        <v>348</v>
      </c>
      <c r="IU3" s="5" t="s">
        <v>348</v>
      </c>
      <c r="IV3" s="5" t="s">
        <v>348</v>
      </c>
      <c r="IW3" s="5" t="s">
        <v>348</v>
      </c>
      <c r="IX3" s="5" t="s">
        <v>348</v>
      </c>
      <c r="IY3" s="5" t="s">
        <v>348</v>
      </c>
      <c r="IZ3" s="5" t="s">
        <v>348</v>
      </c>
      <c r="JA3" s="5" t="s">
        <v>348</v>
      </c>
      <c r="JB3" s="5" t="s">
        <v>348</v>
      </c>
      <c r="JC3" s="5" t="s">
        <v>348</v>
      </c>
      <c r="JD3" s="5" t="s">
        <v>348</v>
      </c>
      <c r="JE3" s="5" t="s">
        <v>348</v>
      </c>
      <c r="JF3" s="5" t="s">
        <v>348</v>
      </c>
      <c r="JG3" s="5" t="s">
        <v>348</v>
      </c>
      <c r="JH3" s="5" t="s">
        <v>348</v>
      </c>
      <c r="JI3" s="5" t="s">
        <v>348</v>
      </c>
      <c r="JJ3" s="5" t="s">
        <v>348</v>
      </c>
      <c r="JK3" s="5" t="s">
        <v>348</v>
      </c>
      <c r="JL3" s="5" t="s">
        <v>348</v>
      </c>
      <c r="JM3" s="5" t="s">
        <v>348</v>
      </c>
      <c r="JN3" s="5" t="s">
        <v>348</v>
      </c>
      <c r="JO3" s="5" t="s">
        <v>348</v>
      </c>
      <c r="JP3" s="5" t="s">
        <v>348</v>
      </c>
      <c r="JQ3" s="5" t="s">
        <v>348</v>
      </c>
      <c r="JR3" s="5" t="s">
        <v>348</v>
      </c>
      <c r="JS3" s="5" t="s">
        <v>348</v>
      </c>
      <c r="JT3" s="5" t="s">
        <v>348</v>
      </c>
      <c r="JU3" s="5" t="s">
        <v>348</v>
      </c>
      <c r="JV3" s="5" t="s">
        <v>348</v>
      </c>
      <c r="JW3" s="5" t="s">
        <v>348</v>
      </c>
      <c r="JX3" s="5" t="s">
        <v>348</v>
      </c>
      <c r="JY3" s="5" t="s">
        <v>348</v>
      </c>
      <c r="JZ3" s="5" t="s">
        <v>348</v>
      </c>
      <c r="KA3" s="5" t="s">
        <v>348</v>
      </c>
      <c r="KB3" s="5" t="s">
        <v>348</v>
      </c>
      <c r="KC3" s="5" t="s">
        <v>348</v>
      </c>
      <c r="KD3" s="5" t="s">
        <v>348</v>
      </c>
      <c r="KE3" s="5" t="s">
        <v>348</v>
      </c>
      <c r="KF3" s="5" t="s">
        <v>348</v>
      </c>
      <c r="KG3" s="5" t="s">
        <v>348</v>
      </c>
      <c r="KH3" s="5" t="s">
        <v>348</v>
      </c>
      <c r="KI3" s="5" t="s">
        <v>348</v>
      </c>
      <c r="KJ3" s="5" t="s">
        <v>348</v>
      </c>
      <c r="KK3" s="5" t="s">
        <v>348</v>
      </c>
      <c r="KL3" s="5" t="s">
        <v>348</v>
      </c>
      <c r="KM3" s="5" t="s">
        <v>348</v>
      </c>
      <c r="KN3" s="5" t="s">
        <v>348</v>
      </c>
      <c r="KO3" s="5" t="s">
        <v>348</v>
      </c>
      <c r="KP3" s="5" t="s">
        <v>348</v>
      </c>
      <c r="KQ3" s="5" t="s">
        <v>348</v>
      </c>
      <c r="KR3" s="5" t="s">
        <v>348</v>
      </c>
      <c r="KS3" s="5" t="s">
        <v>348</v>
      </c>
      <c r="KT3" s="5" t="s">
        <v>348</v>
      </c>
      <c r="KU3" s="5" t="s">
        <v>348</v>
      </c>
      <c r="KV3" s="5" t="s">
        <v>348</v>
      </c>
      <c r="KW3" s="5" t="s">
        <v>348</v>
      </c>
      <c r="KX3" s="5" t="s">
        <v>348</v>
      </c>
      <c r="KY3" s="5" t="s">
        <v>348</v>
      </c>
      <c r="KZ3" s="5" t="s">
        <v>348</v>
      </c>
      <c r="LA3" s="5" t="s">
        <v>348</v>
      </c>
      <c r="LB3" s="5" t="s">
        <v>348</v>
      </c>
      <c r="LC3" s="5" t="s">
        <v>348</v>
      </c>
      <c r="LD3" s="5" t="s">
        <v>348</v>
      </c>
      <c r="LE3" s="5" t="s">
        <v>348</v>
      </c>
      <c r="LF3" s="5" t="s">
        <v>348</v>
      </c>
      <c r="LG3" s="5" t="s">
        <v>348</v>
      </c>
      <c r="LH3" s="5" t="s">
        <v>348</v>
      </c>
      <c r="LI3" s="5" t="s">
        <v>348</v>
      </c>
      <c r="LJ3" s="5" t="s">
        <v>348</v>
      </c>
      <c r="LK3" s="5" t="s">
        <v>348</v>
      </c>
      <c r="LL3" s="5" t="s">
        <v>348</v>
      </c>
      <c r="LM3" s="5" t="s">
        <v>348</v>
      </c>
      <c r="LN3" s="5" t="s">
        <v>348</v>
      </c>
      <c r="LO3" s="5" t="s">
        <v>348</v>
      </c>
      <c r="LP3" s="5" t="s">
        <v>348</v>
      </c>
      <c r="LQ3" s="5" t="s">
        <v>348</v>
      </c>
      <c r="LR3" s="5" t="s">
        <v>348</v>
      </c>
      <c r="LS3" t="s">
        <v>349</v>
      </c>
      <c r="LT3" t="b">
        <v>1</v>
      </c>
      <c r="LU3" s="2" t="s">
        <v>358</v>
      </c>
      <c r="LV3" t="s">
        <v>348</v>
      </c>
      <c r="LW3">
        <v>2025</v>
      </c>
      <c r="LX3">
        <v>4</v>
      </c>
      <c r="LY3" s="3">
        <v>46091</v>
      </c>
      <c r="LZ3" t="s">
        <v>359</v>
      </c>
      <c r="MA3" s="2" t="s">
        <v>360</v>
      </c>
      <c r="MB3" t="s">
        <v>352</v>
      </c>
      <c r="MC3" t="s">
        <v>361</v>
      </c>
      <c r="MD3" t="s">
        <v>354</v>
      </c>
    </row>
    <row r="4" spans="1:342" x14ac:dyDescent="0.25">
      <c r="A4" t="s">
        <v>342</v>
      </c>
      <c r="B4" t="s">
        <v>362</v>
      </c>
      <c r="C4" s="2" t="s">
        <v>344</v>
      </c>
      <c r="D4" t="s">
        <v>356</v>
      </c>
      <c r="E4" s="2" t="s">
        <v>357</v>
      </c>
      <c r="F4" t="s">
        <v>347</v>
      </c>
      <c r="G4" s="4">
        <v>290378</v>
      </c>
      <c r="H4" s="4">
        <v>284713</v>
      </c>
      <c r="I4" s="4">
        <v>284402</v>
      </c>
      <c r="J4" s="4">
        <v>281496</v>
      </c>
      <c r="K4" s="4">
        <v>281257</v>
      </c>
      <c r="L4" s="4">
        <v>282155</v>
      </c>
      <c r="M4" s="4">
        <v>285437</v>
      </c>
      <c r="N4" s="4">
        <v>285814</v>
      </c>
      <c r="O4" s="4">
        <v>286275</v>
      </c>
      <c r="P4" s="4">
        <v>289232</v>
      </c>
      <c r="Q4" s="4">
        <v>289852</v>
      </c>
      <c r="R4" s="4">
        <v>291832</v>
      </c>
      <c r="S4" s="4">
        <v>297563</v>
      </c>
      <c r="T4" s="4">
        <v>299623</v>
      </c>
      <c r="U4" s="4">
        <v>303085</v>
      </c>
      <c r="V4" s="4">
        <v>305361</v>
      </c>
      <c r="W4" s="4">
        <v>307964</v>
      </c>
      <c r="X4" s="4">
        <v>304892</v>
      </c>
      <c r="Y4" s="4">
        <v>307122</v>
      </c>
      <c r="Z4" s="4">
        <v>312697</v>
      </c>
      <c r="AA4" s="4">
        <v>315753</v>
      </c>
      <c r="AB4" s="4">
        <v>322451</v>
      </c>
      <c r="AC4" s="4">
        <v>322392</v>
      </c>
      <c r="AD4" s="4">
        <v>322604</v>
      </c>
      <c r="AE4" s="4">
        <v>325968</v>
      </c>
      <c r="AF4" s="4">
        <v>328872</v>
      </c>
      <c r="AG4" s="4">
        <v>330966</v>
      </c>
      <c r="AH4" s="4">
        <v>337367</v>
      </c>
      <c r="AI4" s="4">
        <v>339754</v>
      </c>
      <c r="AJ4" s="4">
        <v>344795</v>
      </c>
      <c r="AK4" s="4">
        <v>353365</v>
      </c>
      <c r="AL4" s="4">
        <v>357439</v>
      </c>
      <c r="AM4" s="4">
        <v>363267</v>
      </c>
      <c r="AN4" s="4">
        <v>365209</v>
      </c>
      <c r="AO4" s="4">
        <v>369774</v>
      </c>
      <c r="AP4" s="4">
        <v>372752</v>
      </c>
      <c r="AQ4" s="4">
        <v>374612</v>
      </c>
      <c r="AR4" s="4">
        <v>376951</v>
      </c>
      <c r="AS4" s="4">
        <v>377573</v>
      </c>
      <c r="AT4" s="4">
        <v>377508</v>
      </c>
      <c r="AU4" s="4">
        <v>379458</v>
      </c>
      <c r="AV4" s="4">
        <v>381997</v>
      </c>
      <c r="AW4" s="4">
        <v>377831</v>
      </c>
      <c r="AX4" s="4">
        <v>375916</v>
      </c>
      <c r="AY4" s="4">
        <v>374060</v>
      </c>
      <c r="AZ4" s="4">
        <v>373608</v>
      </c>
      <c r="BA4" s="4">
        <v>372878</v>
      </c>
      <c r="BB4" s="4">
        <v>373357</v>
      </c>
      <c r="BC4" s="4">
        <v>373317</v>
      </c>
      <c r="BD4" s="4">
        <v>372751</v>
      </c>
      <c r="BE4" s="4">
        <v>374537</v>
      </c>
      <c r="BF4" s="4">
        <v>377418</v>
      </c>
      <c r="BG4" s="4">
        <v>379370</v>
      </c>
      <c r="BH4" s="4">
        <v>381045</v>
      </c>
      <c r="BI4" s="4">
        <v>384524</v>
      </c>
      <c r="BJ4" s="4">
        <v>387143</v>
      </c>
      <c r="BK4" s="4">
        <v>391026</v>
      </c>
      <c r="BL4" s="4">
        <v>394588</v>
      </c>
      <c r="BM4" s="4">
        <v>398566</v>
      </c>
      <c r="BN4" s="4">
        <v>400279</v>
      </c>
      <c r="BO4" s="4">
        <v>402390</v>
      </c>
      <c r="BP4" s="4">
        <v>403259</v>
      </c>
      <c r="BQ4" s="4">
        <v>407795</v>
      </c>
      <c r="BR4" s="4">
        <v>409132</v>
      </c>
      <c r="BS4" s="4">
        <v>412022</v>
      </c>
      <c r="BT4" s="4">
        <v>413325</v>
      </c>
      <c r="BU4" s="4">
        <v>417019</v>
      </c>
      <c r="BV4" s="4">
        <v>422639</v>
      </c>
      <c r="BW4" s="4">
        <v>429418</v>
      </c>
      <c r="BX4" s="4">
        <v>434199</v>
      </c>
      <c r="BY4" s="4">
        <v>438100</v>
      </c>
      <c r="BZ4" s="4">
        <v>444540</v>
      </c>
      <c r="CA4" s="4">
        <v>447712</v>
      </c>
      <c r="CB4" s="4">
        <v>450292</v>
      </c>
      <c r="CC4" s="4">
        <v>451005</v>
      </c>
      <c r="CD4" s="4">
        <v>453937</v>
      </c>
      <c r="CE4" s="4">
        <v>457044</v>
      </c>
      <c r="CF4" s="4">
        <v>458710</v>
      </c>
      <c r="CG4" s="4">
        <v>466387</v>
      </c>
      <c r="CH4" s="4">
        <v>473892</v>
      </c>
      <c r="CI4" s="4">
        <v>480212</v>
      </c>
      <c r="CJ4" s="4">
        <v>483672</v>
      </c>
      <c r="CK4" s="4">
        <v>486617</v>
      </c>
      <c r="CL4" s="4">
        <v>489506</v>
      </c>
      <c r="CM4" s="4">
        <v>493575</v>
      </c>
      <c r="CN4" s="4">
        <v>495602</v>
      </c>
      <c r="CO4" s="4">
        <v>497938</v>
      </c>
      <c r="CP4" s="4">
        <v>499278</v>
      </c>
      <c r="CQ4" s="4">
        <v>500794</v>
      </c>
      <c r="CR4" s="4">
        <v>503433</v>
      </c>
      <c r="CS4" s="4">
        <v>506386</v>
      </c>
      <c r="CT4" s="4">
        <v>509728</v>
      </c>
      <c r="CU4" s="4">
        <v>514031</v>
      </c>
      <c r="CV4" s="4">
        <v>518802</v>
      </c>
      <c r="CW4" s="4">
        <v>524213</v>
      </c>
      <c r="CX4" s="4">
        <v>528320</v>
      </c>
      <c r="CY4" s="4">
        <v>529996</v>
      </c>
      <c r="CZ4" s="4">
        <v>532543</v>
      </c>
      <c r="DA4" s="4">
        <v>534447</v>
      </c>
      <c r="DB4" s="4">
        <v>536886</v>
      </c>
      <c r="DC4" s="4">
        <v>541028</v>
      </c>
      <c r="DD4" s="4">
        <v>545530</v>
      </c>
      <c r="DE4" s="4">
        <v>550552</v>
      </c>
      <c r="DF4" s="4">
        <v>556311</v>
      </c>
      <c r="DG4" s="4">
        <v>558314</v>
      </c>
      <c r="DH4" s="4">
        <v>559795</v>
      </c>
      <c r="DI4" s="4">
        <v>560675</v>
      </c>
      <c r="DJ4" s="4">
        <v>562669</v>
      </c>
      <c r="DK4" s="4">
        <v>568845</v>
      </c>
      <c r="DL4" s="4">
        <v>574194</v>
      </c>
      <c r="DM4" s="4">
        <v>579605</v>
      </c>
      <c r="DN4" s="4">
        <v>584504</v>
      </c>
      <c r="DO4" s="4">
        <v>586690</v>
      </c>
      <c r="DP4" s="4">
        <v>583541</v>
      </c>
      <c r="DQ4" s="4">
        <v>573961</v>
      </c>
      <c r="DR4" s="4">
        <v>561816</v>
      </c>
      <c r="DS4" s="4">
        <v>550451</v>
      </c>
      <c r="DT4" s="4">
        <v>548859</v>
      </c>
      <c r="DU4" s="4">
        <v>549540</v>
      </c>
      <c r="DV4" s="4">
        <v>551372</v>
      </c>
      <c r="DW4" s="4">
        <v>556002</v>
      </c>
      <c r="DX4" s="4">
        <v>562353</v>
      </c>
      <c r="DY4" s="4">
        <v>565659</v>
      </c>
      <c r="DZ4" s="4">
        <v>565945</v>
      </c>
      <c r="EA4" s="4">
        <v>566873</v>
      </c>
      <c r="EB4" s="4">
        <v>566601</v>
      </c>
      <c r="EC4" s="4">
        <v>567586</v>
      </c>
      <c r="ED4" s="4">
        <v>568056</v>
      </c>
      <c r="EE4" s="4">
        <v>573416</v>
      </c>
      <c r="EF4" s="4">
        <v>573112</v>
      </c>
      <c r="EG4" s="4">
        <v>579051</v>
      </c>
      <c r="EH4" s="4">
        <v>578215</v>
      </c>
      <c r="EI4" s="4">
        <v>579749</v>
      </c>
      <c r="EJ4" s="4">
        <v>583605</v>
      </c>
      <c r="EK4" s="4">
        <v>588076</v>
      </c>
      <c r="EL4" s="4">
        <v>591954</v>
      </c>
      <c r="EM4" s="4">
        <v>596696</v>
      </c>
      <c r="EN4" s="4">
        <v>602310</v>
      </c>
      <c r="EO4" s="4">
        <v>607213</v>
      </c>
      <c r="EP4" s="4">
        <v>611220</v>
      </c>
      <c r="EQ4" s="4">
        <v>613076</v>
      </c>
      <c r="ER4" s="4">
        <v>615875</v>
      </c>
      <c r="ES4" s="4">
        <v>618263</v>
      </c>
      <c r="ET4" s="4">
        <v>621968</v>
      </c>
      <c r="EU4" s="4">
        <v>625099</v>
      </c>
      <c r="EV4" s="4">
        <v>629697</v>
      </c>
      <c r="EW4" s="4">
        <v>632477</v>
      </c>
      <c r="EX4" s="4">
        <v>636392</v>
      </c>
      <c r="EY4" s="4">
        <v>642463</v>
      </c>
      <c r="EZ4" s="4">
        <v>647944</v>
      </c>
      <c r="FA4" s="4">
        <v>652329</v>
      </c>
      <c r="FB4" s="4">
        <v>657225</v>
      </c>
      <c r="FC4" s="4">
        <v>657741</v>
      </c>
      <c r="FD4" s="4">
        <v>659172</v>
      </c>
      <c r="FE4" s="4">
        <v>661262</v>
      </c>
      <c r="FF4" s="4">
        <v>662120</v>
      </c>
      <c r="FG4" s="4">
        <v>665456</v>
      </c>
      <c r="FH4" s="4">
        <v>666875</v>
      </c>
      <c r="FI4" s="4">
        <v>670547</v>
      </c>
      <c r="FJ4" s="4">
        <v>670587</v>
      </c>
      <c r="FK4" s="4">
        <v>652180</v>
      </c>
      <c r="FL4" s="4">
        <v>522356</v>
      </c>
      <c r="FM4" s="4">
        <v>610972</v>
      </c>
      <c r="FN4" s="4">
        <v>619330</v>
      </c>
      <c r="FO4" s="4">
        <v>612665</v>
      </c>
      <c r="FP4" s="4">
        <v>655443</v>
      </c>
      <c r="FQ4" s="4">
        <v>666498</v>
      </c>
      <c r="FR4" s="4">
        <v>675680</v>
      </c>
      <c r="FS4" s="4">
        <v>682527</v>
      </c>
      <c r="FT4" s="4">
        <v>686335</v>
      </c>
      <c r="FU4" s="4">
        <v>687029</v>
      </c>
      <c r="FV4" s="4">
        <v>688817</v>
      </c>
      <c r="FW4" s="4">
        <v>689206</v>
      </c>
      <c r="FX4" s="4">
        <v>689491</v>
      </c>
      <c r="FY4" s="4">
        <v>687839</v>
      </c>
      <c r="FZ4" s="4">
        <v>685628</v>
      </c>
      <c r="GA4" s="4">
        <v>691198</v>
      </c>
      <c r="GB4" s="4">
        <v>695280</v>
      </c>
      <c r="GC4" s="4">
        <v>696853</v>
      </c>
      <c r="GD4" s="4">
        <v>698780</v>
      </c>
      <c r="GE4" s="4">
        <v>703373</v>
      </c>
      <c r="GF4" s="4">
        <v>704798</v>
      </c>
      <c r="GG4" s="4">
        <v>705187</v>
      </c>
      <c r="GH4" s="4">
        <v>705571</v>
      </c>
      <c r="GI4" s="5">
        <v>708222</v>
      </c>
      <c r="GJ4" s="5">
        <v>709853.7</v>
      </c>
      <c r="GK4" s="5">
        <v>711305.4</v>
      </c>
      <c r="GL4" s="5">
        <v>713264</v>
      </c>
      <c r="GM4" s="5">
        <v>715760.7</v>
      </c>
      <c r="GN4" s="5">
        <v>718249.3</v>
      </c>
      <c r="GO4" s="5">
        <v>721050.6</v>
      </c>
      <c r="GP4" s="5">
        <v>723790.6</v>
      </c>
      <c r="GQ4" s="5">
        <v>726468.2</v>
      </c>
      <c r="GR4" s="5">
        <v>729191.6</v>
      </c>
      <c r="GS4" s="5">
        <v>731926</v>
      </c>
      <c r="GT4" s="5">
        <v>734634.7</v>
      </c>
      <c r="GU4" s="5">
        <v>737264.9</v>
      </c>
      <c r="GV4" s="5">
        <v>739845.4</v>
      </c>
      <c r="GW4" s="5">
        <v>742582.1</v>
      </c>
      <c r="GX4" s="5">
        <v>745218.2</v>
      </c>
      <c r="GY4" s="5">
        <v>747975.1</v>
      </c>
      <c r="GZ4" s="5">
        <v>750742.2</v>
      </c>
      <c r="HA4" s="5">
        <v>753519.8</v>
      </c>
      <c r="HB4" s="5">
        <v>756421</v>
      </c>
      <c r="HC4" s="5">
        <v>759333.2</v>
      </c>
      <c r="HD4" s="5">
        <v>762180.6</v>
      </c>
      <c r="HE4" s="5">
        <v>765000.1</v>
      </c>
      <c r="HF4" s="5">
        <v>767869</v>
      </c>
      <c r="HG4" s="5">
        <v>770710.4</v>
      </c>
      <c r="HH4" s="5">
        <v>773523.4</v>
      </c>
      <c r="HI4" s="5">
        <v>776347.2</v>
      </c>
      <c r="HJ4" s="5">
        <v>779181.9</v>
      </c>
      <c r="HK4" s="5">
        <v>781995.4</v>
      </c>
      <c r="HL4" s="5">
        <v>784821.4</v>
      </c>
      <c r="HM4" s="5">
        <v>787721.8</v>
      </c>
      <c r="HN4" s="5">
        <v>790635.1</v>
      </c>
      <c r="HO4" s="5">
        <v>793624.5</v>
      </c>
      <c r="HP4" s="5">
        <v>796627.5</v>
      </c>
      <c r="HQ4" s="5">
        <v>799618.2</v>
      </c>
      <c r="HR4" s="5">
        <v>802556.4</v>
      </c>
      <c r="HS4" s="5">
        <v>805576</v>
      </c>
      <c r="HT4" s="5">
        <v>808608.9</v>
      </c>
      <c r="HU4" s="5">
        <v>811652.9</v>
      </c>
      <c r="HV4" s="5">
        <v>814708.6</v>
      </c>
      <c r="HW4" s="5" t="s">
        <v>348</v>
      </c>
      <c r="HX4" s="5" t="s">
        <v>348</v>
      </c>
      <c r="HY4" s="5" t="s">
        <v>348</v>
      </c>
      <c r="HZ4" s="5" t="s">
        <v>348</v>
      </c>
      <c r="IA4" s="5" t="s">
        <v>348</v>
      </c>
      <c r="IB4" s="5" t="s">
        <v>348</v>
      </c>
      <c r="IC4" s="5" t="s">
        <v>348</v>
      </c>
      <c r="ID4" s="5" t="s">
        <v>348</v>
      </c>
      <c r="IE4" s="5" t="s">
        <v>348</v>
      </c>
      <c r="IF4" s="5" t="s">
        <v>348</v>
      </c>
      <c r="IG4" s="5" t="s">
        <v>348</v>
      </c>
      <c r="IH4" s="5" t="s">
        <v>348</v>
      </c>
      <c r="II4" s="5" t="s">
        <v>348</v>
      </c>
      <c r="IJ4" s="5" t="s">
        <v>348</v>
      </c>
      <c r="IK4" s="5" t="s">
        <v>348</v>
      </c>
      <c r="IL4" s="5" t="s">
        <v>348</v>
      </c>
      <c r="IM4" s="5" t="s">
        <v>348</v>
      </c>
      <c r="IN4" s="5" t="s">
        <v>348</v>
      </c>
      <c r="IO4" s="5" t="s">
        <v>348</v>
      </c>
      <c r="IP4" s="5" t="s">
        <v>348</v>
      </c>
      <c r="IQ4" s="5" t="s">
        <v>348</v>
      </c>
      <c r="IR4" s="5" t="s">
        <v>348</v>
      </c>
      <c r="IS4" s="5" t="s">
        <v>348</v>
      </c>
      <c r="IT4" s="5" t="s">
        <v>348</v>
      </c>
      <c r="IU4" s="5" t="s">
        <v>348</v>
      </c>
      <c r="IV4" s="5" t="s">
        <v>348</v>
      </c>
      <c r="IW4" s="5" t="s">
        <v>348</v>
      </c>
      <c r="IX4" s="5" t="s">
        <v>348</v>
      </c>
      <c r="IY4" s="5" t="s">
        <v>348</v>
      </c>
      <c r="IZ4" s="5" t="s">
        <v>348</v>
      </c>
      <c r="JA4" s="5" t="s">
        <v>348</v>
      </c>
      <c r="JB4" s="5" t="s">
        <v>348</v>
      </c>
      <c r="JC4" s="5" t="s">
        <v>348</v>
      </c>
      <c r="JD4" s="5" t="s">
        <v>348</v>
      </c>
      <c r="JE4" s="5" t="s">
        <v>348</v>
      </c>
      <c r="JF4" s="5" t="s">
        <v>348</v>
      </c>
      <c r="JG4" s="5" t="s">
        <v>348</v>
      </c>
      <c r="JH4" s="5" t="s">
        <v>348</v>
      </c>
      <c r="JI4" s="5" t="s">
        <v>348</v>
      </c>
      <c r="JJ4" s="5" t="s">
        <v>348</v>
      </c>
      <c r="JK4" s="5" t="s">
        <v>348</v>
      </c>
      <c r="JL4" s="5" t="s">
        <v>348</v>
      </c>
      <c r="JM4" s="5" t="s">
        <v>348</v>
      </c>
      <c r="JN4" s="5" t="s">
        <v>348</v>
      </c>
      <c r="JO4" s="5" t="s">
        <v>348</v>
      </c>
      <c r="JP4" s="5" t="s">
        <v>348</v>
      </c>
      <c r="JQ4" s="5" t="s">
        <v>348</v>
      </c>
      <c r="JR4" s="5" t="s">
        <v>348</v>
      </c>
      <c r="JS4" s="5" t="s">
        <v>348</v>
      </c>
      <c r="JT4" s="5" t="s">
        <v>348</v>
      </c>
      <c r="JU4" s="5" t="s">
        <v>348</v>
      </c>
      <c r="JV4" s="5" t="s">
        <v>348</v>
      </c>
      <c r="JW4" s="5" t="s">
        <v>348</v>
      </c>
      <c r="JX4" s="5" t="s">
        <v>348</v>
      </c>
      <c r="JY4" s="5" t="s">
        <v>348</v>
      </c>
      <c r="JZ4" s="5" t="s">
        <v>348</v>
      </c>
      <c r="KA4" s="5" t="s">
        <v>348</v>
      </c>
      <c r="KB4" s="5" t="s">
        <v>348</v>
      </c>
      <c r="KC4" s="5" t="s">
        <v>348</v>
      </c>
      <c r="KD4" s="5" t="s">
        <v>348</v>
      </c>
      <c r="KE4" s="5" t="s">
        <v>348</v>
      </c>
      <c r="KF4" s="5" t="s">
        <v>348</v>
      </c>
      <c r="KG4" s="5" t="s">
        <v>348</v>
      </c>
      <c r="KH4" s="5" t="s">
        <v>348</v>
      </c>
      <c r="KI4" s="5" t="s">
        <v>348</v>
      </c>
      <c r="KJ4" s="5" t="s">
        <v>348</v>
      </c>
      <c r="KK4" s="5" t="s">
        <v>348</v>
      </c>
      <c r="KL4" s="5" t="s">
        <v>348</v>
      </c>
      <c r="KM4" s="5" t="s">
        <v>348</v>
      </c>
      <c r="KN4" s="5" t="s">
        <v>348</v>
      </c>
      <c r="KO4" s="5" t="s">
        <v>348</v>
      </c>
      <c r="KP4" s="5" t="s">
        <v>348</v>
      </c>
      <c r="KQ4" s="5" t="s">
        <v>348</v>
      </c>
      <c r="KR4" s="5" t="s">
        <v>348</v>
      </c>
      <c r="KS4" s="5" t="s">
        <v>348</v>
      </c>
      <c r="KT4" s="5" t="s">
        <v>348</v>
      </c>
      <c r="KU4" s="5" t="s">
        <v>348</v>
      </c>
      <c r="KV4" s="5" t="s">
        <v>348</v>
      </c>
      <c r="KW4" s="5" t="s">
        <v>348</v>
      </c>
      <c r="KX4" s="5" t="s">
        <v>348</v>
      </c>
      <c r="KY4" s="5" t="s">
        <v>348</v>
      </c>
      <c r="KZ4" s="5" t="s">
        <v>348</v>
      </c>
      <c r="LA4" s="5" t="s">
        <v>348</v>
      </c>
      <c r="LB4" s="5" t="s">
        <v>348</v>
      </c>
      <c r="LC4" s="5" t="s">
        <v>348</v>
      </c>
      <c r="LD4" s="5" t="s">
        <v>348</v>
      </c>
      <c r="LE4" s="5" t="s">
        <v>348</v>
      </c>
      <c r="LF4" s="5" t="s">
        <v>348</v>
      </c>
      <c r="LG4" s="5" t="s">
        <v>348</v>
      </c>
      <c r="LH4" s="5" t="s">
        <v>348</v>
      </c>
      <c r="LI4" s="5" t="s">
        <v>348</v>
      </c>
      <c r="LJ4" s="5" t="s">
        <v>348</v>
      </c>
      <c r="LK4" s="5" t="s">
        <v>348</v>
      </c>
      <c r="LL4" s="5" t="s">
        <v>348</v>
      </c>
      <c r="LM4" s="5" t="s">
        <v>348</v>
      </c>
      <c r="LN4" s="5" t="s">
        <v>348</v>
      </c>
      <c r="LO4" s="5" t="s">
        <v>348</v>
      </c>
      <c r="LP4" s="5" t="s">
        <v>348</v>
      </c>
      <c r="LQ4" s="5" t="s">
        <v>348</v>
      </c>
      <c r="LR4" s="5" t="s">
        <v>348</v>
      </c>
      <c r="LS4" t="s">
        <v>349</v>
      </c>
      <c r="LT4" t="b">
        <v>1</v>
      </c>
      <c r="LU4" s="2" t="s">
        <v>358</v>
      </c>
      <c r="LV4" t="s">
        <v>348</v>
      </c>
      <c r="LW4">
        <v>2025</v>
      </c>
      <c r="LX4">
        <v>4</v>
      </c>
      <c r="LY4" s="3">
        <v>46091</v>
      </c>
      <c r="LZ4" t="s">
        <v>363</v>
      </c>
      <c r="MA4" s="2" t="s">
        <v>364</v>
      </c>
      <c r="MB4" t="s">
        <v>352</v>
      </c>
      <c r="MC4" t="s">
        <v>365</v>
      </c>
      <c r="MD4" t="s">
        <v>354</v>
      </c>
    </row>
    <row r="5" spans="1:342" x14ac:dyDescent="0.25">
      <c r="A5" t="s">
        <v>342</v>
      </c>
      <c r="B5" t="s">
        <v>366</v>
      </c>
      <c r="C5" s="2" t="s">
        <v>344</v>
      </c>
      <c r="D5" t="s">
        <v>367</v>
      </c>
      <c r="E5" t="s">
        <v>348</v>
      </c>
      <c r="F5" t="s">
        <v>347</v>
      </c>
      <c r="G5" s="4">
        <v>17</v>
      </c>
      <c r="H5" s="4">
        <v>17</v>
      </c>
      <c r="I5" s="4">
        <v>16.0303</v>
      </c>
      <c r="J5" s="4">
        <v>15.18182</v>
      </c>
      <c r="K5" s="4">
        <v>13.53125</v>
      </c>
      <c r="L5" s="4">
        <v>12</v>
      </c>
      <c r="M5" s="4">
        <v>12.51989</v>
      </c>
      <c r="N5" s="4">
        <v>14.60417</v>
      </c>
      <c r="O5" s="4">
        <v>13.785159999999999</v>
      </c>
      <c r="P5" s="4">
        <v>13.01346</v>
      </c>
      <c r="Q5" s="4">
        <v>11.3428</v>
      </c>
      <c r="R5" s="4">
        <v>9.6856059999999999</v>
      </c>
      <c r="S5" s="4">
        <v>10.80176</v>
      </c>
      <c r="T5" s="4">
        <v>10.024039999999999</v>
      </c>
      <c r="U5" s="4">
        <v>9.5606059999999999</v>
      </c>
      <c r="V5" s="4">
        <v>9.0625</v>
      </c>
      <c r="W5" s="4">
        <v>8.9432690000000008</v>
      </c>
      <c r="X5" s="4">
        <v>8.8442310000000006</v>
      </c>
      <c r="Y5" s="4">
        <v>10.89615</v>
      </c>
      <c r="Z5" s="4">
        <v>9.969697</v>
      </c>
      <c r="AA5" s="4">
        <v>12.86914</v>
      </c>
      <c r="AB5" s="4">
        <v>12.48269</v>
      </c>
      <c r="AC5" s="4">
        <v>11.579549999999999</v>
      </c>
      <c r="AD5" s="4">
        <v>11.375</v>
      </c>
      <c r="AE5" s="4">
        <v>12.07813</v>
      </c>
      <c r="AF5" s="4">
        <v>10.328849999999999</v>
      </c>
      <c r="AG5" s="4">
        <v>9.875</v>
      </c>
      <c r="AH5" s="4">
        <v>10.72348</v>
      </c>
      <c r="AI5" s="4">
        <v>10.664059999999999</v>
      </c>
      <c r="AJ5" s="4">
        <v>9.228847</v>
      </c>
      <c r="AK5" s="4">
        <v>9.4810610000000004</v>
      </c>
      <c r="AL5" s="4">
        <v>9.0189389999999996</v>
      </c>
      <c r="AM5" s="4">
        <v>8.6288459999999993</v>
      </c>
      <c r="AN5" s="4">
        <v>7.9673080000000001</v>
      </c>
      <c r="AO5" s="4">
        <v>10.920450000000001</v>
      </c>
      <c r="AP5" s="4">
        <v>12.275</v>
      </c>
      <c r="AQ5" s="4">
        <v>12.875</v>
      </c>
      <c r="AR5" s="4">
        <v>13.23846</v>
      </c>
      <c r="AS5" s="4">
        <v>13.760579999999999</v>
      </c>
      <c r="AT5" s="4">
        <v>14.805770000000001</v>
      </c>
      <c r="AU5" s="4">
        <v>14.875</v>
      </c>
      <c r="AV5" s="4">
        <v>14.875</v>
      </c>
      <c r="AW5" s="4">
        <v>14.875</v>
      </c>
      <c r="AX5" s="4">
        <v>13.950760000000001</v>
      </c>
      <c r="AY5" s="4">
        <v>13.39063</v>
      </c>
      <c r="AZ5" s="4">
        <v>11.74423</v>
      </c>
      <c r="BA5" s="4">
        <v>10.799239999999999</v>
      </c>
      <c r="BB5" s="4">
        <v>10.375</v>
      </c>
      <c r="BC5" s="4">
        <v>10.375</v>
      </c>
      <c r="BD5" s="4">
        <v>10.059620000000001</v>
      </c>
      <c r="BE5" s="4">
        <v>9.7689389999999996</v>
      </c>
      <c r="BF5" s="4">
        <v>7.5113640000000004</v>
      </c>
      <c r="BG5" s="4">
        <v>6.140625</v>
      </c>
      <c r="BH5" s="4">
        <v>5.875</v>
      </c>
      <c r="BI5" s="4">
        <v>5.875</v>
      </c>
      <c r="BJ5" s="4">
        <v>5.655303</v>
      </c>
      <c r="BK5" s="4">
        <v>5.2265629999999996</v>
      </c>
      <c r="BL5" s="4">
        <v>5.125</v>
      </c>
      <c r="BM5" s="4">
        <v>5.2386359999999996</v>
      </c>
      <c r="BN5" s="4">
        <v>5.7634619999999996</v>
      </c>
      <c r="BO5" s="4">
        <v>6.4480769999999996</v>
      </c>
      <c r="BP5" s="4">
        <v>6.625</v>
      </c>
      <c r="BQ5" s="4">
        <v>6.625</v>
      </c>
      <c r="BR5" s="4">
        <v>6.5750000000000002</v>
      </c>
      <c r="BS5" s="4">
        <v>6.1288460000000002</v>
      </c>
      <c r="BT5" s="4">
        <v>5.8721160000000001</v>
      </c>
      <c r="BU5" s="4">
        <v>5.6875</v>
      </c>
      <c r="BV5" s="4">
        <v>5.8579549999999996</v>
      </c>
      <c r="BW5" s="4">
        <v>5.9375</v>
      </c>
      <c r="BX5" s="4">
        <v>6.1951919999999996</v>
      </c>
      <c r="BY5" s="4">
        <v>6.8712119999999999</v>
      </c>
      <c r="BZ5" s="4">
        <v>7.1515149999999998</v>
      </c>
      <c r="CA5" s="4">
        <v>7.25</v>
      </c>
      <c r="CB5" s="4">
        <v>7.3230769999999996</v>
      </c>
      <c r="CC5" s="4">
        <v>7.5</v>
      </c>
      <c r="CD5" s="4">
        <v>6.8371209999999998</v>
      </c>
      <c r="CE5" s="4">
        <v>5.703125</v>
      </c>
      <c r="CF5" s="4">
        <v>5.211538</v>
      </c>
      <c r="CG5" s="4">
        <v>5.0643940000000001</v>
      </c>
      <c r="CH5" s="4">
        <v>5.4090910000000001</v>
      </c>
      <c r="CI5" s="4">
        <v>5.8615380000000004</v>
      </c>
      <c r="CJ5" s="4">
        <v>6</v>
      </c>
      <c r="CK5" s="4">
        <v>6</v>
      </c>
      <c r="CL5" s="4">
        <v>6</v>
      </c>
      <c r="CM5" s="4">
        <v>5.8576920000000001</v>
      </c>
      <c r="CN5" s="4">
        <v>5.3692310000000001</v>
      </c>
      <c r="CO5" s="4">
        <v>5.0538460000000001</v>
      </c>
      <c r="CP5" s="4">
        <v>4.2234850000000002</v>
      </c>
      <c r="CQ5" s="4">
        <v>4</v>
      </c>
      <c r="CR5" s="4">
        <v>4</v>
      </c>
      <c r="CS5" s="4">
        <v>4</v>
      </c>
      <c r="CT5" s="4">
        <v>4</v>
      </c>
      <c r="CU5" s="4">
        <v>3.8515630000000001</v>
      </c>
      <c r="CV5" s="4">
        <v>3.75</v>
      </c>
      <c r="CW5" s="4">
        <v>3.5265149999999998</v>
      </c>
      <c r="CX5" s="4">
        <v>3.6515149999999998</v>
      </c>
      <c r="CY5" s="4">
        <v>3.9038460000000001</v>
      </c>
      <c r="CZ5" s="4">
        <v>4.211538</v>
      </c>
      <c r="DA5" s="4">
        <v>4.655303</v>
      </c>
      <c r="DB5" s="4">
        <v>4.75</v>
      </c>
      <c r="DC5" s="4">
        <v>4.75</v>
      </c>
      <c r="DD5" s="4">
        <v>4.75</v>
      </c>
      <c r="DE5" s="4">
        <v>4.5909089999999999</v>
      </c>
      <c r="DF5" s="4">
        <v>4.5</v>
      </c>
      <c r="DG5" s="4">
        <v>4.5</v>
      </c>
      <c r="DH5" s="4">
        <v>4.5</v>
      </c>
      <c r="DI5" s="4">
        <v>4.6615390000000003</v>
      </c>
      <c r="DJ5" s="4">
        <v>4.8923079999999999</v>
      </c>
      <c r="DK5" s="4">
        <v>5.2192309999999997</v>
      </c>
      <c r="DL5" s="4">
        <v>5.3923079999999999</v>
      </c>
      <c r="DM5" s="4">
        <v>5.738461</v>
      </c>
      <c r="DN5" s="4">
        <v>5.6818179999999998</v>
      </c>
      <c r="DO5" s="4">
        <v>5.3538459999999999</v>
      </c>
      <c r="DP5" s="4">
        <v>5.026923</v>
      </c>
      <c r="DQ5" s="4">
        <v>5</v>
      </c>
      <c r="DR5" s="4">
        <v>3.325758</v>
      </c>
      <c r="DS5" s="4">
        <v>1.0859380000000001</v>
      </c>
      <c r="DT5" s="4">
        <v>0.5</v>
      </c>
      <c r="DU5" s="4">
        <v>0.5</v>
      </c>
      <c r="DV5" s="4">
        <v>0.5</v>
      </c>
      <c r="DW5" s="4">
        <v>0.5</v>
      </c>
      <c r="DX5" s="4">
        <v>0.5</v>
      </c>
      <c r="DY5" s="4">
        <v>0.5</v>
      </c>
      <c r="DZ5" s="4">
        <v>0.5</v>
      </c>
      <c r="EA5" s="4">
        <v>0.5</v>
      </c>
      <c r="EB5" s="4">
        <v>0.5</v>
      </c>
      <c r="EC5" s="4">
        <v>0.5</v>
      </c>
      <c r="ED5" s="4">
        <v>0.5</v>
      </c>
      <c r="EE5" s="4">
        <v>0.5</v>
      </c>
      <c r="EF5" s="4">
        <v>0.5</v>
      </c>
      <c r="EG5" s="4">
        <v>0.5</v>
      </c>
      <c r="EH5" s="4">
        <v>0.5</v>
      </c>
      <c r="EI5" s="4">
        <v>0.5</v>
      </c>
      <c r="EJ5" s="4">
        <v>0.5</v>
      </c>
      <c r="EK5" s="4">
        <v>0.5</v>
      </c>
      <c r="EL5" s="4">
        <v>0.5</v>
      </c>
      <c r="EM5" s="4">
        <v>0.5</v>
      </c>
      <c r="EN5" s="4">
        <v>0.5</v>
      </c>
      <c r="EO5" s="4">
        <v>0.5</v>
      </c>
      <c r="EP5" s="4">
        <v>0.5</v>
      </c>
      <c r="EQ5" s="4">
        <v>0.5</v>
      </c>
      <c r="ER5" s="4">
        <v>0.5</v>
      </c>
      <c r="ES5" s="4">
        <v>0.5</v>
      </c>
      <c r="ET5" s="4">
        <v>0.5</v>
      </c>
      <c r="EU5" s="4">
        <v>0.5</v>
      </c>
      <c r="EV5" s="4">
        <v>0.5</v>
      </c>
      <c r="EW5" s="4">
        <v>0.34090910000000002</v>
      </c>
      <c r="EX5" s="4">
        <v>0.25</v>
      </c>
      <c r="EY5" s="4">
        <v>0.25</v>
      </c>
      <c r="EZ5" s="4">
        <v>0.25</v>
      </c>
      <c r="FA5" s="4">
        <v>0.25</v>
      </c>
      <c r="FB5" s="4">
        <v>0.41153849999999997</v>
      </c>
      <c r="FC5" s="4">
        <v>0.5</v>
      </c>
      <c r="FD5" s="4">
        <v>0.5</v>
      </c>
      <c r="FE5" s="4">
        <v>0.66153850000000003</v>
      </c>
      <c r="FF5" s="4">
        <v>0.75</v>
      </c>
      <c r="FG5" s="4">
        <v>0.75</v>
      </c>
      <c r="FH5" s="4">
        <v>0.75</v>
      </c>
      <c r="FI5" s="4">
        <v>0.75</v>
      </c>
      <c r="FJ5" s="4">
        <v>0.75</v>
      </c>
      <c r="FK5" s="4">
        <v>0.61384620000000001</v>
      </c>
      <c r="FL5" s="4">
        <v>0.1</v>
      </c>
      <c r="FM5" s="4">
        <v>0.1</v>
      </c>
      <c r="FN5" s="4">
        <v>0.1</v>
      </c>
      <c r="FO5" s="4">
        <v>0.1</v>
      </c>
      <c r="FP5" s="4">
        <v>0.1</v>
      </c>
      <c r="FQ5" s="4">
        <v>0.1</v>
      </c>
      <c r="FR5" s="4">
        <v>0.12727269999999999</v>
      </c>
      <c r="FS5" s="4">
        <v>0.453125</v>
      </c>
      <c r="FT5" s="4">
        <v>0.95</v>
      </c>
      <c r="FU5" s="4">
        <v>1.6212120000000001</v>
      </c>
      <c r="FV5" s="4">
        <v>2.8269229999999999</v>
      </c>
      <c r="FW5" s="4">
        <v>3.85</v>
      </c>
      <c r="FX5" s="4">
        <v>4.4461539999999999</v>
      </c>
      <c r="FY5" s="4">
        <v>5.1615390000000003</v>
      </c>
      <c r="FZ5" s="4">
        <v>5.25</v>
      </c>
      <c r="GA5" s="4">
        <v>5.25</v>
      </c>
      <c r="GB5" s="4">
        <v>5.25</v>
      </c>
      <c r="GC5" s="4">
        <v>5.0871209999999998</v>
      </c>
      <c r="GD5" s="4">
        <v>4.8522730000000003</v>
      </c>
      <c r="GE5" s="4">
        <v>4.6015629999999996</v>
      </c>
      <c r="GF5" s="4">
        <v>4.3538459999999999</v>
      </c>
      <c r="GG5" s="4">
        <v>4.1022730000000003</v>
      </c>
      <c r="GH5" s="4">
        <v>3.9621209999999998</v>
      </c>
      <c r="GI5" s="5">
        <v>3.75</v>
      </c>
      <c r="GJ5" s="5">
        <v>3.5807669999999998</v>
      </c>
      <c r="GK5" s="5">
        <v>3.4999920000000002</v>
      </c>
      <c r="GL5" s="5">
        <v>3.3446760000000002</v>
      </c>
      <c r="GM5" s="5">
        <v>3.2499609999999999</v>
      </c>
      <c r="GN5" s="5">
        <v>3.0768689999999999</v>
      </c>
      <c r="GO5" s="5">
        <v>2.9999400000000001</v>
      </c>
      <c r="GP5" s="5">
        <v>2.9999380000000002</v>
      </c>
      <c r="GQ5" s="5">
        <v>2.999943</v>
      </c>
      <c r="GR5" s="5">
        <v>2.8384160000000001</v>
      </c>
      <c r="GS5" s="5">
        <v>2.749965</v>
      </c>
      <c r="GT5" s="5">
        <v>2.7499829999999998</v>
      </c>
      <c r="GU5" s="5">
        <v>2.7499959999999999</v>
      </c>
      <c r="GV5" s="5">
        <v>2.5923229999999999</v>
      </c>
      <c r="GW5" s="5">
        <v>2.5000339999999999</v>
      </c>
      <c r="GX5" s="5">
        <v>2.5000499999999999</v>
      </c>
      <c r="GY5" s="5">
        <v>2.500073</v>
      </c>
      <c r="GZ5" s="5">
        <v>2.5000939999999998</v>
      </c>
      <c r="HA5" s="5">
        <v>2.5001099999999998</v>
      </c>
      <c r="HB5" s="5">
        <v>2.5001139999999999</v>
      </c>
      <c r="HC5" s="5">
        <v>2.500105</v>
      </c>
      <c r="HD5" s="5">
        <v>2.5000779999999998</v>
      </c>
      <c r="HE5" s="5">
        <v>2.5000439999999999</v>
      </c>
      <c r="HF5" s="5">
        <v>2.5000119999999999</v>
      </c>
      <c r="HG5" s="5">
        <v>2.499984</v>
      </c>
      <c r="HH5" s="5">
        <v>2.4999729999999998</v>
      </c>
      <c r="HI5" s="5">
        <v>2.4999739999999999</v>
      </c>
      <c r="HJ5" s="5">
        <v>2.4999769999999999</v>
      </c>
      <c r="HK5" s="5">
        <v>2.4999850000000001</v>
      </c>
      <c r="HL5" s="5">
        <v>2.499978</v>
      </c>
      <c r="HM5" s="5">
        <v>2.4999729999999998</v>
      </c>
      <c r="HN5" s="5">
        <v>2.4999829999999998</v>
      </c>
      <c r="HO5" s="5">
        <v>2.500003</v>
      </c>
      <c r="HP5" s="5">
        <v>2.5000460000000002</v>
      </c>
      <c r="HQ5" s="5">
        <v>2.5000979999999999</v>
      </c>
      <c r="HR5" s="5">
        <v>2.5001449999999998</v>
      </c>
      <c r="HS5" s="5">
        <v>2.5001820000000001</v>
      </c>
      <c r="HT5" s="5">
        <v>2.5002110000000002</v>
      </c>
      <c r="HU5" s="5">
        <v>2.5002260000000001</v>
      </c>
      <c r="HV5" s="5">
        <v>2.5002209999999998</v>
      </c>
      <c r="HW5" s="5" t="s">
        <v>348</v>
      </c>
      <c r="HX5" s="5" t="s">
        <v>348</v>
      </c>
      <c r="HY5" s="5" t="s">
        <v>348</v>
      </c>
      <c r="HZ5" s="5" t="s">
        <v>348</v>
      </c>
      <c r="IA5" s="5" t="s">
        <v>348</v>
      </c>
      <c r="IB5" s="5" t="s">
        <v>348</v>
      </c>
      <c r="IC5" s="5" t="s">
        <v>348</v>
      </c>
      <c r="ID5" s="5" t="s">
        <v>348</v>
      </c>
      <c r="IE5" s="5" t="s">
        <v>348</v>
      </c>
      <c r="IF5" s="5" t="s">
        <v>348</v>
      </c>
      <c r="IG5" s="5" t="s">
        <v>348</v>
      </c>
      <c r="IH5" s="5" t="s">
        <v>348</v>
      </c>
      <c r="II5" s="5" t="s">
        <v>348</v>
      </c>
      <c r="IJ5" s="5" t="s">
        <v>348</v>
      </c>
      <c r="IK5" s="5" t="s">
        <v>348</v>
      </c>
      <c r="IL5" s="5" t="s">
        <v>348</v>
      </c>
      <c r="IM5" s="5" t="s">
        <v>348</v>
      </c>
      <c r="IN5" s="5" t="s">
        <v>348</v>
      </c>
      <c r="IO5" s="5" t="s">
        <v>348</v>
      </c>
      <c r="IP5" s="5" t="s">
        <v>348</v>
      </c>
      <c r="IQ5" s="5" t="s">
        <v>348</v>
      </c>
      <c r="IR5" s="5" t="s">
        <v>348</v>
      </c>
      <c r="IS5" s="5" t="s">
        <v>348</v>
      </c>
      <c r="IT5" s="5" t="s">
        <v>348</v>
      </c>
      <c r="IU5" s="5" t="s">
        <v>348</v>
      </c>
      <c r="IV5" s="5" t="s">
        <v>348</v>
      </c>
      <c r="IW5" s="5" t="s">
        <v>348</v>
      </c>
      <c r="IX5" s="5" t="s">
        <v>348</v>
      </c>
      <c r="IY5" s="5" t="s">
        <v>348</v>
      </c>
      <c r="IZ5" s="5" t="s">
        <v>348</v>
      </c>
      <c r="JA5" s="5" t="s">
        <v>348</v>
      </c>
      <c r="JB5" s="5" t="s">
        <v>348</v>
      </c>
      <c r="JC5" s="5" t="s">
        <v>348</v>
      </c>
      <c r="JD5" s="5" t="s">
        <v>348</v>
      </c>
      <c r="JE5" s="5" t="s">
        <v>348</v>
      </c>
      <c r="JF5" s="5" t="s">
        <v>348</v>
      </c>
      <c r="JG5" s="5" t="s">
        <v>348</v>
      </c>
      <c r="JH5" s="5" t="s">
        <v>348</v>
      </c>
      <c r="JI5" s="5" t="s">
        <v>348</v>
      </c>
      <c r="JJ5" s="5" t="s">
        <v>348</v>
      </c>
      <c r="JK5" s="5" t="s">
        <v>348</v>
      </c>
      <c r="JL5" s="5" t="s">
        <v>348</v>
      </c>
      <c r="JM5" s="5" t="s">
        <v>348</v>
      </c>
      <c r="JN5" s="5" t="s">
        <v>348</v>
      </c>
      <c r="JO5" s="5" t="s">
        <v>348</v>
      </c>
      <c r="JP5" s="5" t="s">
        <v>348</v>
      </c>
      <c r="JQ5" s="5" t="s">
        <v>348</v>
      </c>
      <c r="JR5" s="5" t="s">
        <v>348</v>
      </c>
      <c r="JS5" s="5" t="s">
        <v>348</v>
      </c>
      <c r="JT5" s="5" t="s">
        <v>348</v>
      </c>
      <c r="JU5" s="5" t="s">
        <v>348</v>
      </c>
      <c r="JV5" s="5" t="s">
        <v>348</v>
      </c>
      <c r="JW5" s="5" t="s">
        <v>348</v>
      </c>
      <c r="JX5" s="5" t="s">
        <v>348</v>
      </c>
      <c r="JY5" s="5" t="s">
        <v>348</v>
      </c>
      <c r="JZ5" s="5" t="s">
        <v>348</v>
      </c>
      <c r="KA5" s="5" t="s">
        <v>348</v>
      </c>
      <c r="KB5" s="5" t="s">
        <v>348</v>
      </c>
      <c r="KC5" s="5" t="s">
        <v>348</v>
      </c>
      <c r="KD5" s="5" t="s">
        <v>348</v>
      </c>
      <c r="KE5" s="5" t="s">
        <v>348</v>
      </c>
      <c r="KF5" s="5" t="s">
        <v>348</v>
      </c>
      <c r="KG5" s="5" t="s">
        <v>348</v>
      </c>
      <c r="KH5" s="5" t="s">
        <v>348</v>
      </c>
      <c r="KI5" s="5" t="s">
        <v>348</v>
      </c>
      <c r="KJ5" s="5" t="s">
        <v>348</v>
      </c>
      <c r="KK5" s="5" t="s">
        <v>348</v>
      </c>
      <c r="KL5" s="5" t="s">
        <v>348</v>
      </c>
      <c r="KM5" s="5" t="s">
        <v>348</v>
      </c>
      <c r="KN5" s="5" t="s">
        <v>348</v>
      </c>
      <c r="KO5" s="5" t="s">
        <v>348</v>
      </c>
      <c r="KP5" s="5" t="s">
        <v>348</v>
      </c>
      <c r="KQ5" s="5" t="s">
        <v>348</v>
      </c>
      <c r="KR5" s="5" t="s">
        <v>348</v>
      </c>
      <c r="KS5" s="5" t="s">
        <v>348</v>
      </c>
      <c r="KT5" s="5" t="s">
        <v>348</v>
      </c>
      <c r="KU5" s="5" t="s">
        <v>348</v>
      </c>
      <c r="KV5" s="5" t="s">
        <v>348</v>
      </c>
      <c r="KW5" s="5" t="s">
        <v>348</v>
      </c>
      <c r="KX5" s="5" t="s">
        <v>348</v>
      </c>
      <c r="KY5" s="5" t="s">
        <v>348</v>
      </c>
      <c r="KZ5" s="5" t="s">
        <v>348</v>
      </c>
      <c r="LA5" s="5" t="s">
        <v>348</v>
      </c>
      <c r="LB5" s="5" t="s">
        <v>348</v>
      </c>
      <c r="LC5" s="5" t="s">
        <v>348</v>
      </c>
      <c r="LD5" s="5" t="s">
        <v>348</v>
      </c>
      <c r="LE5" s="5" t="s">
        <v>348</v>
      </c>
      <c r="LF5" s="5" t="s">
        <v>348</v>
      </c>
      <c r="LG5" s="5" t="s">
        <v>348</v>
      </c>
      <c r="LH5" s="5" t="s">
        <v>348</v>
      </c>
      <c r="LI5" s="5" t="s">
        <v>348</v>
      </c>
      <c r="LJ5" s="5" t="s">
        <v>348</v>
      </c>
      <c r="LK5" s="5" t="s">
        <v>348</v>
      </c>
      <c r="LL5" s="5" t="s">
        <v>348</v>
      </c>
      <c r="LM5" s="5" t="s">
        <v>348</v>
      </c>
      <c r="LN5" s="5" t="s">
        <v>348</v>
      </c>
      <c r="LO5" s="5" t="s">
        <v>348</v>
      </c>
      <c r="LP5" s="5" t="s">
        <v>348</v>
      </c>
      <c r="LQ5" s="5" t="s">
        <v>348</v>
      </c>
      <c r="LR5" s="5" t="s">
        <v>348</v>
      </c>
      <c r="LS5" t="s">
        <v>368</v>
      </c>
      <c r="LT5" t="b">
        <v>0</v>
      </c>
      <c r="LU5" t="s">
        <v>348</v>
      </c>
      <c r="LV5" t="s">
        <v>348</v>
      </c>
      <c r="LW5">
        <v>2025</v>
      </c>
      <c r="LX5">
        <v>4</v>
      </c>
      <c r="LY5" s="3">
        <v>46091</v>
      </c>
      <c r="LZ5" s="2" t="s">
        <v>369</v>
      </c>
      <c r="MA5" t="s">
        <v>370</v>
      </c>
      <c r="MB5" t="s">
        <v>352</v>
      </c>
      <c r="MC5" t="s">
        <v>371</v>
      </c>
      <c r="MD5" t="s">
        <v>354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CE01-0AF2-4277-8354-EC10579A0D5B}">
  <dimension ref="A1:MD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31" width="10.7109375" customWidth="1"/>
    <col min="332" max="332" width="20.7109375" customWidth="1"/>
    <col min="333" max="334" width="15.7109375" customWidth="1"/>
    <col min="335" max="336" width="20.7109375" customWidth="1"/>
    <col min="337" max="337" width="18.7109375" customWidth="1"/>
    <col min="338" max="339" width="22.7109375" customWidth="1"/>
    <col min="340" max="340" width="13.7109375" customWidth="1"/>
    <col min="341" max="341" width="14.7109375" customWidth="1"/>
    <col min="342" max="342" width="10.7109375" customWidth="1"/>
  </cols>
  <sheetData>
    <row r="1" spans="1:34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</row>
    <row r="2" spans="1:342" x14ac:dyDescent="0.25">
      <c r="A2" t="s">
        <v>342</v>
      </c>
      <c r="B2" t="s">
        <v>343</v>
      </c>
      <c r="C2" s="2" t="s">
        <v>372</v>
      </c>
      <c r="D2" t="s">
        <v>345</v>
      </c>
      <c r="E2" t="s">
        <v>346</v>
      </c>
      <c r="F2" t="s">
        <v>347</v>
      </c>
      <c r="G2" s="4">
        <v>30.605080000000001</v>
      </c>
      <c r="H2" s="4">
        <v>32.247430000000001</v>
      </c>
      <c r="I2" s="4">
        <v>32.951300000000003</v>
      </c>
      <c r="J2" s="4">
        <v>33.550879999999999</v>
      </c>
      <c r="K2" s="4">
        <v>34.385100000000001</v>
      </c>
      <c r="L2" s="4">
        <v>36.079590000000003</v>
      </c>
      <c r="M2" s="4">
        <v>36.731310000000001</v>
      </c>
      <c r="N2" s="4">
        <v>37.435180000000003</v>
      </c>
      <c r="O2" s="4">
        <v>37.878349999999998</v>
      </c>
      <c r="P2" s="4">
        <v>39.181800000000003</v>
      </c>
      <c r="Q2" s="4">
        <v>39.416420000000002</v>
      </c>
      <c r="R2" s="4">
        <v>39.885669999999998</v>
      </c>
      <c r="S2" s="4">
        <v>40.172429999999999</v>
      </c>
      <c r="T2" s="4">
        <v>40.85022</v>
      </c>
      <c r="U2" s="4">
        <v>41.293399999999998</v>
      </c>
      <c r="V2" s="4">
        <v>41.762639999999998</v>
      </c>
      <c r="W2" s="4">
        <v>41.86692</v>
      </c>
      <c r="X2" s="4">
        <v>42.779339999999998</v>
      </c>
      <c r="Y2" s="4">
        <v>42.98789</v>
      </c>
      <c r="Z2" s="4">
        <v>43.431060000000002</v>
      </c>
      <c r="AA2" s="4">
        <v>43.874229999999997</v>
      </c>
      <c r="AB2" s="4">
        <v>44.995199999999997</v>
      </c>
      <c r="AC2" s="4">
        <v>45.125549999999997</v>
      </c>
      <c r="AD2" s="4">
        <v>45.490519999999997</v>
      </c>
      <c r="AE2" s="4">
        <v>45.646929999999998</v>
      </c>
      <c r="AF2" s="4">
        <v>46.3508</v>
      </c>
      <c r="AG2" s="4">
        <v>46.533279999999998</v>
      </c>
      <c r="AH2" s="4">
        <v>46.924320000000002</v>
      </c>
      <c r="AI2" s="4">
        <v>47.237139999999997</v>
      </c>
      <c r="AJ2" s="4">
        <v>47.836730000000003</v>
      </c>
      <c r="AK2" s="4">
        <v>47.888869999999997</v>
      </c>
      <c r="AL2" s="4">
        <v>48.436320000000002</v>
      </c>
      <c r="AM2" s="4">
        <v>48.566670000000002</v>
      </c>
      <c r="AN2" s="4">
        <v>49.5</v>
      </c>
      <c r="AO2" s="4">
        <v>49.9</v>
      </c>
      <c r="AP2" s="4">
        <v>50.466670000000001</v>
      </c>
      <c r="AQ2" s="4">
        <v>51</v>
      </c>
      <c r="AR2" s="4">
        <v>52.133339999999997</v>
      </c>
      <c r="AS2" s="4">
        <v>52.466670000000001</v>
      </c>
      <c r="AT2" s="4">
        <v>53.266669999999998</v>
      </c>
      <c r="AU2" s="4">
        <v>53.933329999999998</v>
      </c>
      <c r="AV2" s="4">
        <v>55.6</v>
      </c>
      <c r="AW2" s="4">
        <v>56.4</v>
      </c>
      <c r="AX2" s="4">
        <v>57.466670000000001</v>
      </c>
      <c r="AY2" s="4">
        <v>57.666670000000003</v>
      </c>
      <c r="AZ2" s="4">
        <v>60.266669999999998</v>
      </c>
      <c r="BA2" s="4">
        <v>60.833329999999997</v>
      </c>
      <c r="BB2" s="4">
        <v>61.466670000000001</v>
      </c>
      <c r="BC2" s="4">
        <v>61.7</v>
      </c>
      <c r="BD2" s="4">
        <v>62.833329999999997</v>
      </c>
      <c r="BE2" s="4">
        <v>62.733330000000002</v>
      </c>
      <c r="BF2" s="4">
        <v>63.133339999999997</v>
      </c>
      <c r="BG2" s="4">
        <v>63.2</v>
      </c>
      <c r="BH2" s="4">
        <v>64.433329999999998</v>
      </c>
      <c r="BI2" s="4">
        <v>64.5</v>
      </c>
      <c r="BJ2" s="4">
        <v>64.666659999999993</v>
      </c>
      <c r="BK2" s="4">
        <v>64.766670000000005</v>
      </c>
      <c r="BL2" s="4">
        <v>65.7</v>
      </c>
      <c r="BM2" s="4">
        <v>65.633330000000001</v>
      </c>
      <c r="BN2" s="4">
        <v>65.8</v>
      </c>
      <c r="BO2" s="4">
        <v>66.333340000000007</v>
      </c>
      <c r="BP2" s="4">
        <v>67.266670000000005</v>
      </c>
      <c r="BQ2" s="4">
        <v>67.400000000000006</v>
      </c>
      <c r="BR2" s="4">
        <v>67.733329999999995</v>
      </c>
      <c r="BS2" s="4">
        <v>68.099999999999994</v>
      </c>
      <c r="BT2" s="4">
        <v>68.866669999999999</v>
      </c>
      <c r="BU2" s="4">
        <v>68.933329999999998</v>
      </c>
      <c r="BV2" s="4">
        <v>69.366669999999999</v>
      </c>
      <c r="BW2" s="4">
        <v>69.366669999999999</v>
      </c>
      <c r="BX2" s="4">
        <v>70</v>
      </c>
      <c r="BY2" s="4">
        <v>70.266670000000005</v>
      </c>
      <c r="BZ2" s="4">
        <v>70.633330000000001</v>
      </c>
      <c r="CA2" s="4">
        <v>70.5</v>
      </c>
      <c r="CB2" s="4">
        <v>71.266670000000005</v>
      </c>
      <c r="CC2" s="4">
        <v>71.233329999999995</v>
      </c>
      <c r="CD2" s="4">
        <v>71.633330000000001</v>
      </c>
      <c r="CE2" s="4">
        <v>71.599999999999994</v>
      </c>
      <c r="CF2" s="4">
        <v>72.3</v>
      </c>
      <c r="CG2" s="4">
        <v>72.133330000000001</v>
      </c>
      <c r="CH2" s="4">
        <v>72.433329999999998</v>
      </c>
      <c r="CI2" s="4">
        <v>72.133330000000001</v>
      </c>
      <c r="CJ2" s="4">
        <v>72.766670000000005</v>
      </c>
      <c r="CK2" s="4">
        <v>72.7</v>
      </c>
      <c r="CL2" s="4">
        <v>73.166659999999993</v>
      </c>
      <c r="CM2" s="4">
        <v>72.766670000000005</v>
      </c>
      <c r="CN2" s="4">
        <v>73.833340000000007</v>
      </c>
      <c r="CO2" s="4">
        <v>73.866669999999999</v>
      </c>
      <c r="CP2" s="4">
        <v>73.900000000000006</v>
      </c>
      <c r="CQ2" s="4">
        <v>73.866669999999999</v>
      </c>
      <c r="CR2" s="4">
        <v>74.533330000000007</v>
      </c>
      <c r="CS2" s="4">
        <v>74.599999999999994</v>
      </c>
      <c r="CT2" s="4">
        <v>75</v>
      </c>
      <c r="CU2" s="4">
        <v>75</v>
      </c>
      <c r="CV2" s="4">
        <v>75.466669999999993</v>
      </c>
      <c r="CW2" s="4">
        <v>75.599999999999994</v>
      </c>
      <c r="CX2" s="4">
        <v>76.033330000000007</v>
      </c>
      <c r="CY2" s="4">
        <v>75.966669999999993</v>
      </c>
      <c r="CZ2" s="4">
        <v>76.533330000000007</v>
      </c>
      <c r="DA2" s="4">
        <v>76.566670000000002</v>
      </c>
      <c r="DB2" s="4">
        <v>77.099999999999994</v>
      </c>
      <c r="DC2" s="4">
        <v>77.233329999999995</v>
      </c>
      <c r="DD2" s="4">
        <v>78</v>
      </c>
      <c r="DE2" s="4">
        <v>78.400000000000006</v>
      </c>
      <c r="DF2" s="4">
        <v>78.766670000000005</v>
      </c>
      <c r="DG2" s="4">
        <v>78.733329999999995</v>
      </c>
      <c r="DH2" s="4">
        <v>79.8</v>
      </c>
      <c r="DI2" s="4">
        <v>80.3</v>
      </c>
      <c r="DJ2" s="4">
        <v>80.900000000000006</v>
      </c>
      <c r="DK2" s="4">
        <v>81</v>
      </c>
      <c r="DL2" s="4">
        <v>81.8</v>
      </c>
      <c r="DM2" s="4">
        <v>81.733329999999995</v>
      </c>
      <c r="DN2" s="4">
        <v>82.6</v>
      </c>
      <c r="DO2" s="4">
        <v>82.933329999999998</v>
      </c>
      <c r="DP2" s="4">
        <v>84.6</v>
      </c>
      <c r="DQ2" s="4">
        <v>85.633330000000001</v>
      </c>
      <c r="DR2" s="4">
        <v>85.733329999999995</v>
      </c>
      <c r="DS2" s="4">
        <v>85.433329999999998</v>
      </c>
      <c r="DT2" s="4">
        <v>86.366669999999999</v>
      </c>
      <c r="DU2" s="4">
        <v>86.933329999999998</v>
      </c>
      <c r="DV2" s="4">
        <v>87.566670000000002</v>
      </c>
      <c r="DW2" s="4">
        <v>88.233329999999995</v>
      </c>
      <c r="DX2" s="4">
        <v>89.366669999999999</v>
      </c>
      <c r="DY2" s="4">
        <v>89.633330000000001</v>
      </c>
      <c r="DZ2" s="4">
        <v>90.5</v>
      </c>
      <c r="EA2" s="4">
        <v>91.833340000000007</v>
      </c>
      <c r="EB2" s="4">
        <v>93.3</v>
      </c>
      <c r="EC2" s="4">
        <v>93.833340000000007</v>
      </c>
      <c r="ED2" s="4">
        <v>94.733329999999995</v>
      </c>
      <c r="EE2" s="4">
        <v>95.033330000000007</v>
      </c>
      <c r="EF2" s="4">
        <v>95.8</v>
      </c>
      <c r="EG2" s="4">
        <v>96.066670000000002</v>
      </c>
      <c r="EH2" s="4">
        <v>97.266670000000005</v>
      </c>
      <c r="EI2" s="4">
        <v>97.666659999999993</v>
      </c>
      <c r="EJ2" s="4">
        <v>98.366669999999999</v>
      </c>
      <c r="EK2" s="4">
        <v>98.7</v>
      </c>
      <c r="EL2" s="4">
        <v>99.3</v>
      </c>
      <c r="EM2" s="4">
        <v>99.4</v>
      </c>
      <c r="EN2" s="4">
        <v>100.1</v>
      </c>
      <c r="EO2" s="4">
        <v>100.13330000000001</v>
      </c>
      <c r="EP2" s="4">
        <v>100.2</v>
      </c>
      <c r="EQ2" s="4">
        <v>99.5</v>
      </c>
      <c r="ER2" s="4">
        <v>100.0667</v>
      </c>
      <c r="ES2" s="4">
        <v>100.16670000000001</v>
      </c>
      <c r="ET2" s="4">
        <v>100.3</v>
      </c>
      <c r="EU2" s="4">
        <v>99.833340000000007</v>
      </c>
      <c r="EV2" s="4">
        <v>100.4</v>
      </c>
      <c r="EW2" s="4">
        <v>100.86669999999999</v>
      </c>
      <c r="EX2" s="4">
        <v>101.5</v>
      </c>
      <c r="EY2" s="4">
        <v>102</v>
      </c>
      <c r="EZ2" s="4">
        <v>103.16670000000001</v>
      </c>
      <c r="FA2" s="4">
        <v>103.7</v>
      </c>
      <c r="FB2" s="4">
        <v>104.5667</v>
      </c>
      <c r="FC2" s="4">
        <v>104.7667</v>
      </c>
      <c r="FD2" s="4">
        <v>105.66670000000001</v>
      </c>
      <c r="FE2" s="4">
        <v>106.3</v>
      </c>
      <c r="FF2" s="4">
        <v>106.9333</v>
      </c>
      <c r="FG2" s="4">
        <v>106.7</v>
      </c>
      <c r="FH2" s="4">
        <v>107.8</v>
      </c>
      <c r="FI2" s="4">
        <v>108.2667</v>
      </c>
      <c r="FJ2" s="4">
        <v>108.4333</v>
      </c>
      <c r="FK2" s="4">
        <v>108.4667</v>
      </c>
      <c r="FL2" s="4">
        <v>108.5333</v>
      </c>
      <c r="FM2" s="4">
        <v>108.9333</v>
      </c>
      <c r="FN2" s="4">
        <v>109.0667</v>
      </c>
      <c r="FO2" s="4">
        <v>109.16670000000001</v>
      </c>
      <c r="FP2" s="4">
        <v>110.7333</v>
      </c>
      <c r="FQ2" s="4">
        <v>111.9333</v>
      </c>
      <c r="FR2" s="4">
        <v>114.4</v>
      </c>
      <c r="FS2" s="4">
        <v>115.9333</v>
      </c>
      <c r="FT2" s="4">
        <v>120.86669999999999</v>
      </c>
      <c r="FU2" s="4">
        <v>123.13330000000001</v>
      </c>
      <c r="FV2" s="4">
        <v>126.7</v>
      </c>
      <c r="FW2" s="4">
        <v>127.7333</v>
      </c>
      <c r="FX2" s="4">
        <v>131.0667</v>
      </c>
      <c r="FY2" s="4">
        <v>131.4</v>
      </c>
      <c r="FZ2" s="4">
        <v>131.9667</v>
      </c>
      <c r="GA2" s="4">
        <v>132.26669999999999</v>
      </c>
      <c r="GB2" s="4">
        <v>133.83330000000001</v>
      </c>
      <c r="GC2" s="4">
        <v>134.1</v>
      </c>
      <c r="GD2" s="4">
        <v>135.23330000000001</v>
      </c>
      <c r="GE2" s="4">
        <v>135.9667</v>
      </c>
      <c r="GF2" s="4">
        <v>138.5</v>
      </c>
      <c r="GG2" s="4">
        <v>139.19999999999999</v>
      </c>
      <c r="GH2" s="4">
        <v>139.80000000000001</v>
      </c>
      <c r="GI2" s="5">
        <v>140.04140000000001</v>
      </c>
      <c r="GJ2" s="5">
        <v>142.67509999999999</v>
      </c>
      <c r="GK2" s="5">
        <v>144.5033</v>
      </c>
      <c r="GL2" s="5">
        <v>144.5137</v>
      </c>
      <c r="GM2" s="5">
        <v>144.02529999999999</v>
      </c>
      <c r="GN2" s="5">
        <v>145.4366</v>
      </c>
      <c r="GO2" s="5">
        <v>145.9331</v>
      </c>
      <c r="GP2" s="5">
        <v>146.46690000000001</v>
      </c>
      <c r="GQ2" s="5">
        <v>146.6755</v>
      </c>
      <c r="GR2" s="5">
        <v>147.9537</v>
      </c>
      <c r="GS2" s="5">
        <v>148.66079999999999</v>
      </c>
      <c r="GT2" s="5">
        <v>149.2825</v>
      </c>
      <c r="GU2" s="5">
        <v>149.47989999999999</v>
      </c>
      <c r="GV2" s="5">
        <v>150.75020000000001</v>
      </c>
      <c r="GW2" s="5">
        <v>151.46729999999999</v>
      </c>
      <c r="GX2" s="5">
        <v>152.08590000000001</v>
      </c>
      <c r="GY2" s="5">
        <v>152.27969999999999</v>
      </c>
      <c r="GZ2" s="5">
        <v>153.56469999999999</v>
      </c>
      <c r="HA2" s="5">
        <v>154.30019999999999</v>
      </c>
      <c r="HB2" s="5">
        <v>154.95259999999999</v>
      </c>
      <c r="HC2" s="5">
        <v>154.9641</v>
      </c>
      <c r="HD2" s="5">
        <v>156.1662</v>
      </c>
      <c r="HE2" s="5">
        <v>156.91309999999999</v>
      </c>
      <c r="HF2" s="5">
        <v>157.63040000000001</v>
      </c>
      <c r="HG2" s="5">
        <v>157.9855</v>
      </c>
      <c r="HH2" s="5">
        <v>159.5205</v>
      </c>
      <c r="HI2" s="5">
        <v>160.4828</v>
      </c>
      <c r="HJ2" s="5">
        <v>161.27699999999999</v>
      </c>
      <c r="HK2" s="5">
        <v>161.60310000000001</v>
      </c>
      <c r="HL2" s="5">
        <v>163.06700000000001</v>
      </c>
      <c r="HM2" s="5">
        <v>163.9126</v>
      </c>
      <c r="HN2" s="5">
        <v>164.5762</v>
      </c>
      <c r="HO2" s="5">
        <v>164.79750000000001</v>
      </c>
      <c r="HP2" s="5">
        <v>166.2319</v>
      </c>
      <c r="HQ2" s="5">
        <v>167.08529999999999</v>
      </c>
      <c r="HR2" s="5">
        <v>167.77529999999999</v>
      </c>
      <c r="HS2" s="5">
        <v>168.04409999999999</v>
      </c>
      <c r="HT2" s="5">
        <v>169.5624</v>
      </c>
      <c r="HU2" s="5">
        <v>170.482</v>
      </c>
      <c r="HV2" s="5">
        <v>171.19909999999999</v>
      </c>
      <c r="HW2" s="5" t="s">
        <v>348</v>
      </c>
      <c r="HX2" s="5" t="s">
        <v>348</v>
      </c>
      <c r="HY2" s="5" t="s">
        <v>348</v>
      </c>
      <c r="HZ2" s="5" t="s">
        <v>348</v>
      </c>
      <c r="IA2" s="5" t="s">
        <v>348</v>
      </c>
      <c r="IB2" s="5" t="s">
        <v>348</v>
      </c>
      <c r="IC2" s="5" t="s">
        <v>348</v>
      </c>
      <c r="ID2" s="5" t="s">
        <v>348</v>
      </c>
      <c r="IE2" s="5" t="s">
        <v>348</v>
      </c>
      <c r="IF2" s="5" t="s">
        <v>348</v>
      </c>
      <c r="IG2" s="5" t="s">
        <v>348</v>
      </c>
      <c r="IH2" s="5" t="s">
        <v>348</v>
      </c>
      <c r="II2" s="5" t="s">
        <v>348</v>
      </c>
      <c r="IJ2" s="5" t="s">
        <v>348</v>
      </c>
      <c r="IK2" s="5" t="s">
        <v>348</v>
      </c>
      <c r="IL2" s="5" t="s">
        <v>348</v>
      </c>
      <c r="IM2" s="5" t="s">
        <v>348</v>
      </c>
      <c r="IN2" s="5" t="s">
        <v>348</v>
      </c>
      <c r="IO2" s="5" t="s">
        <v>348</v>
      </c>
      <c r="IP2" s="5" t="s">
        <v>348</v>
      </c>
      <c r="IQ2" s="5" t="s">
        <v>348</v>
      </c>
      <c r="IR2" s="5" t="s">
        <v>348</v>
      </c>
      <c r="IS2" s="5" t="s">
        <v>348</v>
      </c>
      <c r="IT2" s="5" t="s">
        <v>348</v>
      </c>
      <c r="IU2" s="5" t="s">
        <v>348</v>
      </c>
      <c r="IV2" s="5" t="s">
        <v>348</v>
      </c>
      <c r="IW2" s="5" t="s">
        <v>348</v>
      </c>
      <c r="IX2" s="5" t="s">
        <v>348</v>
      </c>
      <c r="IY2" s="5" t="s">
        <v>348</v>
      </c>
      <c r="IZ2" s="5" t="s">
        <v>348</v>
      </c>
      <c r="JA2" s="5" t="s">
        <v>348</v>
      </c>
      <c r="JB2" s="5" t="s">
        <v>348</v>
      </c>
      <c r="JC2" s="5" t="s">
        <v>348</v>
      </c>
      <c r="JD2" s="5" t="s">
        <v>348</v>
      </c>
      <c r="JE2" s="5" t="s">
        <v>348</v>
      </c>
      <c r="JF2" s="5" t="s">
        <v>348</v>
      </c>
      <c r="JG2" s="5" t="s">
        <v>348</v>
      </c>
      <c r="JH2" s="5" t="s">
        <v>348</v>
      </c>
      <c r="JI2" s="5" t="s">
        <v>348</v>
      </c>
      <c r="JJ2" s="5" t="s">
        <v>348</v>
      </c>
      <c r="JK2" s="5" t="s">
        <v>348</v>
      </c>
      <c r="JL2" s="5" t="s">
        <v>348</v>
      </c>
      <c r="JM2" s="5" t="s">
        <v>348</v>
      </c>
      <c r="JN2" s="5" t="s">
        <v>348</v>
      </c>
      <c r="JO2" s="5" t="s">
        <v>348</v>
      </c>
      <c r="JP2" s="5" t="s">
        <v>348</v>
      </c>
      <c r="JQ2" s="5" t="s">
        <v>348</v>
      </c>
      <c r="JR2" s="5" t="s">
        <v>348</v>
      </c>
      <c r="JS2" s="5" t="s">
        <v>348</v>
      </c>
      <c r="JT2" s="5" t="s">
        <v>348</v>
      </c>
      <c r="JU2" s="5" t="s">
        <v>348</v>
      </c>
      <c r="JV2" s="5" t="s">
        <v>348</v>
      </c>
      <c r="JW2" s="5" t="s">
        <v>348</v>
      </c>
      <c r="JX2" s="5" t="s">
        <v>348</v>
      </c>
      <c r="JY2" s="5" t="s">
        <v>348</v>
      </c>
      <c r="JZ2" s="5" t="s">
        <v>348</v>
      </c>
      <c r="KA2" s="5" t="s">
        <v>348</v>
      </c>
      <c r="KB2" s="5" t="s">
        <v>348</v>
      </c>
      <c r="KC2" s="5" t="s">
        <v>348</v>
      </c>
      <c r="KD2" s="5" t="s">
        <v>348</v>
      </c>
      <c r="KE2" s="5" t="s">
        <v>348</v>
      </c>
      <c r="KF2" s="5" t="s">
        <v>348</v>
      </c>
      <c r="KG2" s="5" t="s">
        <v>348</v>
      </c>
      <c r="KH2" s="5" t="s">
        <v>348</v>
      </c>
      <c r="KI2" s="5" t="s">
        <v>348</v>
      </c>
      <c r="KJ2" s="5" t="s">
        <v>348</v>
      </c>
      <c r="KK2" s="5" t="s">
        <v>348</v>
      </c>
      <c r="KL2" s="5" t="s">
        <v>348</v>
      </c>
      <c r="KM2" s="5" t="s">
        <v>348</v>
      </c>
      <c r="KN2" s="5" t="s">
        <v>348</v>
      </c>
      <c r="KO2" s="5" t="s">
        <v>348</v>
      </c>
      <c r="KP2" s="5" t="s">
        <v>348</v>
      </c>
      <c r="KQ2" s="5" t="s">
        <v>348</v>
      </c>
      <c r="KR2" s="5" t="s">
        <v>348</v>
      </c>
      <c r="KS2" s="5" t="s">
        <v>348</v>
      </c>
      <c r="KT2" s="5" t="s">
        <v>348</v>
      </c>
      <c r="KU2" s="5" t="s">
        <v>348</v>
      </c>
      <c r="KV2" s="5" t="s">
        <v>348</v>
      </c>
      <c r="KW2" s="5" t="s">
        <v>348</v>
      </c>
      <c r="KX2" s="5" t="s">
        <v>348</v>
      </c>
      <c r="KY2" s="5" t="s">
        <v>348</v>
      </c>
      <c r="KZ2" s="5" t="s">
        <v>348</v>
      </c>
      <c r="LA2" s="5" t="s">
        <v>348</v>
      </c>
      <c r="LB2" s="5" t="s">
        <v>348</v>
      </c>
      <c r="LC2" s="5" t="s">
        <v>348</v>
      </c>
      <c r="LD2" s="5" t="s">
        <v>348</v>
      </c>
      <c r="LE2" s="5" t="s">
        <v>348</v>
      </c>
      <c r="LF2" s="5" t="s">
        <v>348</v>
      </c>
      <c r="LG2" s="5" t="s">
        <v>348</v>
      </c>
      <c r="LH2" s="5" t="s">
        <v>348</v>
      </c>
      <c r="LI2" s="5" t="s">
        <v>348</v>
      </c>
      <c r="LJ2" s="5" t="s">
        <v>348</v>
      </c>
      <c r="LK2" s="5" t="s">
        <v>348</v>
      </c>
      <c r="LL2" s="5" t="s">
        <v>348</v>
      </c>
      <c r="LM2" s="5" t="s">
        <v>348</v>
      </c>
      <c r="LN2" s="5" t="s">
        <v>348</v>
      </c>
      <c r="LO2" s="5" t="s">
        <v>348</v>
      </c>
      <c r="LP2" s="5" t="s">
        <v>348</v>
      </c>
      <c r="LQ2" s="5" t="s">
        <v>348</v>
      </c>
      <c r="LR2" s="5" t="s">
        <v>348</v>
      </c>
      <c r="LS2" t="s">
        <v>349</v>
      </c>
      <c r="LT2" t="b">
        <v>0</v>
      </c>
      <c r="LU2" t="s">
        <v>348</v>
      </c>
      <c r="LV2">
        <v>2015</v>
      </c>
      <c r="LW2">
        <v>2025</v>
      </c>
      <c r="LX2">
        <v>4</v>
      </c>
      <c r="LY2" s="3">
        <v>46093</v>
      </c>
      <c r="LZ2" s="2" t="s">
        <v>350</v>
      </c>
      <c r="MA2" s="2" t="s">
        <v>351</v>
      </c>
      <c r="MB2" t="s">
        <v>352</v>
      </c>
      <c r="MC2" t="s">
        <v>353</v>
      </c>
      <c r="MD2" t="s">
        <v>354</v>
      </c>
    </row>
    <row r="3" spans="1:342" x14ac:dyDescent="0.25">
      <c r="A3" t="s">
        <v>342</v>
      </c>
      <c r="B3" t="s">
        <v>355</v>
      </c>
      <c r="C3" s="2" t="s">
        <v>372</v>
      </c>
      <c r="D3" t="s">
        <v>356</v>
      </c>
      <c r="E3" s="2" t="s">
        <v>357</v>
      </c>
      <c r="F3" t="s">
        <v>347</v>
      </c>
      <c r="G3" s="4">
        <v>153439</v>
      </c>
      <c r="H3" s="4">
        <v>149443</v>
      </c>
      <c r="I3" s="4">
        <v>151403</v>
      </c>
      <c r="J3" s="4">
        <v>148523</v>
      </c>
      <c r="K3" s="4">
        <v>151234</v>
      </c>
      <c r="L3" s="4">
        <v>151164</v>
      </c>
      <c r="M3" s="4">
        <v>151269</v>
      </c>
      <c r="N3" s="4">
        <v>150853</v>
      </c>
      <c r="O3" s="4">
        <v>151361</v>
      </c>
      <c r="P3" s="4">
        <v>151251</v>
      </c>
      <c r="Q3" s="4">
        <v>153796</v>
      </c>
      <c r="R3" s="4">
        <v>155106</v>
      </c>
      <c r="S3" s="4">
        <v>157443</v>
      </c>
      <c r="T3" s="4">
        <v>158445</v>
      </c>
      <c r="U3" s="4">
        <v>161027</v>
      </c>
      <c r="V3" s="4">
        <v>161090</v>
      </c>
      <c r="W3" s="4">
        <v>162074</v>
      </c>
      <c r="X3" s="4">
        <v>163369</v>
      </c>
      <c r="Y3" s="4">
        <v>162507</v>
      </c>
      <c r="Z3" s="4">
        <v>165575</v>
      </c>
      <c r="AA3" s="4">
        <v>169390</v>
      </c>
      <c r="AB3" s="4">
        <v>170284</v>
      </c>
      <c r="AC3" s="4">
        <v>172709</v>
      </c>
      <c r="AD3" s="4">
        <v>174066</v>
      </c>
      <c r="AE3" s="4">
        <v>178852</v>
      </c>
      <c r="AF3" s="4">
        <v>181672</v>
      </c>
      <c r="AG3" s="4">
        <v>182857</v>
      </c>
      <c r="AH3" s="4">
        <v>183752</v>
      </c>
      <c r="AI3" s="4">
        <v>185943</v>
      </c>
      <c r="AJ3" s="4">
        <v>189091</v>
      </c>
      <c r="AK3" s="4">
        <v>193017</v>
      </c>
      <c r="AL3" s="4">
        <v>197212</v>
      </c>
      <c r="AM3" s="4">
        <v>199926</v>
      </c>
      <c r="AN3" s="4">
        <v>202789</v>
      </c>
      <c r="AO3" s="4">
        <v>207502</v>
      </c>
      <c r="AP3" s="4">
        <v>209369</v>
      </c>
      <c r="AQ3" s="4">
        <v>211167</v>
      </c>
      <c r="AR3" s="4">
        <v>212989</v>
      </c>
      <c r="AS3" s="4">
        <v>212810</v>
      </c>
      <c r="AT3" s="4">
        <v>213685</v>
      </c>
      <c r="AU3" s="4">
        <v>215861</v>
      </c>
      <c r="AV3" s="4">
        <v>216571</v>
      </c>
      <c r="AW3" s="4">
        <v>215211</v>
      </c>
      <c r="AX3" s="4">
        <v>215007</v>
      </c>
      <c r="AY3" s="4">
        <v>214735</v>
      </c>
      <c r="AZ3" s="4">
        <v>213315</v>
      </c>
      <c r="BA3" s="4">
        <v>213544</v>
      </c>
      <c r="BB3" s="4">
        <v>213576</v>
      </c>
      <c r="BC3" s="4">
        <v>213040</v>
      </c>
      <c r="BD3" s="4">
        <v>215855</v>
      </c>
      <c r="BE3" s="4">
        <v>217123</v>
      </c>
      <c r="BF3" s="4">
        <v>217528</v>
      </c>
      <c r="BG3" s="4">
        <v>219343</v>
      </c>
      <c r="BH3" s="4">
        <v>219780</v>
      </c>
      <c r="BI3" s="4">
        <v>223611</v>
      </c>
      <c r="BJ3" s="4">
        <v>225346</v>
      </c>
      <c r="BK3" s="4">
        <v>227586</v>
      </c>
      <c r="BL3" s="4">
        <v>227983</v>
      </c>
      <c r="BM3" s="4">
        <v>229961</v>
      </c>
      <c r="BN3" s="4">
        <v>231570</v>
      </c>
      <c r="BO3" s="4">
        <v>231674</v>
      </c>
      <c r="BP3" s="4">
        <v>233343</v>
      </c>
      <c r="BQ3" s="4">
        <v>234345</v>
      </c>
      <c r="BR3" s="4">
        <v>237147</v>
      </c>
      <c r="BS3" s="4">
        <v>239556</v>
      </c>
      <c r="BT3" s="4">
        <v>241559</v>
      </c>
      <c r="BU3" s="4">
        <v>243639</v>
      </c>
      <c r="BV3" s="4">
        <v>246780</v>
      </c>
      <c r="BW3" s="4">
        <v>249328</v>
      </c>
      <c r="BX3" s="4">
        <v>253090</v>
      </c>
      <c r="BY3" s="4">
        <v>256735</v>
      </c>
      <c r="BZ3" s="4">
        <v>258701</v>
      </c>
      <c r="CA3" s="4">
        <v>260797</v>
      </c>
      <c r="CB3" s="4">
        <v>263411</v>
      </c>
      <c r="CC3" s="4">
        <v>267649</v>
      </c>
      <c r="CD3" s="4">
        <v>267397</v>
      </c>
      <c r="CE3" s="4">
        <v>270159</v>
      </c>
      <c r="CF3" s="4">
        <v>275407</v>
      </c>
      <c r="CG3" s="4">
        <v>278331</v>
      </c>
      <c r="CH3" s="4">
        <v>280651</v>
      </c>
      <c r="CI3" s="4">
        <v>284274</v>
      </c>
      <c r="CJ3" s="4">
        <v>287388</v>
      </c>
      <c r="CK3" s="4">
        <v>290894</v>
      </c>
      <c r="CL3" s="4">
        <v>293325</v>
      </c>
      <c r="CM3" s="4">
        <v>294155</v>
      </c>
      <c r="CN3" s="4">
        <v>296378</v>
      </c>
      <c r="CO3" s="4">
        <v>300827</v>
      </c>
      <c r="CP3" s="4">
        <v>303055</v>
      </c>
      <c r="CQ3" s="4">
        <v>303450</v>
      </c>
      <c r="CR3" s="4">
        <v>304764</v>
      </c>
      <c r="CS3" s="4">
        <v>307772</v>
      </c>
      <c r="CT3" s="4">
        <v>310517</v>
      </c>
      <c r="CU3" s="4">
        <v>312554</v>
      </c>
      <c r="CV3" s="4">
        <v>316413</v>
      </c>
      <c r="CW3" s="4">
        <v>318762</v>
      </c>
      <c r="CX3" s="4">
        <v>320529</v>
      </c>
      <c r="CY3" s="4">
        <v>322150</v>
      </c>
      <c r="CZ3" s="4">
        <v>325157</v>
      </c>
      <c r="DA3" s="4">
        <v>326983</v>
      </c>
      <c r="DB3" s="4">
        <v>329186</v>
      </c>
      <c r="DC3" s="4">
        <v>332385</v>
      </c>
      <c r="DD3" s="4">
        <v>333357</v>
      </c>
      <c r="DE3" s="4">
        <v>335900</v>
      </c>
      <c r="DF3" s="4">
        <v>336830</v>
      </c>
      <c r="DG3" s="4">
        <v>335359</v>
      </c>
      <c r="DH3" s="4">
        <v>335833</v>
      </c>
      <c r="DI3" s="4">
        <v>338624</v>
      </c>
      <c r="DJ3" s="4">
        <v>339339</v>
      </c>
      <c r="DK3" s="4">
        <v>343169</v>
      </c>
      <c r="DL3" s="4">
        <v>347001</v>
      </c>
      <c r="DM3" s="4">
        <v>353872</v>
      </c>
      <c r="DN3" s="4">
        <v>353402</v>
      </c>
      <c r="DO3" s="4">
        <v>355059</v>
      </c>
      <c r="DP3" s="4">
        <v>350021</v>
      </c>
      <c r="DQ3" s="4">
        <v>344231</v>
      </c>
      <c r="DR3" s="4">
        <v>335303</v>
      </c>
      <c r="DS3" s="4">
        <v>333667</v>
      </c>
      <c r="DT3" s="4">
        <v>332958</v>
      </c>
      <c r="DU3" s="4">
        <v>333656</v>
      </c>
      <c r="DV3" s="4">
        <v>336375</v>
      </c>
      <c r="DW3" s="4">
        <v>335932</v>
      </c>
      <c r="DX3" s="4">
        <v>345407</v>
      </c>
      <c r="DY3" s="4">
        <v>346142</v>
      </c>
      <c r="DZ3" s="4">
        <v>345426</v>
      </c>
      <c r="EA3" s="4">
        <v>342009</v>
      </c>
      <c r="EB3" s="4">
        <v>340153</v>
      </c>
      <c r="EC3" s="4">
        <v>340755</v>
      </c>
      <c r="ED3" s="4">
        <v>341255</v>
      </c>
      <c r="EE3" s="4">
        <v>341708</v>
      </c>
      <c r="EF3" s="4">
        <v>345006</v>
      </c>
      <c r="EG3" s="4">
        <v>349895</v>
      </c>
      <c r="EH3" s="4">
        <v>355752</v>
      </c>
      <c r="EI3" s="4">
        <v>352851</v>
      </c>
      <c r="EJ3" s="4">
        <v>355308</v>
      </c>
      <c r="EK3" s="4">
        <v>359151</v>
      </c>
      <c r="EL3" s="4">
        <v>360080</v>
      </c>
      <c r="EM3" s="4">
        <v>361463</v>
      </c>
      <c r="EN3" s="4">
        <v>364739</v>
      </c>
      <c r="EO3" s="4">
        <v>371275</v>
      </c>
      <c r="EP3" s="4">
        <v>374107</v>
      </c>
      <c r="EQ3" s="4">
        <v>375994</v>
      </c>
      <c r="ER3" s="4">
        <v>377177</v>
      </c>
      <c r="ES3" s="4">
        <v>381986</v>
      </c>
      <c r="ET3" s="4">
        <v>381066</v>
      </c>
      <c r="EU3" s="4">
        <v>388934</v>
      </c>
      <c r="EV3" s="4">
        <v>392507</v>
      </c>
      <c r="EW3" s="4">
        <v>395501</v>
      </c>
      <c r="EX3" s="4">
        <v>395973</v>
      </c>
      <c r="EY3" s="4">
        <v>399124</v>
      </c>
      <c r="EZ3" s="4">
        <v>399139</v>
      </c>
      <c r="FA3" s="4">
        <v>401714</v>
      </c>
      <c r="FB3" s="4">
        <v>403747</v>
      </c>
      <c r="FC3" s="4">
        <v>406073</v>
      </c>
      <c r="FD3" s="4">
        <v>404497</v>
      </c>
      <c r="FE3" s="4">
        <v>408017</v>
      </c>
      <c r="FF3" s="4">
        <v>412655</v>
      </c>
      <c r="FG3" s="4">
        <v>412090</v>
      </c>
      <c r="FH3" s="4">
        <v>413136</v>
      </c>
      <c r="FI3" s="4">
        <v>412951</v>
      </c>
      <c r="FJ3" s="4">
        <v>412487</v>
      </c>
      <c r="FK3" s="4">
        <v>400748</v>
      </c>
      <c r="FL3" s="4">
        <v>308486</v>
      </c>
      <c r="FM3" s="4">
        <v>369291</v>
      </c>
      <c r="FN3" s="4">
        <v>362708</v>
      </c>
      <c r="FO3" s="4">
        <v>349378</v>
      </c>
      <c r="FP3" s="4">
        <v>389324</v>
      </c>
      <c r="FQ3" s="4">
        <v>401314</v>
      </c>
      <c r="FR3" s="4">
        <v>402019</v>
      </c>
      <c r="FS3" s="4">
        <v>407981</v>
      </c>
      <c r="FT3" s="4">
        <v>415833</v>
      </c>
      <c r="FU3" s="4">
        <v>416076</v>
      </c>
      <c r="FV3" s="4">
        <v>417728</v>
      </c>
      <c r="FW3" s="4">
        <v>415180</v>
      </c>
      <c r="FX3" s="4">
        <v>416034</v>
      </c>
      <c r="FY3" s="4">
        <v>410873</v>
      </c>
      <c r="FZ3" s="4">
        <v>410194</v>
      </c>
      <c r="GA3" s="4">
        <v>411349</v>
      </c>
      <c r="GB3" s="4">
        <v>411115</v>
      </c>
      <c r="GC3" s="4">
        <v>413915</v>
      </c>
      <c r="GD3" s="4">
        <v>414482</v>
      </c>
      <c r="GE3" s="4">
        <v>415670</v>
      </c>
      <c r="GF3" s="4">
        <v>415858</v>
      </c>
      <c r="GG3" s="4">
        <v>417589</v>
      </c>
      <c r="GH3" s="4">
        <v>418232</v>
      </c>
      <c r="GI3" s="5">
        <v>418902.7</v>
      </c>
      <c r="GJ3" s="5">
        <v>418810.7</v>
      </c>
      <c r="GK3" s="5">
        <v>418620.5</v>
      </c>
      <c r="GL3" s="5">
        <v>419332.1</v>
      </c>
      <c r="GM3" s="5">
        <v>420672.3</v>
      </c>
      <c r="GN3" s="5">
        <v>421944.5</v>
      </c>
      <c r="GO3" s="5">
        <v>423285.1</v>
      </c>
      <c r="GP3" s="5">
        <v>424548</v>
      </c>
      <c r="GQ3" s="5">
        <v>426094</v>
      </c>
      <c r="GR3" s="5">
        <v>427948.5</v>
      </c>
      <c r="GS3" s="5">
        <v>429841.7</v>
      </c>
      <c r="GT3" s="5">
        <v>431727.3</v>
      </c>
      <c r="GU3" s="5">
        <v>433458.6</v>
      </c>
      <c r="GV3" s="5">
        <v>435098.7</v>
      </c>
      <c r="GW3" s="5">
        <v>436796.2</v>
      </c>
      <c r="GX3" s="5">
        <v>438418.5</v>
      </c>
      <c r="GY3" s="5">
        <v>440156.7</v>
      </c>
      <c r="GZ3" s="5">
        <v>441813.9</v>
      </c>
      <c r="HA3" s="5">
        <v>443436.4</v>
      </c>
      <c r="HB3" s="5">
        <v>445109.8</v>
      </c>
      <c r="HC3" s="5">
        <v>446978.1</v>
      </c>
      <c r="HD3" s="5">
        <v>448880</v>
      </c>
      <c r="HE3" s="5">
        <v>450675.20000000001</v>
      </c>
      <c r="HF3" s="5">
        <v>452369.2</v>
      </c>
      <c r="HG3" s="5">
        <v>453909</v>
      </c>
      <c r="HH3" s="5">
        <v>455419.3</v>
      </c>
      <c r="HI3" s="5">
        <v>456843.3</v>
      </c>
      <c r="HJ3" s="5">
        <v>458217</v>
      </c>
      <c r="HK3" s="5">
        <v>459684.3</v>
      </c>
      <c r="HL3" s="5">
        <v>461162.5</v>
      </c>
      <c r="HM3" s="5">
        <v>462692.2</v>
      </c>
      <c r="HN3" s="5">
        <v>464246.2</v>
      </c>
      <c r="HO3" s="5">
        <v>465874</v>
      </c>
      <c r="HP3" s="5">
        <v>467531.7</v>
      </c>
      <c r="HQ3" s="5">
        <v>469193.7</v>
      </c>
      <c r="HR3" s="5">
        <v>470831.4</v>
      </c>
      <c r="HS3" s="5">
        <v>472522.6</v>
      </c>
      <c r="HT3" s="5">
        <v>474214.8</v>
      </c>
      <c r="HU3" s="5">
        <v>475909.9</v>
      </c>
      <c r="HV3" s="5">
        <v>477616.1</v>
      </c>
      <c r="HW3" s="5" t="s">
        <v>348</v>
      </c>
      <c r="HX3" s="5" t="s">
        <v>348</v>
      </c>
      <c r="HY3" s="5" t="s">
        <v>348</v>
      </c>
      <c r="HZ3" s="5" t="s">
        <v>348</v>
      </c>
      <c r="IA3" s="5" t="s">
        <v>348</v>
      </c>
      <c r="IB3" s="5" t="s">
        <v>348</v>
      </c>
      <c r="IC3" s="5" t="s">
        <v>348</v>
      </c>
      <c r="ID3" s="5" t="s">
        <v>348</v>
      </c>
      <c r="IE3" s="5" t="s">
        <v>348</v>
      </c>
      <c r="IF3" s="5" t="s">
        <v>348</v>
      </c>
      <c r="IG3" s="5" t="s">
        <v>348</v>
      </c>
      <c r="IH3" s="5" t="s">
        <v>348</v>
      </c>
      <c r="II3" s="5" t="s">
        <v>348</v>
      </c>
      <c r="IJ3" s="5" t="s">
        <v>348</v>
      </c>
      <c r="IK3" s="5" t="s">
        <v>348</v>
      </c>
      <c r="IL3" s="5" t="s">
        <v>348</v>
      </c>
      <c r="IM3" s="5" t="s">
        <v>348</v>
      </c>
      <c r="IN3" s="5" t="s">
        <v>348</v>
      </c>
      <c r="IO3" s="5" t="s">
        <v>348</v>
      </c>
      <c r="IP3" s="5" t="s">
        <v>348</v>
      </c>
      <c r="IQ3" s="5" t="s">
        <v>348</v>
      </c>
      <c r="IR3" s="5" t="s">
        <v>348</v>
      </c>
      <c r="IS3" s="5" t="s">
        <v>348</v>
      </c>
      <c r="IT3" s="5" t="s">
        <v>348</v>
      </c>
      <c r="IU3" s="5" t="s">
        <v>348</v>
      </c>
      <c r="IV3" s="5" t="s">
        <v>348</v>
      </c>
      <c r="IW3" s="5" t="s">
        <v>348</v>
      </c>
      <c r="IX3" s="5" t="s">
        <v>348</v>
      </c>
      <c r="IY3" s="5" t="s">
        <v>348</v>
      </c>
      <c r="IZ3" s="5" t="s">
        <v>348</v>
      </c>
      <c r="JA3" s="5" t="s">
        <v>348</v>
      </c>
      <c r="JB3" s="5" t="s">
        <v>348</v>
      </c>
      <c r="JC3" s="5" t="s">
        <v>348</v>
      </c>
      <c r="JD3" s="5" t="s">
        <v>348</v>
      </c>
      <c r="JE3" s="5" t="s">
        <v>348</v>
      </c>
      <c r="JF3" s="5" t="s">
        <v>348</v>
      </c>
      <c r="JG3" s="5" t="s">
        <v>348</v>
      </c>
      <c r="JH3" s="5" t="s">
        <v>348</v>
      </c>
      <c r="JI3" s="5" t="s">
        <v>348</v>
      </c>
      <c r="JJ3" s="5" t="s">
        <v>348</v>
      </c>
      <c r="JK3" s="5" t="s">
        <v>348</v>
      </c>
      <c r="JL3" s="5" t="s">
        <v>348</v>
      </c>
      <c r="JM3" s="5" t="s">
        <v>348</v>
      </c>
      <c r="JN3" s="5" t="s">
        <v>348</v>
      </c>
      <c r="JO3" s="5" t="s">
        <v>348</v>
      </c>
      <c r="JP3" s="5" t="s">
        <v>348</v>
      </c>
      <c r="JQ3" s="5" t="s">
        <v>348</v>
      </c>
      <c r="JR3" s="5" t="s">
        <v>348</v>
      </c>
      <c r="JS3" s="5" t="s">
        <v>348</v>
      </c>
      <c r="JT3" s="5" t="s">
        <v>348</v>
      </c>
      <c r="JU3" s="5" t="s">
        <v>348</v>
      </c>
      <c r="JV3" s="5" t="s">
        <v>348</v>
      </c>
      <c r="JW3" s="5" t="s">
        <v>348</v>
      </c>
      <c r="JX3" s="5" t="s">
        <v>348</v>
      </c>
      <c r="JY3" s="5" t="s">
        <v>348</v>
      </c>
      <c r="JZ3" s="5" t="s">
        <v>348</v>
      </c>
      <c r="KA3" s="5" t="s">
        <v>348</v>
      </c>
      <c r="KB3" s="5" t="s">
        <v>348</v>
      </c>
      <c r="KC3" s="5" t="s">
        <v>348</v>
      </c>
      <c r="KD3" s="5" t="s">
        <v>348</v>
      </c>
      <c r="KE3" s="5" t="s">
        <v>348</v>
      </c>
      <c r="KF3" s="5" t="s">
        <v>348</v>
      </c>
      <c r="KG3" s="5" t="s">
        <v>348</v>
      </c>
      <c r="KH3" s="5" t="s">
        <v>348</v>
      </c>
      <c r="KI3" s="5" t="s">
        <v>348</v>
      </c>
      <c r="KJ3" s="5" t="s">
        <v>348</v>
      </c>
      <c r="KK3" s="5" t="s">
        <v>348</v>
      </c>
      <c r="KL3" s="5" t="s">
        <v>348</v>
      </c>
      <c r="KM3" s="5" t="s">
        <v>348</v>
      </c>
      <c r="KN3" s="5" t="s">
        <v>348</v>
      </c>
      <c r="KO3" s="5" t="s">
        <v>348</v>
      </c>
      <c r="KP3" s="5" t="s">
        <v>348</v>
      </c>
      <c r="KQ3" s="5" t="s">
        <v>348</v>
      </c>
      <c r="KR3" s="5" t="s">
        <v>348</v>
      </c>
      <c r="KS3" s="5" t="s">
        <v>348</v>
      </c>
      <c r="KT3" s="5" t="s">
        <v>348</v>
      </c>
      <c r="KU3" s="5" t="s">
        <v>348</v>
      </c>
      <c r="KV3" s="5" t="s">
        <v>348</v>
      </c>
      <c r="KW3" s="5" t="s">
        <v>348</v>
      </c>
      <c r="KX3" s="5" t="s">
        <v>348</v>
      </c>
      <c r="KY3" s="5" t="s">
        <v>348</v>
      </c>
      <c r="KZ3" s="5" t="s">
        <v>348</v>
      </c>
      <c r="LA3" s="5" t="s">
        <v>348</v>
      </c>
      <c r="LB3" s="5" t="s">
        <v>348</v>
      </c>
      <c r="LC3" s="5" t="s">
        <v>348</v>
      </c>
      <c r="LD3" s="5" t="s">
        <v>348</v>
      </c>
      <c r="LE3" s="5" t="s">
        <v>348</v>
      </c>
      <c r="LF3" s="5" t="s">
        <v>348</v>
      </c>
      <c r="LG3" s="5" t="s">
        <v>348</v>
      </c>
      <c r="LH3" s="5" t="s">
        <v>348</v>
      </c>
      <c r="LI3" s="5" t="s">
        <v>348</v>
      </c>
      <c r="LJ3" s="5" t="s">
        <v>348</v>
      </c>
      <c r="LK3" s="5" t="s">
        <v>348</v>
      </c>
      <c r="LL3" s="5" t="s">
        <v>348</v>
      </c>
      <c r="LM3" s="5" t="s">
        <v>348</v>
      </c>
      <c r="LN3" s="5" t="s">
        <v>348</v>
      </c>
      <c r="LO3" s="5" t="s">
        <v>348</v>
      </c>
      <c r="LP3" s="5" t="s">
        <v>348</v>
      </c>
      <c r="LQ3" s="5" t="s">
        <v>348</v>
      </c>
      <c r="LR3" s="5" t="s">
        <v>348</v>
      </c>
      <c r="LS3" t="s">
        <v>349</v>
      </c>
      <c r="LT3" t="b">
        <v>1</v>
      </c>
      <c r="LU3" s="2" t="s">
        <v>358</v>
      </c>
      <c r="LV3" t="s">
        <v>348</v>
      </c>
      <c r="LW3">
        <v>2025</v>
      </c>
      <c r="LX3">
        <v>4</v>
      </c>
      <c r="LY3" s="3">
        <v>46093</v>
      </c>
      <c r="LZ3" t="s">
        <v>359</v>
      </c>
      <c r="MA3" s="2" t="s">
        <v>360</v>
      </c>
      <c r="MB3" t="s">
        <v>352</v>
      </c>
      <c r="MC3" t="s">
        <v>361</v>
      </c>
      <c r="MD3" t="s">
        <v>354</v>
      </c>
    </row>
    <row r="4" spans="1:342" x14ac:dyDescent="0.25">
      <c r="A4" t="s">
        <v>342</v>
      </c>
      <c r="B4" t="s">
        <v>362</v>
      </c>
      <c r="C4" s="2" t="s">
        <v>372</v>
      </c>
      <c r="D4" t="s">
        <v>356</v>
      </c>
      <c r="E4" s="2" t="s">
        <v>357</v>
      </c>
      <c r="F4" t="s">
        <v>347</v>
      </c>
      <c r="G4" s="4">
        <v>290378</v>
      </c>
      <c r="H4" s="4">
        <v>284713</v>
      </c>
      <c r="I4" s="4">
        <v>284402</v>
      </c>
      <c r="J4" s="4">
        <v>281496</v>
      </c>
      <c r="K4" s="4">
        <v>281257</v>
      </c>
      <c r="L4" s="4">
        <v>282155</v>
      </c>
      <c r="M4" s="4">
        <v>285437</v>
      </c>
      <c r="N4" s="4">
        <v>285814</v>
      </c>
      <c r="O4" s="4">
        <v>286275</v>
      </c>
      <c r="P4" s="4">
        <v>289232</v>
      </c>
      <c r="Q4" s="4">
        <v>289852</v>
      </c>
      <c r="R4" s="4">
        <v>291832</v>
      </c>
      <c r="S4" s="4">
        <v>297563</v>
      </c>
      <c r="T4" s="4">
        <v>299623</v>
      </c>
      <c r="U4" s="4">
        <v>303085</v>
      </c>
      <c r="V4" s="4">
        <v>305361</v>
      </c>
      <c r="W4" s="4">
        <v>307964</v>
      </c>
      <c r="X4" s="4">
        <v>304892</v>
      </c>
      <c r="Y4" s="4">
        <v>307122</v>
      </c>
      <c r="Z4" s="4">
        <v>312697</v>
      </c>
      <c r="AA4" s="4">
        <v>315753</v>
      </c>
      <c r="AB4" s="4">
        <v>322451</v>
      </c>
      <c r="AC4" s="4">
        <v>322392</v>
      </c>
      <c r="AD4" s="4">
        <v>322604</v>
      </c>
      <c r="AE4" s="4">
        <v>325968</v>
      </c>
      <c r="AF4" s="4">
        <v>328872</v>
      </c>
      <c r="AG4" s="4">
        <v>330966</v>
      </c>
      <c r="AH4" s="4">
        <v>337367</v>
      </c>
      <c r="AI4" s="4">
        <v>339754</v>
      </c>
      <c r="AJ4" s="4">
        <v>344795</v>
      </c>
      <c r="AK4" s="4">
        <v>353365</v>
      </c>
      <c r="AL4" s="4">
        <v>357439</v>
      </c>
      <c r="AM4" s="4">
        <v>363267</v>
      </c>
      <c r="AN4" s="4">
        <v>365209</v>
      </c>
      <c r="AO4" s="4">
        <v>369774</v>
      </c>
      <c r="AP4" s="4">
        <v>372752</v>
      </c>
      <c r="AQ4" s="4">
        <v>374612</v>
      </c>
      <c r="AR4" s="4">
        <v>376951</v>
      </c>
      <c r="AS4" s="4">
        <v>377573</v>
      </c>
      <c r="AT4" s="4">
        <v>377508</v>
      </c>
      <c r="AU4" s="4">
        <v>379458</v>
      </c>
      <c r="AV4" s="4">
        <v>381997</v>
      </c>
      <c r="AW4" s="4">
        <v>377831</v>
      </c>
      <c r="AX4" s="4">
        <v>375916</v>
      </c>
      <c r="AY4" s="4">
        <v>374060</v>
      </c>
      <c r="AZ4" s="4">
        <v>373608</v>
      </c>
      <c r="BA4" s="4">
        <v>372878</v>
      </c>
      <c r="BB4" s="4">
        <v>373357</v>
      </c>
      <c r="BC4" s="4">
        <v>373317</v>
      </c>
      <c r="BD4" s="4">
        <v>372751</v>
      </c>
      <c r="BE4" s="4">
        <v>374537</v>
      </c>
      <c r="BF4" s="4">
        <v>377418</v>
      </c>
      <c r="BG4" s="4">
        <v>379370</v>
      </c>
      <c r="BH4" s="4">
        <v>381045</v>
      </c>
      <c r="BI4" s="4">
        <v>384524</v>
      </c>
      <c r="BJ4" s="4">
        <v>387143</v>
      </c>
      <c r="BK4" s="4">
        <v>391026</v>
      </c>
      <c r="BL4" s="4">
        <v>394588</v>
      </c>
      <c r="BM4" s="4">
        <v>398566</v>
      </c>
      <c r="BN4" s="4">
        <v>400279</v>
      </c>
      <c r="BO4" s="4">
        <v>402390</v>
      </c>
      <c r="BP4" s="4">
        <v>403259</v>
      </c>
      <c r="BQ4" s="4">
        <v>407795</v>
      </c>
      <c r="BR4" s="4">
        <v>409132</v>
      </c>
      <c r="BS4" s="4">
        <v>412022</v>
      </c>
      <c r="BT4" s="4">
        <v>413325</v>
      </c>
      <c r="BU4" s="4">
        <v>417019</v>
      </c>
      <c r="BV4" s="4">
        <v>422639</v>
      </c>
      <c r="BW4" s="4">
        <v>429418</v>
      </c>
      <c r="BX4" s="4">
        <v>434199</v>
      </c>
      <c r="BY4" s="4">
        <v>438100</v>
      </c>
      <c r="BZ4" s="4">
        <v>444540</v>
      </c>
      <c r="CA4" s="4">
        <v>447712</v>
      </c>
      <c r="CB4" s="4">
        <v>450292</v>
      </c>
      <c r="CC4" s="4">
        <v>451005</v>
      </c>
      <c r="CD4" s="4">
        <v>453937</v>
      </c>
      <c r="CE4" s="4">
        <v>457044</v>
      </c>
      <c r="CF4" s="4">
        <v>458710</v>
      </c>
      <c r="CG4" s="4">
        <v>466387</v>
      </c>
      <c r="CH4" s="4">
        <v>473892</v>
      </c>
      <c r="CI4" s="4">
        <v>480212</v>
      </c>
      <c r="CJ4" s="4">
        <v>483672</v>
      </c>
      <c r="CK4" s="4">
        <v>486617</v>
      </c>
      <c r="CL4" s="4">
        <v>489506</v>
      </c>
      <c r="CM4" s="4">
        <v>493575</v>
      </c>
      <c r="CN4" s="4">
        <v>495602</v>
      </c>
      <c r="CO4" s="4">
        <v>497938</v>
      </c>
      <c r="CP4" s="4">
        <v>499278</v>
      </c>
      <c r="CQ4" s="4">
        <v>500794</v>
      </c>
      <c r="CR4" s="4">
        <v>503433</v>
      </c>
      <c r="CS4" s="4">
        <v>506386</v>
      </c>
      <c r="CT4" s="4">
        <v>509728</v>
      </c>
      <c r="CU4" s="4">
        <v>514031</v>
      </c>
      <c r="CV4" s="4">
        <v>518802</v>
      </c>
      <c r="CW4" s="4">
        <v>524213</v>
      </c>
      <c r="CX4" s="4">
        <v>528320</v>
      </c>
      <c r="CY4" s="4">
        <v>529996</v>
      </c>
      <c r="CZ4" s="4">
        <v>532543</v>
      </c>
      <c r="DA4" s="4">
        <v>534447</v>
      </c>
      <c r="DB4" s="4">
        <v>536886</v>
      </c>
      <c r="DC4" s="4">
        <v>541028</v>
      </c>
      <c r="DD4" s="4">
        <v>545530</v>
      </c>
      <c r="DE4" s="4">
        <v>550552</v>
      </c>
      <c r="DF4" s="4">
        <v>556311</v>
      </c>
      <c r="DG4" s="4">
        <v>558314</v>
      </c>
      <c r="DH4" s="4">
        <v>559795</v>
      </c>
      <c r="DI4" s="4">
        <v>560675</v>
      </c>
      <c r="DJ4" s="4">
        <v>562669</v>
      </c>
      <c r="DK4" s="4">
        <v>568845</v>
      </c>
      <c r="DL4" s="4">
        <v>574194</v>
      </c>
      <c r="DM4" s="4">
        <v>579605</v>
      </c>
      <c r="DN4" s="4">
        <v>584504</v>
      </c>
      <c r="DO4" s="4">
        <v>586690</v>
      </c>
      <c r="DP4" s="4">
        <v>583541</v>
      </c>
      <c r="DQ4" s="4">
        <v>573961</v>
      </c>
      <c r="DR4" s="4">
        <v>561816</v>
      </c>
      <c r="DS4" s="4">
        <v>550451</v>
      </c>
      <c r="DT4" s="4">
        <v>548859</v>
      </c>
      <c r="DU4" s="4">
        <v>549540</v>
      </c>
      <c r="DV4" s="4">
        <v>551372</v>
      </c>
      <c r="DW4" s="4">
        <v>556002</v>
      </c>
      <c r="DX4" s="4">
        <v>562353</v>
      </c>
      <c r="DY4" s="4">
        <v>565659</v>
      </c>
      <c r="DZ4" s="4">
        <v>565945</v>
      </c>
      <c r="EA4" s="4">
        <v>566873</v>
      </c>
      <c r="EB4" s="4">
        <v>566601</v>
      </c>
      <c r="EC4" s="4">
        <v>567586</v>
      </c>
      <c r="ED4" s="4">
        <v>568056</v>
      </c>
      <c r="EE4" s="4">
        <v>573416</v>
      </c>
      <c r="EF4" s="4">
        <v>573112</v>
      </c>
      <c r="EG4" s="4">
        <v>579051</v>
      </c>
      <c r="EH4" s="4">
        <v>578215</v>
      </c>
      <c r="EI4" s="4">
        <v>579749</v>
      </c>
      <c r="EJ4" s="4">
        <v>583605</v>
      </c>
      <c r="EK4" s="4">
        <v>588076</v>
      </c>
      <c r="EL4" s="4">
        <v>591954</v>
      </c>
      <c r="EM4" s="4">
        <v>596696</v>
      </c>
      <c r="EN4" s="4">
        <v>602310</v>
      </c>
      <c r="EO4" s="4">
        <v>607213</v>
      </c>
      <c r="EP4" s="4">
        <v>611220</v>
      </c>
      <c r="EQ4" s="4">
        <v>613076</v>
      </c>
      <c r="ER4" s="4">
        <v>615875</v>
      </c>
      <c r="ES4" s="4">
        <v>618263</v>
      </c>
      <c r="ET4" s="4">
        <v>621968</v>
      </c>
      <c r="EU4" s="4">
        <v>625099</v>
      </c>
      <c r="EV4" s="4">
        <v>629697</v>
      </c>
      <c r="EW4" s="4">
        <v>632477</v>
      </c>
      <c r="EX4" s="4">
        <v>636392</v>
      </c>
      <c r="EY4" s="4">
        <v>642463</v>
      </c>
      <c r="EZ4" s="4">
        <v>647944</v>
      </c>
      <c r="FA4" s="4">
        <v>652329</v>
      </c>
      <c r="FB4" s="4">
        <v>657225</v>
      </c>
      <c r="FC4" s="4">
        <v>657741</v>
      </c>
      <c r="FD4" s="4">
        <v>659172</v>
      </c>
      <c r="FE4" s="4">
        <v>661262</v>
      </c>
      <c r="FF4" s="4">
        <v>662120</v>
      </c>
      <c r="FG4" s="4">
        <v>665456</v>
      </c>
      <c r="FH4" s="4">
        <v>666875</v>
      </c>
      <c r="FI4" s="4">
        <v>670547</v>
      </c>
      <c r="FJ4" s="4">
        <v>670587</v>
      </c>
      <c r="FK4" s="4">
        <v>652180</v>
      </c>
      <c r="FL4" s="4">
        <v>522356</v>
      </c>
      <c r="FM4" s="4">
        <v>610972</v>
      </c>
      <c r="FN4" s="4">
        <v>619330</v>
      </c>
      <c r="FO4" s="4">
        <v>612665</v>
      </c>
      <c r="FP4" s="4">
        <v>655443</v>
      </c>
      <c r="FQ4" s="4">
        <v>666498</v>
      </c>
      <c r="FR4" s="4">
        <v>675680</v>
      </c>
      <c r="FS4" s="4">
        <v>682527</v>
      </c>
      <c r="FT4" s="4">
        <v>686335</v>
      </c>
      <c r="FU4" s="4">
        <v>687029</v>
      </c>
      <c r="FV4" s="4">
        <v>688817</v>
      </c>
      <c r="FW4" s="4">
        <v>689206</v>
      </c>
      <c r="FX4" s="4">
        <v>689491</v>
      </c>
      <c r="FY4" s="4">
        <v>687839</v>
      </c>
      <c r="FZ4" s="4">
        <v>685628</v>
      </c>
      <c r="GA4" s="4">
        <v>691198</v>
      </c>
      <c r="GB4" s="4">
        <v>695280</v>
      </c>
      <c r="GC4" s="4">
        <v>696853</v>
      </c>
      <c r="GD4" s="4">
        <v>698780</v>
      </c>
      <c r="GE4" s="4">
        <v>703373</v>
      </c>
      <c r="GF4" s="4">
        <v>704798</v>
      </c>
      <c r="GG4" s="4">
        <v>705187</v>
      </c>
      <c r="GH4" s="4">
        <v>705571</v>
      </c>
      <c r="GI4" s="5">
        <v>707948.3</v>
      </c>
      <c r="GJ4" s="5">
        <v>708599.8</v>
      </c>
      <c r="GK4" s="5">
        <v>708960.2</v>
      </c>
      <c r="GL4" s="5">
        <v>710694.8</v>
      </c>
      <c r="GM4" s="5">
        <v>713679.8</v>
      </c>
      <c r="GN4" s="5">
        <v>716742.6</v>
      </c>
      <c r="GO4" s="5">
        <v>719855.3</v>
      </c>
      <c r="GP4" s="5">
        <v>722678.2</v>
      </c>
      <c r="GQ4" s="5">
        <v>725570.6</v>
      </c>
      <c r="GR4" s="5">
        <v>728643.9</v>
      </c>
      <c r="GS4" s="5">
        <v>731642.9</v>
      </c>
      <c r="GT4" s="5">
        <v>734627.1</v>
      </c>
      <c r="GU4" s="5">
        <v>737486.8</v>
      </c>
      <c r="GV4" s="5">
        <v>740216.8</v>
      </c>
      <c r="GW4" s="5">
        <v>743063.9</v>
      </c>
      <c r="GX4" s="5">
        <v>745795.1</v>
      </c>
      <c r="GY4" s="5">
        <v>748630.6</v>
      </c>
      <c r="GZ4" s="5">
        <v>751445.6</v>
      </c>
      <c r="HA4" s="5">
        <v>754230.5</v>
      </c>
      <c r="HB4" s="5">
        <v>757105.9</v>
      </c>
      <c r="HC4" s="5">
        <v>760232.6</v>
      </c>
      <c r="HD4" s="5">
        <v>763346.6</v>
      </c>
      <c r="HE4" s="5">
        <v>766327.6</v>
      </c>
      <c r="HF4" s="5">
        <v>769181</v>
      </c>
      <c r="HG4" s="5">
        <v>771833.7</v>
      </c>
      <c r="HH4" s="5">
        <v>774410</v>
      </c>
      <c r="HI4" s="5">
        <v>776970.9</v>
      </c>
      <c r="HJ4" s="5">
        <v>779552.5</v>
      </c>
      <c r="HK4" s="5">
        <v>782148.2</v>
      </c>
      <c r="HL4" s="5">
        <v>784814.3</v>
      </c>
      <c r="HM4" s="5">
        <v>787617.8</v>
      </c>
      <c r="HN4" s="5">
        <v>790491.5</v>
      </c>
      <c r="HO4" s="5">
        <v>793492.2</v>
      </c>
      <c r="HP4" s="5">
        <v>796525.9</v>
      </c>
      <c r="HQ4" s="5">
        <v>799543.4</v>
      </c>
      <c r="HR4" s="5">
        <v>802494.1</v>
      </c>
      <c r="HS4" s="5">
        <v>805517.3</v>
      </c>
      <c r="HT4" s="5">
        <v>808532.4</v>
      </c>
      <c r="HU4" s="5">
        <v>811552.8</v>
      </c>
      <c r="HV4" s="5">
        <v>814595.1</v>
      </c>
      <c r="HW4" s="5" t="s">
        <v>348</v>
      </c>
      <c r="HX4" s="5" t="s">
        <v>348</v>
      </c>
      <c r="HY4" s="5" t="s">
        <v>348</v>
      </c>
      <c r="HZ4" s="5" t="s">
        <v>348</v>
      </c>
      <c r="IA4" s="5" t="s">
        <v>348</v>
      </c>
      <c r="IB4" s="5" t="s">
        <v>348</v>
      </c>
      <c r="IC4" s="5" t="s">
        <v>348</v>
      </c>
      <c r="ID4" s="5" t="s">
        <v>348</v>
      </c>
      <c r="IE4" s="5" t="s">
        <v>348</v>
      </c>
      <c r="IF4" s="5" t="s">
        <v>348</v>
      </c>
      <c r="IG4" s="5" t="s">
        <v>348</v>
      </c>
      <c r="IH4" s="5" t="s">
        <v>348</v>
      </c>
      <c r="II4" s="5" t="s">
        <v>348</v>
      </c>
      <c r="IJ4" s="5" t="s">
        <v>348</v>
      </c>
      <c r="IK4" s="5" t="s">
        <v>348</v>
      </c>
      <c r="IL4" s="5" t="s">
        <v>348</v>
      </c>
      <c r="IM4" s="5" t="s">
        <v>348</v>
      </c>
      <c r="IN4" s="5" t="s">
        <v>348</v>
      </c>
      <c r="IO4" s="5" t="s">
        <v>348</v>
      </c>
      <c r="IP4" s="5" t="s">
        <v>348</v>
      </c>
      <c r="IQ4" s="5" t="s">
        <v>348</v>
      </c>
      <c r="IR4" s="5" t="s">
        <v>348</v>
      </c>
      <c r="IS4" s="5" t="s">
        <v>348</v>
      </c>
      <c r="IT4" s="5" t="s">
        <v>348</v>
      </c>
      <c r="IU4" s="5" t="s">
        <v>348</v>
      </c>
      <c r="IV4" s="5" t="s">
        <v>348</v>
      </c>
      <c r="IW4" s="5" t="s">
        <v>348</v>
      </c>
      <c r="IX4" s="5" t="s">
        <v>348</v>
      </c>
      <c r="IY4" s="5" t="s">
        <v>348</v>
      </c>
      <c r="IZ4" s="5" t="s">
        <v>348</v>
      </c>
      <c r="JA4" s="5" t="s">
        <v>348</v>
      </c>
      <c r="JB4" s="5" t="s">
        <v>348</v>
      </c>
      <c r="JC4" s="5" t="s">
        <v>348</v>
      </c>
      <c r="JD4" s="5" t="s">
        <v>348</v>
      </c>
      <c r="JE4" s="5" t="s">
        <v>348</v>
      </c>
      <c r="JF4" s="5" t="s">
        <v>348</v>
      </c>
      <c r="JG4" s="5" t="s">
        <v>348</v>
      </c>
      <c r="JH4" s="5" t="s">
        <v>348</v>
      </c>
      <c r="JI4" s="5" t="s">
        <v>348</v>
      </c>
      <c r="JJ4" s="5" t="s">
        <v>348</v>
      </c>
      <c r="JK4" s="5" t="s">
        <v>348</v>
      </c>
      <c r="JL4" s="5" t="s">
        <v>348</v>
      </c>
      <c r="JM4" s="5" t="s">
        <v>348</v>
      </c>
      <c r="JN4" s="5" t="s">
        <v>348</v>
      </c>
      <c r="JO4" s="5" t="s">
        <v>348</v>
      </c>
      <c r="JP4" s="5" t="s">
        <v>348</v>
      </c>
      <c r="JQ4" s="5" t="s">
        <v>348</v>
      </c>
      <c r="JR4" s="5" t="s">
        <v>348</v>
      </c>
      <c r="JS4" s="5" t="s">
        <v>348</v>
      </c>
      <c r="JT4" s="5" t="s">
        <v>348</v>
      </c>
      <c r="JU4" s="5" t="s">
        <v>348</v>
      </c>
      <c r="JV4" s="5" t="s">
        <v>348</v>
      </c>
      <c r="JW4" s="5" t="s">
        <v>348</v>
      </c>
      <c r="JX4" s="5" t="s">
        <v>348</v>
      </c>
      <c r="JY4" s="5" t="s">
        <v>348</v>
      </c>
      <c r="JZ4" s="5" t="s">
        <v>348</v>
      </c>
      <c r="KA4" s="5" t="s">
        <v>348</v>
      </c>
      <c r="KB4" s="5" t="s">
        <v>348</v>
      </c>
      <c r="KC4" s="5" t="s">
        <v>348</v>
      </c>
      <c r="KD4" s="5" t="s">
        <v>348</v>
      </c>
      <c r="KE4" s="5" t="s">
        <v>348</v>
      </c>
      <c r="KF4" s="5" t="s">
        <v>348</v>
      </c>
      <c r="KG4" s="5" t="s">
        <v>348</v>
      </c>
      <c r="KH4" s="5" t="s">
        <v>348</v>
      </c>
      <c r="KI4" s="5" t="s">
        <v>348</v>
      </c>
      <c r="KJ4" s="5" t="s">
        <v>348</v>
      </c>
      <c r="KK4" s="5" t="s">
        <v>348</v>
      </c>
      <c r="KL4" s="5" t="s">
        <v>348</v>
      </c>
      <c r="KM4" s="5" t="s">
        <v>348</v>
      </c>
      <c r="KN4" s="5" t="s">
        <v>348</v>
      </c>
      <c r="KO4" s="5" t="s">
        <v>348</v>
      </c>
      <c r="KP4" s="5" t="s">
        <v>348</v>
      </c>
      <c r="KQ4" s="5" t="s">
        <v>348</v>
      </c>
      <c r="KR4" s="5" t="s">
        <v>348</v>
      </c>
      <c r="KS4" s="5" t="s">
        <v>348</v>
      </c>
      <c r="KT4" s="5" t="s">
        <v>348</v>
      </c>
      <c r="KU4" s="5" t="s">
        <v>348</v>
      </c>
      <c r="KV4" s="5" t="s">
        <v>348</v>
      </c>
      <c r="KW4" s="5" t="s">
        <v>348</v>
      </c>
      <c r="KX4" s="5" t="s">
        <v>348</v>
      </c>
      <c r="KY4" s="5" t="s">
        <v>348</v>
      </c>
      <c r="KZ4" s="5" t="s">
        <v>348</v>
      </c>
      <c r="LA4" s="5" t="s">
        <v>348</v>
      </c>
      <c r="LB4" s="5" t="s">
        <v>348</v>
      </c>
      <c r="LC4" s="5" t="s">
        <v>348</v>
      </c>
      <c r="LD4" s="5" t="s">
        <v>348</v>
      </c>
      <c r="LE4" s="5" t="s">
        <v>348</v>
      </c>
      <c r="LF4" s="5" t="s">
        <v>348</v>
      </c>
      <c r="LG4" s="5" t="s">
        <v>348</v>
      </c>
      <c r="LH4" s="5" t="s">
        <v>348</v>
      </c>
      <c r="LI4" s="5" t="s">
        <v>348</v>
      </c>
      <c r="LJ4" s="5" t="s">
        <v>348</v>
      </c>
      <c r="LK4" s="5" t="s">
        <v>348</v>
      </c>
      <c r="LL4" s="5" t="s">
        <v>348</v>
      </c>
      <c r="LM4" s="5" t="s">
        <v>348</v>
      </c>
      <c r="LN4" s="5" t="s">
        <v>348</v>
      </c>
      <c r="LO4" s="5" t="s">
        <v>348</v>
      </c>
      <c r="LP4" s="5" t="s">
        <v>348</v>
      </c>
      <c r="LQ4" s="5" t="s">
        <v>348</v>
      </c>
      <c r="LR4" s="5" t="s">
        <v>348</v>
      </c>
      <c r="LS4" t="s">
        <v>349</v>
      </c>
      <c r="LT4" t="b">
        <v>1</v>
      </c>
      <c r="LU4" s="2" t="s">
        <v>358</v>
      </c>
      <c r="LV4" t="s">
        <v>348</v>
      </c>
      <c r="LW4">
        <v>2025</v>
      </c>
      <c r="LX4">
        <v>4</v>
      </c>
      <c r="LY4" s="3">
        <v>46093</v>
      </c>
      <c r="LZ4" t="s">
        <v>363</v>
      </c>
      <c r="MA4" s="2" t="s">
        <v>364</v>
      </c>
      <c r="MB4" t="s">
        <v>352</v>
      </c>
      <c r="MC4" t="s">
        <v>365</v>
      </c>
      <c r="MD4" t="s">
        <v>354</v>
      </c>
    </row>
    <row r="5" spans="1:342" x14ac:dyDescent="0.25">
      <c r="A5" t="s">
        <v>342</v>
      </c>
      <c r="B5" t="s">
        <v>366</v>
      </c>
      <c r="C5" s="2" t="s">
        <v>372</v>
      </c>
      <c r="D5" t="s">
        <v>367</v>
      </c>
      <c r="E5" t="s">
        <v>348</v>
      </c>
      <c r="F5" t="s">
        <v>347</v>
      </c>
      <c r="G5" s="4">
        <v>17</v>
      </c>
      <c r="H5" s="4">
        <v>17</v>
      </c>
      <c r="I5" s="4">
        <v>16.0303</v>
      </c>
      <c r="J5" s="4">
        <v>15.18182</v>
      </c>
      <c r="K5" s="4">
        <v>13.53125</v>
      </c>
      <c r="L5" s="4">
        <v>12</v>
      </c>
      <c r="M5" s="4">
        <v>12.51989</v>
      </c>
      <c r="N5" s="4">
        <v>14.60417</v>
      </c>
      <c r="O5" s="4">
        <v>13.785159999999999</v>
      </c>
      <c r="P5" s="4">
        <v>13.01346</v>
      </c>
      <c r="Q5" s="4">
        <v>11.3428</v>
      </c>
      <c r="R5" s="4">
        <v>9.6856059999999999</v>
      </c>
      <c r="S5" s="4">
        <v>10.80176</v>
      </c>
      <c r="T5" s="4">
        <v>10.024039999999999</v>
      </c>
      <c r="U5" s="4">
        <v>9.5606059999999999</v>
      </c>
      <c r="V5" s="4">
        <v>9.0625</v>
      </c>
      <c r="W5" s="4">
        <v>8.9432690000000008</v>
      </c>
      <c r="X5" s="4">
        <v>8.8442310000000006</v>
      </c>
      <c r="Y5" s="4">
        <v>10.89615</v>
      </c>
      <c r="Z5" s="4">
        <v>9.969697</v>
      </c>
      <c r="AA5" s="4">
        <v>12.86914</v>
      </c>
      <c r="AB5" s="4">
        <v>12.48269</v>
      </c>
      <c r="AC5" s="4">
        <v>11.579549999999999</v>
      </c>
      <c r="AD5" s="4">
        <v>11.375</v>
      </c>
      <c r="AE5" s="4">
        <v>12.07813</v>
      </c>
      <c r="AF5" s="4">
        <v>10.328849999999999</v>
      </c>
      <c r="AG5" s="4">
        <v>9.875</v>
      </c>
      <c r="AH5" s="4">
        <v>10.72348</v>
      </c>
      <c r="AI5" s="4">
        <v>10.664059999999999</v>
      </c>
      <c r="AJ5" s="4">
        <v>9.228847</v>
      </c>
      <c r="AK5" s="4">
        <v>9.4810610000000004</v>
      </c>
      <c r="AL5" s="4">
        <v>9.0189389999999996</v>
      </c>
      <c r="AM5" s="4">
        <v>8.6288459999999993</v>
      </c>
      <c r="AN5" s="4">
        <v>7.9673080000000001</v>
      </c>
      <c r="AO5" s="4">
        <v>10.920450000000001</v>
      </c>
      <c r="AP5" s="4">
        <v>12.275</v>
      </c>
      <c r="AQ5" s="4">
        <v>12.875</v>
      </c>
      <c r="AR5" s="4">
        <v>13.23846</v>
      </c>
      <c r="AS5" s="4">
        <v>13.760579999999999</v>
      </c>
      <c r="AT5" s="4">
        <v>14.805770000000001</v>
      </c>
      <c r="AU5" s="4">
        <v>14.875</v>
      </c>
      <c r="AV5" s="4">
        <v>14.875</v>
      </c>
      <c r="AW5" s="4">
        <v>14.875</v>
      </c>
      <c r="AX5" s="4">
        <v>13.950760000000001</v>
      </c>
      <c r="AY5" s="4">
        <v>13.39063</v>
      </c>
      <c r="AZ5" s="4">
        <v>11.74423</v>
      </c>
      <c r="BA5" s="4">
        <v>10.799239999999999</v>
      </c>
      <c r="BB5" s="4">
        <v>10.375</v>
      </c>
      <c r="BC5" s="4">
        <v>10.375</v>
      </c>
      <c r="BD5" s="4">
        <v>10.059620000000001</v>
      </c>
      <c r="BE5" s="4">
        <v>9.7689389999999996</v>
      </c>
      <c r="BF5" s="4">
        <v>7.5113640000000004</v>
      </c>
      <c r="BG5" s="4">
        <v>6.140625</v>
      </c>
      <c r="BH5" s="4">
        <v>5.875</v>
      </c>
      <c r="BI5" s="4">
        <v>5.875</v>
      </c>
      <c r="BJ5" s="4">
        <v>5.655303</v>
      </c>
      <c r="BK5" s="4">
        <v>5.2265629999999996</v>
      </c>
      <c r="BL5" s="4">
        <v>5.125</v>
      </c>
      <c r="BM5" s="4">
        <v>5.2386359999999996</v>
      </c>
      <c r="BN5" s="4">
        <v>5.7634619999999996</v>
      </c>
      <c r="BO5" s="4">
        <v>6.4480769999999996</v>
      </c>
      <c r="BP5" s="4">
        <v>6.625</v>
      </c>
      <c r="BQ5" s="4">
        <v>6.625</v>
      </c>
      <c r="BR5" s="4">
        <v>6.5750000000000002</v>
      </c>
      <c r="BS5" s="4">
        <v>6.1288460000000002</v>
      </c>
      <c r="BT5" s="4">
        <v>5.8721160000000001</v>
      </c>
      <c r="BU5" s="4">
        <v>5.6875</v>
      </c>
      <c r="BV5" s="4">
        <v>5.8579549999999996</v>
      </c>
      <c r="BW5" s="4">
        <v>5.9375</v>
      </c>
      <c r="BX5" s="4">
        <v>6.1951919999999996</v>
      </c>
      <c r="BY5" s="4">
        <v>6.8712119999999999</v>
      </c>
      <c r="BZ5" s="4">
        <v>7.1515149999999998</v>
      </c>
      <c r="CA5" s="4">
        <v>7.25</v>
      </c>
      <c r="CB5" s="4">
        <v>7.3230769999999996</v>
      </c>
      <c r="CC5" s="4">
        <v>7.5</v>
      </c>
      <c r="CD5" s="4">
        <v>6.8371209999999998</v>
      </c>
      <c r="CE5" s="4">
        <v>5.703125</v>
      </c>
      <c r="CF5" s="4">
        <v>5.211538</v>
      </c>
      <c r="CG5" s="4">
        <v>5.0643940000000001</v>
      </c>
      <c r="CH5" s="4">
        <v>5.4090910000000001</v>
      </c>
      <c r="CI5" s="4">
        <v>5.8615380000000004</v>
      </c>
      <c r="CJ5" s="4">
        <v>6</v>
      </c>
      <c r="CK5" s="4">
        <v>6</v>
      </c>
      <c r="CL5" s="4">
        <v>6</v>
      </c>
      <c r="CM5" s="4">
        <v>5.8576920000000001</v>
      </c>
      <c r="CN5" s="4">
        <v>5.3692310000000001</v>
      </c>
      <c r="CO5" s="4">
        <v>5.0538460000000001</v>
      </c>
      <c r="CP5" s="4">
        <v>4.2234850000000002</v>
      </c>
      <c r="CQ5" s="4">
        <v>4</v>
      </c>
      <c r="CR5" s="4">
        <v>4</v>
      </c>
      <c r="CS5" s="4">
        <v>4</v>
      </c>
      <c r="CT5" s="4">
        <v>4</v>
      </c>
      <c r="CU5" s="4">
        <v>3.8515630000000001</v>
      </c>
      <c r="CV5" s="4">
        <v>3.75</v>
      </c>
      <c r="CW5" s="4">
        <v>3.5265149999999998</v>
      </c>
      <c r="CX5" s="4">
        <v>3.6515149999999998</v>
      </c>
      <c r="CY5" s="4">
        <v>3.9038460000000001</v>
      </c>
      <c r="CZ5" s="4">
        <v>4.211538</v>
      </c>
      <c r="DA5" s="4">
        <v>4.655303</v>
      </c>
      <c r="DB5" s="4">
        <v>4.75</v>
      </c>
      <c r="DC5" s="4">
        <v>4.75</v>
      </c>
      <c r="DD5" s="4">
        <v>4.75</v>
      </c>
      <c r="DE5" s="4">
        <v>4.5909089999999999</v>
      </c>
      <c r="DF5" s="4">
        <v>4.5</v>
      </c>
      <c r="DG5" s="4">
        <v>4.5</v>
      </c>
      <c r="DH5" s="4">
        <v>4.5</v>
      </c>
      <c r="DI5" s="4">
        <v>4.6615390000000003</v>
      </c>
      <c r="DJ5" s="4">
        <v>4.8923079999999999</v>
      </c>
      <c r="DK5" s="4">
        <v>5.2192309999999997</v>
      </c>
      <c r="DL5" s="4">
        <v>5.3923079999999999</v>
      </c>
      <c r="DM5" s="4">
        <v>5.738461</v>
      </c>
      <c r="DN5" s="4">
        <v>5.6818179999999998</v>
      </c>
      <c r="DO5" s="4">
        <v>5.3538459999999999</v>
      </c>
      <c r="DP5" s="4">
        <v>5.026923</v>
      </c>
      <c r="DQ5" s="4">
        <v>5</v>
      </c>
      <c r="DR5" s="4">
        <v>3.325758</v>
      </c>
      <c r="DS5" s="4">
        <v>1.0859380000000001</v>
      </c>
      <c r="DT5" s="4">
        <v>0.5</v>
      </c>
      <c r="DU5" s="4">
        <v>0.5</v>
      </c>
      <c r="DV5" s="4">
        <v>0.5</v>
      </c>
      <c r="DW5" s="4">
        <v>0.5</v>
      </c>
      <c r="DX5" s="4">
        <v>0.5</v>
      </c>
      <c r="DY5" s="4">
        <v>0.5</v>
      </c>
      <c r="DZ5" s="4">
        <v>0.5</v>
      </c>
      <c r="EA5" s="4">
        <v>0.5</v>
      </c>
      <c r="EB5" s="4">
        <v>0.5</v>
      </c>
      <c r="EC5" s="4">
        <v>0.5</v>
      </c>
      <c r="ED5" s="4">
        <v>0.5</v>
      </c>
      <c r="EE5" s="4">
        <v>0.5</v>
      </c>
      <c r="EF5" s="4">
        <v>0.5</v>
      </c>
      <c r="EG5" s="4">
        <v>0.5</v>
      </c>
      <c r="EH5" s="4">
        <v>0.5</v>
      </c>
      <c r="EI5" s="4">
        <v>0.5</v>
      </c>
      <c r="EJ5" s="4">
        <v>0.5</v>
      </c>
      <c r="EK5" s="4">
        <v>0.5</v>
      </c>
      <c r="EL5" s="4">
        <v>0.5</v>
      </c>
      <c r="EM5" s="4">
        <v>0.5</v>
      </c>
      <c r="EN5" s="4">
        <v>0.5</v>
      </c>
      <c r="EO5" s="4">
        <v>0.5</v>
      </c>
      <c r="EP5" s="4">
        <v>0.5</v>
      </c>
      <c r="EQ5" s="4">
        <v>0.5</v>
      </c>
      <c r="ER5" s="4">
        <v>0.5</v>
      </c>
      <c r="ES5" s="4">
        <v>0.5</v>
      </c>
      <c r="ET5" s="4">
        <v>0.5</v>
      </c>
      <c r="EU5" s="4">
        <v>0.5</v>
      </c>
      <c r="EV5" s="4">
        <v>0.5</v>
      </c>
      <c r="EW5" s="4">
        <v>0.34090910000000002</v>
      </c>
      <c r="EX5" s="4">
        <v>0.25</v>
      </c>
      <c r="EY5" s="4">
        <v>0.25</v>
      </c>
      <c r="EZ5" s="4">
        <v>0.25</v>
      </c>
      <c r="FA5" s="4">
        <v>0.25</v>
      </c>
      <c r="FB5" s="4">
        <v>0.41153849999999997</v>
      </c>
      <c r="FC5" s="4">
        <v>0.5</v>
      </c>
      <c r="FD5" s="4">
        <v>0.5</v>
      </c>
      <c r="FE5" s="4">
        <v>0.66153850000000003</v>
      </c>
      <c r="FF5" s="4">
        <v>0.75</v>
      </c>
      <c r="FG5" s="4">
        <v>0.75</v>
      </c>
      <c r="FH5" s="4">
        <v>0.75</v>
      </c>
      <c r="FI5" s="4">
        <v>0.75</v>
      </c>
      <c r="FJ5" s="4">
        <v>0.75</v>
      </c>
      <c r="FK5" s="4">
        <v>0.61384620000000001</v>
      </c>
      <c r="FL5" s="4">
        <v>0.1</v>
      </c>
      <c r="FM5" s="4">
        <v>0.1</v>
      </c>
      <c r="FN5" s="4">
        <v>0.1</v>
      </c>
      <c r="FO5" s="4">
        <v>0.1</v>
      </c>
      <c r="FP5" s="4">
        <v>0.1</v>
      </c>
      <c r="FQ5" s="4">
        <v>0.1</v>
      </c>
      <c r="FR5" s="4">
        <v>0.12727269999999999</v>
      </c>
      <c r="FS5" s="4">
        <v>0.453125</v>
      </c>
      <c r="FT5" s="4">
        <v>0.95</v>
      </c>
      <c r="FU5" s="4">
        <v>1.6212120000000001</v>
      </c>
      <c r="FV5" s="4">
        <v>2.8269229999999999</v>
      </c>
      <c r="FW5" s="4">
        <v>3.85</v>
      </c>
      <c r="FX5" s="4">
        <v>4.4461539999999999</v>
      </c>
      <c r="FY5" s="4">
        <v>5.1615390000000003</v>
      </c>
      <c r="FZ5" s="4">
        <v>5.25</v>
      </c>
      <c r="GA5" s="4">
        <v>5.25</v>
      </c>
      <c r="GB5" s="4">
        <v>5.25</v>
      </c>
      <c r="GC5" s="4">
        <v>5.0871209999999998</v>
      </c>
      <c r="GD5" s="4">
        <v>4.8522730000000003</v>
      </c>
      <c r="GE5" s="4">
        <v>4.6015629999999996</v>
      </c>
      <c r="GF5" s="4">
        <v>4.3538459999999999</v>
      </c>
      <c r="GG5" s="4">
        <v>4.1022730000000003</v>
      </c>
      <c r="GH5" s="4">
        <v>3.9621209999999998</v>
      </c>
      <c r="GI5" s="5">
        <v>3.7590499999999998</v>
      </c>
      <c r="GJ5" s="5">
        <v>3.6277089999999999</v>
      </c>
      <c r="GK5" s="5">
        <v>3.613537</v>
      </c>
      <c r="GL5" s="5">
        <v>3.5504280000000001</v>
      </c>
      <c r="GM5" s="5">
        <v>3.5475560000000002</v>
      </c>
      <c r="GN5" s="5">
        <v>3.4133719999999999</v>
      </c>
      <c r="GO5" s="5">
        <v>3.3161990000000001</v>
      </c>
      <c r="GP5" s="5">
        <v>3.2484160000000002</v>
      </c>
      <c r="GQ5" s="5">
        <v>3.1608610000000001</v>
      </c>
      <c r="GR5" s="5">
        <v>2.9293900000000002</v>
      </c>
      <c r="GS5" s="5">
        <v>2.7947540000000002</v>
      </c>
      <c r="GT5" s="5">
        <v>2.7656429999999999</v>
      </c>
      <c r="GU5" s="5">
        <v>2.744135</v>
      </c>
      <c r="GV5" s="5">
        <v>2.567634</v>
      </c>
      <c r="GW5" s="5">
        <v>2.4595820000000002</v>
      </c>
      <c r="GX5" s="5">
        <v>2.4498959999999999</v>
      </c>
      <c r="GY5" s="5">
        <v>2.448204</v>
      </c>
      <c r="GZ5" s="5">
        <v>2.4528840000000001</v>
      </c>
      <c r="HA5" s="5">
        <v>2.461093</v>
      </c>
      <c r="HB5" s="5">
        <v>2.4701219999999999</v>
      </c>
      <c r="HC5" s="5">
        <v>2.4750960000000002</v>
      </c>
      <c r="HD5" s="5">
        <v>2.4726970000000001</v>
      </c>
      <c r="HE5" s="5">
        <v>2.4620009999999999</v>
      </c>
      <c r="HF5" s="5">
        <v>2.4440919999999999</v>
      </c>
      <c r="HG5" s="5">
        <v>2.428709</v>
      </c>
      <c r="HH5" s="5">
        <v>2.4238249999999999</v>
      </c>
      <c r="HI5" s="5">
        <v>2.4325100000000002</v>
      </c>
      <c r="HJ5" s="5">
        <v>2.4534919999999998</v>
      </c>
      <c r="HK5" s="5">
        <v>2.4791919999999998</v>
      </c>
      <c r="HL5" s="5">
        <v>2.502148</v>
      </c>
      <c r="HM5" s="5">
        <v>2.518008</v>
      </c>
      <c r="HN5" s="5">
        <v>2.5254530000000002</v>
      </c>
      <c r="HO5" s="5">
        <v>2.525137</v>
      </c>
      <c r="HP5" s="5">
        <v>2.5191569999999999</v>
      </c>
      <c r="HQ5" s="5">
        <v>2.509954</v>
      </c>
      <c r="HR5" s="5">
        <v>2.4997389999999999</v>
      </c>
      <c r="HS5" s="5">
        <v>2.4904169999999999</v>
      </c>
      <c r="HT5" s="5">
        <v>2.4831270000000001</v>
      </c>
      <c r="HU5" s="5">
        <v>2.478402</v>
      </c>
      <c r="HV5" s="5">
        <v>2.47621</v>
      </c>
      <c r="HW5" s="5" t="s">
        <v>348</v>
      </c>
      <c r="HX5" s="5" t="s">
        <v>348</v>
      </c>
      <c r="HY5" s="5" t="s">
        <v>348</v>
      </c>
      <c r="HZ5" s="5" t="s">
        <v>348</v>
      </c>
      <c r="IA5" s="5" t="s">
        <v>348</v>
      </c>
      <c r="IB5" s="5" t="s">
        <v>348</v>
      </c>
      <c r="IC5" s="5" t="s">
        <v>348</v>
      </c>
      <c r="ID5" s="5" t="s">
        <v>348</v>
      </c>
      <c r="IE5" s="5" t="s">
        <v>348</v>
      </c>
      <c r="IF5" s="5" t="s">
        <v>348</v>
      </c>
      <c r="IG5" s="5" t="s">
        <v>348</v>
      </c>
      <c r="IH5" s="5" t="s">
        <v>348</v>
      </c>
      <c r="II5" s="5" t="s">
        <v>348</v>
      </c>
      <c r="IJ5" s="5" t="s">
        <v>348</v>
      </c>
      <c r="IK5" s="5" t="s">
        <v>348</v>
      </c>
      <c r="IL5" s="5" t="s">
        <v>348</v>
      </c>
      <c r="IM5" s="5" t="s">
        <v>348</v>
      </c>
      <c r="IN5" s="5" t="s">
        <v>348</v>
      </c>
      <c r="IO5" s="5" t="s">
        <v>348</v>
      </c>
      <c r="IP5" s="5" t="s">
        <v>348</v>
      </c>
      <c r="IQ5" s="5" t="s">
        <v>348</v>
      </c>
      <c r="IR5" s="5" t="s">
        <v>348</v>
      </c>
      <c r="IS5" s="5" t="s">
        <v>348</v>
      </c>
      <c r="IT5" s="5" t="s">
        <v>348</v>
      </c>
      <c r="IU5" s="5" t="s">
        <v>348</v>
      </c>
      <c r="IV5" s="5" t="s">
        <v>348</v>
      </c>
      <c r="IW5" s="5" t="s">
        <v>348</v>
      </c>
      <c r="IX5" s="5" t="s">
        <v>348</v>
      </c>
      <c r="IY5" s="5" t="s">
        <v>348</v>
      </c>
      <c r="IZ5" s="5" t="s">
        <v>348</v>
      </c>
      <c r="JA5" s="5" t="s">
        <v>348</v>
      </c>
      <c r="JB5" s="5" t="s">
        <v>348</v>
      </c>
      <c r="JC5" s="5" t="s">
        <v>348</v>
      </c>
      <c r="JD5" s="5" t="s">
        <v>348</v>
      </c>
      <c r="JE5" s="5" t="s">
        <v>348</v>
      </c>
      <c r="JF5" s="5" t="s">
        <v>348</v>
      </c>
      <c r="JG5" s="5" t="s">
        <v>348</v>
      </c>
      <c r="JH5" s="5" t="s">
        <v>348</v>
      </c>
      <c r="JI5" s="5" t="s">
        <v>348</v>
      </c>
      <c r="JJ5" s="5" t="s">
        <v>348</v>
      </c>
      <c r="JK5" s="5" t="s">
        <v>348</v>
      </c>
      <c r="JL5" s="5" t="s">
        <v>348</v>
      </c>
      <c r="JM5" s="5" t="s">
        <v>348</v>
      </c>
      <c r="JN5" s="5" t="s">
        <v>348</v>
      </c>
      <c r="JO5" s="5" t="s">
        <v>348</v>
      </c>
      <c r="JP5" s="5" t="s">
        <v>348</v>
      </c>
      <c r="JQ5" s="5" t="s">
        <v>348</v>
      </c>
      <c r="JR5" s="5" t="s">
        <v>348</v>
      </c>
      <c r="JS5" s="5" t="s">
        <v>348</v>
      </c>
      <c r="JT5" s="5" t="s">
        <v>348</v>
      </c>
      <c r="JU5" s="5" t="s">
        <v>348</v>
      </c>
      <c r="JV5" s="5" t="s">
        <v>348</v>
      </c>
      <c r="JW5" s="5" t="s">
        <v>348</v>
      </c>
      <c r="JX5" s="5" t="s">
        <v>348</v>
      </c>
      <c r="JY5" s="5" t="s">
        <v>348</v>
      </c>
      <c r="JZ5" s="5" t="s">
        <v>348</v>
      </c>
      <c r="KA5" s="5" t="s">
        <v>348</v>
      </c>
      <c r="KB5" s="5" t="s">
        <v>348</v>
      </c>
      <c r="KC5" s="5" t="s">
        <v>348</v>
      </c>
      <c r="KD5" s="5" t="s">
        <v>348</v>
      </c>
      <c r="KE5" s="5" t="s">
        <v>348</v>
      </c>
      <c r="KF5" s="5" t="s">
        <v>348</v>
      </c>
      <c r="KG5" s="5" t="s">
        <v>348</v>
      </c>
      <c r="KH5" s="5" t="s">
        <v>348</v>
      </c>
      <c r="KI5" s="5" t="s">
        <v>348</v>
      </c>
      <c r="KJ5" s="5" t="s">
        <v>348</v>
      </c>
      <c r="KK5" s="5" t="s">
        <v>348</v>
      </c>
      <c r="KL5" s="5" t="s">
        <v>348</v>
      </c>
      <c r="KM5" s="5" t="s">
        <v>348</v>
      </c>
      <c r="KN5" s="5" t="s">
        <v>348</v>
      </c>
      <c r="KO5" s="5" t="s">
        <v>348</v>
      </c>
      <c r="KP5" s="5" t="s">
        <v>348</v>
      </c>
      <c r="KQ5" s="5" t="s">
        <v>348</v>
      </c>
      <c r="KR5" s="5" t="s">
        <v>348</v>
      </c>
      <c r="KS5" s="5" t="s">
        <v>348</v>
      </c>
      <c r="KT5" s="5" t="s">
        <v>348</v>
      </c>
      <c r="KU5" s="5" t="s">
        <v>348</v>
      </c>
      <c r="KV5" s="5" t="s">
        <v>348</v>
      </c>
      <c r="KW5" s="5" t="s">
        <v>348</v>
      </c>
      <c r="KX5" s="5" t="s">
        <v>348</v>
      </c>
      <c r="KY5" s="5" t="s">
        <v>348</v>
      </c>
      <c r="KZ5" s="5" t="s">
        <v>348</v>
      </c>
      <c r="LA5" s="5" t="s">
        <v>348</v>
      </c>
      <c r="LB5" s="5" t="s">
        <v>348</v>
      </c>
      <c r="LC5" s="5" t="s">
        <v>348</v>
      </c>
      <c r="LD5" s="5" t="s">
        <v>348</v>
      </c>
      <c r="LE5" s="5" t="s">
        <v>348</v>
      </c>
      <c r="LF5" s="5" t="s">
        <v>348</v>
      </c>
      <c r="LG5" s="5" t="s">
        <v>348</v>
      </c>
      <c r="LH5" s="5" t="s">
        <v>348</v>
      </c>
      <c r="LI5" s="5" t="s">
        <v>348</v>
      </c>
      <c r="LJ5" s="5" t="s">
        <v>348</v>
      </c>
      <c r="LK5" s="5" t="s">
        <v>348</v>
      </c>
      <c r="LL5" s="5" t="s">
        <v>348</v>
      </c>
      <c r="LM5" s="5" t="s">
        <v>348</v>
      </c>
      <c r="LN5" s="5" t="s">
        <v>348</v>
      </c>
      <c r="LO5" s="5" t="s">
        <v>348</v>
      </c>
      <c r="LP5" s="5" t="s">
        <v>348</v>
      </c>
      <c r="LQ5" s="5" t="s">
        <v>348</v>
      </c>
      <c r="LR5" s="5" t="s">
        <v>348</v>
      </c>
      <c r="LS5" t="s">
        <v>368</v>
      </c>
      <c r="LT5" t="b">
        <v>0</v>
      </c>
      <c r="LU5" t="s">
        <v>348</v>
      </c>
      <c r="LV5" t="s">
        <v>348</v>
      </c>
      <c r="LW5">
        <v>2025</v>
      </c>
      <c r="LX5">
        <v>4</v>
      </c>
      <c r="LY5" s="3">
        <v>46093</v>
      </c>
      <c r="LZ5" s="2" t="s">
        <v>369</v>
      </c>
      <c r="MA5" t="s">
        <v>370</v>
      </c>
      <c r="MB5" t="s">
        <v>352</v>
      </c>
      <c r="MC5" t="s">
        <v>371</v>
      </c>
      <c r="MD5" t="s">
        <v>354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3845-F909-4C15-82CE-4A5E725CCA9B}">
  <dimension ref="A1:MD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3" sqref="G3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31" width="10.7109375" customWidth="1"/>
    <col min="332" max="332" width="20.7109375" customWidth="1"/>
    <col min="333" max="334" width="15.7109375" customWidth="1"/>
    <col min="335" max="336" width="20.7109375" customWidth="1"/>
    <col min="337" max="337" width="18.7109375" customWidth="1"/>
    <col min="338" max="339" width="22.7109375" customWidth="1"/>
    <col min="340" max="340" width="13.7109375" customWidth="1"/>
    <col min="341" max="341" width="14.7109375" customWidth="1"/>
    <col min="342" max="342" width="10.7109375" customWidth="1"/>
  </cols>
  <sheetData>
    <row r="1" spans="1:34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</row>
    <row r="2" spans="1:342" x14ac:dyDescent="0.25">
      <c r="A2" t="s">
        <v>342</v>
      </c>
      <c r="B2" t="s">
        <v>343</v>
      </c>
      <c r="C2" t="s">
        <v>373</v>
      </c>
      <c r="D2" t="s">
        <v>345</v>
      </c>
      <c r="E2" t="s">
        <v>346</v>
      </c>
      <c r="F2" t="s">
        <v>347</v>
      </c>
      <c r="G2" s="4">
        <v>30.605080000000001</v>
      </c>
      <c r="H2" s="4">
        <v>32.247430000000001</v>
      </c>
      <c r="I2" s="4">
        <v>32.951300000000003</v>
      </c>
      <c r="J2" s="4">
        <v>33.550879999999999</v>
      </c>
      <c r="K2" s="4">
        <v>34.385100000000001</v>
      </c>
      <c r="L2" s="4">
        <v>36.079590000000003</v>
      </c>
      <c r="M2" s="4">
        <v>36.731310000000001</v>
      </c>
      <c r="N2" s="4">
        <v>37.435180000000003</v>
      </c>
      <c r="O2" s="4">
        <v>37.878349999999998</v>
      </c>
      <c r="P2" s="4">
        <v>39.181800000000003</v>
      </c>
      <c r="Q2" s="4">
        <v>39.416420000000002</v>
      </c>
      <c r="R2" s="4">
        <v>39.885669999999998</v>
      </c>
      <c r="S2" s="4">
        <v>40.172429999999999</v>
      </c>
      <c r="T2" s="4">
        <v>40.85022</v>
      </c>
      <c r="U2" s="4">
        <v>41.293399999999998</v>
      </c>
      <c r="V2" s="4">
        <v>41.762639999999998</v>
      </c>
      <c r="W2" s="4">
        <v>41.86692</v>
      </c>
      <c r="X2" s="4">
        <v>42.779339999999998</v>
      </c>
      <c r="Y2" s="4">
        <v>42.98789</v>
      </c>
      <c r="Z2" s="4">
        <v>43.431060000000002</v>
      </c>
      <c r="AA2" s="4">
        <v>43.874229999999997</v>
      </c>
      <c r="AB2" s="4">
        <v>44.995199999999997</v>
      </c>
      <c r="AC2" s="4">
        <v>45.125549999999997</v>
      </c>
      <c r="AD2" s="4">
        <v>45.490519999999997</v>
      </c>
      <c r="AE2" s="4">
        <v>45.646929999999998</v>
      </c>
      <c r="AF2" s="4">
        <v>46.3508</v>
      </c>
      <c r="AG2" s="4">
        <v>46.533279999999998</v>
      </c>
      <c r="AH2" s="4">
        <v>46.924320000000002</v>
      </c>
      <c r="AI2" s="4">
        <v>47.237139999999997</v>
      </c>
      <c r="AJ2" s="4">
        <v>47.836730000000003</v>
      </c>
      <c r="AK2" s="4">
        <v>47.888869999999997</v>
      </c>
      <c r="AL2" s="4">
        <v>48.436320000000002</v>
      </c>
      <c r="AM2" s="4">
        <v>48.566670000000002</v>
      </c>
      <c r="AN2" s="4">
        <v>49.5</v>
      </c>
      <c r="AO2" s="4">
        <v>49.9</v>
      </c>
      <c r="AP2" s="4">
        <v>50.466670000000001</v>
      </c>
      <c r="AQ2" s="4">
        <v>51</v>
      </c>
      <c r="AR2" s="4">
        <v>52.133339999999997</v>
      </c>
      <c r="AS2" s="4">
        <v>52.466670000000001</v>
      </c>
      <c r="AT2" s="4">
        <v>53.266669999999998</v>
      </c>
      <c r="AU2" s="4">
        <v>53.933329999999998</v>
      </c>
      <c r="AV2" s="4">
        <v>55.6</v>
      </c>
      <c r="AW2" s="4">
        <v>56.4</v>
      </c>
      <c r="AX2" s="4">
        <v>57.466670000000001</v>
      </c>
      <c r="AY2" s="4">
        <v>57.666670000000003</v>
      </c>
      <c r="AZ2" s="4">
        <v>60.266669999999998</v>
      </c>
      <c r="BA2" s="4">
        <v>60.833329999999997</v>
      </c>
      <c r="BB2" s="4">
        <v>61.466670000000001</v>
      </c>
      <c r="BC2" s="4">
        <v>61.7</v>
      </c>
      <c r="BD2" s="4">
        <v>62.833329999999997</v>
      </c>
      <c r="BE2" s="4">
        <v>62.733330000000002</v>
      </c>
      <c r="BF2" s="4">
        <v>63.133339999999997</v>
      </c>
      <c r="BG2" s="4">
        <v>63.2</v>
      </c>
      <c r="BH2" s="4">
        <v>64.433329999999998</v>
      </c>
      <c r="BI2" s="4">
        <v>64.5</v>
      </c>
      <c r="BJ2" s="4">
        <v>64.666659999999993</v>
      </c>
      <c r="BK2" s="4">
        <v>64.766670000000005</v>
      </c>
      <c r="BL2" s="4">
        <v>65.7</v>
      </c>
      <c r="BM2" s="4">
        <v>65.633330000000001</v>
      </c>
      <c r="BN2" s="4">
        <v>65.8</v>
      </c>
      <c r="BO2" s="4">
        <v>66.333340000000007</v>
      </c>
      <c r="BP2" s="4">
        <v>67.266670000000005</v>
      </c>
      <c r="BQ2" s="4">
        <v>67.400000000000006</v>
      </c>
      <c r="BR2" s="4">
        <v>67.733329999999995</v>
      </c>
      <c r="BS2" s="4">
        <v>68.099999999999994</v>
      </c>
      <c r="BT2" s="4">
        <v>68.866669999999999</v>
      </c>
      <c r="BU2" s="4">
        <v>68.933329999999998</v>
      </c>
      <c r="BV2" s="4">
        <v>69.366669999999999</v>
      </c>
      <c r="BW2" s="4">
        <v>69.366669999999999</v>
      </c>
      <c r="BX2" s="4">
        <v>70</v>
      </c>
      <c r="BY2" s="4">
        <v>70.266670000000005</v>
      </c>
      <c r="BZ2" s="4">
        <v>70.633330000000001</v>
      </c>
      <c r="CA2" s="4">
        <v>70.5</v>
      </c>
      <c r="CB2" s="4">
        <v>71.266670000000005</v>
      </c>
      <c r="CC2" s="4">
        <v>71.233329999999995</v>
      </c>
      <c r="CD2" s="4">
        <v>71.633330000000001</v>
      </c>
      <c r="CE2" s="4">
        <v>71.599999999999994</v>
      </c>
      <c r="CF2" s="4">
        <v>72.3</v>
      </c>
      <c r="CG2" s="4">
        <v>72.133330000000001</v>
      </c>
      <c r="CH2" s="4">
        <v>72.433329999999998</v>
      </c>
      <c r="CI2" s="4">
        <v>72.133330000000001</v>
      </c>
      <c r="CJ2" s="4">
        <v>72.766670000000005</v>
      </c>
      <c r="CK2" s="4">
        <v>72.7</v>
      </c>
      <c r="CL2" s="4">
        <v>73.166659999999993</v>
      </c>
      <c r="CM2" s="4">
        <v>72.766670000000005</v>
      </c>
      <c r="CN2" s="4">
        <v>73.833340000000007</v>
      </c>
      <c r="CO2" s="4">
        <v>73.866669999999999</v>
      </c>
      <c r="CP2" s="4">
        <v>73.900000000000006</v>
      </c>
      <c r="CQ2" s="4">
        <v>73.866669999999999</v>
      </c>
      <c r="CR2" s="4">
        <v>74.533330000000007</v>
      </c>
      <c r="CS2" s="4">
        <v>74.599999999999994</v>
      </c>
      <c r="CT2" s="4">
        <v>75</v>
      </c>
      <c r="CU2" s="4">
        <v>75</v>
      </c>
      <c r="CV2" s="4">
        <v>75.466669999999993</v>
      </c>
      <c r="CW2" s="4">
        <v>75.599999999999994</v>
      </c>
      <c r="CX2" s="4">
        <v>76.033330000000007</v>
      </c>
      <c r="CY2" s="4">
        <v>75.966669999999993</v>
      </c>
      <c r="CZ2" s="4">
        <v>76.533330000000007</v>
      </c>
      <c r="DA2" s="4">
        <v>76.566670000000002</v>
      </c>
      <c r="DB2" s="4">
        <v>77.099999999999994</v>
      </c>
      <c r="DC2" s="4">
        <v>77.233329999999995</v>
      </c>
      <c r="DD2" s="4">
        <v>78</v>
      </c>
      <c r="DE2" s="4">
        <v>78.400000000000006</v>
      </c>
      <c r="DF2" s="4">
        <v>78.766670000000005</v>
      </c>
      <c r="DG2" s="4">
        <v>78.733329999999995</v>
      </c>
      <c r="DH2" s="4">
        <v>79.8</v>
      </c>
      <c r="DI2" s="4">
        <v>80.3</v>
      </c>
      <c r="DJ2" s="4">
        <v>80.900000000000006</v>
      </c>
      <c r="DK2" s="4">
        <v>81</v>
      </c>
      <c r="DL2" s="4">
        <v>81.8</v>
      </c>
      <c r="DM2" s="4">
        <v>81.733329999999995</v>
      </c>
      <c r="DN2" s="4">
        <v>82.6</v>
      </c>
      <c r="DO2" s="4">
        <v>82.933329999999998</v>
      </c>
      <c r="DP2" s="4">
        <v>84.6</v>
      </c>
      <c r="DQ2" s="4">
        <v>85.633330000000001</v>
      </c>
      <c r="DR2" s="4">
        <v>85.733329999999995</v>
      </c>
      <c r="DS2" s="4">
        <v>85.433329999999998</v>
      </c>
      <c r="DT2" s="4">
        <v>86.366669999999999</v>
      </c>
      <c r="DU2" s="4">
        <v>86.933329999999998</v>
      </c>
      <c r="DV2" s="4">
        <v>87.566670000000002</v>
      </c>
      <c r="DW2" s="4">
        <v>88.233329999999995</v>
      </c>
      <c r="DX2" s="4">
        <v>89.366669999999999</v>
      </c>
      <c r="DY2" s="4">
        <v>89.633330000000001</v>
      </c>
      <c r="DZ2" s="4">
        <v>90.5</v>
      </c>
      <c r="EA2" s="4">
        <v>91.833340000000007</v>
      </c>
      <c r="EB2" s="4">
        <v>93.3</v>
      </c>
      <c r="EC2" s="4">
        <v>93.833340000000007</v>
      </c>
      <c r="ED2" s="4">
        <v>94.733329999999995</v>
      </c>
      <c r="EE2" s="4">
        <v>95.033330000000007</v>
      </c>
      <c r="EF2" s="4">
        <v>95.8</v>
      </c>
      <c r="EG2" s="4">
        <v>96.066670000000002</v>
      </c>
      <c r="EH2" s="4">
        <v>97.266670000000005</v>
      </c>
      <c r="EI2" s="4">
        <v>97.666659999999993</v>
      </c>
      <c r="EJ2" s="4">
        <v>98.366669999999999</v>
      </c>
      <c r="EK2" s="4">
        <v>98.7</v>
      </c>
      <c r="EL2" s="4">
        <v>99.3</v>
      </c>
      <c r="EM2" s="4">
        <v>99.4</v>
      </c>
      <c r="EN2" s="4">
        <v>100.1</v>
      </c>
      <c r="EO2" s="4">
        <v>100.13330000000001</v>
      </c>
      <c r="EP2" s="4">
        <v>100.2</v>
      </c>
      <c r="EQ2" s="4">
        <v>99.5</v>
      </c>
      <c r="ER2" s="4">
        <v>100.0667</v>
      </c>
      <c r="ES2" s="4">
        <v>100.16670000000001</v>
      </c>
      <c r="ET2" s="4">
        <v>100.3</v>
      </c>
      <c r="EU2" s="4">
        <v>99.833340000000007</v>
      </c>
      <c r="EV2" s="4">
        <v>100.4</v>
      </c>
      <c r="EW2" s="4">
        <v>100.86669999999999</v>
      </c>
      <c r="EX2" s="4">
        <v>101.5</v>
      </c>
      <c r="EY2" s="4">
        <v>102</v>
      </c>
      <c r="EZ2" s="4">
        <v>103.16670000000001</v>
      </c>
      <c r="FA2" s="4">
        <v>103.7</v>
      </c>
      <c r="FB2" s="4">
        <v>104.5667</v>
      </c>
      <c r="FC2" s="4">
        <v>104.7667</v>
      </c>
      <c r="FD2" s="4">
        <v>105.66670000000001</v>
      </c>
      <c r="FE2" s="4">
        <v>106.3</v>
      </c>
      <c r="FF2" s="4">
        <v>106.9333</v>
      </c>
      <c r="FG2" s="4">
        <v>106.7</v>
      </c>
      <c r="FH2" s="4">
        <v>107.8</v>
      </c>
      <c r="FI2" s="4">
        <v>108.2667</v>
      </c>
      <c r="FJ2" s="4">
        <v>108.4333</v>
      </c>
      <c r="FK2" s="4">
        <v>108.4667</v>
      </c>
      <c r="FL2" s="4">
        <v>108.5333</v>
      </c>
      <c r="FM2" s="4">
        <v>108.9333</v>
      </c>
      <c r="FN2" s="4">
        <v>109.0667</v>
      </c>
      <c r="FO2" s="4">
        <v>109.16670000000001</v>
      </c>
      <c r="FP2" s="4">
        <v>110.7333</v>
      </c>
      <c r="FQ2" s="4">
        <v>111.9333</v>
      </c>
      <c r="FR2" s="4">
        <v>114.4</v>
      </c>
      <c r="FS2" s="4">
        <v>115.9333</v>
      </c>
      <c r="FT2" s="4">
        <v>120.86669999999999</v>
      </c>
      <c r="FU2" s="4">
        <v>123.13330000000001</v>
      </c>
      <c r="FV2" s="4">
        <v>126.7</v>
      </c>
      <c r="FW2" s="4">
        <v>127.7333</v>
      </c>
      <c r="FX2" s="4">
        <v>131.0667</v>
      </c>
      <c r="FY2" s="4">
        <v>131.4</v>
      </c>
      <c r="FZ2" s="4">
        <v>131.9667</v>
      </c>
      <c r="GA2" s="4">
        <v>132.26669999999999</v>
      </c>
      <c r="GB2" s="4">
        <v>133.83330000000001</v>
      </c>
      <c r="GC2" s="4">
        <v>134.1</v>
      </c>
      <c r="GD2" s="4">
        <v>135.23330000000001</v>
      </c>
      <c r="GE2" s="4">
        <v>135.9667</v>
      </c>
      <c r="GF2" s="4">
        <v>138.5</v>
      </c>
      <c r="GG2" s="4">
        <v>139.19999999999999</v>
      </c>
      <c r="GH2" s="4">
        <v>139.80000000000001</v>
      </c>
      <c r="GI2" s="5">
        <v>140.15520000000001</v>
      </c>
      <c r="GJ2" s="5">
        <v>143.68969999999999</v>
      </c>
      <c r="GK2" s="5">
        <v>145.9556</v>
      </c>
      <c r="GL2" s="5">
        <v>147.45599999999999</v>
      </c>
      <c r="GM2" s="5">
        <v>146.66319999999999</v>
      </c>
      <c r="GN2" s="5">
        <v>148.03139999999999</v>
      </c>
      <c r="GO2" s="5">
        <v>148.2603</v>
      </c>
      <c r="GP2" s="5">
        <v>148.53800000000001</v>
      </c>
      <c r="GQ2" s="5">
        <v>148.58019999999999</v>
      </c>
      <c r="GR2" s="5">
        <v>149.72139999999999</v>
      </c>
      <c r="GS2" s="5">
        <v>150.23580000000001</v>
      </c>
      <c r="GT2" s="5">
        <v>150.74610000000001</v>
      </c>
      <c r="GU2" s="5">
        <v>150.89879999999999</v>
      </c>
      <c r="GV2" s="5">
        <v>152.14259999999999</v>
      </c>
      <c r="GW2" s="5">
        <v>152.84639999999999</v>
      </c>
      <c r="GX2" s="5">
        <v>153.45660000000001</v>
      </c>
      <c r="GY2" s="5">
        <v>153.64189999999999</v>
      </c>
      <c r="GZ2" s="5">
        <v>154.93690000000001</v>
      </c>
      <c r="HA2" s="5">
        <v>155.68289999999999</v>
      </c>
      <c r="HB2" s="5">
        <v>156.35069999999999</v>
      </c>
      <c r="HC2" s="5">
        <v>155.8912</v>
      </c>
      <c r="HD2" s="5">
        <v>156.6909</v>
      </c>
      <c r="HE2" s="5">
        <v>157.22880000000001</v>
      </c>
      <c r="HF2" s="5">
        <v>157.96799999999999</v>
      </c>
      <c r="HG2" s="5">
        <v>158.5515</v>
      </c>
      <c r="HH2" s="5">
        <v>160.44999999999999</v>
      </c>
      <c r="HI2" s="5">
        <v>161.81059999999999</v>
      </c>
      <c r="HJ2" s="5">
        <v>162.9462</v>
      </c>
      <c r="HK2" s="5">
        <v>163.49809999999999</v>
      </c>
      <c r="HL2" s="5">
        <v>165.0625</v>
      </c>
      <c r="HM2" s="5">
        <v>165.8776</v>
      </c>
      <c r="HN2" s="5">
        <v>166.429</v>
      </c>
      <c r="HO2" s="5">
        <v>166.49809999999999</v>
      </c>
      <c r="HP2" s="5">
        <v>167.80240000000001</v>
      </c>
      <c r="HQ2" s="5">
        <v>168.5556</v>
      </c>
      <c r="HR2" s="5">
        <v>169.1968</v>
      </c>
      <c r="HS2" s="5">
        <v>169.46709999999999</v>
      </c>
      <c r="HT2" s="5">
        <v>171.03989999999999</v>
      </c>
      <c r="HU2" s="5">
        <v>172.03229999999999</v>
      </c>
      <c r="HV2" s="5">
        <v>172.82480000000001</v>
      </c>
      <c r="HW2" s="5" t="s">
        <v>348</v>
      </c>
      <c r="HX2" s="5" t="s">
        <v>348</v>
      </c>
      <c r="HY2" s="5" t="s">
        <v>348</v>
      </c>
      <c r="HZ2" s="5" t="s">
        <v>348</v>
      </c>
      <c r="IA2" s="5" t="s">
        <v>348</v>
      </c>
      <c r="IB2" s="5" t="s">
        <v>348</v>
      </c>
      <c r="IC2" s="5" t="s">
        <v>348</v>
      </c>
      <c r="ID2" s="5" t="s">
        <v>348</v>
      </c>
      <c r="IE2" s="5" t="s">
        <v>348</v>
      </c>
      <c r="IF2" s="5" t="s">
        <v>348</v>
      </c>
      <c r="IG2" s="5" t="s">
        <v>348</v>
      </c>
      <c r="IH2" s="5" t="s">
        <v>348</v>
      </c>
      <c r="II2" s="5" t="s">
        <v>348</v>
      </c>
      <c r="IJ2" s="5" t="s">
        <v>348</v>
      </c>
      <c r="IK2" s="5" t="s">
        <v>348</v>
      </c>
      <c r="IL2" s="5" t="s">
        <v>348</v>
      </c>
      <c r="IM2" s="5" t="s">
        <v>348</v>
      </c>
      <c r="IN2" s="5" t="s">
        <v>348</v>
      </c>
      <c r="IO2" s="5" t="s">
        <v>348</v>
      </c>
      <c r="IP2" s="5" t="s">
        <v>348</v>
      </c>
      <c r="IQ2" s="5" t="s">
        <v>348</v>
      </c>
      <c r="IR2" s="5" t="s">
        <v>348</v>
      </c>
      <c r="IS2" s="5" t="s">
        <v>348</v>
      </c>
      <c r="IT2" s="5" t="s">
        <v>348</v>
      </c>
      <c r="IU2" s="5" t="s">
        <v>348</v>
      </c>
      <c r="IV2" s="5" t="s">
        <v>348</v>
      </c>
      <c r="IW2" s="5" t="s">
        <v>348</v>
      </c>
      <c r="IX2" s="5" t="s">
        <v>348</v>
      </c>
      <c r="IY2" s="5" t="s">
        <v>348</v>
      </c>
      <c r="IZ2" s="5" t="s">
        <v>348</v>
      </c>
      <c r="JA2" s="5" t="s">
        <v>348</v>
      </c>
      <c r="JB2" s="5" t="s">
        <v>348</v>
      </c>
      <c r="JC2" s="5" t="s">
        <v>348</v>
      </c>
      <c r="JD2" s="5" t="s">
        <v>348</v>
      </c>
      <c r="JE2" s="5" t="s">
        <v>348</v>
      </c>
      <c r="JF2" s="5" t="s">
        <v>348</v>
      </c>
      <c r="JG2" s="5" t="s">
        <v>348</v>
      </c>
      <c r="JH2" s="5" t="s">
        <v>348</v>
      </c>
      <c r="JI2" s="5" t="s">
        <v>348</v>
      </c>
      <c r="JJ2" s="5" t="s">
        <v>348</v>
      </c>
      <c r="JK2" s="5" t="s">
        <v>348</v>
      </c>
      <c r="JL2" s="5" t="s">
        <v>348</v>
      </c>
      <c r="JM2" s="5" t="s">
        <v>348</v>
      </c>
      <c r="JN2" s="5" t="s">
        <v>348</v>
      </c>
      <c r="JO2" s="5" t="s">
        <v>348</v>
      </c>
      <c r="JP2" s="5" t="s">
        <v>348</v>
      </c>
      <c r="JQ2" s="5" t="s">
        <v>348</v>
      </c>
      <c r="JR2" s="5" t="s">
        <v>348</v>
      </c>
      <c r="JS2" s="5" t="s">
        <v>348</v>
      </c>
      <c r="JT2" s="5" t="s">
        <v>348</v>
      </c>
      <c r="JU2" s="5" t="s">
        <v>348</v>
      </c>
      <c r="JV2" s="5" t="s">
        <v>348</v>
      </c>
      <c r="JW2" s="5" t="s">
        <v>348</v>
      </c>
      <c r="JX2" s="5" t="s">
        <v>348</v>
      </c>
      <c r="JY2" s="5" t="s">
        <v>348</v>
      </c>
      <c r="JZ2" s="5" t="s">
        <v>348</v>
      </c>
      <c r="KA2" s="5" t="s">
        <v>348</v>
      </c>
      <c r="KB2" s="5" t="s">
        <v>348</v>
      </c>
      <c r="KC2" s="5" t="s">
        <v>348</v>
      </c>
      <c r="KD2" s="5" t="s">
        <v>348</v>
      </c>
      <c r="KE2" s="5" t="s">
        <v>348</v>
      </c>
      <c r="KF2" s="5" t="s">
        <v>348</v>
      </c>
      <c r="KG2" s="5" t="s">
        <v>348</v>
      </c>
      <c r="KH2" s="5" t="s">
        <v>348</v>
      </c>
      <c r="KI2" s="5" t="s">
        <v>348</v>
      </c>
      <c r="KJ2" s="5" t="s">
        <v>348</v>
      </c>
      <c r="KK2" s="5" t="s">
        <v>348</v>
      </c>
      <c r="KL2" s="5" t="s">
        <v>348</v>
      </c>
      <c r="KM2" s="5" t="s">
        <v>348</v>
      </c>
      <c r="KN2" s="5" t="s">
        <v>348</v>
      </c>
      <c r="KO2" s="5" t="s">
        <v>348</v>
      </c>
      <c r="KP2" s="5" t="s">
        <v>348</v>
      </c>
      <c r="KQ2" s="5" t="s">
        <v>348</v>
      </c>
      <c r="KR2" s="5" t="s">
        <v>348</v>
      </c>
      <c r="KS2" s="5" t="s">
        <v>348</v>
      </c>
      <c r="KT2" s="5" t="s">
        <v>348</v>
      </c>
      <c r="KU2" s="5" t="s">
        <v>348</v>
      </c>
      <c r="KV2" s="5" t="s">
        <v>348</v>
      </c>
      <c r="KW2" s="5" t="s">
        <v>348</v>
      </c>
      <c r="KX2" s="5" t="s">
        <v>348</v>
      </c>
      <c r="KY2" s="5" t="s">
        <v>348</v>
      </c>
      <c r="KZ2" s="5" t="s">
        <v>348</v>
      </c>
      <c r="LA2" s="5" t="s">
        <v>348</v>
      </c>
      <c r="LB2" s="5" t="s">
        <v>348</v>
      </c>
      <c r="LC2" s="5" t="s">
        <v>348</v>
      </c>
      <c r="LD2" s="5" t="s">
        <v>348</v>
      </c>
      <c r="LE2" s="5" t="s">
        <v>348</v>
      </c>
      <c r="LF2" s="5" t="s">
        <v>348</v>
      </c>
      <c r="LG2" s="5" t="s">
        <v>348</v>
      </c>
      <c r="LH2" s="5" t="s">
        <v>348</v>
      </c>
      <c r="LI2" s="5" t="s">
        <v>348</v>
      </c>
      <c r="LJ2" s="5" t="s">
        <v>348</v>
      </c>
      <c r="LK2" s="5" t="s">
        <v>348</v>
      </c>
      <c r="LL2" s="5" t="s">
        <v>348</v>
      </c>
      <c r="LM2" s="5" t="s">
        <v>348</v>
      </c>
      <c r="LN2" s="5" t="s">
        <v>348</v>
      </c>
      <c r="LO2" s="5" t="s">
        <v>348</v>
      </c>
      <c r="LP2" s="5" t="s">
        <v>348</v>
      </c>
      <c r="LQ2" s="5" t="s">
        <v>348</v>
      </c>
      <c r="LR2" s="5" t="s">
        <v>348</v>
      </c>
      <c r="LS2" t="s">
        <v>349</v>
      </c>
      <c r="LT2" t="b">
        <v>0</v>
      </c>
      <c r="LU2" t="s">
        <v>348</v>
      </c>
      <c r="LV2">
        <v>2015</v>
      </c>
      <c r="LW2">
        <v>2025</v>
      </c>
      <c r="LX2">
        <v>4</v>
      </c>
      <c r="LY2" s="3">
        <v>46093</v>
      </c>
      <c r="LZ2" s="2" t="s">
        <v>350</v>
      </c>
      <c r="MA2" s="2" t="s">
        <v>351</v>
      </c>
      <c r="MB2" t="s">
        <v>352</v>
      </c>
      <c r="MC2" t="s">
        <v>353</v>
      </c>
      <c r="MD2" t="s">
        <v>354</v>
      </c>
    </row>
    <row r="3" spans="1:342" x14ac:dyDescent="0.25">
      <c r="A3" t="s">
        <v>342</v>
      </c>
      <c r="B3" t="s">
        <v>355</v>
      </c>
      <c r="C3" t="s">
        <v>373</v>
      </c>
      <c r="D3" t="s">
        <v>356</v>
      </c>
      <c r="E3" s="2" t="s">
        <v>357</v>
      </c>
      <c r="F3" t="s">
        <v>347</v>
      </c>
      <c r="G3" s="4">
        <v>153439</v>
      </c>
      <c r="H3" s="4">
        <v>149443</v>
      </c>
      <c r="I3" s="4">
        <v>151403</v>
      </c>
      <c r="J3" s="4">
        <v>148523</v>
      </c>
      <c r="K3" s="4">
        <v>151234</v>
      </c>
      <c r="L3" s="4">
        <v>151164</v>
      </c>
      <c r="M3" s="4">
        <v>151269</v>
      </c>
      <c r="N3" s="4">
        <v>150853</v>
      </c>
      <c r="O3" s="4">
        <v>151361</v>
      </c>
      <c r="P3" s="4">
        <v>151251</v>
      </c>
      <c r="Q3" s="4">
        <v>153796</v>
      </c>
      <c r="R3" s="4">
        <v>155106</v>
      </c>
      <c r="S3" s="4">
        <v>157443</v>
      </c>
      <c r="T3" s="4">
        <v>158445</v>
      </c>
      <c r="U3" s="4">
        <v>161027</v>
      </c>
      <c r="V3" s="4">
        <v>161090</v>
      </c>
      <c r="W3" s="4">
        <v>162074</v>
      </c>
      <c r="X3" s="4">
        <v>163369</v>
      </c>
      <c r="Y3" s="4">
        <v>162507</v>
      </c>
      <c r="Z3" s="4">
        <v>165575</v>
      </c>
      <c r="AA3" s="4">
        <v>169390</v>
      </c>
      <c r="AB3" s="4">
        <v>170284</v>
      </c>
      <c r="AC3" s="4">
        <v>172709</v>
      </c>
      <c r="AD3" s="4">
        <v>174066</v>
      </c>
      <c r="AE3" s="4">
        <v>178852</v>
      </c>
      <c r="AF3" s="4">
        <v>181672</v>
      </c>
      <c r="AG3" s="4">
        <v>182857</v>
      </c>
      <c r="AH3" s="4">
        <v>183752</v>
      </c>
      <c r="AI3" s="4">
        <v>185943</v>
      </c>
      <c r="AJ3" s="4">
        <v>189091</v>
      </c>
      <c r="AK3" s="4">
        <v>193017</v>
      </c>
      <c r="AL3" s="4">
        <v>197212</v>
      </c>
      <c r="AM3" s="4">
        <v>199926</v>
      </c>
      <c r="AN3" s="4">
        <v>202789</v>
      </c>
      <c r="AO3" s="4">
        <v>207502</v>
      </c>
      <c r="AP3" s="4">
        <v>209369</v>
      </c>
      <c r="AQ3" s="4">
        <v>211167</v>
      </c>
      <c r="AR3" s="4">
        <v>212989</v>
      </c>
      <c r="AS3" s="4">
        <v>212810</v>
      </c>
      <c r="AT3" s="4">
        <v>213685</v>
      </c>
      <c r="AU3" s="4">
        <v>215861</v>
      </c>
      <c r="AV3" s="4">
        <v>216571</v>
      </c>
      <c r="AW3" s="4">
        <v>215211</v>
      </c>
      <c r="AX3" s="4">
        <v>215007</v>
      </c>
      <c r="AY3" s="4">
        <v>214735</v>
      </c>
      <c r="AZ3" s="4">
        <v>213315</v>
      </c>
      <c r="BA3" s="4">
        <v>213544</v>
      </c>
      <c r="BB3" s="4">
        <v>213576</v>
      </c>
      <c r="BC3" s="4">
        <v>213040</v>
      </c>
      <c r="BD3" s="4">
        <v>215855</v>
      </c>
      <c r="BE3" s="4">
        <v>217123</v>
      </c>
      <c r="BF3" s="4">
        <v>217528</v>
      </c>
      <c r="BG3" s="4">
        <v>219343</v>
      </c>
      <c r="BH3" s="4">
        <v>219780</v>
      </c>
      <c r="BI3" s="4">
        <v>223611</v>
      </c>
      <c r="BJ3" s="4">
        <v>225346</v>
      </c>
      <c r="BK3" s="4">
        <v>227586</v>
      </c>
      <c r="BL3" s="4">
        <v>227983</v>
      </c>
      <c r="BM3" s="4">
        <v>229961</v>
      </c>
      <c r="BN3" s="4">
        <v>231570</v>
      </c>
      <c r="BO3" s="4">
        <v>231674</v>
      </c>
      <c r="BP3" s="4">
        <v>233343</v>
      </c>
      <c r="BQ3" s="4">
        <v>234345</v>
      </c>
      <c r="BR3" s="4">
        <v>237147</v>
      </c>
      <c r="BS3" s="4">
        <v>239556</v>
      </c>
      <c r="BT3" s="4">
        <v>241559</v>
      </c>
      <c r="BU3" s="4">
        <v>243639</v>
      </c>
      <c r="BV3" s="4">
        <v>246780</v>
      </c>
      <c r="BW3" s="4">
        <v>249328</v>
      </c>
      <c r="BX3" s="4">
        <v>253090</v>
      </c>
      <c r="BY3" s="4">
        <v>256735</v>
      </c>
      <c r="BZ3" s="4">
        <v>258701</v>
      </c>
      <c r="CA3" s="4">
        <v>260797</v>
      </c>
      <c r="CB3" s="4">
        <v>263411</v>
      </c>
      <c r="CC3" s="4">
        <v>267649</v>
      </c>
      <c r="CD3" s="4">
        <v>267397</v>
      </c>
      <c r="CE3" s="4">
        <v>270159</v>
      </c>
      <c r="CF3" s="4">
        <v>275407</v>
      </c>
      <c r="CG3" s="4">
        <v>278331</v>
      </c>
      <c r="CH3" s="4">
        <v>280651</v>
      </c>
      <c r="CI3" s="4">
        <v>284274</v>
      </c>
      <c r="CJ3" s="4">
        <v>287388</v>
      </c>
      <c r="CK3" s="4">
        <v>290894</v>
      </c>
      <c r="CL3" s="4">
        <v>293325</v>
      </c>
      <c r="CM3" s="4">
        <v>294155</v>
      </c>
      <c r="CN3" s="4">
        <v>296378</v>
      </c>
      <c r="CO3" s="4">
        <v>300827</v>
      </c>
      <c r="CP3" s="4">
        <v>303055</v>
      </c>
      <c r="CQ3" s="4">
        <v>303450</v>
      </c>
      <c r="CR3" s="4">
        <v>304764</v>
      </c>
      <c r="CS3" s="4">
        <v>307772</v>
      </c>
      <c r="CT3" s="4">
        <v>310517</v>
      </c>
      <c r="CU3" s="4">
        <v>312554</v>
      </c>
      <c r="CV3" s="4">
        <v>316413</v>
      </c>
      <c r="CW3" s="4">
        <v>318762</v>
      </c>
      <c r="CX3" s="4">
        <v>320529</v>
      </c>
      <c r="CY3" s="4">
        <v>322150</v>
      </c>
      <c r="CZ3" s="4">
        <v>325157</v>
      </c>
      <c r="DA3" s="4">
        <v>326983</v>
      </c>
      <c r="DB3" s="4">
        <v>329186</v>
      </c>
      <c r="DC3" s="4">
        <v>332385</v>
      </c>
      <c r="DD3" s="4">
        <v>333357</v>
      </c>
      <c r="DE3" s="4">
        <v>335900</v>
      </c>
      <c r="DF3" s="4">
        <v>336830</v>
      </c>
      <c r="DG3" s="4">
        <v>335359</v>
      </c>
      <c r="DH3" s="4">
        <v>335833</v>
      </c>
      <c r="DI3" s="4">
        <v>338624</v>
      </c>
      <c r="DJ3" s="4">
        <v>339339</v>
      </c>
      <c r="DK3" s="4">
        <v>343169</v>
      </c>
      <c r="DL3" s="4">
        <v>347001</v>
      </c>
      <c r="DM3" s="4">
        <v>353872</v>
      </c>
      <c r="DN3" s="4">
        <v>353402</v>
      </c>
      <c r="DO3" s="4">
        <v>355059</v>
      </c>
      <c r="DP3" s="4">
        <v>350021</v>
      </c>
      <c r="DQ3" s="4">
        <v>344231</v>
      </c>
      <c r="DR3" s="4">
        <v>335303</v>
      </c>
      <c r="DS3" s="4">
        <v>333667</v>
      </c>
      <c r="DT3" s="4">
        <v>332958</v>
      </c>
      <c r="DU3" s="4">
        <v>333656</v>
      </c>
      <c r="DV3" s="4">
        <v>336375</v>
      </c>
      <c r="DW3" s="4">
        <v>335932</v>
      </c>
      <c r="DX3" s="4">
        <v>345407</v>
      </c>
      <c r="DY3" s="4">
        <v>346142</v>
      </c>
      <c r="DZ3" s="4">
        <v>345426</v>
      </c>
      <c r="EA3" s="4">
        <v>342009</v>
      </c>
      <c r="EB3" s="4">
        <v>340153</v>
      </c>
      <c r="EC3" s="4">
        <v>340755</v>
      </c>
      <c r="ED3" s="4">
        <v>341255</v>
      </c>
      <c r="EE3" s="4">
        <v>341708</v>
      </c>
      <c r="EF3" s="4">
        <v>345006</v>
      </c>
      <c r="EG3" s="4">
        <v>349895</v>
      </c>
      <c r="EH3" s="4">
        <v>355752</v>
      </c>
      <c r="EI3" s="4">
        <v>352851</v>
      </c>
      <c r="EJ3" s="4">
        <v>355308</v>
      </c>
      <c r="EK3" s="4">
        <v>359151</v>
      </c>
      <c r="EL3" s="4">
        <v>360080</v>
      </c>
      <c r="EM3" s="4">
        <v>361463</v>
      </c>
      <c r="EN3" s="4">
        <v>364739</v>
      </c>
      <c r="EO3" s="4">
        <v>371275</v>
      </c>
      <c r="EP3" s="4">
        <v>374107</v>
      </c>
      <c r="EQ3" s="4">
        <v>375994</v>
      </c>
      <c r="ER3" s="4">
        <v>377177</v>
      </c>
      <c r="ES3" s="4">
        <v>381986</v>
      </c>
      <c r="ET3" s="4">
        <v>381066</v>
      </c>
      <c r="EU3" s="4">
        <v>388934</v>
      </c>
      <c r="EV3" s="4">
        <v>392507</v>
      </c>
      <c r="EW3" s="4">
        <v>395501</v>
      </c>
      <c r="EX3" s="4">
        <v>395973</v>
      </c>
      <c r="EY3" s="4">
        <v>399124</v>
      </c>
      <c r="EZ3" s="4">
        <v>399139</v>
      </c>
      <c r="FA3" s="4">
        <v>401714</v>
      </c>
      <c r="FB3" s="4">
        <v>403747</v>
      </c>
      <c r="FC3" s="4">
        <v>406073</v>
      </c>
      <c r="FD3" s="4">
        <v>404497</v>
      </c>
      <c r="FE3" s="4">
        <v>408017</v>
      </c>
      <c r="FF3" s="4">
        <v>412655</v>
      </c>
      <c r="FG3" s="4">
        <v>412090</v>
      </c>
      <c r="FH3" s="4">
        <v>413136</v>
      </c>
      <c r="FI3" s="4">
        <v>412951</v>
      </c>
      <c r="FJ3" s="4">
        <v>412487</v>
      </c>
      <c r="FK3" s="4">
        <v>400748</v>
      </c>
      <c r="FL3" s="4">
        <v>308486</v>
      </c>
      <c r="FM3" s="4">
        <v>369291</v>
      </c>
      <c r="FN3" s="4">
        <v>362708</v>
      </c>
      <c r="FO3" s="4">
        <v>349378</v>
      </c>
      <c r="FP3" s="4">
        <v>389324</v>
      </c>
      <c r="FQ3" s="4">
        <v>401314</v>
      </c>
      <c r="FR3" s="4">
        <v>402019</v>
      </c>
      <c r="FS3" s="4">
        <v>407981</v>
      </c>
      <c r="FT3" s="4">
        <v>415833</v>
      </c>
      <c r="FU3" s="4">
        <v>416076</v>
      </c>
      <c r="FV3" s="4">
        <v>417728</v>
      </c>
      <c r="FW3" s="4">
        <v>415180</v>
      </c>
      <c r="FX3" s="4">
        <v>416034</v>
      </c>
      <c r="FY3" s="4">
        <v>410873</v>
      </c>
      <c r="FZ3" s="4">
        <v>410194</v>
      </c>
      <c r="GA3" s="4">
        <v>411349</v>
      </c>
      <c r="GB3" s="4">
        <v>411115</v>
      </c>
      <c r="GC3" s="4">
        <v>413915</v>
      </c>
      <c r="GD3" s="4">
        <v>414482</v>
      </c>
      <c r="GE3" s="4">
        <v>415670</v>
      </c>
      <c r="GF3" s="4">
        <v>415858</v>
      </c>
      <c r="GG3" s="4">
        <v>417589</v>
      </c>
      <c r="GH3" s="4">
        <v>418232</v>
      </c>
      <c r="GI3" s="5">
        <v>418804.8</v>
      </c>
      <c r="GJ3" s="5">
        <v>417739.7</v>
      </c>
      <c r="GK3" s="5">
        <v>416598.5</v>
      </c>
      <c r="GL3" s="5">
        <v>415529.2</v>
      </c>
      <c r="GM3" s="5">
        <v>415954.2</v>
      </c>
      <c r="GN3" s="5">
        <v>416627.6</v>
      </c>
      <c r="GO3" s="5">
        <v>417409.2</v>
      </c>
      <c r="GP3" s="5">
        <v>418463.3</v>
      </c>
      <c r="GQ3" s="5">
        <v>419492.1</v>
      </c>
      <c r="GR3" s="5">
        <v>421279.2</v>
      </c>
      <c r="GS3" s="5">
        <v>423317.7</v>
      </c>
      <c r="GT3" s="5">
        <v>425616.5</v>
      </c>
      <c r="GU3" s="5">
        <v>428061.2</v>
      </c>
      <c r="GV3" s="5">
        <v>430162.5</v>
      </c>
      <c r="GW3" s="5">
        <v>432237.6</v>
      </c>
      <c r="GX3" s="5">
        <v>434224.2</v>
      </c>
      <c r="GY3" s="5">
        <v>436282.2</v>
      </c>
      <c r="GZ3" s="5">
        <v>438225.6</v>
      </c>
      <c r="HA3" s="5">
        <v>440132.4</v>
      </c>
      <c r="HB3" s="5">
        <v>442081.2</v>
      </c>
      <c r="HC3" s="5">
        <v>444607.1</v>
      </c>
      <c r="HD3" s="5">
        <v>447304.5</v>
      </c>
      <c r="HE3" s="5">
        <v>449776.6</v>
      </c>
      <c r="HF3" s="5">
        <v>451884.5</v>
      </c>
      <c r="HG3" s="5">
        <v>453522.2</v>
      </c>
      <c r="HH3" s="5">
        <v>455008.6</v>
      </c>
      <c r="HI3" s="5">
        <v>456256.8</v>
      </c>
      <c r="HJ3" s="5">
        <v>457369.59999999998</v>
      </c>
      <c r="HK3" s="5">
        <v>458527.5</v>
      </c>
      <c r="HL3" s="5">
        <v>459737.5</v>
      </c>
      <c r="HM3" s="5">
        <v>461040.4</v>
      </c>
      <c r="HN3" s="5">
        <v>462408.5</v>
      </c>
      <c r="HO3" s="5">
        <v>463908.1</v>
      </c>
      <c r="HP3" s="5">
        <v>465498.1</v>
      </c>
      <c r="HQ3" s="5">
        <v>467124.7</v>
      </c>
      <c r="HR3" s="5">
        <v>468736.4</v>
      </c>
      <c r="HS3" s="5">
        <v>470398.6</v>
      </c>
      <c r="HT3" s="5">
        <v>472041.4</v>
      </c>
      <c r="HU3" s="5">
        <v>473675.3</v>
      </c>
      <c r="HV3" s="5">
        <v>475320.9</v>
      </c>
      <c r="HW3" s="5" t="s">
        <v>348</v>
      </c>
      <c r="HX3" s="5" t="s">
        <v>348</v>
      </c>
      <c r="HY3" s="5" t="s">
        <v>348</v>
      </c>
      <c r="HZ3" s="5" t="s">
        <v>348</v>
      </c>
      <c r="IA3" s="5" t="s">
        <v>348</v>
      </c>
      <c r="IB3" s="5" t="s">
        <v>348</v>
      </c>
      <c r="IC3" s="5" t="s">
        <v>348</v>
      </c>
      <c r="ID3" s="5" t="s">
        <v>348</v>
      </c>
      <c r="IE3" s="5" t="s">
        <v>348</v>
      </c>
      <c r="IF3" s="5" t="s">
        <v>348</v>
      </c>
      <c r="IG3" s="5" t="s">
        <v>348</v>
      </c>
      <c r="IH3" s="5" t="s">
        <v>348</v>
      </c>
      <c r="II3" s="5" t="s">
        <v>348</v>
      </c>
      <c r="IJ3" s="5" t="s">
        <v>348</v>
      </c>
      <c r="IK3" s="5" t="s">
        <v>348</v>
      </c>
      <c r="IL3" s="5" t="s">
        <v>348</v>
      </c>
      <c r="IM3" s="5" t="s">
        <v>348</v>
      </c>
      <c r="IN3" s="5" t="s">
        <v>348</v>
      </c>
      <c r="IO3" s="5" t="s">
        <v>348</v>
      </c>
      <c r="IP3" s="5" t="s">
        <v>348</v>
      </c>
      <c r="IQ3" s="5" t="s">
        <v>348</v>
      </c>
      <c r="IR3" s="5" t="s">
        <v>348</v>
      </c>
      <c r="IS3" s="5" t="s">
        <v>348</v>
      </c>
      <c r="IT3" s="5" t="s">
        <v>348</v>
      </c>
      <c r="IU3" s="5" t="s">
        <v>348</v>
      </c>
      <c r="IV3" s="5" t="s">
        <v>348</v>
      </c>
      <c r="IW3" s="5" t="s">
        <v>348</v>
      </c>
      <c r="IX3" s="5" t="s">
        <v>348</v>
      </c>
      <c r="IY3" s="5" t="s">
        <v>348</v>
      </c>
      <c r="IZ3" s="5" t="s">
        <v>348</v>
      </c>
      <c r="JA3" s="5" t="s">
        <v>348</v>
      </c>
      <c r="JB3" s="5" t="s">
        <v>348</v>
      </c>
      <c r="JC3" s="5" t="s">
        <v>348</v>
      </c>
      <c r="JD3" s="5" t="s">
        <v>348</v>
      </c>
      <c r="JE3" s="5" t="s">
        <v>348</v>
      </c>
      <c r="JF3" s="5" t="s">
        <v>348</v>
      </c>
      <c r="JG3" s="5" t="s">
        <v>348</v>
      </c>
      <c r="JH3" s="5" t="s">
        <v>348</v>
      </c>
      <c r="JI3" s="5" t="s">
        <v>348</v>
      </c>
      <c r="JJ3" s="5" t="s">
        <v>348</v>
      </c>
      <c r="JK3" s="5" t="s">
        <v>348</v>
      </c>
      <c r="JL3" s="5" t="s">
        <v>348</v>
      </c>
      <c r="JM3" s="5" t="s">
        <v>348</v>
      </c>
      <c r="JN3" s="5" t="s">
        <v>348</v>
      </c>
      <c r="JO3" s="5" t="s">
        <v>348</v>
      </c>
      <c r="JP3" s="5" t="s">
        <v>348</v>
      </c>
      <c r="JQ3" s="5" t="s">
        <v>348</v>
      </c>
      <c r="JR3" s="5" t="s">
        <v>348</v>
      </c>
      <c r="JS3" s="5" t="s">
        <v>348</v>
      </c>
      <c r="JT3" s="5" t="s">
        <v>348</v>
      </c>
      <c r="JU3" s="5" t="s">
        <v>348</v>
      </c>
      <c r="JV3" s="5" t="s">
        <v>348</v>
      </c>
      <c r="JW3" s="5" t="s">
        <v>348</v>
      </c>
      <c r="JX3" s="5" t="s">
        <v>348</v>
      </c>
      <c r="JY3" s="5" t="s">
        <v>348</v>
      </c>
      <c r="JZ3" s="5" t="s">
        <v>348</v>
      </c>
      <c r="KA3" s="5" t="s">
        <v>348</v>
      </c>
      <c r="KB3" s="5" t="s">
        <v>348</v>
      </c>
      <c r="KC3" s="5" t="s">
        <v>348</v>
      </c>
      <c r="KD3" s="5" t="s">
        <v>348</v>
      </c>
      <c r="KE3" s="5" t="s">
        <v>348</v>
      </c>
      <c r="KF3" s="5" t="s">
        <v>348</v>
      </c>
      <c r="KG3" s="5" t="s">
        <v>348</v>
      </c>
      <c r="KH3" s="5" t="s">
        <v>348</v>
      </c>
      <c r="KI3" s="5" t="s">
        <v>348</v>
      </c>
      <c r="KJ3" s="5" t="s">
        <v>348</v>
      </c>
      <c r="KK3" s="5" t="s">
        <v>348</v>
      </c>
      <c r="KL3" s="5" t="s">
        <v>348</v>
      </c>
      <c r="KM3" s="5" t="s">
        <v>348</v>
      </c>
      <c r="KN3" s="5" t="s">
        <v>348</v>
      </c>
      <c r="KO3" s="5" t="s">
        <v>348</v>
      </c>
      <c r="KP3" s="5" t="s">
        <v>348</v>
      </c>
      <c r="KQ3" s="5" t="s">
        <v>348</v>
      </c>
      <c r="KR3" s="5" t="s">
        <v>348</v>
      </c>
      <c r="KS3" s="5" t="s">
        <v>348</v>
      </c>
      <c r="KT3" s="5" t="s">
        <v>348</v>
      </c>
      <c r="KU3" s="5" t="s">
        <v>348</v>
      </c>
      <c r="KV3" s="5" t="s">
        <v>348</v>
      </c>
      <c r="KW3" s="5" t="s">
        <v>348</v>
      </c>
      <c r="KX3" s="5" t="s">
        <v>348</v>
      </c>
      <c r="KY3" s="5" t="s">
        <v>348</v>
      </c>
      <c r="KZ3" s="5" t="s">
        <v>348</v>
      </c>
      <c r="LA3" s="5" t="s">
        <v>348</v>
      </c>
      <c r="LB3" s="5" t="s">
        <v>348</v>
      </c>
      <c r="LC3" s="5" t="s">
        <v>348</v>
      </c>
      <c r="LD3" s="5" t="s">
        <v>348</v>
      </c>
      <c r="LE3" s="5" t="s">
        <v>348</v>
      </c>
      <c r="LF3" s="5" t="s">
        <v>348</v>
      </c>
      <c r="LG3" s="5" t="s">
        <v>348</v>
      </c>
      <c r="LH3" s="5" t="s">
        <v>348</v>
      </c>
      <c r="LI3" s="5" t="s">
        <v>348</v>
      </c>
      <c r="LJ3" s="5" t="s">
        <v>348</v>
      </c>
      <c r="LK3" s="5" t="s">
        <v>348</v>
      </c>
      <c r="LL3" s="5" t="s">
        <v>348</v>
      </c>
      <c r="LM3" s="5" t="s">
        <v>348</v>
      </c>
      <c r="LN3" s="5" t="s">
        <v>348</v>
      </c>
      <c r="LO3" s="5" t="s">
        <v>348</v>
      </c>
      <c r="LP3" s="5" t="s">
        <v>348</v>
      </c>
      <c r="LQ3" s="5" t="s">
        <v>348</v>
      </c>
      <c r="LR3" s="5" t="s">
        <v>348</v>
      </c>
      <c r="LS3" t="s">
        <v>349</v>
      </c>
      <c r="LT3" t="b">
        <v>1</v>
      </c>
      <c r="LU3" s="2" t="s">
        <v>358</v>
      </c>
      <c r="LV3" t="s">
        <v>348</v>
      </c>
      <c r="LW3">
        <v>2025</v>
      </c>
      <c r="LX3">
        <v>4</v>
      </c>
      <c r="LY3" s="3">
        <v>46093</v>
      </c>
      <c r="LZ3" t="s">
        <v>359</v>
      </c>
      <c r="MA3" s="2" t="s">
        <v>360</v>
      </c>
      <c r="MB3" t="s">
        <v>352</v>
      </c>
      <c r="MC3" t="s">
        <v>361</v>
      </c>
      <c r="MD3" t="s">
        <v>354</v>
      </c>
    </row>
    <row r="4" spans="1:342" x14ac:dyDescent="0.25">
      <c r="A4" t="s">
        <v>342</v>
      </c>
      <c r="B4" t="s">
        <v>362</v>
      </c>
      <c r="C4" t="s">
        <v>373</v>
      </c>
      <c r="D4" t="s">
        <v>356</v>
      </c>
      <c r="E4" s="2" t="s">
        <v>357</v>
      </c>
      <c r="F4" t="s">
        <v>347</v>
      </c>
      <c r="G4" s="4">
        <v>290378</v>
      </c>
      <c r="H4" s="4">
        <v>284713</v>
      </c>
      <c r="I4" s="4">
        <v>284402</v>
      </c>
      <c r="J4" s="4">
        <v>281496</v>
      </c>
      <c r="K4" s="4">
        <v>281257</v>
      </c>
      <c r="L4" s="4">
        <v>282155</v>
      </c>
      <c r="M4" s="4">
        <v>285437</v>
      </c>
      <c r="N4" s="4">
        <v>285814</v>
      </c>
      <c r="O4" s="4">
        <v>286275</v>
      </c>
      <c r="P4" s="4">
        <v>289232</v>
      </c>
      <c r="Q4" s="4">
        <v>289852</v>
      </c>
      <c r="R4" s="4">
        <v>291832</v>
      </c>
      <c r="S4" s="4">
        <v>297563</v>
      </c>
      <c r="T4" s="4">
        <v>299623</v>
      </c>
      <c r="U4" s="4">
        <v>303085</v>
      </c>
      <c r="V4" s="4">
        <v>305361</v>
      </c>
      <c r="W4" s="4">
        <v>307964</v>
      </c>
      <c r="X4" s="4">
        <v>304892</v>
      </c>
      <c r="Y4" s="4">
        <v>307122</v>
      </c>
      <c r="Z4" s="4">
        <v>312697</v>
      </c>
      <c r="AA4" s="4">
        <v>315753</v>
      </c>
      <c r="AB4" s="4">
        <v>322451</v>
      </c>
      <c r="AC4" s="4">
        <v>322392</v>
      </c>
      <c r="AD4" s="4">
        <v>322604</v>
      </c>
      <c r="AE4" s="4">
        <v>325968</v>
      </c>
      <c r="AF4" s="4">
        <v>328872</v>
      </c>
      <c r="AG4" s="4">
        <v>330966</v>
      </c>
      <c r="AH4" s="4">
        <v>337367</v>
      </c>
      <c r="AI4" s="4">
        <v>339754</v>
      </c>
      <c r="AJ4" s="4">
        <v>344795</v>
      </c>
      <c r="AK4" s="4">
        <v>353365</v>
      </c>
      <c r="AL4" s="4">
        <v>357439</v>
      </c>
      <c r="AM4" s="4">
        <v>363267</v>
      </c>
      <c r="AN4" s="4">
        <v>365209</v>
      </c>
      <c r="AO4" s="4">
        <v>369774</v>
      </c>
      <c r="AP4" s="4">
        <v>372752</v>
      </c>
      <c r="AQ4" s="4">
        <v>374612</v>
      </c>
      <c r="AR4" s="4">
        <v>376951</v>
      </c>
      <c r="AS4" s="4">
        <v>377573</v>
      </c>
      <c r="AT4" s="4">
        <v>377508</v>
      </c>
      <c r="AU4" s="4">
        <v>379458</v>
      </c>
      <c r="AV4" s="4">
        <v>381997</v>
      </c>
      <c r="AW4" s="4">
        <v>377831</v>
      </c>
      <c r="AX4" s="4">
        <v>375916</v>
      </c>
      <c r="AY4" s="4">
        <v>374060</v>
      </c>
      <c r="AZ4" s="4">
        <v>373608</v>
      </c>
      <c r="BA4" s="4">
        <v>372878</v>
      </c>
      <c r="BB4" s="4">
        <v>373357</v>
      </c>
      <c r="BC4" s="4">
        <v>373317</v>
      </c>
      <c r="BD4" s="4">
        <v>372751</v>
      </c>
      <c r="BE4" s="4">
        <v>374537</v>
      </c>
      <c r="BF4" s="4">
        <v>377418</v>
      </c>
      <c r="BG4" s="4">
        <v>379370</v>
      </c>
      <c r="BH4" s="4">
        <v>381045</v>
      </c>
      <c r="BI4" s="4">
        <v>384524</v>
      </c>
      <c r="BJ4" s="4">
        <v>387143</v>
      </c>
      <c r="BK4" s="4">
        <v>391026</v>
      </c>
      <c r="BL4" s="4">
        <v>394588</v>
      </c>
      <c r="BM4" s="4">
        <v>398566</v>
      </c>
      <c r="BN4" s="4">
        <v>400279</v>
      </c>
      <c r="BO4" s="4">
        <v>402390</v>
      </c>
      <c r="BP4" s="4">
        <v>403259</v>
      </c>
      <c r="BQ4" s="4">
        <v>407795</v>
      </c>
      <c r="BR4" s="4">
        <v>409132</v>
      </c>
      <c r="BS4" s="4">
        <v>412022</v>
      </c>
      <c r="BT4" s="4">
        <v>413325</v>
      </c>
      <c r="BU4" s="4">
        <v>417019</v>
      </c>
      <c r="BV4" s="4">
        <v>422639</v>
      </c>
      <c r="BW4" s="4">
        <v>429418</v>
      </c>
      <c r="BX4" s="4">
        <v>434199</v>
      </c>
      <c r="BY4" s="4">
        <v>438100</v>
      </c>
      <c r="BZ4" s="4">
        <v>444540</v>
      </c>
      <c r="CA4" s="4">
        <v>447712</v>
      </c>
      <c r="CB4" s="4">
        <v>450292</v>
      </c>
      <c r="CC4" s="4">
        <v>451005</v>
      </c>
      <c r="CD4" s="4">
        <v>453937</v>
      </c>
      <c r="CE4" s="4">
        <v>457044</v>
      </c>
      <c r="CF4" s="4">
        <v>458710</v>
      </c>
      <c r="CG4" s="4">
        <v>466387</v>
      </c>
      <c r="CH4" s="4">
        <v>473892</v>
      </c>
      <c r="CI4" s="4">
        <v>480212</v>
      </c>
      <c r="CJ4" s="4">
        <v>483672</v>
      </c>
      <c r="CK4" s="4">
        <v>486617</v>
      </c>
      <c r="CL4" s="4">
        <v>489506</v>
      </c>
      <c r="CM4" s="4">
        <v>493575</v>
      </c>
      <c r="CN4" s="4">
        <v>495602</v>
      </c>
      <c r="CO4" s="4">
        <v>497938</v>
      </c>
      <c r="CP4" s="4">
        <v>499278</v>
      </c>
      <c r="CQ4" s="4">
        <v>500794</v>
      </c>
      <c r="CR4" s="4">
        <v>503433</v>
      </c>
      <c r="CS4" s="4">
        <v>506386</v>
      </c>
      <c r="CT4" s="4">
        <v>509728</v>
      </c>
      <c r="CU4" s="4">
        <v>514031</v>
      </c>
      <c r="CV4" s="4">
        <v>518802</v>
      </c>
      <c r="CW4" s="4">
        <v>524213</v>
      </c>
      <c r="CX4" s="4">
        <v>528320</v>
      </c>
      <c r="CY4" s="4">
        <v>529996</v>
      </c>
      <c r="CZ4" s="4">
        <v>532543</v>
      </c>
      <c r="DA4" s="4">
        <v>534447</v>
      </c>
      <c r="DB4" s="4">
        <v>536886</v>
      </c>
      <c r="DC4" s="4">
        <v>541028</v>
      </c>
      <c r="DD4" s="4">
        <v>545530</v>
      </c>
      <c r="DE4" s="4">
        <v>550552</v>
      </c>
      <c r="DF4" s="4">
        <v>556311</v>
      </c>
      <c r="DG4" s="4">
        <v>558314</v>
      </c>
      <c r="DH4" s="4">
        <v>559795</v>
      </c>
      <c r="DI4" s="4">
        <v>560675</v>
      </c>
      <c r="DJ4" s="4">
        <v>562669</v>
      </c>
      <c r="DK4" s="4">
        <v>568845</v>
      </c>
      <c r="DL4" s="4">
        <v>574194</v>
      </c>
      <c r="DM4" s="4">
        <v>579605</v>
      </c>
      <c r="DN4" s="4">
        <v>584504</v>
      </c>
      <c r="DO4" s="4">
        <v>586690</v>
      </c>
      <c r="DP4" s="4">
        <v>583541</v>
      </c>
      <c r="DQ4" s="4">
        <v>573961</v>
      </c>
      <c r="DR4" s="4">
        <v>561816</v>
      </c>
      <c r="DS4" s="4">
        <v>550451</v>
      </c>
      <c r="DT4" s="4">
        <v>548859</v>
      </c>
      <c r="DU4" s="4">
        <v>549540</v>
      </c>
      <c r="DV4" s="4">
        <v>551372</v>
      </c>
      <c r="DW4" s="4">
        <v>556002</v>
      </c>
      <c r="DX4" s="4">
        <v>562353</v>
      </c>
      <c r="DY4" s="4">
        <v>565659</v>
      </c>
      <c r="DZ4" s="4">
        <v>565945</v>
      </c>
      <c r="EA4" s="4">
        <v>566873</v>
      </c>
      <c r="EB4" s="4">
        <v>566601</v>
      </c>
      <c r="EC4" s="4">
        <v>567586</v>
      </c>
      <c r="ED4" s="4">
        <v>568056</v>
      </c>
      <c r="EE4" s="4">
        <v>573416</v>
      </c>
      <c r="EF4" s="4">
        <v>573112</v>
      </c>
      <c r="EG4" s="4">
        <v>579051</v>
      </c>
      <c r="EH4" s="4">
        <v>578215</v>
      </c>
      <c r="EI4" s="4">
        <v>579749</v>
      </c>
      <c r="EJ4" s="4">
        <v>583605</v>
      </c>
      <c r="EK4" s="4">
        <v>588076</v>
      </c>
      <c r="EL4" s="4">
        <v>591954</v>
      </c>
      <c r="EM4" s="4">
        <v>596696</v>
      </c>
      <c r="EN4" s="4">
        <v>602310</v>
      </c>
      <c r="EO4" s="4">
        <v>607213</v>
      </c>
      <c r="EP4" s="4">
        <v>611220</v>
      </c>
      <c r="EQ4" s="4">
        <v>613076</v>
      </c>
      <c r="ER4" s="4">
        <v>615875</v>
      </c>
      <c r="ES4" s="4">
        <v>618263</v>
      </c>
      <c r="ET4" s="4">
        <v>621968</v>
      </c>
      <c r="EU4" s="4">
        <v>625099</v>
      </c>
      <c r="EV4" s="4">
        <v>629697</v>
      </c>
      <c r="EW4" s="4">
        <v>632477</v>
      </c>
      <c r="EX4" s="4">
        <v>636392</v>
      </c>
      <c r="EY4" s="4">
        <v>642463</v>
      </c>
      <c r="EZ4" s="4">
        <v>647944</v>
      </c>
      <c r="FA4" s="4">
        <v>652329</v>
      </c>
      <c r="FB4" s="4">
        <v>657225</v>
      </c>
      <c r="FC4" s="4">
        <v>657741</v>
      </c>
      <c r="FD4" s="4">
        <v>659172</v>
      </c>
      <c r="FE4" s="4">
        <v>661262</v>
      </c>
      <c r="FF4" s="4">
        <v>662120</v>
      </c>
      <c r="FG4" s="4">
        <v>665456</v>
      </c>
      <c r="FH4" s="4">
        <v>666875</v>
      </c>
      <c r="FI4" s="4">
        <v>670547</v>
      </c>
      <c r="FJ4" s="4">
        <v>670587</v>
      </c>
      <c r="FK4" s="4">
        <v>652180</v>
      </c>
      <c r="FL4" s="4">
        <v>522356</v>
      </c>
      <c r="FM4" s="4">
        <v>610972</v>
      </c>
      <c r="FN4" s="4">
        <v>619330</v>
      </c>
      <c r="FO4" s="4">
        <v>612665</v>
      </c>
      <c r="FP4" s="4">
        <v>655443</v>
      </c>
      <c r="FQ4" s="4">
        <v>666498</v>
      </c>
      <c r="FR4" s="4">
        <v>675680</v>
      </c>
      <c r="FS4" s="4">
        <v>682527</v>
      </c>
      <c r="FT4" s="4">
        <v>686335</v>
      </c>
      <c r="FU4" s="4">
        <v>687029</v>
      </c>
      <c r="FV4" s="4">
        <v>688817</v>
      </c>
      <c r="FW4" s="4">
        <v>689206</v>
      </c>
      <c r="FX4" s="4">
        <v>689491</v>
      </c>
      <c r="FY4" s="4">
        <v>687839</v>
      </c>
      <c r="FZ4" s="4">
        <v>685628</v>
      </c>
      <c r="GA4" s="4">
        <v>691198</v>
      </c>
      <c r="GB4" s="4">
        <v>695280</v>
      </c>
      <c r="GC4" s="4">
        <v>696853</v>
      </c>
      <c r="GD4" s="4">
        <v>698780</v>
      </c>
      <c r="GE4" s="4">
        <v>703373</v>
      </c>
      <c r="GF4" s="4">
        <v>704798</v>
      </c>
      <c r="GG4" s="4">
        <v>705187</v>
      </c>
      <c r="GH4" s="4">
        <v>705571</v>
      </c>
      <c r="GI4" s="5">
        <v>707804.8</v>
      </c>
      <c r="GJ4" s="5">
        <v>707058.5</v>
      </c>
      <c r="GK4" s="5">
        <v>706069.5</v>
      </c>
      <c r="GL4" s="5">
        <v>705474.6</v>
      </c>
      <c r="GM4" s="5">
        <v>707215.5</v>
      </c>
      <c r="GN4" s="5">
        <v>709854.8</v>
      </c>
      <c r="GO4" s="5">
        <v>712746.1</v>
      </c>
      <c r="GP4" s="5">
        <v>716046.9</v>
      </c>
      <c r="GQ4" s="5">
        <v>719206.5</v>
      </c>
      <c r="GR4" s="5">
        <v>722879.8</v>
      </c>
      <c r="GS4" s="5">
        <v>726645.7</v>
      </c>
      <c r="GT4" s="5">
        <v>730644.6</v>
      </c>
      <c r="GU4" s="5">
        <v>734832.9</v>
      </c>
      <c r="GV4" s="5">
        <v>738393.4</v>
      </c>
      <c r="GW4" s="5">
        <v>741743.2</v>
      </c>
      <c r="GX4" s="5">
        <v>744873.3</v>
      </c>
      <c r="GY4" s="5">
        <v>747997.8</v>
      </c>
      <c r="GZ4" s="5">
        <v>751057.1</v>
      </c>
      <c r="HA4" s="5">
        <v>754060</v>
      </c>
      <c r="HB4" s="5">
        <v>757128.9</v>
      </c>
      <c r="HC4" s="5">
        <v>760961.5</v>
      </c>
      <c r="HD4" s="5">
        <v>764926.6</v>
      </c>
      <c r="HE4" s="5">
        <v>768538.8</v>
      </c>
      <c r="HF4" s="5">
        <v>771582.9</v>
      </c>
      <c r="HG4" s="5">
        <v>773920.9</v>
      </c>
      <c r="HH4" s="5">
        <v>775926.9</v>
      </c>
      <c r="HI4" s="5">
        <v>777812.9</v>
      </c>
      <c r="HJ4" s="5">
        <v>779752.4</v>
      </c>
      <c r="HK4" s="5">
        <v>781823.9</v>
      </c>
      <c r="HL4" s="5">
        <v>784156</v>
      </c>
      <c r="HM4" s="5">
        <v>786810.2</v>
      </c>
      <c r="HN4" s="5">
        <v>789673.9</v>
      </c>
      <c r="HO4" s="5">
        <v>792759</v>
      </c>
      <c r="HP4" s="5">
        <v>795918.8</v>
      </c>
      <c r="HQ4" s="5">
        <v>799042.5</v>
      </c>
      <c r="HR4" s="5">
        <v>802055.1</v>
      </c>
      <c r="HS4" s="5">
        <v>805096.7</v>
      </c>
      <c r="HT4" s="5">
        <v>808067.8</v>
      </c>
      <c r="HU4" s="5">
        <v>811029.4</v>
      </c>
      <c r="HV4" s="5">
        <v>814040.1</v>
      </c>
      <c r="HW4" s="5" t="s">
        <v>348</v>
      </c>
      <c r="HX4" s="5" t="s">
        <v>348</v>
      </c>
      <c r="HY4" s="5" t="s">
        <v>348</v>
      </c>
      <c r="HZ4" s="5" t="s">
        <v>348</v>
      </c>
      <c r="IA4" s="5" t="s">
        <v>348</v>
      </c>
      <c r="IB4" s="5" t="s">
        <v>348</v>
      </c>
      <c r="IC4" s="5" t="s">
        <v>348</v>
      </c>
      <c r="ID4" s="5" t="s">
        <v>348</v>
      </c>
      <c r="IE4" s="5" t="s">
        <v>348</v>
      </c>
      <c r="IF4" s="5" t="s">
        <v>348</v>
      </c>
      <c r="IG4" s="5" t="s">
        <v>348</v>
      </c>
      <c r="IH4" s="5" t="s">
        <v>348</v>
      </c>
      <c r="II4" s="5" t="s">
        <v>348</v>
      </c>
      <c r="IJ4" s="5" t="s">
        <v>348</v>
      </c>
      <c r="IK4" s="5" t="s">
        <v>348</v>
      </c>
      <c r="IL4" s="5" t="s">
        <v>348</v>
      </c>
      <c r="IM4" s="5" t="s">
        <v>348</v>
      </c>
      <c r="IN4" s="5" t="s">
        <v>348</v>
      </c>
      <c r="IO4" s="5" t="s">
        <v>348</v>
      </c>
      <c r="IP4" s="5" t="s">
        <v>348</v>
      </c>
      <c r="IQ4" s="5" t="s">
        <v>348</v>
      </c>
      <c r="IR4" s="5" t="s">
        <v>348</v>
      </c>
      <c r="IS4" s="5" t="s">
        <v>348</v>
      </c>
      <c r="IT4" s="5" t="s">
        <v>348</v>
      </c>
      <c r="IU4" s="5" t="s">
        <v>348</v>
      </c>
      <c r="IV4" s="5" t="s">
        <v>348</v>
      </c>
      <c r="IW4" s="5" t="s">
        <v>348</v>
      </c>
      <c r="IX4" s="5" t="s">
        <v>348</v>
      </c>
      <c r="IY4" s="5" t="s">
        <v>348</v>
      </c>
      <c r="IZ4" s="5" t="s">
        <v>348</v>
      </c>
      <c r="JA4" s="5" t="s">
        <v>348</v>
      </c>
      <c r="JB4" s="5" t="s">
        <v>348</v>
      </c>
      <c r="JC4" s="5" t="s">
        <v>348</v>
      </c>
      <c r="JD4" s="5" t="s">
        <v>348</v>
      </c>
      <c r="JE4" s="5" t="s">
        <v>348</v>
      </c>
      <c r="JF4" s="5" t="s">
        <v>348</v>
      </c>
      <c r="JG4" s="5" t="s">
        <v>348</v>
      </c>
      <c r="JH4" s="5" t="s">
        <v>348</v>
      </c>
      <c r="JI4" s="5" t="s">
        <v>348</v>
      </c>
      <c r="JJ4" s="5" t="s">
        <v>348</v>
      </c>
      <c r="JK4" s="5" t="s">
        <v>348</v>
      </c>
      <c r="JL4" s="5" t="s">
        <v>348</v>
      </c>
      <c r="JM4" s="5" t="s">
        <v>348</v>
      </c>
      <c r="JN4" s="5" t="s">
        <v>348</v>
      </c>
      <c r="JO4" s="5" t="s">
        <v>348</v>
      </c>
      <c r="JP4" s="5" t="s">
        <v>348</v>
      </c>
      <c r="JQ4" s="5" t="s">
        <v>348</v>
      </c>
      <c r="JR4" s="5" t="s">
        <v>348</v>
      </c>
      <c r="JS4" s="5" t="s">
        <v>348</v>
      </c>
      <c r="JT4" s="5" t="s">
        <v>348</v>
      </c>
      <c r="JU4" s="5" t="s">
        <v>348</v>
      </c>
      <c r="JV4" s="5" t="s">
        <v>348</v>
      </c>
      <c r="JW4" s="5" t="s">
        <v>348</v>
      </c>
      <c r="JX4" s="5" t="s">
        <v>348</v>
      </c>
      <c r="JY4" s="5" t="s">
        <v>348</v>
      </c>
      <c r="JZ4" s="5" t="s">
        <v>348</v>
      </c>
      <c r="KA4" s="5" t="s">
        <v>348</v>
      </c>
      <c r="KB4" s="5" t="s">
        <v>348</v>
      </c>
      <c r="KC4" s="5" t="s">
        <v>348</v>
      </c>
      <c r="KD4" s="5" t="s">
        <v>348</v>
      </c>
      <c r="KE4" s="5" t="s">
        <v>348</v>
      </c>
      <c r="KF4" s="5" t="s">
        <v>348</v>
      </c>
      <c r="KG4" s="5" t="s">
        <v>348</v>
      </c>
      <c r="KH4" s="5" t="s">
        <v>348</v>
      </c>
      <c r="KI4" s="5" t="s">
        <v>348</v>
      </c>
      <c r="KJ4" s="5" t="s">
        <v>348</v>
      </c>
      <c r="KK4" s="5" t="s">
        <v>348</v>
      </c>
      <c r="KL4" s="5" t="s">
        <v>348</v>
      </c>
      <c r="KM4" s="5" t="s">
        <v>348</v>
      </c>
      <c r="KN4" s="5" t="s">
        <v>348</v>
      </c>
      <c r="KO4" s="5" t="s">
        <v>348</v>
      </c>
      <c r="KP4" s="5" t="s">
        <v>348</v>
      </c>
      <c r="KQ4" s="5" t="s">
        <v>348</v>
      </c>
      <c r="KR4" s="5" t="s">
        <v>348</v>
      </c>
      <c r="KS4" s="5" t="s">
        <v>348</v>
      </c>
      <c r="KT4" s="5" t="s">
        <v>348</v>
      </c>
      <c r="KU4" s="5" t="s">
        <v>348</v>
      </c>
      <c r="KV4" s="5" t="s">
        <v>348</v>
      </c>
      <c r="KW4" s="5" t="s">
        <v>348</v>
      </c>
      <c r="KX4" s="5" t="s">
        <v>348</v>
      </c>
      <c r="KY4" s="5" t="s">
        <v>348</v>
      </c>
      <c r="KZ4" s="5" t="s">
        <v>348</v>
      </c>
      <c r="LA4" s="5" t="s">
        <v>348</v>
      </c>
      <c r="LB4" s="5" t="s">
        <v>348</v>
      </c>
      <c r="LC4" s="5" t="s">
        <v>348</v>
      </c>
      <c r="LD4" s="5" t="s">
        <v>348</v>
      </c>
      <c r="LE4" s="5" t="s">
        <v>348</v>
      </c>
      <c r="LF4" s="5" t="s">
        <v>348</v>
      </c>
      <c r="LG4" s="5" t="s">
        <v>348</v>
      </c>
      <c r="LH4" s="5" t="s">
        <v>348</v>
      </c>
      <c r="LI4" s="5" t="s">
        <v>348</v>
      </c>
      <c r="LJ4" s="5" t="s">
        <v>348</v>
      </c>
      <c r="LK4" s="5" t="s">
        <v>348</v>
      </c>
      <c r="LL4" s="5" t="s">
        <v>348</v>
      </c>
      <c r="LM4" s="5" t="s">
        <v>348</v>
      </c>
      <c r="LN4" s="5" t="s">
        <v>348</v>
      </c>
      <c r="LO4" s="5" t="s">
        <v>348</v>
      </c>
      <c r="LP4" s="5" t="s">
        <v>348</v>
      </c>
      <c r="LQ4" s="5" t="s">
        <v>348</v>
      </c>
      <c r="LR4" s="5" t="s">
        <v>348</v>
      </c>
      <c r="LS4" t="s">
        <v>349</v>
      </c>
      <c r="LT4" t="b">
        <v>1</v>
      </c>
      <c r="LU4" s="2" t="s">
        <v>358</v>
      </c>
      <c r="LV4" t="s">
        <v>348</v>
      </c>
      <c r="LW4">
        <v>2025</v>
      </c>
      <c r="LX4">
        <v>4</v>
      </c>
      <c r="LY4" s="3">
        <v>46093</v>
      </c>
      <c r="LZ4" t="s">
        <v>363</v>
      </c>
      <c r="MA4" s="2" t="s">
        <v>364</v>
      </c>
      <c r="MB4" t="s">
        <v>352</v>
      </c>
      <c r="MC4" t="s">
        <v>365</v>
      </c>
      <c r="MD4" t="s">
        <v>354</v>
      </c>
    </row>
    <row r="5" spans="1:342" x14ac:dyDescent="0.25">
      <c r="A5" t="s">
        <v>342</v>
      </c>
      <c r="B5" t="s">
        <v>366</v>
      </c>
      <c r="C5" t="s">
        <v>373</v>
      </c>
      <c r="D5" t="s">
        <v>367</v>
      </c>
      <c r="E5" t="s">
        <v>348</v>
      </c>
      <c r="F5" t="s">
        <v>347</v>
      </c>
      <c r="G5" s="4">
        <v>17</v>
      </c>
      <c r="H5" s="4">
        <v>17</v>
      </c>
      <c r="I5" s="4">
        <v>16.0303</v>
      </c>
      <c r="J5" s="4">
        <v>15.18182</v>
      </c>
      <c r="K5" s="4">
        <v>13.53125</v>
      </c>
      <c r="L5" s="4">
        <v>12</v>
      </c>
      <c r="M5" s="4">
        <v>12.51989</v>
      </c>
      <c r="N5" s="4">
        <v>14.60417</v>
      </c>
      <c r="O5" s="4">
        <v>13.785159999999999</v>
      </c>
      <c r="P5" s="4">
        <v>13.01346</v>
      </c>
      <c r="Q5" s="4">
        <v>11.3428</v>
      </c>
      <c r="R5" s="4">
        <v>9.6856059999999999</v>
      </c>
      <c r="S5" s="4">
        <v>10.80176</v>
      </c>
      <c r="T5" s="4">
        <v>10.024039999999999</v>
      </c>
      <c r="U5" s="4">
        <v>9.5606059999999999</v>
      </c>
      <c r="V5" s="4">
        <v>9.0625</v>
      </c>
      <c r="W5" s="4">
        <v>8.9432690000000008</v>
      </c>
      <c r="X5" s="4">
        <v>8.8442310000000006</v>
      </c>
      <c r="Y5" s="4">
        <v>10.89615</v>
      </c>
      <c r="Z5" s="4">
        <v>9.969697</v>
      </c>
      <c r="AA5" s="4">
        <v>12.86914</v>
      </c>
      <c r="AB5" s="4">
        <v>12.48269</v>
      </c>
      <c r="AC5" s="4">
        <v>11.579549999999999</v>
      </c>
      <c r="AD5" s="4">
        <v>11.375</v>
      </c>
      <c r="AE5" s="4">
        <v>12.07813</v>
      </c>
      <c r="AF5" s="4">
        <v>10.328849999999999</v>
      </c>
      <c r="AG5" s="4">
        <v>9.875</v>
      </c>
      <c r="AH5" s="4">
        <v>10.72348</v>
      </c>
      <c r="AI5" s="4">
        <v>10.664059999999999</v>
      </c>
      <c r="AJ5" s="4">
        <v>9.228847</v>
      </c>
      <c r="AK5" s="4">
        <v>9.4810610000000004</v>
      </c>
      <c r="AL5" s="4">
        <v>9.0189389999999996</v>
      </c>
      <c r="AM5" s="4">
        <v>8.6288459999999993</v>
      </c>
      <c r="AN5" s="4">
        <v>7.9673080000000001</v>
      </c>
      <c r="AO5" s="4">
        <v>10.920450000000001</v>
      </c>
      <c r="AP5" s="4">
        <v>12.275</v>
      </c>
      <c r="AQ5" s="4">
        <v>12.875</v>
      </c>
      <c r="AR5" s="4">
        <v>13.23846</v>
      </c>
      <c r="AS5" s="4">
        <v>13.760579999999999</v>
      </c>
      <c r="AT5" s="4">
        <v>14.805770000000001</v>
      </c>
      <c r="AU5" s="4">
        <v>14.875</v>
      </c>
      <c r="AV5" s="4">
        <v>14.875</v>
      </c>
      <c r="AW5" s="4">
        <v>14.875</v>
      </c>
      <c r="AX5" s="4">
        <v>13.950760000000001</v>
      </c>
      <c r="AY5" s="4">
        <v>13.39063</v>
      </c>
      <c r="AZ5" s="4">
        <v>11.74423</v>
      </c>
      <c r="BA5" s="4">
        <v>10.799239999999999</v>
      </c>
      <c r="BB5" s="4">
        <v>10.375</v>
      </c>
      <c r="BC5" s="4">
        <v>10.375</v>
      </c>
      <c r="BD5" s="4">
        <v>10.059620000000001</v>
      </c>
      <c r="BE5" s="4">
        <v>9.7689389999999996</v>
      </c>
      <c r="BF5" s="4">
        <v>7.5113640000000004</v>
      </c>
      <c r="BG5" s="4">
        <v>6.140625</v>
      </c>
      <c r="BH5" s="4">
        <v>5.875</v>
      </c>
      <c r="BI5" s="4">
        <v>5.875</v>
      </c>
      <c r="BJ5" s="4">
        <v>5.655303</v>
      </c>
      <c r="BK5" s="4">
        <v>5.2265629999999996</v>
      </c>
      <c r="BL5" s="4">
        <v>5.125</v>
      </c>
      <c r="BM5" s="4">
        <v>5.2386359999999996</v>
      </c>
      <c r="BN5" s="4">
        <v>5.7634619999999996</v>
      </c>
      <c r="BO5" s="4">
        <v>6.4480769999999996</v>
      </c>
      <c r="BP5" s="4">
        <v>6.625</v>
      </c>
      <c r="BQ5" s="4">
        <v>6.625</v>
      </c>
      <c r="BR5" s="4">
        <v>6.5750000000000002</v>
      </c>
      <c r="BS5" s="4">
        <v>6.1288460000000002</v>
      </c>
      <c r="BT5" s="4">
        <v>5.8721160000000001</v>
      </c>
      <c r="BU5" s="4">
        <v>5.6875</v>
      </c>
      <c r="BV5" s="4">
        <v>5.8579549999999996</v>
      </c>
      <c r="BW5" s="4">
        <v>5.9375</v>
      </c>
      <c r="BX5" s="4">
        <v>6.1951919999999996</v>
      </c>
      <c r="BY5" s="4">
        <v>6.8712119999999999</v>
      </c>
      <c r="BZ5" s="4">
        <v>7.1515149999999998</v>
      </c>
      <c r="CA5" s="4">
        <v>7.25</v>
      </c>
      <c r="CB5" s="4">
        <v>7.3230769999999996</v>
      </c>
      <c r="CC5" s="4">
        <v>7.5</v>
      </c>
      <c r="CD5" s="4">
        <v>6.8371209999999998</v>
      </c>
      <c r="CE5" s="4">
        <v>5.703125</v>
      </c>
      <c r="CF5" s="4">
        <v>5.211538</v>
      </c>
      <c r="CG5" s="4">
        <v>5.0643940000000001</v>
      </c>
      <c r="CH5" s="4">
        <v>5.4090910000000001</v>
      </c>
      <c r="CI5" s="4">
        <v>5.8615380000000004</v>
      </c>
      <c r="CJ5" s="4">
        <v>6</v>
      </c>
      <c r="CK5" s="4">
        <v>6</v>
      </c>
      <c r="CL5" s="4">
        <v>6</v>
      </c>
      <c r="CM5" s="4">
        <v>5.8576920000000001</v>
      </c>
      <c r="CN5" s="4">
        <v>5.3692310000000001</v>
      </c>
      <c r="CO5" s="4">
        <v>5.0538460000000001</v>
      </c>
      <c r="CP5" s="4">
        <v>4.2234850000000002</v>
      </c>
      <c r="CQ5" s="4">
        <v>4</v>
      </c>
      <c r="CR5" s="4">
        <v>4</v>
      </c>
      <c r="CS5" s="4">
        <v>4</v>
      </c>
      <c r="CT5" s="4">
        <v>4</v>
      </c>
      <c r="CU5" s="4">
        <v>3.8515630000000001</v>
      </c>
      <c r="CV5" s="4">
        <v>3.75</v>
      </c>
      <c r="CW5" s="4">
        <v>3.5265149999999998</v>
      </c>
      <c r="CX5" s="4">
        <v>3.6515149999999998</v>
      </c>
      <c r="CY5" s="4">
        <v>3.9038460000000001</v>
      </c>
      <c r="CZ5" s="4">
        <v>4.211538</v>
      </c>
      <c r="DA5" s="4">
        <v>4.655303</v>
      </c>
      <c r="DB5" s="4">
        <v>4.75</v>
      </c>
      <c r="DC5" s="4">
        <v>4.75</v>
      </c>
      <c r="DD5" s="4">
        <v>4.75</v>
      </c>
      <c r="DE5" s="4">
        <v>4.5909089999999999</v>
      </c>
      <c r="DF5" s="4">
        <v>4.5</v>
      </c>
      <c r="DG5" s="4">
        <v>4.5</v>
      </c>
      <c r="DH5" s="4">
        <v>4.5</v>
      </c>
      <c r="DI5" s="4">
        <v>4.6615390000000003</v>
      </c>
      <c r="DJ5" s="4">
        <v>4.8923079999999999</v>
      </c>
      <c r="DK5" s="4">
        <v>5.2192309999999997</v>
      </c>
      <c r="DL5" s="4">
        <v>5.3923079999999999</v>
      </c>
      <c r="DM5" s="4">
        <v>5.738461</v>
      </c>
      <c r="DN5" s="4">
        <v>5.6818179999999998</v>
      </c>
      <c r="DO5" s="4">
        <v>5.3538459999999999</v>
      </c>
      <c r="DP5" s="4">
        <v>5.026923</v>
      </c>
      <c r="DQ5" s="4">
        <v>5</v>
      </c>
      <c r="DR5" s="4">
        <v>3.325758</v>
      </c>
      <c r="DS5" s="4">
        <v>1.0859380000000001</v>
      </c>
      <c r="DT5" s="4">
        <v>0.5</v>
      </c>
      <c r="DU5" s="4">
        <v>0.5</v>
      </c>
      <c r="DV5" s="4">
        <v>0.5</v>
      </c>
      <c r="DW5" s="4">
        <v>0.5</v>
      </c>
      <c r="DX5" s="4">
        <v>0.5</v>
      </c>
      <c r="DY5" s="4">
        <v>0.5</v>
      </c>
      <c r="DZ5" s="4">
        <v>0.5</v>
      </c>
      <c r="EA5" s="4">
        <v>0.5</v>
      </c>
      <c r="EB5" s="4">
        <v>0.5</v>
      </c>
      <c r="EC5" s="4">
        <v>0.5</v>
      </c>
      <c r="ED5" s="4">
        <v>0.5</v>
      </c>
      <c r="EE5" s="4">
        <v>0.5</v>
      </c>
      <c r="EF5" s="4">
        <v>0.5</v>
      </c>
      <c r="EG5" s="4">
        <v>0.5</v>
      </c>
      <c r="EH5" s="4">
        <v>0.5</v>
      </c>
      <c r="EI5" s="4">
        <v>0.5</v>
      </c>
      <c r="EJ5" s="4">
        <v>0.5</v>
      </c>
      <c r="EK5" s="4">
        <v>0.5</v>
      </c>
      <c r="EL5" s="4">
        <v>0.5</v>
      </c>
      <c r="EM5" s="4">
        <v>0.5</v>
      </c>
      <c r="EN5" s="4">
        <v>0.5</v>
      </c>
      <c r="EO5" s="4">
        <v>0.5</v>
      </c>
      <c r="EP5" s="4">
        <v>0.5</v>
      </c>
      <c r="EQ5" s="4">
        <v>0.5</v>
      </c>
      <c r="ER5" s="4">
        <v>0.5</v>
      </c>
      <c r="ES5" s="4">
        <v>0.5</v>
      </c>
      <c r="ET5" s="4">
        <v>0.5</v>
      </c>
      <c r="EU5" s="4">
        <v>0.5</v>
      </c>
      <c r="EV5" s="4">
        <v>0.5</v>
      </c>
      <c r="EW5" s="4">
        <v>0.34090910000000002</v>
      </c>
      <c r="EX5" s="4">
        <v>0.25</v>
      </c>
      <c r="EY5" s="4">
        <v>0.25</v>
      </c>
      <c r="EZ5" s="4">
        <v>0.25</v>
      </c>
      <c r="FA5" s="4">
        <v>0.25</v>
      </c>
      <c r="FB5" s="4">
        <v>0.41153849999999997</v>
      </c>
      <c r="FC5" s="4">
        <v>0.5</v>
      </c>
      <c r="FD5" s="4">
        <v>0.5</v>
      </c>
      <c r="FE5" s="4">
        <v>0.66153850000000003</v>
      </c>
      <c r="FF5" s="4">
        <v>0.75</v>
      </c>
      <c r="FG5" s="4">
        <v>0.75</v>
      </c>
      <c r="FH5" s="4">
        <v>0.75</v>
      </c>
      <c r="FI5" s="4">
        <v>0.75</v>
      </c>
      <c r="FJ5" s="4">
        <v>0.75</v>
      </c>
      <c r="FK5" s="4">
        <v>0.61384620000000001</v>
      </c>
      <c r="FL5" s="4">
        <v>0.1</v>
      </c>
      <c r="FM5" s="4">
        <v>0.1</v>
      </c>
      <c r="FN5" s="4">
        <v>0.1</v>
      </c>
      <c r="FO5" s="4">
        <v>0.1</v>
      </c>
      <c r="FP5" s="4">
        <v>0.1</v>
      </c>
      <c r="FQ5" s="4">
        <v>0.1</v>
      </c>
      <c r="FR5" s="4">
        <v>0.12727269999999999</v>
      </c>
      <c r="FS5" s="4">
        <v>0.453125</v>
      </c>
      <c r="FT5" s="4">
        <v>0.95</v>
      </c>
      <c r="FU5" s="4">
        <v>1.6212120000000001</v>
      </c>
      <c r="FV5" s="4">
        <v>2.8269229999999999</v>
      </c>
      <c r="FW5" s="4">
        <v>3.85</v>
      </c>
      <c r="FX5" s="4">
        <v>4.4461539999999999</v>
      </c>
      <c r="FY5" s="4">
        <v>5.1615390000000003</v>
      </c>
      <c r="FZ5" s="4">
        <v>5.25</v>
      </c>
      <c r="GA5" s="4">
        <v>5.25</v>
      </c>
      <c r="GB5" s="4">
        <v>5.25</v>
      </c>
      <c r="GC5" s="4">
        <v>5.0871209999999998</v>
      </c>
      <c r="GD5" s="4">
        <v>4.8522730000000003</v>
      </c>
      <c r="GE5" s="4">
        <v>4.6015629999999996</v>
      </c>
      <c r="GF5" s="4">
        <v>4.3538459999999999</v>
      </c>
      <c r="GG5" s="4">
        <v>4.1022730000000003</v>
      </c>
      <c r="GH5" s="4">
        <v>3.9621209999999998</v>
      </c>
      <c r="GI5" s="5">
        <v>3.75</v>
      </c>
      <c r="GJ5" s="5">
        <v>3.75</v>
      </c>
      <c r="GK5" s="5">
        <v>3.75</v>
      </c>
      <c r="GL5" s="5">
        <v>3.9</v>
      </c>
      <c r="GM5" s="5">
        <v>4</v>
      </c>
      <c r="GN5" s="5">
        <v>4</v>
      </c>
      <c r="GO5" s="5">
        <v>3.96</v>
      </c>
      <c r="GP5" s="5">
        <v>3.71</v>
      </c>
      <c r="GQ5" s="5">
        <v>3.5</v>
      </c>
      <c r="GR5" s="5">
        <v>3.46</v>
      </c>
      <c r="GS5" s="5">
        <v>3.21</v>
      </c>
      <c r="GT5" s="5">
        <v>2.96</v>
      </c>
      <c r="GU5" s="5">
        <v>2.5</v>
      </c>
      <c r="GV5" s="5">
        <v>2.5</v>
      </c>
      <c r="GW5" s="5">
        <v>2.5</v>
      </c>
      <c r="GX5" s="5">
        <v>2.5</v>
      </c>
      <c r="GY5" s="5">
        <v>2.5</v>
      </c>
      <c r="GZ5" s="5">
        <v>2.5</v>
      </c>
      <c r="HA5" s="5">
        <v>2.5</v>
      </c>
      <c r="HB5" s="5">
        <v>2.5</v>
      </c>
      <c r="HC5" s="5">
        <v>2.4945339999999998</v>
      </c>
      <c r="HD5" s="5">
        <v>2.476064</v>
      </c>
      <c r="HE5" s="5">
        <v>2.4378549999999999</v>
      </c>
      <c r="HF5" s="5">
        <v>2.379254</v>
      </c>
      <c r="HG5" s="5">
        <v>2.3267679999999999</v>
      </c>
      <c r="HH5" s="5">
        <v>2.306076</v>
      </c>
      <c r="HI5" s="5">
        <v>2.3302420000000001</v>
      </c>
      <c r="HJ5" s="5">
        <v>2.3984529999999999</v>
      </c>
      <c r="HK5" s="5">
        <v>2.4885860000000002</v>
      </c>
      <c r="HL5" s="5">
        <v>2.5750790000000001</v>
      </c>
      <c r="HM5" s="5">
        <v>2.6395170000000001</v>
      </c>
      <c r="HN5" s="5">
        <v>2.6733419999999999</v>
      </c>
      <c r="HO5" s="5">
        <v>2.676059</v>
      </c>
      <c r="HP5" s="5">
        <v>2.653683</v>
      </c>
      <c r="HQ5" s="5">
        <v>2.6152389999999999</v>
      </c>
      <c r="HR5" s="5">
        <v>2.56996</v>
      </c>
      <c r="HS5" s="5">
        <v>2.526357</v>
      </c>
      <c r="HT5" s="5">
        <v>2.4903780000000002</v>
      </c>
      <c r="HU5" s="5">
        <v>2.465382</v>
      </c>
      <c r="HV5" s="5">
        <v>2.452175</v>
      </c>
      <c r="HW5" s="5" t="s">
        <v>348</v>
      </c>
      <c r="HX5" s="5" t="s">
        <v>348</v>
      </c>
      <c r="HY5" s="5" t="s">
        <v>348</v>
      </c>
      <c r="HZ5" s="5" t="s">
        <v>348</v>
      </c>
      <c r="IA5" s="5" t="s">
        <v>348</v>
      </c>
      <c r="IB5" s="5" t="s">
        <v>348</v>
      </c>
      <c r="IC5" s="5" t="s">
        <v>348</v>
      </c>
      <c r="ID5" s="5" t="s">
        <v>348</v>
      </c>
      <c r="IE5" s="5" t="s">
        <v>348</v>
      </c>
      <c r="IF5" s="5" t="s">
        <v>348</v>
      </c>
      <c r="IG5" s="5" t="s">
        <v>348</v>
      </c>
      <c r="IH5" s="5" t="s">
        <v>348</v>
      </c>
      <c r="II5" s="5" t="s">
        <v>348</v>
      </c>
      <c r="IJ5" s="5" t="s">
        <v>348</v>
      </c>
      <c r="IK5" s="5" t="s">
        <v>348</v>
      </c>
      <c r="IL5" s="5" t="s">
        <v>348</v>
      </c>
      <c r="IM5" s="5" t="s">
        <v>348</v>
      </c>
      <c r="IN5" s="5" t="s">
        <v>348</v>
      </c>
      <c r="IO5" s="5" t="s">
        <v>348</v>
      </c>
      <c r="IP5" s="5" t="s">
        <v>348</v>
      </c>
      <c r="IQ5" s="5" t="s">
        <v>348</v>
      </c>
      <c r="IR5" s="5" t="s">
        <v>348</v>
      </c>
      <c r="IS5" s="5" t="s">
        <v>348</v>
      </c>
      <c r="IT5" s="5" t="s">
        <v>348</v>
      </c>
      <c r="IU5" s="5" t="s">
        <v>348</v>
      </c>
      <c r="IV5" s="5" t="s">
        <v>348</v>
      </c>
      <c r="IW5" s="5" t="s">
        <v>348</v>
      </c>
      <c r="IX5" s="5" t="s">
        <v>348</v>
      </c>
      <c r="IY5" s="5" t="s">
        <v>348</v>
      </c>
      <c r="IZ5" s="5" t="s">
        <v>348</v>
      </c>
      <c r="JA5" s="5" t="s">
        <v>348</v>
      </c>
      <c r="JB5" s="5" t="s">
        <v>348</v>
      </c>
      <c r="JC5" s="5" t="s">
        <v>348</v>
      </c>
      <c r="JD5" s="5" t="s">
        <v>348</v>
      </c>
      <c r="JE5" s="5" t="s">
        <v>348</v>
      </c>
      <c r="JF5" s="5" t="s">
        <v>348</v>
      </c>
      <c r="JG5" s="5" t="s">
        <v>348</v>
      </c>
      <c r="JH5" s="5" t="s">
        <v>348</v>
      </c>
      <c r="JI5" s="5" t="s">
        <v>348</v>
      </c>
      <c r="JJ5" s="5" t="s">
        <v>348</v>
      </c>
      <c r="JK5" s="5" t="s">
        <v>348</v>
      </c>
      <c r="JL5" s="5" t="s">
        <v>348</v>
      </c>
      <c r="JM5" s="5" t="s">
        <v>348</v>
      </c>
      <c r="JN5" s="5" t="s">
        <v>348</v>
      </c>
      <c r="JO5" s="5" t="s">
        <v>348</v>
      </c>
      <c r="JP5" s="5" t="s">
        <v>348</v>
      </c>
      <c r="JQ5" s="5" t="s">
        <v>348</v>
      </c>
      <c r="JR5" s="5" t="s">
        <v>348</v>
      </c>
      <c r="JS5" s="5" t="s">
        <v>348</v>
      </c>
      <c r="JT5" s="5" t="s">
        <v>348</v>
      </c>
      <c r="JU5" s="5" t="s">
        <v>348</v>
      </c>
      <c r="JV5" s="5" t="s">
        <v>348</v>
      </c>
      <c r="JW5" s="5" t="s">
        <v>348</v>
      </c>
      <c r="JX5" s="5" t="s">
        <v>348</v>
      </c>
      <c r="JY5" s="5" t="s">
        <v>348</v>
      </c>
      <c r="JZ5" s="5" t="s">
        <v>348</v>
      </c>
      <c r="KA5" s="5" t="s">
        <v>348</v>
      </c>
      <c r="KB5" s="5" t="s">
        <v>348</v>
      </c>
      <c r="KC5" s="5" t="s">
        <v>348</v>
      </c>
      <c r="KD5" s="5" t="s">
        <v>348</v>
      </c>
      <c r="KE5" s="5" t="s">
        <v>348</v>
      </c>
      <c r="KF5" s="5" t="s">
        <v>348</v>
      </c>
      <c r="KG5" s="5" t="s">
        <v>348</v>
      </c>
      <c r="KH5" s="5" t="s">
        <v>348</v>
      </c>
      <c r="KI5" s="5" t="s">
        <v>348</v>
      </c>
      <c r="KJ5" s="5" t="s">
        <v>348</v>
      </c>
      <c r="KK5" s="5" t="s">
        <v>348</v>
      </c>
      <c r="KL5" s="5" t="s">
        <v>348</v>
      </c>
      <c r="KM5" s="5" t="s">
        <v>348</v>
      </c>
      <c r="KN5" s="5" t="s">
        <v>348</v>
      </c>
      <c r="KO5" s="5" t="s">
        <v>348</v>
      </c>
      <c r="KP5" s="5" t="s">
        <v>348</v>
      </c>
      <c r="KQ5" s="5" t="s">
        <v>348</v>
      </c>
      <c r="KR5" s="5" t="s">
        <v>348</v>
      </c>
      <c r="KS5" s="5" t="s">
        <v>348</v>
      </c>
      <c r="KT5" s="5" t="s">
        <v>348</v>
      </c>
      <c r="KU5" s="5" t="s">
        <v>348</v>
      </c>
      <c r="KV5" s="5" t="s">
        <v>348</v>
      </c>
      <c r="KW5" s="5" t="s">
        <v>348</v>
      </c>
      <c r="KX5" s="5" t="s">
        <v>348</v>
      </c>
      <c r="KY5" s="5" t="s">
        <v>348</v>
      </c>
      <c r="KZ5" s="5" t="s">
        <v>348</v>
      </c>
      <c r="LA5" s="5" t="s">
        <v>348</v>
      </c>
      <c r="LB5" s="5" t="s">
        <v>348</v>
      </c>
      <c r="LC5" s="5" t="s">
        <v>348</v>
      </c>
      <c r="LD5" s="5" t="s">
        <v>348</v>
      </c>
      <c r="LE5" s="5" t="s">
        <v>348</v>
      </c>
      <c r="LF5" s="5" t="s">
        <v>348</v>
      </c>
      <c r="LG5" s="5" t="s">
        <v>348</v>
      </c>
      <c r="LH5" s="5" t="s">
        <v>348</v>
      </c>
      <c r="LI5" s="5" t="s">
        <v>348</v>
      </c>
      <c r="LJ5" s="5" t="s">
        <v>348</v>
      </c>
      <c r="LK5" s="5" t="s">
        <v>348</v>
      </c>
      <c r="LL5" s="5" t="s">
        <v>348</v>
      </c>
      <c r="LM5" s="5" t="s">
        <v>348</v>
      </c>
      <c r="LN5" s="5" t="s">
        <v>348</v>
      </c>
      <c r="LO5" s="5" t="s">
        <v>348</v>
      </c>
      <c r="LP5" s="5" t="s">
        <v>348</v>
      </c>
      <c r="LQ5" s="5" t="s">
        <v>348</v>
      </c>
      <c r="LR5" s="5" t="s">
        <v>348</v>
      </c>
      <c r="LS5" t="s">
        <v>368</v>
      </c>
      <c r="LT5" t="b">
        <v>0</v>
      </c>
      <c r="LU5" t="s">
        <v>348</v>
      </c>
      <c r="LV5" t="s">
        <v>348</v>
      </c>
      <c r="LW5">
        <v>2025</v>
      </c>
      <c r="LX5">
        <v>4</v>
      </c>
      <c r="LY5" s="3">
        <v>46093</v>
      </c>
      <c r="LZ5" s="2" t="s">
        <v>369</v>
      </c>
      <c r="MA5" t="s">
        <v>370</v>
      </c>
      <c r="MB5" t="s">
        <v>352</v>
      </c>
      <c r="MC5" t="s">
        <v>371</v>
      </c>
      <c r="MD5" t="s">
        <v>354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Chart Data</vt:lpstr>
      <vt:lpstr>GEM data - Baseline</vt:lpstr>
      <vt:lpstr>GEM data - $100 oil</vt:lpstr>
      <vt:lpstr>GEM data - Worst case</vt:lpstr>
      <vt:lpstr>GMW - Baseline</vt:lpstr>
      <vt:lpstr>GMW - $100 oil</vt:lpstr>
      <vt:lpstr>GMW - worst case</vt:lpstr>
      <vt:lpstr>Chart - GDP and 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2026-03-12T14:07:48Z</dcterms:created>
  <dcterms:modified xsi:type="dcterms:W3CDTF">2026-03-12T20:44:07Z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2026-03-12T14:11:23Z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f0637994-912e-47c0-8736-ea6c75028f6c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