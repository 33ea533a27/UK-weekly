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theme/themeOverride3.xml" ContentType="application/vnd.openxmlformats-officedocument.themeOverride+xml"/>
  <Override PartName="/xl/drawings/drawing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Z:\UK Team\UK Weekly\"/>
    </mc:Choice>
  </mc:AlternateContent>
  <xr:revisionPtr revIDLastSave="0" documentId="13_ncr:1_{570BCA42-7D93-4ECF-8C7A-3E0F4E0228F6}" xr6:coauthVersionLast="47" xr6:coauthVersionMax="47" xr10:uidLastSave="{00000000-0000-0000-0000-000000000000}"/>
  <bookViews>
    <workbookView xWindow="-120" yWindow="-120" windowWidth="29040" windowHeight="15840" xr2:uid="{B3462346-EFE4-459B-805F-6EB376194F5B}"/>
  </bookViews>
  <sheets>
    <sheet name="Chart1" sheetId="8" r:id="rId1"/>
    <sheet name="Chart1a" sheetId="6" r:id="rId2"/>
    <sheet name="Chart2" sheetId="2" r:id="rId3"/>
    <sheet name="Chart Data" sheetId="1" r:id="rId4"/>
    <sheet name="BoE FSR - Chart 3.2" sheetId="4" r:id="rId5"/>
    <sheet name="BoE FSR - Chart 3.1" sheetId="7" r:id="rId6"/>
  </sheets>
  <definedNames>
    <definedName name="_Hlk168903729" localSheetId="5">'BoE FSR - Chart 3.1'!$A$3</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"06/25/2024 08:52:32"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8" i="1" l="1"/>
  <c r="J10" i="1"/>
  <c r="K10" i="1"/>
  <c r="J5" i="1"/>
  <c r="K5" i="1"/>
  <c r="J6" i="1"/>
  <c r="K6" i="1"/>
  <c r="J7" i="1"/>
  <c r="K7" i="1"/>
  <c r="J8" i="1"/>
  <c r="K8" i="1"/>
  <c r="J4" i="1"/>
  <c r="K4" i="1"/>
  <c r="I4" i="1"/>
  <c r="I10" i="1" s="1"/>
  <c r="G10" i="1"/>
  <c r="G8" i="1"/>
  <c r="F10" i="1"/>
  <c r="F8" i="1"/>
  <c r="E10" i="1"/>
  <c r="E8" i="1"/>
  <c r="I7" i="1"/>
  <c r="I6" i="1"/>
  <c r="I5" i="1"/>
  <c r="M10" i="1"/>
  <c r="C10" i="1"/>
  <c r="D10" i="1"/>
  <c r="B10" i="1"/>
  <c r="M8" i="1"/>
  <c r="D8" i="1"/>
  <c r="C8" i="1"/>
  <c r="B8" i="1"/>
  <c r="I8" i="1" l="1"/>
</calcChain>
</file>

<file path=xl/sharedStrings.xml><?xml version="1.0" encoding="utf-8"?>
<sst xmlns="http://schemas.openxmlformats.org/spreadsheetml/2006/main" count="51" uniqueCount="49">
  <si>
    <t>MRPs</t>
  </si>
  <si>
    <t>YouGov</t>
  </si>
  <si>
    <t>Labour</t>
  </si>
  <si>
    <t>Conservative</t>
  </si>
  <si>
    <t>Lib Dem</t>
  </si>
  <si>
    <t>SNP</t>
  </si>
  <si>
    <t>Other</t>
  </si>
  <si>
    <t>2019 election</t>
  </si>
  <si>
    <t>More in common</t>
  </si>
  <si>
    <t>Average</t>
  </si>
  <si>
    <t>Labour majority</t>
  </si>
  <si>
    <t>Findoutnow/Electoral Calculus</t>
  </si>
  <si>
    <t>WeThink</t>
  </si>
  <si>
    <t>Savanta</t>
  </si>
  <si>
    <t>Ipsos</t>
  </si>
  <si>
    <t>Max</t>
  </si>
  <si>
    <t>Min</t>
  </si>
  <si>
    <t>Labour 1997</t>
  </si>
  <si>
    <t>UK Household and Corporate Debt Vulnerabilities</t>
  </si>
  <si>
    <t>Chart 3.2: The aggregate debt-servicing burden for mortgagors is expected to increase by less than at the time of the December FSR and remain below past peaks</t>
  </si>
  <si>
    <t xml:space="preserve">Aggregate household mortgage debt-servicing ratio (DSR) and staff projections (a) (b) </t>
  </si>
  <si>
    <t>Sources: Bank of England, Bloomberg Finance L.P., FCA Product Sales Data, ONS and Bank calculations.</t>
  </si>
  <si>
    <t>(a) Calculated as mortgage interest payments plus principal repayments as a proportion of nominal household post-tax income. Household income is defined as disposable (post-tax) income adjusted for changes in pension entitlements, which is adjusted to exclude gross operating surplus and the effects of financial intermediation services indirectly measured, and to add back in interest paid. Mortgage interest payments before 2000 are adjusted to remove the effect of mortgage interest relief at source.</t>
  </si>
  <si>
    <t>(b) For the illustrative projections to mid-2027, projections for household post‑tax income consistent with the May 2024 MPR. Payment increases are projected using market expectations for Bank Rate based on the OIS curve as at 10 June 2024, taking into account the distribution of fixed-deal terms from the FCA Product Sales Data and assuming the aggregate mortgage debt to income ratio remains constant.</t>
  </si>
  <si>
    <t>Date</t>
  </si>
  <si>
    <t>Historic aggregate DSR</t>
  </si>
  <si>
    <t>Q2 24 Projected</t>
  </si>
  <si>
    <t>Dec 23 FSR projection</t>
  </si>
  <si>
    <t xml:space="preserve">Chart 3.1: Around 30% of mortgagors are likely to see mortgage costs rise by more than £100 a month by end 2026 </t>
  </si>
  <si>
    <t>Number of owner-occupier mortgages by estimated change in monthly mortgage costs, by December 2024 and December 2026 (a) (b) (c)</t>
  </si>
  <si>
    <t>Sources: Bloomberg Finance L.P., FCA Product Sales Data and Bank calculations.</t>
  </si>
  <si>
    <t>(a) The projection uses the overnight index swap (OIS) curve as at 10 June 2024 and the latest available data (end-2023) on the stock of outstanding mortgages.</t>
  </si>
  <si>
    <t>(b) Changes in payments on variable-rate mortgages are calculated using the implied change in the OIS curve, and changes in payment on fixed-rate mortgages are calculated by assuming that mortgagors refinance onto a typical fixed rate implied by the OIS curve at the point that their fixed-rate contract ends.</t>
  </si>
  <si>
    <t>(c) Mortgages with less than £1,000 outstanding are excluded. These data do not include buy-to-let mortgages or mortgages that are off balance sheet of authorised lenders, such as securitised loans or loan books sold to third parties.</t>
  </si>
  <si>
    <t>&lt;-300</t>
  </si>
  <si>
    <t>-200 to -300</t>
  </si>
  <si>
    <t>-100 to -200</t>
  </si>
  <si>
    <t>-1 to -100</t>
  </si>
  <si>
    <t>No change</t>
  </si>
  <si>
    <t>1 to 100</t>
  </si>
  <si>
    <t>100 to 200</t>
  </si>
  <si>
    <t>200 to 300</t>
  </si>
  <si>
    <t>300 to 400</t>
  </si>
  <si>
    <t>400 to 500</t>
  </si>
  <si>
    <t>500 to 750</t>
  </si>
  <si>
    <t>750 to 1000</t>
  </si>
  <si>
    <t>&gt;1000</t>
  </si>
  <si>
    <t>By December 2024</t>
  </si>
  <si>
    <t>By December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</si>
</sst>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1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sz val="12"/>
      <color theme="1"/>
      <name val="Times New Roman"/>
      <family val="1"/>
    </font>
    <font>
      <sz val="11"/>
      <color theme="1"/>
      <name val="Times New Roman"/>
      <family val="1"/>
    </font>
    <font>
      <sz val="12"/>
      <color theme="1"/>
      <name val="Times New Roman"/>
      <family val="1"/>
    </font>
    <font>
      <b/>
      <sz val="12"/>
      <color rgb="FFFF0000"/>
      <name val="Times New Roman"/>
      <family val="1"/>
    </font>
    <font>
      <sz val="12"/>
      <color rgb="FF000000"/>
      <name val="Times New Roman"/>
      <family val="1"/>
    </font>
    <font>
      <sz val="12"/>
      <color rgb="FF3366FF"/>
      <name val="Times New Roman"/>
      <family val="1"/>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2" fillId="0" borderId="0" applyNumberFormat="0" applyFill="0" applyBorder="0" applyAlignment="0" applyProtection="0"/>
    <xf numFmtId="164" fontId="3" fillId="0" borderId="0" applyFont="0" applyFill="0" applyBorder="0" applyAlignment="0" applyProtection="0"/>
  </cellStyleXfs>
  <cellXfs count="21">
    <xf numFmtId="0" fontId="0" fillId="0" borderId="0" xfId="0"/>
    <xf numFmtId="0" fontId="1" fillId="0" borderId="0" xfId="0" applyFont="1"/>
    <xf numFmtId="0" fontId="2" fillId="0" borderId="0" xfId="1"/>
    <xf numFmtId="0" fontId="0" fillId="0" borderId="0" xfId="0" applyFill="1"/>
    <xf numFmtId="1" fontId="0" fillId="0" borderId="0" xfId="0" applyNumberFormat="1"/>
    <xf numFmtId="16" fontId="0" fillId="0" borderId="0" xfId="0" applyNumberFormat="1"/>
    <xf numFmtId="14" fontId="4" fillId="0" borderId="0" xfId="0" applyNumberFormat="1" applyFont="1"/>
    <xf numFmtId="0" fontId="5" fillId="0" borderId="0" xfId="0" applyFont="1"/>
    <xf numFmtId="14" fontId="6" fillId="0" borderId="0" xfId="0" applyNumberFormat="1" applyFont="1"/>
    <xf numFmtId="14" fontId="7" fillId="0" borderId="0" xfId="0" applyNumberFormat="1" applyFont="1"/>
    <xf numFmtId="0" fontId="7" fillId="0" borderId="0" xfId="0" applyFont="1"/>
    <xf numFmtId="14" fontId="8" fillId="0" borderId="0" xfId="0" applyNumberFormat="1" applyFont="1"/>
    <xf numFmtId="14" fontId="9" fillId="0" borderId="1" xfId="0" applyNumberFormat="1" applyFont="1" applyBorder="1" applyAlignment="1">
      <alignment horizontal="left" wrapText="1"/>
    </xf>
    <xf numFmtId="0" fontId="9" fillId="0" borderId="1" xfId="0" applyFont="1" applyBorder="1" applyAlignment="1">
      <alignment horizontal="left" wrapText="1"/>
    </xf>
    <xf numFmtId="2" fontId="6" fillId="0" borderId="0" xfId="0" applyNumberFormat="1" applyFont="1"/>
    <xf numFmtId="0" fontId="6" fillId="0" borderId="0" xfId="0" applyFont="1"/>
    <xf numFmtId="2" fontId="5" fillId="0" borderId="0" xfId="0" applyNumberFormat="1" applyFont="1"/>
    <xf numFmtId="2" fontId="6" fillId="0" borderId="0" xfId="2" applyNumberFormat="1" applyFont="1" applyFill="1" applyBorder="1"/>
    <xf numFmtId="0" fontId="6" fillId="0" borderId="0" xfId="2" applyNumberFormat="1" applyFont="1" applyFill="1" applyBorder="1"/>
    <xf numFmtId="14" fontId="9" fillId="0" borderId="0" xfId="0" applyNumberFormat="1" applyFont="1"/>
    <xf numFmtId="164" fontId="6" fillId="0" borderId="0" xfId="2" applyFont="1" applyFill="1" applyBorder="1"/>
  </cellXfs>
  <cellStyles count="3">
    <cellStyle name="Comma 2" xfId="2" xr:uid="{13D66559-9390-4A9A-B325-35A49199E857}"/>
    <cellStyle name="Hyperlink" xfId="1" builtinId="8"/>
    <cellStyle name="Normal" xfId="0" builtinId="0"/>
  </cellStyles>
  <dxfs count="0"/>
  <tableStyles count="0" defaultTableStyle="TableStyleMedium2" defaultPivotStyle="PivotStyleLight16"/>
  <colors>
    <mruColors>
      <color rgb="FF4950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chartsheet" Target="chartsheets/sheet3.xml"/><Relationship Id="rId7" Type="http://schemas.openxmlformats.org/officeDocument/2006/relationships/theme" Target="theme/theme1.xml"/><Relationship Id="rId2" Type="http://schemas.openxmlformats.org/officeDocument/2006/relationships/chartsheet" Target="chartsheets/sheet2.xml"/><Relationship Id="rId1" Type="http://schemas.openxmlformats.org/officeDocument/2006/relationships/chartsheet" Target="chartsheets/sheet1.xml"/><Relationship Id="rId6" Type="http://schemas.openxmlformats.org/officeDocument/2006/relationships/worksheet" Target="worksheets/sheet3.xml"/><Relationship Id="rId5" Type="http://schemas.openxmlformats.org/officeDocument/2006/relationships/worksheet" Target="worksheets/sheet2.xml"/><Relationship Id="rId10" Type="http://schemas.openxmlformats.org/officeDocument/2006/relationships/calcChain" Target="calcChain.xml"/><Relationship Id="rId4" Type="http://schemas.openxmlformats.org/officeDocument/2006/relationships/worksheet" Target="worksheets/sheet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2" Type="http://schemas.openxmlformats.org/officeDocument/2006/relationships/chartUserShapes" Target="../drawings/drawing6.xml"/><Relationship Id="rId1" Type="http://schemas.openxmlformats.org/officeDocument/2006/relationships/themeOverride" Target="../theme/themeOverrid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6.0260472332969951E-3"/>
          <c:y val="0.12455026610694829"/>
          <c:w val="0.99396849610975946"/>
          <c:h val="0.80768960445111926"/>
        </c:manualLayout>
      </c:layout>
      <c:barChart>
        <c:barDir val="bar"/>
        <c:grouping val="clustered"/>
        <c:varyColors val="0"/>
        <c:ser>
          <c:idx val="0"/>
          <c:order val="0"/>
          <c:tx>
            <c:strRef>
              <c:f>'BoE FSR - Chart 3.1'!$A$11</c:f>
              <c:strCache>
                <c:ptCount val="1"/>
                <c:pt idx="0">
                  <c:v>By December 2024</c:v>
                </c:pt>
              </c:strCache>
            </c:strRef>
          </c:tx>
          <c:spPr>
            <a:solidFill>
              <a:srgbClr val="BD1B21"/>
            </a:solidFill>
            <a:ln w="6350">
              <a:solidFill>
                <a:srgbClr val="495057"/>
              </a:solidFill>
              <a:prstDash val="solid"/>
            </a:ln>
            <a:effectLst/>
          </c:spPr>
          <c:invertIfNegative val="0"/>
          <c:cat>
            <c:strRef>
              <c:f>'BoE FSR - Chart 3.1'!$B$10:$N$10</c:f>
              <c:strCache>
                <c:ptCount val="13"/>
                <c:pt idx="0">
                  <c:v>&lt;-300</c:v>
                </c:pt>
                <c:pt idx="1">
                  <c:v>-200 to -300</c:v>
                </c:pt>
                <c:pt idx="2">
                  <c:v>-100 to -200</c:v>
                </c:pt>
                <c:pt idx="3">
                  <c:v>-1 to -100</c:v>
                </c:pt>
                <c:pt idx="4">
                  <c:v>No change</c:v>
                </c:pt>
                <c:pt idx="5">
                  <c:v>1 to 100</c:v>
                </c:pt>
                <c:pt idx="6">
                  <c:v>100 to 200</c:v>
                </c:pt>
                <c:pt idx="7">
                  <c:v>200 to 300</c:v>
                </c:pt>
                <c:pt idx="8">
                  <c:v>300 to 400</c:v>
                </c:pt>
                <c:pt idx="9">
                  <c:v>400 to 500</c:v>
                </c:pt>
                <c:pt idx="10">
                  <c:v>500 to 750</c:v>
                </c:pt>
                <c:pt idx="11">
                  <c:v>750 to 1000</c:v>
                </c:pt>
                <c:pt idx="12">
                  <c:v>&gt;1000</c:v>
                </c:pt>
              </c:strCache>
            </c:strRef>
          </c:cat>
          <c:val>
            <c:numRef>
              <c:f>'BoE FSR - Chart 3.1'!$B$11:$N$11</c:f>
              <c:numCache>
                <c:formatCode>0.00</c:formatCode>
                <c:ptCount val="13"/>
                <c:pt idx="0">
                  <c:v>8.0000000000000002E-3</c:v>
                </c:pt>
                <c:pt idx="1">
                  <c:v>0.01</c:v>
                </c:pt>
                <c:pt idx="2">
                  <c:v>4.2000000000000003E-2</c:v>
                </c:pt>
                <c:pt idx="3">
                  <c:v>1.532</c:v>
                </c:pt>
                <c:pt idx="4">
                  <c:v>5.3090000000000002</c:v>
                </c:pt>
                <c:pt idx="5">
                  <c:v>0.38700000000000001</c:v>
                </c:pt>
                <c:pt idx="6">
                  <c:v>0.38500000000000001</c:v>
                </c:pt>
                <c:pt idx="7">
                  <c:v>0.25</c:v>
                </c:pt>
                <c:pt idx="8">
                  <c:v>0.15</c:v>
                </c:pt>
                <c:pt idx="9">
                  <c:v>8.5999999999999993E-2</c:v>
                </c:pt>
                <c:pt idx="10">
                  <c:v>8.8999999999999996E-2</c:v>
                </c:pt>
                <c:pt idx="11">
                  <c:v>2.8000000000000001E-2</c:v>
                </c:pt>
                <c:pt idx="12">
                  <c:v>3.5000000000000003E-2</c:v>
                </c:pt>
              </c:numCache>
            </c:numRef>
          </c:val>
          <c:extLst>
            <c:ext xmlns:c16="http://schemas.microsoft.com/office/drawing/2014/chart" uri="{C3380CC4-5D6E-409C-BE32-E72D297353CC}">
              <c16:uniqueId val="{00000000-3568-4B7C-9EA6-494068611454}"/>
            </c:ext>
          </c:extLst>
        </c:ser>
        <c:ser>
          <c:idx val="1"/>
          <c:order val="1"/>
          <c:tx>
            <c:strRef>
              <c:f>'BoE FSR - Chart 3.1'!$A$12</c:f>
              <c:strCache>
                <c:ptCount val="1"/>
                <c:pt idx="0">
                  <c:v>By December 2026</c:v>
                </c:pt>
              </c:strCache>
            </c:strRef>
          </c:tx>
          <c:spPr>
            <a:solidFill>
              <a:srgbClr val="003469"/>
            </a:solidFill>
            <a:ln w="6350">
              <a:solidFill>
                <a:srgbClr val="495057"/>
              </a:solidFill>
              <a:prstDash val="solid"/>
            </a:ln>
            <a:effectLst/>
          </c:spPr>
          <c:invertIfNegative val="0"/>
          <c:cat>
            <c:strRef>
              <c:f>'BoE FSR - Chart 3.1'!$B$10:$N$10</c:f>
              <c:strCache>
                <c:ptCount val="13"/>
                <c:pt idx="0">
                  <c:v>&lt;-300</c:v>
                </c:pt>
                <c:pt idx="1">
                  <c:v>-200 to -300</c:v>
                </c:pt>
                <c:pt idx="2">
                  <c:v>-100 to -200</c:v>
                </c:pt>
                <c:pt idx="3">
                  <c:v>-1 to -100</c:v>
                </c:pt>
                <c:pt idx="4">
                  <c:v>No change</c:v>
                </c:pt>
                <c:pt idx="5">
                  <c:v>1 to 100</c:v>
                </c:pt>
                <c:pt idx="6">
                  <c:v>100 to 200</c:v>
                </c:pt>
                <c:pt idx="7">
                  <c:v>200 to 300</c:v>
                </c:pt>
                <c:pt idx="8">
                  <c:v>300 to 400</c:v>
                </c:pt>
                <c:pt idx="9">
                  <c:v>400 to 500</c:v>
                </c:pt>
                <c:pt idx="10">
                  <c:v>500 to 750</c:v>
                </c:pt>
                <c:pt idx="11">
                  <c:v>750 to 1000</c:v>
                </c:pt>
                <c:pt idx="12">
                  <c:v>&gt;1000</c:v>
                </c:pt>
              </c:strCache>
            </c:strRef>
          </c:cat>
          <c:val>
            <c:numRef>
              <c:f>'BoE FSR - Chart 3.1'!$B$12:$N$12</c:f>
              <c:numCache>
                <c:formatCode>0.00</c:formatCode>
                <c:ptCount val="13"/>
                <c:pt idx="0">
                  <c:v>0.111</c:v>
                </c:pt>
                <c:pt idx="1">
                  <c:v>0.13800000000000001</c:v>
                </c:pt>
                <c:pt idx="2">
                  <c:v>0.39100000000000001</c:v>
                </c:pt>
                <c:pt idx="3">
                  <c:v>1.3540000000000001</c:v>
                </c:pt>
                <c:pt idx="4">
                  <c:v>2.4180000000000001</c:v>
                </c:pt>
                <c:pt idx="5">
                  <c:v>1.3</c:v>
                </c:pt>
                <c:pt idx="6">
                  <c:v>0.96799999999999997</c:v>
                </c:pt>
                <c:pt idx="7">
                  <c:v>0.626</c:v>
                </c:pt>
                <c:pt idx="8">
                  <c:v>0.38100000000000001</c:v>
                </c:pt>
                <c:pt idx="9">
                  <c:v>0.222</c:v>
                </c:pt>
                <c:pt idx="10">
                  <c:v>0.23200000000000001</c:v>
                </c:pt>
                <c:pt idx="11">
                  <c:v>7.2999999999999995E-2</c:v>
                </c:pt>
                <c:pt idx="12">
                  <c:v>9.9000000000000005E-2</c:v>
                </c:pt>
              </c:numCache>
            </c:numRef>
          </c:val>
          <c:extLst>
            <c:ext xmlns:c16="http://schemas.microsoft.com/office/drawing/2014/chart" uri="{C3380CC4-5D6E-409C-BE32-E72D297353CC}">
              <c16:uniqueId val="{00000001-3568-4B7C-9EA6-494068611454}"/>
            </c:ext>
          </c:extLst>
        </c:ser>
        <c:dLbls>
          <c:showLegendKey val="0"/>
          <c:showVal val="0"/>
          <c:showCatName val="0"/>
          <c:showSerName val="0"/>
          <c:showPercent val="0"/>
          <c:showBubbleSize val="0"/>
        </c:dLbls>
        <c:gapWidth val="80"/>
        <c:axId val="1639976431"/>
        <c:axId val="1631339631"/>
      </c:barChart>
      <c:catAx>
        <c:axId val="1639976431"/>
        <c:scaling>
          <c:orientation val="minMax"/>
        </c:scaling>
        <c:delete val="0"/>
        <c:axPos val="l"/>
        <c:numFmt formatCode="General" sourceLinked="0"/>
        <c:majorTickMark val="out"/>
        <c:minorTickMark val="none"/>
        <c:tickLblPos val="nextTo"/>
        <c:spPr>
          <a:noFill/>
          <a:ln w="9525">
            <a:solidFill>
              <a:srgbClr val="495057"/>
            </a:solidFill>
            <a:prstDash val="soli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631339631"/>
        <c:crosses val="autoZero"/>
        <c:auto val="0"/>
        <c:lblAlgn val="ctr"/>
        <c:lblOffset val="100"/>
        <c:noMultiLvlLbl val="0"/>
      </c:catAx>
      <c:valAx>
        <c:axId val="1631339631"/>
        <c:scaling>
          <c:orientation val="minMax"/>
        </c:scaling>
        <c:delete val="0"/>
        <c:axPos val="b"/>
        <c:numFmt formatCode="General" sourceLinked="0"/>
        <c:majorTickMark val="out"/>
        <c:minorTickMark val="none"/>
        <c:tickLblPos val="nextTo"/>
        <c:spPr>
          <a:noFill/>
          <a:ln w="9525">
            <a:solidFill>
              <a:srgbClr val="495057"/>
            </a:solidFill>
            <a:prstDash val="soli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639976431"/>
        <c:crosses val="autoZero"/>
        <c:crossBetween val="between"/>
      </c:valAx>
      <c:spPr>
        <a:noFill/>
        <a:ln w="25400">
          <a:noFill/>
        </a:ln>
        <a:effectLst/>
      </c:spPr>
    </c:plotArea>
    <c:legend>
      <c:legendPos val="t"/>
      <c:layout>
        <c:manualLayout>
          <c:xMode val="edge"/>
          <c:yMode val="edge"/>
          <c:x val="0.4550299107836589"/>
          <c:y val="0.22052782150113232"/>
          <c:w val="0.34609107634930669"/>
          <c:h val="0.13531728147572603"/>
        </c:manualLayout>
      </c:layout>
      <c:overlay val="1"/>
      <c:spPr>
        <a:noFill/>
        <a:ln>
          <a:noFill/>
        </a:ln>
        <a:effectLst/>
      </c:spPr>
      <c:txPr>
        <a:bodyPr rot="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legend>
    <c:plotVisOnly val="1"/>
    <c:dispBlanksAs val="gap"/>
    <c:showDLblsOverMax val="0"/>
    <c:extLst/>
  </c:chart>
  <c:spPr>
    <a:solidFill>
      <a:srgbClr val="FFFFFF"/>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userShapes r:id="rId4"/>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8331698313299896E-2"/>
          <c:y val="0.14714391023940784"/>
          <c:w val="0.8860773398085664"/>
          <c:h val="0.712639860869834"/>
        </c:manualLayout>
      </c:layout>
      <c:lineChart>
        <c:grouping val="standard"/>
        <c:varyColors val="0"/>
        <c:ser>
          <c:idx val="0"/>
          <c:order val="0"/>
          <c:tx>
            <c:strRef>
              <c:f>'BoE FSR - Chart 3.2'!$B$9</c:f>
              <c:strCache>
                <c:ptCount val="1"/>
                <c:pt idx="0">
                  <c:v>Historic aggregate DSR</c:v>
                </c:pt>
              </c:strCache>
            </c:strRef>
          </c:tx>
          <c:spPr>
            <a:ln w="38100">
              <a:solidFill>
                <a:srgbClr val="BD1B21"/>
              </a:solidFill>
            </a:ln>
          </c:spPr>
          <c:marker>
            <c:symbol val="none"/>
          </c:marker>
          <c:cat>
            <c:numRef>
              <c:f>'BoE FSR - Chart 3.2'!$A$10:$A$161</c:f>
              <c:numCache>
                <c:formatCode>m/d/yyyy</c:formatCode>
                <c:ptCount val="152"/>
                <c:pt idx="0">
                  <c:v>32598</c:v>
                </c:pt>
                <c:pt idx="1">
                  <c:v>32689</c:v>
                </c:pt>
                <c:pt idx="2">
                  <c:v>32781</c:v>
                </c:pt>
                <c:pt idx="3">
                  <c:v>32873</c:v>
                </c:pt>
                <c:pt idx="4">
                  <c:v>32963</c:v>
                </c:pt>
                <c:pt idx="5">
                  <c:v>33054</c:v>
                </c:pt>
                <c:pt idx="6">
                  <c:v>33146</c:v>
                </c:pt>
                <c:pt idx="7">
                  <c:v>33238</c:v>
                </c:pt>
                <c:pt idx="8">
                  <c:v>33328</c:v>
                </c:pt>
                <c:pt idx="9">
                  <c:v>33419</c:v>
                </c:pt>
                <c:pt idx="10">
                  <c:v>33511</c:v>
                </c:pt>
                <c:pt idx="11">
                  <c:v>33603</c:v>
                </c:pt>
                <c:pt idx="12">
                  <c:v>33694</c:v>
                </c:pt>
                <c:pt idx="13">
                  <c:v>33785</c:v>
                </c:pt>
                <c:pt idx="14">
                  <c:v>33877</c:v>
                </c:pt>
                <c:pt idx="15">
                  <c:v>33969</c:v>
                </c:pt>
                <c:pt idx="16">
                  <c:v>34059</c:v>
                </c:pt>
                <c:pt idx="17">
                  <c:v>34150</c:v>
                </c:pt>
                <c:pt idx="18">
                  <c:v>34242</c:v>
                </c:pt>
                <c:pt idx="19">
                  <c:v>34334</c:v>
                </c:pt>
                <c:pt idx="20">
                  <c:v>34424</c:v>
                </c:pt>
                <c:pt idx="21">
                  <c:v>34515</c:v>
                </c:pt>
                <c:pt idx="22">
                  <c:v>34607</c:v>
                </c:pt>
                <c:pt idx="23">
                  <c:v>34699</c:v>
                </c:pt>
                <c:pt idx="24">
                  <c:v>34789</c:v>
                </c:pt>
                <c:pt idx="25">
                  <c:v>34880</c:v>
                </c:pt>
                <c:pt idx="26">
                  <c:v>34972</c:v>
                </c:pt>
                <c:pt idx="27">
                  <c:v>35064</c:v>
                </c:pt>
                <c:pt idx="28">
                  <c:v>35155</c:v>
                </c:pt>
                <c:pt idx="29">
                  <c:v>35246</c:v>
                </c:pt>
                <c:pt idx="30">
                  <c:v>35338</c:v>
                </c:pt>
                <c:pt idx="31">
                  <c:v>35430</c:v>
                </c:pt>
                <c:pt idx="32">
                  <c:v>35520</c:v>
                </c:pt>
                <c:pt idx="33">
                  <c:v>35611</c:v>
                </c:pt>
                <c:pt idx="34">
                  <c:v>35703</c:v>
                </c:pt>
                <c:pt idx="35">
                  <c:v>35795</c:v>
                </c:pt>
                <c:pt idx="36">
                  <c:v>35885</c:v>
                </c:pt>
                <c:pt idx="37">
                  <c:v>35976</c:v>
                </c:pt>
                <c:pt idx="38">
                  <c:v>36068</c:v>
                </c:pt>
                <c:pt idx="39">
                  <c:v>36160</c:v>
                </c:pt>
                <c:pt idx="40">
                  <c:v>36250</c:v>
                </c:pt>
                <c:pt idx="41">
                  <c:v>36341</c:v>
                </c:pt>
                <c:pt idx="42">
                  <c:v>36433</c:v>
                </c:pt>
                <c:pt idx="43">
                  <c:v>36525</c:v>
                </c:pt>
                <c:pt idx="44">
                  <c:v>36616</c:v>
                </c:pt>
                <c:pt idx="45">
                  <c:v>36707</c:v>
                </c:pt>
                <c:pt idx="46">
                  <c:v>36799</c:v>
                </c:pt>
                <c:pt idx="47">
                  <c:v>36891</c:v>
                </c:pt>
                <c:pt idx="48">
                  <c:v>36981</c:v>
                </c:pt>
                <c:pt idx="49">
                  <c:v>37072</c:v>
                </c:pt>
                <c:pt idx="50">
                  <c:v>37164</c:v>
                </c:pt>
                <c:pt idx="51">
                  <c:v>37256</c:v>
                </c:pt>
                <c:pt idx="52">
                  <c:v>37346</c:v>
                </c:pt>
                <c:pt idx="53">
                  <c:v>37437</c:v>
                </c:pt>
                <c:pt idx="54">
                  <c:v>37529</c:v>
                </c:pt>
                <c:pt idx="55">
                  <c:v>37621</c:v>
                </c:pt>
                <c:pt idx="56">
                  <c:v>37711</c:v>
                </c:pt>
                <c:pt idx="57">
                  <c:v>37802</c:v>
                </c:pt>
                <c:pt idx="58">
                  <c:v>37894</c:v>
                </c:pt>
                <c:pt idx="59">
                  <c:v>37986</c:v>
                </c:pt>
                <c:pt idx="60">
                  <c:v>38077</c:v>
                </c:pt>
                <c:pt idx="61">
                  <c:v>38168</c:v>
                </c:pt>
                <c:pt idx="62">
                  <c:v>38260</c:v>
                </c:pt>
                <c:pt idx="63">
                  <c:v>38352</c:v>
                </c:pt>
                <c:pt idx="64">
                  <c:v>38442</c:v>
                </c:pt>
                <c:pt idx="65">
                  <c:v>38533</c:v>
                </c:pt>
                <c:pt idx="66">
                  <c:v>38625</c:v>
                </c:pt>
                <c:pt idx="67">
                  <c:v>38717</c:v>
                </c:pt>
                <c:pt idx="68">
                  <c:v>38807</c:v>
                </c:pt>
                <c:pt idx="69">
                  <c:v>38898</c:v>
                </c:pt>
                <c:pt idx="70">
                  <c:v>38990</c:v>
                </c:pt>
                <c:pt idx="71">
                  <c:v>39082</c:v>
                </c:pt>
                <c:pt idx="72">
                  <c:v>39172</c:v>
                </c:pt>
                <c:pt idx="73">
                  <c:v>39263</c:v>
                </c:pt>
                <c:pt idx="74">
                  <c:v>39355</c:v>
                </c:pt>
                <c:pt idx="75">
                  <c:v>39447</c:v>
                </c:pt>
                <c:pt idx="76">
                  <c:v>39538</c:v>
                </c:pt>
                <c:pt idx="77">
                  <c:v>39629</c:v>
                </c:pt>
                <c:pt idx="78">
                  <c:v>39721</c:v>
                </c:pt>
                <c:pt idx="79">
                  <c:v>39813</c:v>
                </c:pt>
                <c:pt idx="80">
                  <c:v>39903</c:v>
                </c:pt>
                <c:pt idx="81">
                  <c:v>39994</c:v>
                </c:pt>
                <c:pt idx="82">
                  <c:v>40086</c:v>
                </c:pt>
                <c:pt idx="83">
                  <c:v>40178</c:v>
                </c:pt>
                <c:pt idx="84">
                  <c:v>40268</c:v>
                </c:pt>
                <c:pt idx="85">
                  <c:v>40359</c:v>
                </c:pt>
                <c:pt idx="86">
                  <c:v>40451</c:v>
                </c:pt>
                <c:pt idx="87">
                  <c:v>40543</c:v>
                </c:pt>
                <c:pt idx="88">
                  <c:v>40633</c:v>
                </c:pt>
                <c:pt idx="89">
                  <c:v>40724</c:v>
                </c:pt>
                <c:pt idx="90">
                  <c:v>40816</c:v>
                </c:pt>
                <c:pt idx="91">
                  <c:v>40908</c:v>
                </c:pt>
                <c:pt idx="92">
                  <c:v>40999</c:v>
                </c:pt>
                <c:pt idx="93">
                  <c:v>41090</c:v>
                </c:pt>
                <c:pt idx="94">
                  <c:v>41182</c:v>
                </c:pt>
                <c:pt idx="95">
                  <c:v>41274</c:v>
                </c:pt>
                <c:pt idx="96">
                  <c:v>41364</c:v>
                </c:pt>
                <c:pt idx="97">
                  <c:v>41455</c:v>
                </c:pt>
                <c:pt idx="98">
                  <c:v>41547</c:v>
                </c:pt>
                <c:pt idx="99">
                  <c:v>41639</c:v>
                </c:pt>
                <c:pt idx="100">
                  <c:v>41729</c:v>
                </c:pt>
                <c:pt idx="101">
                  <c:v>41820</c:v>
                </c:pt>
                <c:pt idx="102">
                  <c:v>41912</c:v>
                </c:pt>
                <c:pt idx="103">
                  <c:v>42004</c:v>
                </c:pt>
                <c:pt idx="104">
                  <c:v>42094</c:v>
                </c:pt>
                <c:pt idx="105">
                  <c:v>42185</c:v>
                </c:pt>
                <c:pt idx="106">
                  <c:v>42277</c:v>
                </c:pt>
                <c:pt idx="107">
                  <c:v>42369</c:v>
                </c:pt>
                <c:pt idx="108">
                  <c:v>42460</c:v>
                </c:pt>
                <c:pt idx="109">
                  <c:v>42551</c:v>
                </c:pt>
                <c:pt idx="110">
                  <c:v>42643</c:v>
                </c:pt>
                <c:pt idx="111">
                  <c:v>42735</c:v>
                </c:pt>
                <c:pt idx="112">
                  <c:v>42825</c:v>
                </c:pt>
                <c:pt idx="113">
                  <c:v>42916</c:v>
                </c:pt>
                <c:pt idx="114">
                  <c:v>43008</c:v>
                </c:pt>
                <c:pt idx="115">
                  <c:v>43100</c:v>
                </c:pt>
                <c:pt idx="116">
                  <c:v>43190</c:v>
                </c:pt>
                <c:pt idx="117">
                  <c:v>43281</c:v>
                </c:pt>
                <c:pt idx="118">
                  <c:v>43373</c:v>
                </c:pt>
                <c:pt idx="119">
                  <c:v>43465</c:v>
                </c:pt>
                <c:pt idx="120">
                  <c:v>43555</c:v>
                </c:pt>
                <c:pt idx="121">
                  <c:v>43646</c:v>
                </c:pt>
                <c:pt idx="122">
                  <c:v>43738</c:v>
                </c:pt>
                <c:pt idx="123">
                  <c:v>43830</c:v>
                </c:pt>
                <c:pt idx="124">
                  <c:v>43921</c:v>
                </c:pt>
                <c:pt idx="125">
                  <c:v>44012</c:v>
                </c:pt>
                <c:pt idx="126">
                  <c:v>44104</c:v>
                </c:pt>
                <c:pt idx="127">
                  <c:v>44196</c:v>
                </c:pt>
                <c:pt idx="128">
                  <c:v>44286</c:v>
                </c:pt>
                <c:pt idx="129">
                  <c:v>44377</c:v>
                </c:pt>
                <c:pt idx="130">
                  <c:v>44469</c:v>
                </c:pt>
                <c:pt idx="131">
                  <c:v>44561</c:v>
                </c:pt>
                <c:pt idx="132">
                  <c:v>44651</c:v>
                </c:pt>
                <c:pt idx="133">
                  <c:v>44742</c:v>
                </c:pt>
                <c:pt idx="134">
                  <c:v>44834</c:v>
                </c:pt>
                <c:pt idx="135">
                  <c:v>44926</c:v>
                </c:pt>
                <c:pt idx="136">
                  <c:v>45016</c:v>
                </c:pt>
                <c:pt idx="137">
                  <c:v>45107</c:v>
                </c:pt>
                <c:pt idx="138">
                  <c:v>45199</c:v>
                </c:pt>
                <c:pt idx="139">
                  <c:v>45291</c:v>
                </c:pt>
                <c:pt idx="140">
                  <c:v>45382</c:v>
                </c:pt>
                <c:pt idx="141">
                  <c:v>45473</c:v>
                </c:pt>
                <c:pt idx="142">
                  <c:v>45565</c:v>
                </c:pt>
                <c:pt idx="143">
                  <c:v>45657</c:v>
                </c:pt>
                <c:pt idx="144">
                  <c:v>45747</c:v>
                </c:pt>
                <c:pt idx="145">
                  <c:v>45838</c:v>
                </c:pt>
                <c:pt idx="146">
                  <c:v>45930</c:v>
                </c:pt>
                <c:pt idx="147">
                  <c:v>46022</c:v>
                </c:pt>
                <c:pt idx="148">
                  <c:v>46112</c:v>
                </c:pt>
                <c:pt idx="149">
                  <c:v>46203</c:v>
                </c:pt>
                <c:pt idx="150">
                  <c:v>46295</c:v>
                </c:pt>
                <c:pt idx="151">
                  <c:v>46387</c:v>
                </c:pt>
              </c:numCache>
            </c:numRef>
          </c:cat>
          <c:val>
            <c:numRef>
              <c:f>'BoE FSR - Chart 3.2'!$B$10:$B$161</c:f>
              <c:numCache>
                <c:formatCode>0.00</c:formatCode>
                <c:ptCount val="152"/>
                <c:pt idx="1">
                  <c:v>7.8975954225348648</c:v>
                </c:pt>
                <c:pt idx="2">
                  <c:v>7.977460901608123</c:v>
                </c:pt>
                <c:pt idx="3">
                  <c:v>8.6230041359791905</c:v>
                </c:pt>
                <c:pt idx="4">
                  <c:v>8.9598721653479796</c:v>
                </c:pt>
                <c:pt idx="5">
                  <c:v>9.2686690954914521</c:v>
                </c:pt>
                <c:pt idx="6">
                  <c:v>9.4947677518517093</c:v>
                </c:pt>
                <c:pt idx="7">
                  <c:v>9.2399265487612201</c:v>
                </c:pt>
                <c:pt idx="8">
                  <c:v>9.0688887246928847</c:v>
                </c:pt>
                <c:pt idx="9">
                  <c:v>9.258981667377137</c:v>
                </c:pt>
                <c:pt idx="10">
                  <c:v>8.6302230774238318</c:v>
                </c:pt>
                <c:pt idx="11">
                  <c:v>8.2371609588766361</c:v>
                </c:pt>
                <c:pt idx="12">
                  <c:v>7.8477026605920912</c:v>
                </c:pt>
                <c:pt idx="13">
                  <c:v>7.9086740635098689</c:v>
                </c:pt>
                <c:pt idx="14">
                  <c:v>7.8683635771965177</c:v>
                </c:pt>
                <c:pt idx="15">
                  <c:v>7.2330801422716364</c:v>
                </c:pt>
                <c:pt idx="16">
                  <c:v>6.4973538658102017</c:v>
                </c:pt>
                <c:pt idx="17">
                  <c:v>6.2362565964472054</c:v>
                </c:pt>
                <c:pt idx="18">
                  <c:v>6.2048556437273588</c:v>
                </c:pt>
                <c:pt idx="19">
                  <c:v>6.1141150730948812</c:v>
                </c:pt>
                <c:pt idx="20">
                  <c:v>6.1618626425043903</c:v>
                </c:pt>
                <c:pt idx="21">
                  <c:v>6.2334380663420461</c:v>
                </c:pt>
                <c:pt idx="22">
                  <c:v>6.2049858270601206</c:v>
                </c:pt>
                <c:pt idx="23">
                  <c:v>6.3848829114902834</c:v>
                </c:pt>
                <c:pt idx="24">
                  <c:v>6.2933023312623568</c:v>
                </c:pt>
                <c:pt idx="25">
                  <c:v>6.4819352398281485</c:v>
                </c:pt>
                <c:pt idx="26">
                  <c:v>6.4094013702884016</c:v>
                </c:pt>
                <c:pt idx="27">
                  <c:v>6.1963483890271407</c:v>
                </c:pt>
                <c:pt idx="28">
                  <c:v>5.8307595789581192</c:v>
                </c:pt>
                <c:pt idx="29">
                  <c:v>5.7258354158970635</c:v>
                </c:pt>
                <c:pt idx="30">
                  <c:v>5.7058562542164193</c:v>
                </c:pt>
                <c:pt idx="31">
                  <c:v>5.7703452746002517</c:v>
                </c:pt>
                <c:pt idx="32">
                  <c:v>5.7204034136457924</c:v>
                </c:pt>
                <c:pt idx="33">
                  <c:v>5.9239302980623227</c:v>
                </c:pt>
                <c:pt idx="34">
                  <c:v>6.1949218722664918</c:v>
                </c:pt>
                <c:pt idx="35">
                  <c:v>6.4161957390853273</c:v>
                </c:pt>
                <c:pt idx="36">
                  <c:v>6.6754810297069591</c:v>
                </c:pt>
                <c:pt idx="37">
                  <c:v>6.8895485580680758</c:v>
                </c:pt>
                <c:pt idx="38">
                  <c:v>6.9290539925438557</c:v>
                </c:pt>
                <c:pt idx="39">
                  <c:v>6.9555432862896911</c:v>
                </c:pt>
                <c:pt idx="40">
                  <c:v>6.5614829665114183</c:v>
                </c:pt>
                <c:pt idx="41">
                  <c:v>6.3441514139359239</c:v>
                </c:pt>
                <c:pt idx="42">
                  <c:v>6.3561838695024129</c:v>
                </c:pt>
                <c:pt idx="43">
                  <c:v>6.293445058243444</c:v>
                </c:pt>
                <c:pt idx="44">
                  <c:v>6.5423647533821132</c:v>
                </c:pt>
                <c:pt idx="45">
                  <c:v>6.8705036225842049</c:v>
                </c:pt>
                <c:pt idx="46">
                  <c:v>6.8747234417869398</c:v>
                </c:pt>
                <c:pt idx="47">
                  <c:v>6.8170654757910496</c:v>
                </c:pt>
                <c:pt idx="48">
                  <c:v>6.8236090019768509</c:v>
                </c:pt>
                <c:pt idx="49">
                  <c:v>6.7495030090498078</c:v>
                </c:pt>
                <c:pt idx="50">
                  <c:v>6.7628444021848502</c:v>
                </c:pt>
                <c:pt idx="51">
                  <c:v>6.7116219177893806</c:v>
                </c:pt>
                <c:pt idx="52">
                  <c:v>7.0930035229619772</c:v>
                </c:pt>
                <c:pt idx="53">
                  <c:v>6.9252924978502621</c:v>
                </c:pt>
                <c:pt idx="54">
                  <c:v>7.2180891178615019</c:v>
                </c:pt>
                <c:pt idx="55">
                  <c:v>7.6669776174696196</c:v>
                </c:pt>
                <c:pt idx="56">
                  <c:v>7.6594879057188354</c:v>
                </c:pt>
                <c:pt idx="57">
                  <c:v>7.7269131648778631</c:v>
                </c:pt>
                <c:pt idx="58">
                  <c:v>7.7568570119180853</c:v>
                </c:pt>
                <c:pt idx="59">
                  <c:v>7.9798967992436323</c:v>
                </c:pt>
                <c:pt idx="60">
                  <c:v>8.3616322417107583</c:v>
                </c:pt>
                <c:pt idx="61">
                  <c:v>8.6833267029445498</c:v>
                </c:pt>
                <c:pt idx="62">
                  <c:v>9.1757820153806424</c:v>
                </c:pt>
                <c:pt idx="63">
                  <c:v>9.3801221397902026</c:v>
                </c:pt>
                <c:pt idx="64">
                  <c:v>9.5847897378010938</c:v>
                </c:pt>
                <c:pt idx="65">
                  <c:v>9.3701117610156501</c:v>
                </c:pt>
                <c:pt idx="66">
                  <c:v>9.409785137900176</c:v>
                </c:pt>
                <c:pt idx="67">
                  <c:v>9.4692494312990192</c:v>
                </c:pt>
                <c:pt idx="68">
                  <c:v>9.8089549383878705</c:v>
                </c:pt>
                <c:pt idx="69">
                  <c:v>9.7034021069672587</c:v>
                </c:pt>
                <c:pt idx="70">
                  <c:v>9.8509786681645668</c:v>
                </c:pt>
                <c:pt idx="71">
                  <c:v>9.9705228856312011</c:v>
                </c:pt>
                <c:pt idx="72">
                  <c:v>10.653359984234198</c:v>
                </c:pt>
                <c:pt idx="73">
                  <c:v>10.379437235617075</c:v>
                </c:pt>
                <c:pt idx="74">
                  <c:v>10.630019274845425</c:v>
                </c:pt>
                <c:pt idx="75">
                  <c:v>10.756692392520408</c:v>
                </c:pt>
                <c:pt idx="76">
                  <c:v>10.702588884217343</c:v>
                </c:pt>
                <c:pt idx="77">
                  <c:v>10.301118776921641</c:v>
                </c:pt>
                <c:pt idx="78">
                  <c:v>10.63531743755274</c:v>
                </c:pt>
                <c:pt idx="79">
                  <c:v>10.543166797314276</c:v>
                </c:pt>
                <c:pt idx="80">
                  <c:v>9.2844099592373386</c:v>
                </c:pt>
                <c:pt idx="81">
                  <c:v>8.5184448697734005</c:v>
                </c:pt>
                <c:pt idx="82">
                  <c:v>8.2013980908321535</c:v>
                </c:pt>
                <c:pt idx="83">
                  <c:v>8.0397469202921421</c:v>
                </c:pt>
                <c:pt idx="84">
                  <c:v>7.9260751258955704</c:v>
                </c:pt>
                <c:pt idx="85">
                  <c:v>7.7234497623985101</c:v>
                </c:pt>
                <c:pt idx="86">
                  <c:v>7.6056669736140572</c:v>
                </c:pt>
                <c:pt idx="87">
                  <c:v>7.6459672046431741</c:v>
                </c:pt>
                <c:pt idx="88">
                  <c:v>7.7978706642071582</c:v>
                </c:pt>
                <c:pt idx="89">
                  <c:v>7.602042415882214</c:v>
                </c:pt>
                <c:pt idx="90">
                  <c:v>7.452456408121555</c:v>
                </c:pt>
                <c:pt idx="91">
                  <c:v>7.5794625646359446</c:v>
                </c:pt>
                <c:pt idx="92">
                  <c:v>7.5456673994028947</c:v>
                </c:pt>
                <c:pt idx="93">
                  <c:v>7.5877036835769838</c:v>
                </c:pt>
                <c:pt idx="94">
                  <c:v>7.566896070861123</c:v>
                </c:pt>
                <c:pt idx="95">
                  <c:v>7.7086552176791914</c:v>
                </c:pt>
                <c:pt idx="96">
                  <c:v>7.7338664235159991</c:v>
                </c:pt>
                <c:pt idx="97">
                  <c:v>7.454797295396733</c:v>
                </c:pt>
                <c:pt idx="98">
                  <c:v>7.573583240868996</c:v>
                </c:pt>
                <c:pt idx="99">
                  <c:v>7.4594958246532412</c:v>
                </c:pt>
                <c:pt idx="100">
                  <c:v>7.4364799442440734</c:v>
                </c:pt>
                <c:pt idx="101">
                  <c:v>7.4725480821833097</c:v>
                </c:pt>
                <c:pt idx="102">
                  <c:v>7.7330378616216473</c:v>
                </c:pt>
                <c:pt idx="103">
                  <c:v>7.5494128413526376</c:v>
                </c:pt>
                <c:pt idx="104">
                  <c:v>7.400071620626929</c:v>
                </c:pt>
                <c:pt idx="105">
                  <c:v>7.1930218429243782</c:v>
                </c:pt>
                <c:pt idx="106">
                  <c:v>7.0787570496820829</c:v>
                </c:pt>
                <c:pt idx="107">
                  <c:v>7.2133482013187535</c:v>
                </c:pt>
                <c:pt idx="108">
                  <c:v>7.1029319648044309</c:v>
                </c:pt>
                <c:pt idx="109">
                  <c:v>7.0176686359603764</c:v>
                </c:pt>
                <c:pt idx="110">
                  <c:v>7.0689921059280669</c:v>
                </c:pt>
                <c:pt idx="111">
                  <c:v>6.8394546969006251</c:v>
                </c:pt>
                <c:pt idx="112">
                  <c:v>7.001893192715718</c:v>
                </c:pt>
                <c:pt idx="113">
                  <c:v>7.0070621056462477</c:v>
                </c:pt>
                <c:pt idx="114">
                  <c:v>6.7890752868170425</c:v>
                </c:pt>
                <c:pt idx="115">
                  <c:v>6.887073773598468</c:v>
                </c:pt>
                <c:pt idx="116">
                  <c:v>6.7809716464613219</c:v>
                </c:pt>
                <c:pt idx="117">
                  <c:v>6.8117510032595874</c:v>
                </c:pt>
                <c:pt idx="118">
                  <c:v>6.7876852140201462</c:v>
                </c:pt>
                <c:pt idx="119">
                  <c:v>6.6884704438552616</c:v>
                </c:pt>
                <c:pt idx="120">
                  <c:v>6.5970620328474059</c:v>
                </c:pt>
                <c:pt idx="121">
                  <c:v>6.3934863300850768</c:v>
                </c:pt>
                <c:pt idx="122">
                  <c:v>6.5403762900674467</c:v>
                </c:pt>
                <c:pt idx="123">
                  <c:v>6.6035512505869018</c:v>
                </c:pt>
                <c:pt idx="124">
                  <c:v>6.820538546404145</c:v>
                </c:pt>
                <c:pt idx="125">
                  <c:v>6.0491081155995632</c:v>
                </c:pt>
                <c:pt idx="126">
                  <c:v>6.1963489877816418</c:v>
                </c:pt>
                <c:pt idx="127">
                  <c:v>6.4185898160278656</c:v>
                </c:pt>
                <c:pt idx="128">
                  <c:v>6.4628689531997336</c:v>
                </c:pt>
                <c:pt idx="129">
                  <c:v>6.5672491135208135</c:v>
                </c:pt>
                <c:pt idx="130">
                  <c:v>6.4570171534399474</c:v>
                </c:pt>
                <c:pt idx="131">
                  <c:v>6.5555851839162322</c:v>
                </c:pt>
                <c:pt idx="132">
                  <c:v>6.5272833630660108</c:v>
                </c:pt>
                <c:pt idx="133">
                  <c:v>6.374775572408975</c:v>
                </c:pt>
                <c:pt idx="134">
                  <c:v>6.4257920539195696</c:v>
                </c:pt>
                <c:pt idx="135">
                  <c:v>6.6961631419331997</c:v>
                </c:pt>
                <c:pt idx="136">
                  <c:v>6.8978800402315033</c:v>
                </c:pt>
                <c:pt idx="137">
                  <c:v>6.7722082633763305</c:v>
                </c:pt>
                <c:pt idx="138">
                  <c:v>7.0434703207925624</c:v>
                </c:pt>
                <c:pt idx="139">
                  <c:v>7.3475082410728021</c:v>
                </c:pt>
              </c:numCache>
            </c:numRef>
          </c:val>
          <c:smooth val="0"/>
          <c:extLst>
            <c:ext xmlns:c16="http://schemas.microsoft.com/office/drawing/2014/chart" uri="{C3380CC4-5D6E-409C-BE32-E72D297353CC}">
              <c16:uniqueId val="{00000000-E850-417B-95DA-4ED900504230}"/>
            </c:ext>
          </c:extLst>
        </c:ser>
        <c:ser>
          <c:idx val="1"/>
          <c:order val="1"/>
          <c:tx>
            <c:strRef>
              <c:f>'BoE FSR - Chart 3.2'!$C$9</c:f>
              <c:strCache>
                <c:ptCount val="1"/>
                <c:pt idx="0">
                  <c:v>Q2 24 Projected</c:v>
                </c:pt>
              </c:strCache>
            </c:strRef>
          </c:tx>
          <c:spPr>
            <a:ln w="38100">
              <a:solidFill>
                <a:srgbClr val="003469"/>
              </a:solidFill>
            </a:ln>
          </c:spPr>
          <c:marker>
            <c:symbol val="none"/>
          </c:marker>
          <c:cat>
            <c:numRef>
              <c:f>'BoE FSR - Chart 3.2'!$A$10:$A$161</c:f>
              <c:numCache>
                <c:formatCode>m/d/yyyy</c:formatCode>
                <c:ptCount val="152"/>
                <c:pt idx="0">
                  <c:v>32598</c:v>
                </c:pt>
                <c:pt idx="1">
                  <c:v>32689</c:v>
                </c:pt>
                <c:pt idx="2">
                  <c:v>32781</c:v>
                </c:pt>
                <c:pt idx="3">
                  <c:v>32873</c:v>
                </c:pt>
                <c:pt idx="4">
                  <c:v>32963</c:v>
                </c:pt>
                <c:pt idx="5">
                  <c:v>33054</c:v>
                </c:pt>
                <c:pt idx="6">
                  <c:v>33146</c:v>
                </c:pt>
                <c:pt idx="7">
                  <c:v>33238</c:v>
                </c:pt>
                <c:pt idx="8">
                  <c:v>33328</c:v>
                </c:pt>
                <c:pt idx="9">
                  <c:v>33419</c:v>
                </c:pt>
                <c:pt idx="10">
                  <c:v>33511</c:v>
                </c:pt>
                <c:pt idx="11">
                  <c:v>33603</c:v>
                </c:pt>
                <c:pt idx="12">
                  <c:v>33694</c:v>
                </c:pt>
                <c:pt idx="13">
                  <c:v>33785</c:v>
                </c:pt>
                <c:pt idx="14">
                  <c:v>33877</c:v>
                </c:pt>
                <c:pt idx="15">
                  <c:v>33969</c:v>
                </c:pt>
                <c:pt idx="16">
                  <c:v>34059</c:v>
                </c:pt>
                <c:pt idx="17">
                  <c:v>34150</c:v>
                </c:pt>
                <c:pt idx="18">
                  <c:v>34242</c:v>
                </c:pt>
                <c:pt idx="19">
                  <c:v>34334</c:v>
                </c:pt>
                <c:pt idx="20">
                  <c:v>34424</c:v>
                </c:pt>
                <c:pt idx="21">
                  <c:v>34515</c:v>
                </c:pt>
                <c:pt idx="22">
                  <c:v>34607</c:v>
                </c:pt>
                <c:pt idx="23">
                  <c:v>34699</c:v>
                </c:pt>
                <c:pt idx="24">
                  <c:v>34789</c:v>
                </c:pt>
                <c:pt idx="25">
                  <c:v>34880</c:v>
                </c:pt>
                <c:pt idx="26">
                  <c:v>34972</c:v>
                </c:pt>
                <c:pt idx="27">
                  <c:v>35064</c:v>
                </c:pt>
                <c:pt idx="28">
                  <c:v>35155</c:v>
                </c:pt>
                <c:pt idx="29">
                  <c:v>35246</c:v>
                </c:pt>
                <c:pt idx="30">
                  <c:v>35338</c:v>
                </c:pt>
                <c:pt idx="31">
                  <c:v>35430</c:v>
                </c:pt>
                <c:pt idx="32">
                  <c:v>35520</c:v>
                </c:pt>
                <c:pt idx="33">
                  <c:v>35611</c:v>
                </c:pt>
                <c:pt idx="34">
                  <c:v>35703</c:v>
                </c:pt>
                <c:pt idx="35">
                  <c:v>35795</c:v>
                </c:pt>
                <c:pt idx="36">
                  <c:v>35885</c:v>
                </c:pt>
                <c:pt idx="37">
                  <c:v>35976</c:v>
                </c:pt>
                <c:pt idx="38">
                  <c:v>36068</c:v>
                </c:pt>
                <c:pt idx="39">
                  <c:v>36160</c:v>
                </c:pt>
                <c:pt idx="40">
                  <c:v>36250</c:v>
                </c:pt>
                <c:pt idx="41">
                  <c:v>36341</c:v>
                </c:pt>
                <c:pt idx="42">
                  <c:v>36433</c:v>
                </c:pt>
                <c:pt idx="43">
                  <c:v>36525</c:v>
                </c:pt>
                <c:pt idx="44">
                  <c:v>36616</c:v>
                </c:pt>
                <c:pt idx="45">
                  <c:v>36707</c:v>
                </c:pt>
                <c:pt idx="46">
                  <c:v>36799</c:v>
                </c:pt>
                <c:pt idx="47">
                  <c:v>36891</c:v>
                </c:pt>
                <c:pt idx="48">
                  <c:v>36981</c:v>
                </c:pt>
                <c:pt idx="49">
                  <c:v>37072</c:v>
                </c:pt>
                <c:pt idx="50">
                  <c:v>37164</c:v>
                </c:pt>
                <c:pt idx="51">
                  <c:v>37256</c:v>
                </c:pt>
                <c:pt idx="52">
                  <c:v>37346</c:v>
                </c:pt>
                <c:pt idx="53">
                  <c:v>37437</c:v>
                </c:pt>
                <c:pt idx="54">
                  <c:v>37529</c:v>
                </c:pt>
                <c:pt idx="55">
                  <c:v>37621</c:v>
                </c:pt>
                <c:pt idx="56">
                  <c:v>37711</c:v>
                </c:pt>
                <c:pt idx="57">
                  <c:v>37802</c:v>
                </c:pt>
                <c:pt idx="58">
                  <c:v>37894</c:v>
                </c:pt>
                <c:pt idx="59">
                  <c:v>37986</c:v>
                </c:pt>
                <c:pt idx="60">
                  <c:v>38077</c:v>
                </c:pt>
                <c:pt idx="61">
                  <c:v>38168</c:v>
                </c:pt>
                <c:pt idx="62">
                  <c:v>38260</c:v>
                </c:pt>
                <c:pt idx="63">
                  <c:v>38352</c:v>
                </c:pt>
                <c:pt idx="64">
                  <c:v>38442</c:v>
                </c:pt>
                <c:pt idx="65">
                  <c:v>38533</c:v>
                </c:pt>
                <c:pt idx="66">
                  <c:v>38625</c:v>
                </c:pt>
                <c:pt idx="67">
                  <c:v>38717</c:v>
                </c:pt>
                <c:pt idx="68">
                  <c:v>38807</c:v>
                </c:pt>
                <c:pt idx="69">
                  <c:v>38898</c:v>
                </c:pt>
                <c:pt idx="70">
                  <c:v>38990</c:v>
                </c:pt>
                <c:pt idx="71">
                  <c:v>39082</c:v>
                </c:pt>
                <c:pt idx="72">
                  <c:v>39172</c:v>
                </c:pt>
                <c:pt idx="73">
                  <c:v>39263</c:v>
                </c:pt>
                <c:pt idx="74">
                  <c:v>39355</c:v>
                </c:pt>
                <c:pt idx="75">
                  <c:v>39447</c:v>
                </c:pt>
                <c:pt idx="76">
                  <c:v>39538</c:v>
                </c:pt>
                <c:pt idx="77">
                  <c:v>39629</c:v>
                </c:pt>
                <c:pt idx="78">
                  <c:v>39721</c:v>
                </c:pt>
                <c:pt idx="79">
                  <c:v>39813</c:v>
                </c:pt>
                <c:pt idx="80">
                  <c:v>39903</c:v>
                </c:pt>
                <c:pt idx="81">
                  <c:v>39994</c:v>
                </c:pt>
                <c:pt idx="82">
                  <c:v>40086</c:v>
                </c:pt>
                <c:pt idx="83">
                  <c:v>40178</c:v>
                </c:pt>
                <c:pt idx="84">
                  <c:v>40268</c:v>
                </c:pt>
                <c:pt idx="85">
                  <c:v>40359</c:v>
                </c:pt>
                <c:pt idx="86">
                  <c:v>40451</c:v>
                </c:pt>
                <c:pt idx="87">
                  <c:v>40543</c:v>
                </c:pt>
                <c:pt idx="88">
                  <c:v>40633</c:v>
                </c:pt>
                <c:pt idx="89">
                  <c:v>40724</c:v>
                </c:pt>
                <c:pt idx="90">
                  <c:v>40816</c:v>
                </c:pt>
                <c:pt idx="91">
                  <c:v>40908</c:v>
                </c:pt>
                <c:pt idx="92">
                  <c:v>40999</c:v>
                </c:pt>
                <c:pt idx="93">
                  <c:v>41090</c:v>
                </c:pt>
                <c:pt idx="94">
                  <c:v>41182</c:v>
                </c:pt>
                <c:pt idx="95">
                  <c:v>41274</c:v>
                </c:pt>
                <c:pt idx="96">
                  <c:v>41364</c:v>
                </c:pt>
                <c:pt idx="97">
                  <c:v>41455</c:v>
                </c:pt>
                <c:pt idx="98">
                  <c:v>41547</c:v>
                </c:pt>
                <c:pt idx="99">
                  <c:v>41639</c:v>
                </c:pt>
                <c:pt idx="100">
                  <c:v>41729</c:v>
                </c:pt>
                <c:pt idx="101">
                  <c:v>41820</c:v>
                </c:pt>
                <c:pt idx="102">
                  <c:v>41912</c:v>
                </c:pt>
                <c:pt idx="103">
                  <c:v>42004</c:v>
                </c:pt>
                <c:pt idx="104">
                  <c:v>42094</c:v>
                </c:pt>
                <c:pt idx="105">
                  <c:v>42185</c:v>
                </c:pt>
                <c:pt idx="106">
                  <c:v>42277</c:v>
                </c:pt>
                <c:pt idx="107">
                  <c:v>42369</c:v>
                </c:pt>
                <c:pt idx="108">
                  <c:v>42460</c:v>
                </c:pt>
                <c:pt idx="109">
                  <c:v>42551</c:v>
                </c:pt>
                <c:pt idx="110">
                  <c:v>42643</c:v>
                </c:pt>
                <c:pt idx="111">
                  <c:v>42735</c:v>
                </c:pt>
                <c:pt idx="112">
                  <c:v>42825</c:v>
                </c:pt>
                <c:pt idx="113">
                  <c:v>42916</c:v>
                </c:pt>
                <c:pt idx="114">
                  <c:v>43008</c:v>
                </c:pt>
                <c:pt idx="115">
                  <c:v>43100</c:v>
                </c:pt>
                <c:pt idx="116">
                  <c:v>43190</c:v>
                </c:pt>
                <c:pt idx="117">
                  <c:v>43281</c:v>
                </c:pt>
                <c:pt idx="118">
                  <c:v>43373</c:v>
                </c:pt>
                <c:pt idx="119">
                  <c:v>43465</c:v>
                </c:pt>
                <c:pt idx="120">
                  <c:v>43555</c:v>
                </c:pt>
                <c:pt idx="121">
                  <c:v>43646</c:v>
                </c:pt>
                <c:pt idx="122">
                  <c:v>43738</c:v>
                </c:pt>
                <c:pt idx="123">
                  <c:v>43830</c:v>
                </c:pt>
                <c:pt idx="124">
                  <c:v>43921</c:v>
                </c:pt>
                <c:pt idx="125">
                  <c:v>44012</c:v>
                </c:pt>
                <c:pt idx="126">
                  <c:v>44104</c:v>
                </c:pt>
                <c:pt idx="127">
                  <c:v>44196</c:v>
                </c:pt>
                <c:pt idx="128">
                  <c:v>44286</c:v>
                </c:pt>
                <c:pt idx="129">
                  <c:v>44377</c:v>
                </c:pt>
                <c:pt idx="130">
                  <c:v>44469</c:v>
                </c:pt>
                <c:pt idx="131">
                  <c:v>44561</c:v>
                </c:pt>
                <c:pt idx="132">
                  <c:v>44651</c:v>
                </c:pt>
                <c:pt idx="133">
                  <c:v>44742</c:v>
                </c:pt>
                <c:pt idx="134">
                  <c:v>44834</c:v>
                </c:pt>
                <c:pt idx="135">
                  <c:v>44926</c:v>
                </c:pt>
                <c:pt idx="136">
                  <c:v>45016</c:v>
                </c:pt>
                <c:pt idx="137">
                  <c:v>45107</c:v>
                </c:pt>
                <c:pt idx="138">
                  <c:v>45199</c:v>
                </c:pt>
                <c:pt idx="139">
                  <c:v>45291</c:v>
                </c:pt>
                <c:pt idx="140">
                  <c:v>45382</c:v>
                </c:pt>
                <c:pt idx="141">
                  <c:v>45473</c:v>
                </c:pt>
                <c:pt idx="142">
                  <c:v>45565</c:v>
                </c:pt>
                <c:pt idx="143">
                  <c:v>45657</c:v>
                </c:pt>
                <c:pt idx="144">
                  <c:v>45747</c:v>
                </c:pt>
                <c:pt idx="145">
                  <c:v>45838</c:v>
                </c:pt>
                <c:pt idx="146">
                  <c:v>45930</c:v>
                </c:pt>
                <c:pt idx="147">
                  <c:v>46022</c:v>
                </c:pt>
                <c:pt idx="148">
                  <c:v>46112</c:v>
                </c:pt>
                <c:pt idx="149">
                  <c:v>46203</c:v>
                </c:pt>
                <c:pt idx="150">
                  <c:v>46295</c:v>
                </c:pt>
                <c:pt idx="151">
                  <c:v>46387</c:v>
                </c:pt>
              </c:numCache>
            </c:numRef>
          </c:cat>
          <c:val>
            <c:numRef>
              <c:f>'BoE FSR - Chart 3.2'!$C$10:$C$161</c:f>
              <c:numCache>
                <c:formatCode>0.00</c:formatCode>
                <c:ptCount val="152"/>
                <c:pt idx="139">
                  <c:v>7.3475082410728021</c:v>
                </c:pt>
                <c:pt idx="140">
                  <c:v>7.5791544818190228</c:v>
                </c:pt>
                <c:pt idx="141">
                  <c:v>7.6832132165349547</c:v>
                </c:pt>
                <c:pt idx="142">
                  <c:v>7.7564118871543632</c:v>
                </c:pt>
                <c:pt idx="143">
                  <c:v>7.8267576608664786</c:v>
                </c:pt>
                <c:pt idx="144">
                  <c:v>7.8900806545196671</c:v>
                </c:pt>
                <c:pt idx="145">
                  <c:v>7.9578065187814202</c:v>
                </c:pt>
                <c:pt idx="146">
                  <c:v>8.0326906768664781</c:v>
                </c:pt>
                <c:pt idx="147">
                  <c:v>8.1014650908504517</c:v>
                </c:pt>
                <c:pt idx="148">
                  <c:v>8.1493591252052049</c:v>
                </c:pt>
                <c:pt idx="149">
                  <c:v>8.2173006841587259</c:v>
                </c:pt>
                <c:pt idx="150">
                  <c:v>8.305137951629435</c:v>
                </c:pt>
                <c:pt idx="151">
                  <c:v>8.4105681572834925</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20"/>
        <c:tickMarkSkip val="4"/>
        <c:noMultiLvlLbl val="0"/>
      </c:cat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9737273830466415"/>
          <c:y val="0.63003399945882599"/>
          <c:w val="0.42052557096204418"/>
          <c:h val="0.11078465330314527"/>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view3D>
      <c:rotX val="40"/>
      <c:rotY val="0"/>
      <c:depthPercent val="100"/>
      <c:rAngAx val="0"/>
      <c:perspective val="0"/>
    </c:view3D>
    <c:floor>
      <c:thickness val="0"/>
    </c:floor>
    <c:sideWall>
      <c:thickness val="0"/>
      <c:spPr>
        <a:noFill/>
        <a:ln w="25400">
          <a:noFill/>
        </a:ln>
      </c:spPr>
    </c:sideWall>
    <c:backWall>
      <c:thickness val="0"/>
      <c:spPr>
        <a:noFill/>
        <a:ln w="25400">
          <a:noFill/>
        </a:ln>
      </c:spPr>
    </c:backWall>
    <c:plotArea>
      <c:layout>
        <c:manualLayout>
          <c:layoutTarget val="inner"/>
          <c:xMode val="edge"/>
          <c:yMode val="edge"/>
          <c:x val="0.17776852469712473"/>
          <c:y val="4.5320325058377603E-2"/>
          <c:w val="0.67793031374591195"/>
          <c:h val="0.84920635982010195"/>
        </c:manualLayout>
      </c:layout>
      <c:pie3DChart>
        <c:varyColors val="1"/>
        <c:ser>
          <c:idx val="0"/>
          <c:order val="0"/>
          <c:tx>
            <c:strRef>
              <c:f>'Chart Data'!$I$3</c:f>
              <c:strCache>
                <c:ptCount val="1"/>
                <c:pt idx="0">
                  <c:v>Average</c:v>
                </c:pt>
              </c:strCache>
            </c:strRef>
          </c:tx>
          <c:explosion val="10"/>
          <c:dPt>
            <c:idx val="6"/>
            <c:bubble3D val="0"/>
            <c:spPr>
              <a:solidFill>
                <a:srgbClr val="00793F"/>
              </a:solidFill>
            </c:spPr>
            <c:extLst>
              <c:ext xmlns:c16="http://schemas.microsoft.com/office/drawing/2014/chart" uri="{C3380CC4-5D6E-409C-BE32-E72D297353CC}">
                <c16:uniqueId val="{0000001F-A82D-44A4-817D-9CEEE4E77BAE}"/>
              </c:ext>
            </c:extLst>
          </c:dPt>
          <c:dPt>
            <c:idx val="7"/>
            <c:bubble3D val="0"/>
            <c:spPr>
              <a:solidFill>
                <a:srgbClr val="DE6328"/>
              </a:solidFill>
              <a:ln>
                <a:solidFill>
                  <a:srgbClr val="DE6328"/>
                </a:solidFill>
              </a:ln>
            </c:spPr>
            <c:extLst>
              <c:ext xmlns:c16="http://schemas.microsoft.com/office/drawing/2014/chart" uri="{C3380CC4-5D6E-409C-BE32-E72D297353CC}">
                <c16:uniqueId val="{00000021-A82D-44A4-817D-9CEEE4E77BAE}"/>
              </c:ext>
            </c:extLst>
          </c:dPt>
          <c:dPt>
            <c:idx val="8"/>
            <c:bubble3D val="0"/>
            <c:spPr>
              <a:solidFill>
                <a:srgbClr val="00793F"/>
              </a:solidFill>
            </c:spPr>
            <c:extLst>
              <c:ext xmlns:c16="http://schemas.microsoft.com/office/drawing/2014/chart" uri="{C3380CC4-5D6E-409C-BE32-E72D297353CC}">
                <c16:uniqueId val="{00000023-A82D-44A4-817D-9CEEE4E77BAE}"/>
              </c:ext>
            </c:extLst>
          </c:dPt>
          <c:dLbls>
            <c:dLbl>
              <c:idx val="4"/>
              <c:layout>
                <c:manualLayout>
                  <c:x val="3.6158192090395481E-2"/>
                  <c:y val="-1.697312588401699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B-A82D-44A4-817D-9CEEE4E77BAE}"/>
                </c:ext>
              </c:extLst>
            </c:dLbl>
            <c:numFmt formatCode="#,##0" sourceLinked="0"/>
            <c:spPr>
              <a:noFill/>
              <a:ln w="25400">
                <a:noFill/>
              </a:ln>
              <a:effectLst/>
            </c:spPr>
            <c:txPr>
              <a:bodyPr/>
              <a:lstStyle/>
              <a:p>
                <a:pPr>
                  <a:defRPr sz="1800" b="0" i="0" u="none" strike="noStrike" baseline="0">
                    <a:solidFill>
                      <a:srgbClr val="495057"/>
                    </a:solidFill>
                    <a:latin typeface="Segoe UI"/>
                    <a:ea typeface="Segoe UI"/>
                    <a:cs typeface="Segoe UI"/>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'Chart Data'!$A$4:$A$8</c:f>
              <c:strCache>
                <c:ptCount val="5"/>
                <c:pt idx="0">
                  <c:v>Labour</c:v>
                </c:pt>
                <c:pt idx="1">
                  <c:v>Conservative</c:v>
                </c:pt>
                <c:pt idx="2">
                  <c:v>Lib Dem</c:v>
                </c:pt>
                <c:pt idx="3">
                  <c:v>SNP</c:v>
                </c:pt>
                <c:pt idx="4">
                  <c:v>Other</c:v>
                </c:pt>
              </c:strCache>
            </c:strRef>
          </c:cat>
          <c:val>
            <c:numRef>
              <c:f>'Chart Data'!$I$4:$I$8</c:f>
              <c:numCache>
                <c:formatCode>0</c:formatCode>
                <c:ptCount val="5"/>
                <c:pt idx="0">
                  <c:v>452.5</c:v>
                </c:pt>
                <c:pt idx="1">
                  <c:v>94.5</c:v>
                </c:pt>
                <c:pt idx="2">
                  <c:v>54.5</c:v>
                </c:pt>
                <c:pt idx="3">
                  <c:v>18.833333333333332</c:v>
                </c:pt>
                <c:pt idx="4">
                  <c:v>34.666666666666664</c:v>
                </c:pt>
              </c:numCache>
            </c:numRef>
          </c:val>
          <c:extLst>
            <c:ext xmlns:c16="http://schemas.microsoft.com/office/drawing/2014/chart" uri="{C3380CC4-5D6E-409C-BE32-E72D297353CC}">
              <c16:uniqueId val="{00000024-A82D-44A4-817D-9CEEE4E77BAE}"/>
            </c:ext>
          </c:extLst>
        </c:ser>
        <c:dLbls>
          <c:showLegendKey val="0"/>
          <c:showVal val="1"/>
          <c:showCatName val="0"/>
          <c:showSerName val="0"/>
          <c:showPercent val="0"/>
          <c:showBubbleSize val="0"/>
          <c:showLeaderLines val="0"/>
        </c:dLbls>
      </c:pie3DChart>
    </c:plotArea>
    <c:plotVisOnly val="1"/>
    <c:dispBlanksAs val="zero"/>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userShapes r:id="rId2"/>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E040044-DE81-468C-9D26-FE1D7120D356}">
  <sheetPr/>
  <sheetViews>
    <sheetView tabSelected="1"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066DF4A-9B9E-4196-BD52-871D8957A86D}">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C2B08DD-340F-48D3-BDFC-537C10802EC7}">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absoluteAnchor>
    <xdr:pos x="0" y="0"/>
    <xdr:ext cx="8430070" cy="6729813"/>
    <xdr:graphicFrame macro="">
      <xdr:nvGraphicFramePr>
        <xdr:cNvPr id="2" name="Chart 1">
          <a:extLst>
            <a:ext uri="{FF2B5EF4-FFF2-40B4-BE49-F238E27FC236}">
              <a16:creationId xmlns:a16="http://schemas.microsoft.com/office/drawing/2014/main" id="{CFBCD928-ACCE-0CDF-8D8A-243D563A6FB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0.00546</cdr:x>
      <cdr:y>0.00836</cdr:y>
    </cdr:from>
    <cdr:to>
      <cdr:x>0.96116</cdr:x>
      <cdr:y>0.09191</cdr:y>
    </cdr:to>
    <cdr:sp macro="" textlink="">
      <cdr:nvSpPr>
        <cdr:cNvPr id="2" name="TextBox 1">
          <a:extLst xmlns:a="http://schemas.openxmlformats.org/drawingml/2006/main">
            <a:ext uri="{FF2B5EF4-FFF2-40B4-BE49-F238E27FC236}">
              <a16:creationId xmlns:a16="http://schemas.microsoft.com/office/drawing/2014/main" id="{034D77D2-33DF-4E99-9A57-F27C7E82782B}"/>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Estimated change in monthly mortgage costs</a:t>
          </a:r>
        </a:p>
      </cdr:txBody>
    </cdr:sp>
  </cdr:relSizeAnchor>
  <cdr:relSizeAnchor xmlns:cdr="http://schemas.openxmlformats.org/drawingml/2006/chartDrawing">
    <cdr:from>
      <cdr:x>0.00546</cdr:x>
      <cdr:y>0.93712</cdr:y>
    </cdr:from>
    <cdr:to>
      <cdr:x>0.96116</cdr:x>
      <cdr:y>1</cdr:y>
    </cdr:to>
    <cdr:sp macro="" textlink="">
      <cdr:nvSpPr>
        <cdr:cNvPr id="3" name="Rectangle 2">
          <a:extLst xmlns:a="http://schemas.openxmlformats.org/drawingml/2006/main">
            <a:ext uri="{FF2B5EF4-FFF2-40B4-BE49-F238E27FC236}">
              <a16:creationId xmlns:a16="http://schemas.microsoft.com/office/drawing/2014/main" id="{4790728D-612A-4B9A-843A-EF1138D2A4B5}"/>
            </a:ext>
          </a:extLst>
        </cdr:cNvPr>
        <cdr:cNvSpPr/>
      </cdr:nvSpPr>
      <cdr:spPr>
        <a:xfrm xmlns:a="http://schemas.openxmlformats.org/drawingml/2006/main">
          <a:off x="50800" y="569751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Bank of England</a:t>
          </a:r>
        </a:p>
      </cdr:txBody>
    </cdr:sp>
  </cdr:relSizeAnchor>
  <cdr:relSizeAnchor xmlns:cdr="http://schemas.openxmlformats.org/drawingml/2006/chartDrawing">
    <cdr:from>
      <cdr:x>0.00791</cdr:x>
      <cdr:y>0.06985</cdr:y>
    </cdr:from>
    <cdr:to>
      <cdr:x>0.24744</cdr:x>
      <cdr:y>0.12082</cdr:y>
    </cdr:to>
    <cdr:sp macro="" textlink="">
      <cdr:nvSpPr>
        <cdr:cNvPr id="4" name="TextBox 3">
          <a:extLst xmlns:a="http://schemas.openxmlformats.org/drawingml/2006/main">
            <a:ext uri="{FF2B5EF4-FFF2-40B4-BE49-F238E27FC236}">
              <a16:creationId xmlns:a16="http://schemas.microsoft.com/office/drawing/2014/main" id="{DB300F34-9BDF-4C95-A36F-EFD9A7AD9610}"/>
            </a:ext>
          </a:extLst>
        </cdr:cNvPr>
        <cdr:cNvSpPr txBox="1"/>
      </cdr:nvSpPr>
      <cdr:spPr>
        <a:xfrm xmlns:a="http://schemas.openxmlformats.org/drawingml/2006/main">
          <a:off x="66675" y="470068"/>
          <a:ext cx="2019300" cy="343019"/>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per month</a:t>
          </a:r>
        </a:p>
      </cdr:txBody>
    </cdr:sp>
  </cdr:relSizeAnchor>
  <cdr:relSizeAnchor xmlns:cdr="http://schemas.openxmlformats.org/drawingml/2006/chartDrawing">
    <cdr:from>
      <cdr:x>0.63392</cdr:x>
      <cdr:y>0.92705</cdr:y>
    </cdr:from>
    <cdr:to>
      <cdr:x>1</cdr:x>
      <cdr:y>0.98211</cdr:y>
    </cdr:to>
    <cdr:sp macro="" textlink="">
      <cdr:nvSpPr>
        <cdr:cNvPr id="5" name="TextBox 4">
          <a:extLst xmlns:a="http://schemas.openxmlformats.org/drawingml/2006/main">
            <a:ext uri="{FF2B5EF4-FFF2-40B4-BE49-F238E27FC236}">
              <a16:creationId xmlns:a16="http://schemas.microsoft.com/office/drawing/2014/main" id="{4507BC0A-A947-4886-8A83-C17A58E39CF4}"/>
            </a:ext>
          </a:extLst>
        </cdr:cNvPr>
        <cdr:cNvSpPr txBox="1"/>
      </cdr:nvSpPr>
      <cdr:spPr>
        <a:xfrm xmlns:a="http://schemas.openxmlformats.org/drawingml/2006/main">
          <a:off x="5343970" y="6238875"/>
          <a:ext cx="3086100" cy="37057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Number of</a:t>
          </a:r>
          <a:r>
            <a:rPr lang="en-GB" sz="1800" b="0" baseline="0">
              <a:solidFill>
                <a:srgbClr val="495057"/>
              </a:solidFill>
              <a:latin typeface="Segoe UI" panose="020B0502040204020203" pitchFamily="34" charset="0"/>
              <a:cs typeface="Segoe UI" panose="020B0502040204020203" pitchFamily="34" charset="0"/>
            </a:rPr>
            <a:t> mortgages (millions)</a:t>
          </a:r>
          <a:endParaRPr lang="en-GB" sz="18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0.71409</cdr:x>
      <cdr:y>0.49962</cdr:y>
    </cdr:from>
    <cdr:to>
      <cdr:x>0.95475</cdr:x>
      <cdr:y>0.62417</cdr:y>
    </cdr:to>
    <cdr:sp macro="" textlink="">
      <cdr:nvSpPr>
        <cdr:cNvPr id="9" name="TextBox 8">
          <a:extLst xmlns:a="http://schemas.openxmlformats.org/drawingml/2006/main">
            <a:ext uri="{FF2B5EF4-FFF2-40B4-BE49-F238E27FC236}">
              <a16:creationId xmlns:a16="http://schemas.microsoft.com/office/drawing/2014/main" id="{B1730EE0-7443-2FF3-0E20-E0BF22468AA2}"/>
            </a:ext>
          </a:extLst>
        </cdr:cNvPr>
        <cdr:cNvSpPr txBox="1"/>
      </cdr:nvSpPr>
      <cdr:spPr>
        <a:xfrm xmlns:a="http://schemas.openxmlformats.org/drawingml/2006/main">
          <a:off x="6019800" y="3362325"/>
          <a:ext cx="2028825" cy="8382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800">
              <a:solidFill>
                <a:srgbClr val="495057"/>
              </a:solidFill>
              <a:latin typeface="Segoe UI" panose="020B0502040204020203" pitchFamily="34" charset="0"/>
              <a:cs typeface="Segoe UI" panose="020B0502040204020203" pitchFamily="34" charset="0"/>
            </a:rPr>
            <a:t>Payments rising</a:t>
          </a:r>
        </a:p>
      </cdr:txBody>
    </cdr:sp>
  </cdr:relSizeAnchor>
  <cdr:relSizeAnchor xmlns:cdr="http://schemas.openxmlformats.org/drawingml/2006/chartDrawing">
    <cdr:from>
      <cdr:x>0.71785</cdr:x>
      <cdr:y>0.64162</cdr:y>
    </cdr:from>
    <cdr:to>
      <cdr:x>0.95852</cdr:x>
      <cdr:y>0.76617</cdr:y>
    </cdr:to>
    <cdr:sp macro="" textlink="">
      <cdr:nvSpPr>
        <cdr:cNvPr id="10" name="TextBox 1">
          <a:extLst xmlns:a="http://schemas.openxmlformats.org/drawingml/2006/main">
            <a:ext uri="{FF2B5EF4-FFF2-40B4-BE49-F238E27FC236}">
              <a16:creationId xmlns:a16="http://schemas.microsoft.com/office/drawing/2014/main" id="{405EB80A-88DC-9158-3EFF-DE72E53EA8BB}"/>
            </a:ext>
          </a:extLst>
        </cdr:cNvPr>
        <cdr:cNvSpPr txBox="1"/>
      </cdr:nvSpPr>
      <cdr:spPr>
        <a:xfrm xmlns:a="http://schemas.openxmlformats.org/drawingml/2006/main">
          <a:off x="6051550" y="4318000"/>
          <a:ext cx="2028825" cy="8382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cs typeface="Segoe UI" panose="020B0502040204020203" pitchFamily="34" charset="0"/>
            </a:rPr>
            <a:t>Payments falling</a:t>
          </a:r>
        </a:p>
      </cdr:txBody>
    </cdr:sp>
  </cdr:relSizeAnchor>
  <cdr:relSizeAnchor xmlns:cdr="http://schemas.openxmlformats.org/drawingml/2006/chartDrawing">
    <cdr:from>
      <cdr:x>0.78527</cdr:x>
      <cdr:y>0.5718</cdr:y>
    </cdr:from>
    <cdr:to>
      <cdr:x>0.96153</cdr:x>
      <cdr:y>0.5718</cdr:y>
    </cdr:to>
    <cdr:cxnSp macro="">
      <cdr:nvCxnSpPr>
        <cdr:cNvPr id="12" name="Straight Connector 11">
          <a:extLst xmlns:a="http://schemas.openxmlformats.org/drawingml/2006/main">
            <a:ext uri="{FF2B5EF4-FFF2-40B4-BE49-F238E27FC236}">
              <a16:creationId xmlns:a16="http://schemas.microsoft.com/office/drawing/2014/main" id="{2184A248-39F1-A1E8-5008-981E9B1A34C6}"/>
            </a:ext>
          </a:extLst>
        </cdr:cNvPr>
        <cdr:cNvCxnSpPr/>
      </cdr:nvCxnSpPr>
      <cdr:spPr>
        <a:xfrm xmlns:a="http://schemas.openxmlformats.org/drawingml/2006/main">
          <a:off x="6619875" y="3848100"/>
          <a:ext cx="1485900" cy="0"/>
        </a:xfrm>
        <a:prstGeom xmlns:a="http://schemas.openxmlformats.org/drawingml/2006/main" prst="line">
          <a:avLst/>
        </a:prstGeom>
        <a:ln xmlns:a="http://schemas.openxmlformats.org/drawingml/2006/main" w="12700">
          <a:solidFill>
            <a:srgbClr val="495057"/>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0.78791</cdr:x>
      <cdr:y>0.63596</cdr:y>
    </cdr:from>
    <cdr:to>
      <cdr:x>0.96417</cdr:x>
      <cdr:y>0.63596</cdr:y>
    </cdr:to>
    <cdr:cxnSp macro="">
      <cdr:nvCxnSpPr>
        <cdr:cNvPr id="13" name="Straight Connector 12">
          <a:extLst xmlns:a="http://schemas.openxmlformats.org/drawingml/2006/main">
            <a:ext uri="{FF2B5EF4-FFF2-40B4-BE49-F238E27FC236}">
              <a16:creationId xmlns:a16="http://schemas.microsoft.com/office/drawing/2014/main" id="{67A872BA-14D6-3CC7-373C-D6FDF1F1B987}"/>
            </a:ext>
          </a:extLst>
        </cdr:cNvPr>
        <cdr:cNvCxnSpPr/>
      </cdr:nvCxnSpPr>
      <cdr:spPr>
        <a:xfrm xmlns:a="http://schemas.openxmlformats.org/drawingml/2006/main">
          <a:off x="6642100" y="4279900"/>
          <a:ext cx="1485900" cy="0"/>
        </a:xfrm>
        <a:prstGeom xmlns:a="http://schemas.openxmlformats.org/drawingml/2006/main" prst="line">
          <a:avLst/>
        </a:prstGeom>
        <a:ln xmlns:a="http://schemas.openxmlformats.org/drawingml/2006/main" w="12700">
          <a:solidFill>
            <a:srgbClr val="495057"/>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0.95023</cdr:x>
      <cdr:y>0.48829</cdr:y>
    </cdr:from>
    <cdr:to>
      <cdr:x>0.95023</cdr:x>
      <cdr:y>0.55249</cdr:y>
    </cdr:to>
    <cdr:cxnSp macro="">
      <cdr:nvCxnSpPr>
        <cdr:cNvPr id="15" name="Straight Arrow Connector 14">
          <a:extLst xmlns:a="http://schemas.openxmlformats.org/drawingml/2006/main">
            <a:ext uri="{FF2B5EF4-FFF2-40B4-BE49-F238E27FC236}">
              <a16:creationId xmlns:a16="http://schemas.microsoft.com/office/drawing/2014/main" id="{00318B96-4921-BD82-E610-916FA70A85D2}"/>
            </a:ext>
          </a:extLst>
        </cdr:cNvPr>
        <cdr:cNvCxnSpPr/>
      </cdr:nvCxnSpPr>
      <cdr:spPr>
        <a:xfrm xmlns:a="http://schemas.openxmlformats.org/drawingml/2006/main" flipH="1" flipV="1">
          <a:off x="8010525" y="3286125"/>
          <a:ext cx="0" cy="432000"/>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0.94948</cdr:x>
      <cdr:y>0.64637</cdr:y>
    </cdr:from>
    <cdr:to>
      <cdr:x>0.94948</cdr:x>
      <cdr:y>0.71056</cdr:y>
    </cdr:to>
    <cdr:cxnSp macro="">
      <cdr:nvCxnSpPr>
        <cdr:cNvPr id="16" name="Straight Arrow Connector 15">
          <a:extLst xmlns:a="http://schemas.openxmlformats.org/drawingml/2006/main">
            <a:ext uri="{FF2B5EF4-FFF2-40B4-BE49-F238E27FC236}">
              <a16:creationId xmlns:a16="http://schemas.microsoft.com/office/drawing/2014/main" id="{41DDF8DE-EF3F-8AE2-24A8-B5AEC7B4431A}"/>
            </a:ext>
          </a:extLst>
        </cdr:cNvPr>
        <cdr:cNvCxnSpPr/>
      </cdr:nvCxnSpPr>
      <cdr:spPr>
        <a:xfrm xmlns:a="http://schemas.openxmlformats.org/drawingml/2006/main">
          <a:off x="8004175" y="4349950"/>
          <a:ext cx="0" cy="432000"/>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xml><?xml version="1.0" encoding="utf-8"?>
<xdr:wsDr xmlns:xdr="http://schemas.openxmlformats.org/drawingml/2006/spreadsheetDrawing" xmlns:a="http://schemas.openxmlformats.org/drawingml/2006/main">
  <xdr:absoluteAnchor>
    <xdr:pos x="0" y="0"/>
    <xdr:ext cx="8430070" cy="6729813"/>
    <xdr:graphicFrame macro="">
      <xdr:nvGraphicFramePr>
        <xdr:cNvPr id="2" name="Chart 1">
          <a:extLst>
            <a:ext uri="{FF2B5EF4-FFF2-40B4-BE49-F238E27FC236}">
              <a16:creationId xmlns:a16="http://schemas.microsoft.com/office/drawing/2014/main" id="{996CCB5B-9B39-3006-CCFF-C90B03B0A1F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BE1CDAF4-AD9F-783D-CB62-D2265E760F3A}"/>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Aggregate household debt-servicing burden</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4A8E9ECB-A72A-914C-3657-7D5FC1EB6C94}"/>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Bank of England</a:t>
          </a:r>
        </a:p>
      </cdr:txBody>
    </cdr:sp>
  </cdr:relSizeAnchor>
  <cdr:relSizeAnchor xmlns:cdr="http://schemas.openxmlformats.org/drawingml/2006/chartDrawing">
    <cdr:from>
      <cdr:x>0.83461</cdr:x>
      <cdr:y>0.21891</cdr:y>
    </cdr:from>
    <cdr:to>
      <cdr:x>0.83461</cdr:x>
      <cdr:y>0.86619</cdr:y>
    </cdr:to>
    <cdr:cxnSp macro="">
      <cdr:nvCxnSpPr>
        <cdr:cNvPr id="4" name="Straight Connector 3">
          <a:extLst xmlns:a="http://schemas.openxmlformats.org/drawingml/2006/main">
            <a:ext uri="{FF2B5EF4-FFF2-40B4-BE49-F238E27FC236}">
              <a16:creationId xmlns:a16="http://schemas.microsoft.com/office/drawing/2014/main" id="{08EA1512-D923-27BA-9B5B-EBA007A91733}"/>
            </a:ext>
          </a:extLst>
        </cdr:cNvPr>
        <cdr:cNvCxnSpPr/>
      </cdr:nvCxnSpPr>
      <cdr:spPr>
        <a:xfrm xmlns:a="http://schemas.openxmlformats.org/drawingml/2006/main">
          <a:off x="7035800" y="1473200"/>
          <a:ext cx="0" cy="4356100"/>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0.84214</cdr:x>
      <cdr:y>0.31326</cdr:y>
    </cdr:from>
    <cdr:to>
      <cdr:x>0.99279</cdr:x>
      <cdr:y>0.39252</cdr:y>
    </cdr:to>
    <cdr:sp macro="" textlink="">
      <cdr:nvSpPr>
        <cdr:cNvPr id="5" name="TextBox 4">
          <a:extLst xmlns:a="http://schemas.openxmlformats.org/drawingml/2006/main">
            <a:ext uri="{FF2B5EF4-FFF2-40B4-BE49-F238E27FC236}">
              <a16:creationId xmlns:a16="http://schemas.microsoft.com/office/drawing/2014/main" id="{53B916C5-AFB7-75B4-1162-85582D26B669}"/>
            </a:ext>
          </a:extLst>
        </cdr:cNvPr>
        <cdr:cNvSpPr txBox="1"/>
      </cdr:nvSpPr>
      <cdr:spPr>
        <a:xfrm xmlns:a="http://schemas.openxmlformats.org/drawingml/2006/main">
          <a:off x="7099300" y="2108200"/>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0.00678</cdr:x>
      <cdr:y>0.06982</cdr:y>
    </cdr:from>
    <cdr:to>
      <cdr:x>0.56833</cdr:x>
      <cdr:y>0.12078</cdr:y>
    </cdr:to>
    <cdr:sp macro="" textlink="">
      <cdr:nvSpPr>
        <cdr:cNvPr id="6" name="TextBox 5">
          <a:extLst xmlns:a="http://schemas.openxmlformats.org/drawingml/2006/main">
            <a:ext uri="{FF2B5EF4-FFF2-40B4-BE49-F238E27FC236}">
              <a16:creationId xmlns:a16="http://schemas.microsoft.com/office/drawing/2014/main" id="{D3845613-257F-1490-D762-3485458EA16F}"/>
            </a:ext>
          </a:extLst>
        </cdr:cNvPr>
        <cdr:cNvSpPr txBox="1"/>
      </cdr:nvSpPr>
      <cdr:spPr>
        <a:xfrm xmlns:a="http://schemas.openxmlformats.org/drawingml/2006/main">
          <a:off x="57150" y="469900"/>
          <a:ext cx="4733925"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of nominal household</a:t>
          </a:r>
          <a:r>
            <a:rPr lang="en-GB" sz="1800" b="0" baseline="0">
              <a:solidFill>
                <a:srgbClr val="495057"/>
              </a:solidFill>
              <a:latin typeface="Segoe UI" panose="020B0502040204020203" pitchFamily="34" charset="0"/>
              <a:cs typeface="Segoe UI" panose="020B0502040204020203" pitchFamily="34" charset="0"/>
            </a:rPr>
            <a:t> post-tax income</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4E441740-7FB1-ED5C-9116-40C9563360B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A285B086-4732-476F-555C-736A22EF92D2}"/>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Average MRP* results - 18th-27th June</a:t>
          </a:r>
        </a:p>
      </cdr:txBody>
    </cdr:sp>
  </cdr:relSizeAnchor>
  <cdr:relSizeAnchor xmlns:cdr="http://schemas.openxmlformats.org/drawingml/2006/chartDrawing">
    <cdr:from>
      <cdr:x>0.00546</cdr:x>
      <cdr:y>0.89816</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B67D234D-1E8C-40FC-F7EB-EF2223435326}"/>
            </a:ext>
          </a:extLst>
        </cdr:cNvPr>
        <cdr:cNvSpPr/>
      </cdr:nvSpPr>
      <cdr:spPr>
        <a:xfrm xmlns:a="http://schemas.openxmlformats.org/drawingml/2006/main">
          <a:off x="46026" y="6048375"/>
          <a:ext cx="8058890" cy="68580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data from Electoral Calculus, We Think, YouGov, More In Common, Savanta, and Ipsos</a:t>
          </a:r>
        </a:p>
      </cdr:txBody>
    </cdr:sp>
  </cdr:relSizeAnchor>
  <cdr:relSizeAnchor xmlns:cdr="http://schemas.openxmlformats.org/drawingml/2006/chartDrawing">
    <cdr:from>
      <cdr:x>0.00113</cdr:x>
      <cdr:y>0.79632</cdr:y>
    </cdr:from>
    <cdr:to>
      <cdr:x>0.99887</cdr:x>
      <cdr:y>0.91513</cdr:y>
    </cdr:to>
    <cdr:sp macro="" textlink="">
      <cdr:nvSpPr>
        <cdr:cNvPr id="4" name="TextBox 3">
          <a:extLst xmlns:a="http://schemas.openxmlformats.org/drawingml/2006/main">
            <a:ext uri="{FF2B5EF4-FFF2-40B4-BE49-F238E27FC236}">
              <a16:creationId xmlns:a16="http://schemas.microsoft.com/office/drawing/2014/main" id="{FDCF71E0-ECBD-FC75-AD98-229743DF925E}"/>
            </a:ext>
          </a:extLst>
        </cdr:cNvPr>
        <cdr:cNvSpPr txBox="1"/>
      </cdr:nvSpPr>
      <cdr:spPr>
        <a:xfrm xmlns:a="http://schemas.openxmlformats.org/drawingml/2006/main">
          <a:off x="9557" y="5362575"/>
          <a:ext cx="8410543" cy="8001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0" i="0" baseline="0">
              <a:solidFill>
                <a:srgbClr val="495057"/>
              </a:solidFill>
              <a:effectLst/>
              <a:latin typeface="Segoe UI" panose="020B0502040204020203" pitchFamily="34" charset="0"/>
              <a:ea typeface="+mn-ea"/>
              <a:cs typeface="Segoe UI" panose="020B0502040204020203" pitchFamily="34" charset="0"/>
            </a:rPr>
            <a:t> * </a:t>
          </a:r>
          <a:r>
            <a:rPr lang="en-GB" sz="1600" b="0" i="0" u="none" strike="noStrike" baseline="0">
              <a:solidFill>
                <a:srgbClr val="495057"/>
              </a:solidFill>
              <a:latin typeface="Segoe UI" panose="020B0502040204020203" pitchFamily="34" charset="0"/>
              <a:ea typeface="+mn-ea"/>
              <a:cs typeface="+mn-cs"/>
            </a:rPr>
            <a:t>Multilevel regression and post-stratification - this method uses opinion polls and demographic information to estimate voting intention at constituency level</a:t>
          </a:r>
          <a:endParaRPr lang="en-GB" sz="1100"/>
        </a:p>
      </cdr:txBody>
    </cdr:sp>
  </cdr:relSizeAnchor>
  <cdr:relSizeAnchor xmlns:cdr="http://schemas.openxmlformats.org/drawingml/2006/chartDrawing">
    <cdr:from>
      <cdr:x>0.65876</cdr:x>
      <cdr:y>0.10797</cdr:y>
    </cdr:from>
    <cdr:to>
      <cdr:x>1</cdr:x>
      <cdr:y>0.22678</cdr:y>
    </cdr:to>
    <cdr:sp macro="" textlink="">
      <cdr:nvSpPr>
        <cdr:cNvPr id="5" name="TextBox 1">
          <a:extLst xmlns:a="http://schemas.openxmlformats.org/drawingml/2006/main">
            <a:ext uri="{FF2B5EF4-FFF2-40B4-BE49-F238E27FC236}">
              <a16:creationId xmlns:a16="http://schemas.microsoft.com/office/drawing/2014/main" id="{7F519987-9D2A-D2BF-D8FF-F74C60CCBD5D}"/>
            </a:ext>
          </a:extLst>
        </cdr:cNvPr>
        <cdr:cNvSpPr txBox="1"/>
      </cdr:nvSpPr>
      <cdr:spPr>
        <a:xfrm xmlns:a="http://schemas.openxmlformats.org/drawingml/2006/main">
          <a:off x="5553075" y="727075"/>
          <a:ext cx="2876550" cy="80008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600" b="0" i="0" baseline="0">
              <a:solidFill>
                <a:srgbClr val="495057"/>
              </a:solidFill>
              <a:effectLst/>
              <a:latin typeface="Segoe UI" panose="020B0502040204020203" pitchFamily="34" charset="0"/>
              <a:ea typeface="+mn-ea"/>
              <a:cs typeface="Segoe UI" panose="020B0502040204020203" pitchFamily="34" charset="0"/>
            </a:rPr>
            <a:t>Total seats = 650 so average Labour majority is 255</a:t>
          </a:r>
          <a:endParaRPr lang="en-GB" sz="1600"/>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E">
    <a:dk1>
      <a:sysClr val="windowText" lastClr="000000"/>
    </a:dk1>
    <a:lt1>
      <a:sysClr val="window" lastClr="FFFFFF"/>
    </a:lt1>
    <a:dk2>
      <a:srgbClr val="003C5C"/>
    </a:dk2>
    <a:lt2>
      <a:srgbClr val="E8ECF4"/>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https://x.com/ElectionMapsUK/status/1803496851431366702" TargetMode="External"/><Relationship Id="rId7" Type="http://schemas.openxmlformats.org/officeDocument/2006/relationships/printerSettings" Target="../printerSettings/printerSettings4.bin"/><Relationship Id="rId2" Type="http://schemas.openxmlformats.org/officeDocument/2006/relationships/hyperlink" Target="https://wethink.report/news-hub/news/we-think-mrp-historical-low-for-the-conservatives/" TargetMode="External"/><Relationship Id="rId1" Type="http://schemas.openxmlformats.org/officeDocument/2006/relationships/hyperlink" Target="https://www.electoralcalculus.co.uk/prediction_main.html" TargetMode="External"/><Relationship Id="rId6" Type="http://schemas.openxmlformats.org/officeDocument/2006/relationships/hyperlink" Target="https://www.ipsos.com/en-uk/uk-opinion-polls/ipsos-election-mrp" TargetMode="External"/><Relationship Id="rId5" Type="http://schemas.openxmlformats.org/officeDocument/2006/relationships/hyperlink" Target="https://x.com/ElectionMapsUK/status/1803496851431366702" TargetMode="External"/><Relationship Id="rId4" Type="http://schemas.openxmlformats.org/officeDocument/2006/relationships/hyperlink" Target="https://x.com/ElectionMapsUK/status/180349685143136670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73157-A5D1-4058-8821-EECCCC50E225}">
  <dimension ref="A1:N10"/>
  <sheetViews>
    <sheetView workbookViewId="0">
      <selection activeCell="Q1" sqref="Q1"/>
    </sheetView>
  </sheetViews>
  <sheetFormatPr defaultRowHeight="15" x14ac:dyDescent="0.25"/>
  <cols>
    <col min="1" max="1" width="15" bestFit="1" customWidth="1"/>
    <col min="8" max="8" width="2.7109375" customWidth="1"/>
    <col min="12" max="12" width="2.7109375" customWidth="1"/>
  </cols>
  <sheetData>
    <row r="1" spans="1:14" x14ac:dyDescent="0.25">
      <c r="A1" s="1" t="s">
        <v>0</v>
      </c>
    </row>
    <row r="2" spans="1:14" x14ac:dyDescent="0.25">
      <c r="B2" s="3"/>
      <c r="D2" s="5">
        <v>45462</v>
      </c>
      <c r="E2" s="5">
        <v>45462</v>
      </c>
      <c r="F2" s="5">
        <v>45462</v>
      </c>
      <c r="G2" s="5">
        <v>45461</v>
      </c>
    </row>
    <row r="3" spans="1:14" x14ac:dyDescent="0.25">
      <c r="B3" s="2" t="s">
        <v>11</v>
      </c>
      <c r="C3" s="2" t="s">
        <v>12</v>
      </c>
      <c r="D3" s="2" t="s">
        <v>1</v>
      </c>
      <c r="E3" s="2" t="s">
        <v>8</v>
      </c>
      <c r="F3" s="2" t="s">
        <v>13</v>
      </c>
      <c r="G3" s="2" t="s">
        <v>14</v>
      </c>
      <c r="I3" t="s">
        <v>9</v>
      </c>
      <c r="J3" t="s">
        <v>15</v>
      </c>
      <c r="K3" t="s">
        <v>16</v>
      </c>
      <c r="M3" t="s">
        <v>7</v>
      </c>
      <c r="N3" t="s">
        <v>17</v>
      </c>
    </row>
    <row r="4" spans="1:14" x14ac:dyDescent="0.25">
      <c r="A4" t="s">
        <v>2</v>
      </c>
      <c r="B4">
        <v>450</v>
      </c>
      <c r="C4">
        <v>465</v>
      </c>
      <c r="D4">
        <v>425</v>
      </c>
      <c r="E4">
        <v>406</v>
      </c>
      <c r="F4">
        <v>516</v>
      </c>
      <c r="G4">
        <v>453</v>
      </c>
      <c r="H4" s="4"/>
      <c r="I4" s="4">
        <f>AVERAGE(B4:H4)</f>
        <v>452.5</v>
      </c>
      <c r="J4" s="4">
        <f>MAX(B4:H4)</f>
        <v>516</v>
      </c>
      <c r="K4" s="4">
        <f>MIN(B4:H4)</f>
        <v>406</v>
      </c>
      <c r="L4" s="4"/>
      <c r="M4">
        <v>202</v>
      </c>
      <c r="N4">
        <v>418</v>
      </c>
    </row>
    <row r="5" spans="1:14" x14ac:dyDescent="0.25">
      <c r="A5" t="s">
        <v>3</v>
      </c>
      <c r="B5">
        <v>60</v>
      </c>
      <c r="C5">
        <v>76</v>
      </c>
      <c r="D5">
        <v>108</v>
      </c>
      <c r="E5">
        <v>155</v>
      </c>
      <c r="F5">
        <v>53</v>
      </c>
      <c r="G5">
        <v>115</v>
      </c>
      <c r="H5" s="4"/>
      <c r="I5" s="4">
        <f>AVERAGE(B5:H5)</f>
        <v>94.5</v>
      </c>
      <c r="J5" s="4">
        <f t="shared" ref="J5:J8" si="0">MAX(B5:H5)</f>
        <v>155</v>
      </c>
      <c r="K5" s="4">
        <f t="shared" ref="K5:K8" si="1">MIN(B5:H5)</f>
        <v>53</v>
      </c>
      <c r="L5" s="4"/>
      <c r="M5">
        <v>365</v>
      </c>
      <c r="N5">
        <v>165</v>
      </c>
    </row>
    <row r="6" spans="1:14" x14ac:dyDescent="0.25">
      <c r="A6" t="s">
        <v>4</v>
      </c>
      <c r="B6">
        <v>71</v>
      </c>
      <c r="C6">
        <v>52</v>
      </c>
      <c r="D6">
        <v>67</v>
      </c>
      <c r="E6">
        <v>49</v>
      </c>
      <c r="F6">
        <v>50</v>
      </c>
      <c r="G6">
        <v>38</v>
      </c>
      <c r="H6" s="4"/>
      <c r="I6" s="4">
        <f>AVERAGE(B6:H6)</f>
        <v>54.5</v>
      </c>
      <c r="J6" s="4">
        <f t="shared" si="0"/>
        <v>71</v>
      </c>
      <c r="K6" s="4">
        <f t="shared" si="1"/>
        <v>38</v>
      </c>
      <c r="L6" s="4"/>
      <c r="M6">
        <v>11</v>
      </c>
      <c r="N6">
        <v>46</v>
      </c>
    </row>
    <row r="7" spans="1:14" x14ac:dyDescent="0.25">
      <c r="A7" t="s">
        <v>5</v>
      </c>
      <c r="B7">
        <v>23</v>
      </c>
      <c r="C7">
        <v>29</v>
      </c>
      <c r="D7">
        <v>20</v>
      </c>
      <c r="E7">
        <v>18</v>
      </c>
      <c r="F7">
        <v>8</v>
      </c>
      <c r="G7">
        <v>15</v>
      </c>
      <c r="H7" s="4"/>
      <c r="I7" s="4">
        <f>AVERAGE(B7:H7)</f>
        <v>18.833333333333332</v>
      </c>
      <c r="J7" s="4">
        <f t="shared" si="0"/>
        <v>29</v>
      </c>
      <c r="K7" s="4">
        <f t="shared" si="1"/>
        <v>8</v>
      </c>
      <c r="L7" s="4"/>
      <c r="M7">
        <v>48</v>
      </c>
      <c r="N7">
        <v>6</v>
      </c>
    </row>
    <row r="8" spans="1:14" x14ac:dyDescent="0.25">
      <c r="A8" t="s">
        <v>6</v>
      </c>
      <c r="B8">
        <f>650-SUM(B4:B7)</f>
        <v>46</v>
      </c>
      <c r="C8">
        <f>650-SUM(C4:C7)</f>
        <v>28</v>
      </c>
      <c r="D8">
        <f>650-SUM(D4:D7)</f>
        <v>30</v>
      </c>
      <c r="E8">
        <f>650-SUM(E4:E7)</f>
        <v>22</v>
      </c>
      <c r="F8">
        <f>650-SUM(F4:F7)</f>
        <v>23</v>
      </c>
      <c r="G8">
        <f>650-SUM(G4:G7)</f>
        <v>29</v>
      </c>
      <c r="H8" s="4"/>
      <c r="I8" s="4">
        <f>AVERAGE(B8:D8)</f>
        <v>34.666666666666664</v>
      </c>
      <c r="J8" s="4">
        <f t="shared" si="0"/>
        <v>46</v>
      </c>
      <c r="K8" s="4">
        <f t="shared" si="1"/>
        <v>22</v>
      </c>
      <c r="L8" s="4"/>
      <c r="M8">
        <f>650-SUM(M4:M7)</f>
        <v>24</v>
      </c>
      <c r="N8">
        <f>659-SUM(N4:N7)</f>
        <v>24</v>
      </c>
    </row>
    <row r="10" spans="1:14" x14ac:dyDescent="0.25">
      <c r="A10" t="s">
        <v>10</v>
      </c>
      <c r="B10">
        <f>(B4-(650/2))*2</f>
        <v>250</v>
      </c>
      <c r="C10">
        <f t="shared" ref="C10:K10" si="2">(C4-(650/2))*2</f>
        <v>280</v>
      </c>
      <c r="D10">
        <f t="shared" si="2"/>
        <v>200</v>
      </c>
      <c r="E10">
        <f t="shared" ref="E10:F10" si="3">(E4-(650/2))*2</f>
        <v>162</v>
      </c>
      <c r="F10">
        <f t="shared" si="3"/>
        <v>382</v>
      </c>
      <c r="G10">
        <f t="shared" ref="G10" si="4">(G4-(650/2))*2</f>
        <v>256</v>
      </c>
      <c r="I10" s="4">
        <f t="shared" si="2"/>
        <v>255</v>
      </c>
      <c r="J10" s="4">
        <f t="shared" si="2"/>
        <v>382</v>
      </c>
      <c r="K10" s="4">
        <f t="shared" si="2"/>
        <v>162</v>
      </c>
      <c r="M10" s="4">
        <f>(M5-(650/2))*2</f>
        <v>80</v>
      </c>
      <c r="N10" s="4">
        <v>179</v>
      </c>
    </row>
  </sheetData>
  <hyperlinks>
    <hyperlink ref="B3" r:id="rId1" xr:uid="{C29BF49E-B49E-4641-A74D-32E56BE670D4}"/>
    <hyperlink ref="C3" r:id="rId2" xr:uid="{0093D1B4-F168-456B-8D1E-A9C70C36B324}"/>
    <hyperlink ref="D3" r:id="rId3" xr:uid="{4B0015DE-D72A-4044-8AF9-B180755A6584}"/>
    <hyperlink ref="E3" r:id="rId4" xr:uid="{295B2593-70EF-493E-B556-B30DAF453D5F}"/>
    <hyperlink ref="F3" r:id="rId5" xr:uid="{0ECA93E8-1645-4CBA-B26C-824F8DA84907}"/>
    <hyperlink ref="G3" r:id="rId6" xr:uid="{F0E6FB81-91AD-4538-83E4-1CA2407CF372}"/>
  </hyperlinks>
  <pageMargins left="0.7" right="0.7" top="0.75" bottom="0.75" header="0.3" footer="0.3"/>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BAAC4-B3C3-42DC-A272-8E9C7236EC6F}">
  <dimension ref="A1:E161"/>
  <sheetViews>
    <sheetView topLeftCell="A129" zoomScaleNormal="100" workbookViewId="0">
      <selection activeCell="A9" sqref="A9:C161"/>
    </sheetView>
  </sheetViews>
  <sheetFormatPr defaultColWidth="8.7109375" defaultRowHeight="15" x14ac:dyDescent="0.25"/>
  <cols>
    <col min="1" max="1" width="11.28515625" style="7" bestFit="1" customWidth="1"/>
    <col min="2" max="3" width="9.140625" style="7" bestFit="1" customWidth="1"/>
    <col min="4" max="4" width="9.5703125" style="7" bestFit="1" customWidth="1"/>
    <col min="5" max="16384" width="8.7109375" style="7"/>
  </cols>
  <sheetData>
    <row r="1" spans="1:5" ht="15.75" x14ac:dyDescent="0.25">
      <c r="A1" s="6" t="s">
        <v>18</v>
      </c>
    </row>
    <row r="2" spans="1:5" ht="15.75" x14ac:dyDescent="0.25">
      <c r="A2" s="8"/>
    </row>
    <row r="3" spans="1:5" ht="15.75" x14ac:dyDescent="0.25">
      <c r="A3" s="9" t="s">
        <v>19</v>
      </c>
      <c r="B3" s="10"/>
    </row>
    <row r="4" spans="1:5" ht="15.75" x14ac:dyDescent="0.25">
      <c r="A4" s="8" t="s">
        <v>20</v>
      </c>
    </row>
    <row r="5" spans="1:5" ht="15.75" x14ac:dyDescent="0.25">
      <c r="A5" s="8" t="s">
        <v>21</v>
      </c>
    </row>
    <row r="6" spans="1:5" ht="15.75" x14ac:dyDescent="0.25">
      <c r="A6" s="8" t="s">
        <v>22</v>
      </c>
    </row>
    <row r="7" spans="1:5" ht="15.75" x14ac:dyDescent="0.25">
      <c r="A7" s="8" t="s">
        <v>23</v>
      </c>
    </row>
    <row r="8" spans="1:5" ht="15.75" x14ac:dyDescent="0.25">
      <c r="A8" s="11"/>
    </row>
    <row r="9" spans="1:5" ht="63" x14ac:dyDescent="0.25">
      <c r="A9" s="12" t="s">
        <v>24</v>
      </c>
      <c r="B9" s="13" t="s">
        <v>25</v>
      </c>
      <c r="C9" s="13" t="s">
        <v>26</v>
      </c>
      <c r="D9" s="13" t="s">
        <v>27</v>
      </c>
    </row>
    <row r="10" spans="1:5" ht="15.75" x14ac:dyDescent="0.25">
      <c r="A10" s="8">
        <v>32598</v>
      </c>
      <c r="B10" s="14"/>
      <c r="C10" s="14"/>
      <c r="D10" s="15"/>
      <c r="E10" s="15"/>
    </row>
    <row r="11" spans="1:5" ht="15.75" x14ac:dyDescent="0.25">
      <c r="A11" s="8">
        <v>32689</v>
      </c>
      <c r="B11" s="14">
        <v>7.8975954225348648</v>
      </c>
      <c r="C11" s="14"/>
      <c r="D11" s="14"/>
      <c r="E11" s="15"/>
    </row>
    <row r="12" spans="1:5" ht="15.75" x14ac:dyDescent="0.25">
      <c r="A12" s="8">
        <v>32781</v>
      </c>
      <c r="B12" s="14">
        <v>7.977460901608123</v>
      </c>
      <c r="C12" s="14"/>
      <c r="D12" s="14"/>
      <c r="E12" s="15"/>
    </row>
    <row r="13" spans="1:5" ht="15.75" x14ac:dyDescent="0.25">
      <c r="A13" s="8">
        <v>32873</v>
      </c>
      <c r="B13" s="14">
        <v>8.6230041359791905</v>
      </c>
      <c r="C13" s="14"/>
      <c r="D13" s="14"/>
      <c r="E13" s="15"/>
    </row>
    <row r="14" spans="1:5" ht="15.75" x14ac:dyDescent="0.25">
      <c r="A14" s="8">
        <v>32963</v>
      </c>
      <c r="B14" s="14">
        <v>8.9598721653479796</v>
      </c>
      <c r="C14" s="14"/>
      <c r="D14" s="14"/>
      <c r="E14" s="15"/>
    </row>
    <row r="15" spans="1:5" ht="15.75" x14ac:dyDescent="0.25">
      <c r="A15" s="8">
        <v>33054</v>
      </c>
      <c r="B15" s="14">
        <v>9.2686690954914521</v>
      </c>
      <c r="C15" s="14"/>
      <c r="D15" s="14"/>
      <c r="E15" s="15"/>
    </row>
    <row r="16" spans="1:5" ht="15.75" x14ac:dyDescent="0.25">
      <c r="A16" s="8">
        <v>33146</v>
      </c>
      <c r="B16" s="14">
        <v>9.4947677518517093</v>
      </c>
      <c r="C16" s="14"/>
      <c r="D16" s="14"/>
      <c r="E16" s="15"/>
    </row>
    <row r="17" spans="1:5" ht="15.75" x14ac:dyDescent="0.25">
      <c r="A17" s="8">
        <v>33238</v>
      </c>
      <c r="B17" s="14">
        <v>9.2399265487612201</v>
      </c>
      <c r="C17" s="14"/>
      <c r="D17" s="14"/>
      <c r="E17" s="15"/>
    </row>
    <row r="18" spans="1:5" ht="15.75" x14ac:dyDescent="0.25">
      <c r="A18" s="8">
        <v>33328</v>
      </c>
      <c r="B18" s="14">
        <v>9.0688887246928847</v>
      </c>
      <c r="C18" s="14"/>
      <c r="D18" s="14"/>
      <c r="E18" s="15"/>
    </row>
    <row r="19" spans="1:5" ht="15.75" x14ac:dyDescent="0.25">
      <c r="A19" s="8">
        <v>33419</v>
      </c>
      <c r="B19" s="14">
        <v>9.258981667377137</v>
      </c>
      <c r="C19" s="14"/>
      <c r="D19" s="14"/>
      <c r="E19" s="15"/>
    </row>
    <row r="20" spans="1:5" ht="15.75" x14ac:dyDescent="0.25">
      <c r="A20" s="8">
        <v>33511</v>
      </c>
      <c r="B20" s="14">
        <v>8.6302230774238318</v>
      </c>
      <c r="C20" s="14"/>
      <c r="D20" s="14"/>
      <c r="E20" s="15"/>
    </row>
    <row r="21" spans="1:5" ht="15.75" x14ac:dyDescent="0.25">
      <c r="A21" s="8">
        <v>33603</v>
      </c>
      <c r="B21" s="14">
        <v>8.2371609588766361</v>
      </c>
      <c r="C21" s="14"/>
      <c r="D21" s="14"/>
      <c r="E21" s="15"/>
    </row>
    <row r="22" spans="1:5" ht="15.75" x14ac:dyDescent="0.25">
      <c r="A22" s="8">
        <v>33694</v>
      </c>
      <c r="B22" s="14">
        <v>7.8477026605920912</v>
      </c>
      <c r="C22" s="14"/>
      <c r="D22" s="14"/>
      <c r="E22" s="15"/>
    </row>
    <row r="23" spans="1:5" ht="15.75" x14ac:dyDescent="0.25">
      <c r="A23" s="8">
        <v>33785</v>
      </c>
      <c r="B23" s="14">
        <v>7.9086740635098689</v>
      </c>
      <c r="C23" s="14"/>
      <c r="D23" s="14"/>
      <c r="E23" s="15"/>
    </row>
    <row r="24" spans="1:5" ht="15.75" x14ac:dyDescent="0.25">
      <c r="A24" s="8">
        <v>33877</v>
      </c>
      <c r="B24" s="14">
        <v>7.8683635771965177</v>
      </c>
      <c r="C24" s="14"/>
      <c r="D24" s="14"/>
      <c r="E24" s="15"/>
    </row>
    <row r="25" spans="1:5" ht="15.75" x14ac:dyDescent="0.25">
      <c r="A25" s="8">
        <v>33969</v>
      </c>
      <c r="B25" s="14">
        <v>7.2330801422716364</v>
      </c>
      <c r="C25" s="14"/>
      <c r="D25" s="14"/>
      <c r="E25" s="15"/>
    </row>
    <row r="26" spans="1:5" ht="15.75" x14ac:dyDescent="0.25">
      <c r="A26" s="8">
        <v>34059</v>
      </c>
      <c r="B26" s="14">
        <v>6.4973538658102017</v>
      </c>
      <c r="C26" s="14"/>
      <c r="D26" s="14"/>
      <c r="E26" s="15"/>
    </row>
    <row r="27" spans="1:5" ht="15.75" x14ac:dyDescent="0.25">
      <c r="A27" s="8">
        <v>34150</v>
      </c>
      <c r="B27" s="14">
        <v>6.2362565964472054</v>
      </c>
      <c r="C27" s="14"/>
      <c r="D27" s="14"/>
      <c r="E27" s="15"/>
    </row>
    <row r="28" spans="1:5" ht="15.75" x14ac:dyDescent="0.25">
      <c r="A28" s="8">
        <v>34242</v>
      </c>
      <c r="B28" s="14">
        <v>6.2048556437273588</v>
      </c>
      <c r="C28" s="14"/>
      <c r="D28" s="14"/>
      <c r="E28" s="15"/>
    </row>
    <row r="29" spans="1:5" ht="15.75" x14ac:dyDescent="0.25">
      <c r="A29" s="8">
        <v>34334</v>
      </c>
      <c r="B29" s="14">
        <v>6.1141150730948812</v>
      </c>
      <c r="C29" s="14"/>
      <c r="D29" s="14"/>
      <c r="E29" s="15"/>
    </row>
    <row r="30" spans="1:5" ht="15.75" x14ac:dyDescent="0.25">
      <c r="A30" s="8">
        <v>34424</v>
      </c>
      <c r="B30" s="14">
        <v>6.1618626425043903</v>
      </c>
      <c r="C30" s="14"/>
      <c r="D30" s="14"/>
      <c r="E30" s="15"/>
    </row>
    <row r="31" spans="1:5" ht="15.75" x14ac:dyDescent="0.25">
      <c r="A31" s="8">
        <v>34515</v>
      </c>
      <c r="B31" s="14">
        <v>6.2334380663420461</v>
      </c>
      <c r="C31" s="14"/>
      <c r="D31" s="14"/>
      <c r="E31" s="15"/>
    </row>
    <row r="32" spans="1:5" ht="15.75" x14ac:dyDescent="0.25">
      <c r="A32" s="8">
        <v>34607</v>
      </c>
      <c r="B32" s="14">
        <v>6.2049858270601206</v>
      </c>
      <c r="C32" s="14"/>
      <c r="D32" s="14"/>
      <c r="E32" s="15"/>
    </row>
    <row r="33" spans="1:5" ht="15.75" x14ac:dyDescent="0.25">
      <c r="A33" s="8">
        <v>34699</v>
      </c>
      <c r="B33" s="14">
        <v>6.3848829114902834</v>
      </c>
      <c r="C33" s="14"/>
      <c r="D33" s="14"/>
      <c r="E33" s="15"/>
    </row>
    <row r="34" spans="1:5" ht="15.75" x14ac:dyDescent="0.25">
      <c r="A34" s="8">
        <v>34789</v>
      </c>
      <c r="B34" s="14">
        <v>6.2933023312623568</v>
      </c>
      <c r="C34" s="14"/>
      <c r="D34" s="14"/>
      <c r="E34" s="15"/>
    </row>
    <row r="35" spans="1:5" ht="15.75" x14ac:dyDescent="0.25">
      <c r="A35" s="8">
        <v>34880</v>
      </c>
      <c r="B35" s="14">
        <v>6.4819352398281485</v>
      </c>
      <c r="C35" s="14"/>
      <c r="D35" s="14"/>
      <c r="E35" s="15"/>
    </row>
    <row r="36" spans="1:5" ht="15.75" x14ac:dyDescent="0.25">
      <c r="A36" s="8">
        <v>34972</v>
      </c>
      <c r="B36" s="14">
        <v>6.4094013702884016</v>
      </c>
      <c r="C36" s="14"/>
      <c r="D36" s="14"/>
      <c r="E36" s="15"/>
    </row>
    <row r="37" spans="1:5" ht="15.75" x14ac:dyDescent="0.25">
      <c r="A37" s="8">
        <v>35064</v>
      </c>
      <c r="B37" s="14">
        <v>6.1963483890271407</v>
      </c>
      <c r="C37" s="14"/>
      <c r="D37" s="14"/>
      <c r="E37" s="15"/>
    </row>
    <row r="38" spans="1:5" ht="15.75" x14ac:dyDescent="0.25">
      <c r="A38" s="8">
        <v>35155</v>
      </c>
      <c r="B38" s="14">
        <v>5.8307595789581192</v>
      </c>
      <c r="C38" s="14"/>
      <c r="D38" s="14"/>
      <c r="E38" s="15"/>
    </row>
    <row r="39" spans="1:5" ht="15.75" x14ac:dyDescent="0.25">
      <c r="A39" s="8">
        <v>35246</v>
      </c>
      <c r="B39" s="14">
        <v>5.7258354158970635</v>
      </c>
      <c r="C39" s="14"/>
      <c r="D39" s="14"/>
      <c r="E39" s="15"/>
    </row>
    <row r="40" spans="1:5" ht="15.75" x14ac:dyDescent="0.25">
      <c r="A40" s="8">
        <v>35338</v>
      </c>
      <c r="B40" s="14">
        <v>5.7058562542164193</v>
      </c>
      <c r="C40" s="14"/>
      <c r="D40" s="14"/>
      <c r="E40" s="15"/>
    </row>
    <row r="41" spans="1:5" ht="15.75" x14ac:dyDescent="0.25">
      <c r="A41" s="8">
        <v>35430</v>
      </c>
      <c r="B41" s="14">
        <v>5.7703452746002517</v>
      </c>
      <c r="C41" s="14"/>
      <c r="D41" s="14"/>
      <c r="E41" s="15"/>
    </row>
    <row r="42" spans="1:5" ht="15.75" x14ac:dyDescent="0.25">
      <c r="A42" s="8">
        <v>35520</v>
      </c>
      <c r="B42" s="14">
        <v>5.7204034136457924</v>
      </c>
      <c r="C42" s="14"/>
      <c r="D42" s="14"/>
      <c r="E42" s="15"/>
    </row>
    <row r="43" spans="1:5" ht="15.75" x14ac:dyDescent="0.25">
      <c r="A43" s="8">
        <v>35611</v>
      </c>
      <c r="B43" s="14">
        <v>5.9239302980623227</v>
      </c>
      <c r="C43" s="14"/>
      <c r="D43" s="14"/>
      <c r="E43" s="15"/>
    </row>
    <row r="44" spans="1:5" ht="15.75" x14ac:dyDescent="0.25">
      <c r="A44" s="8">
        <v>35703</v>
      </c>
      <c r="B44" s="14">
        <v>6.1949218722664918</v>
      </c>
      <c r="C44" s="14"/>
      <c r="D44" s="14"/>
      <c r="E44" s="15"/>
    </row>
    <row r="45" spans="1:5" ht="15.75" x14ac:dyDescent="0.25">
      <c r="A45" s="8">
        <v>35795</v>
      </c>
      <c r="B45" s="14">
        <v>6.4161957390853273</v>
      </c>
      <c r="C45" s="14"/>
      <c r="D45" s="14"/>
      <c r="E45" s="15"/>
    </row>
    <row r="46" spans="1:5" ht="15.75" x14ac:dyDescent="0.25">
      <c r="A46" s="8">
        <v>35885</v>
      </c>
      <c r="B46" s="14">
        <v>6.6754810297069591</v>
      </c>
      <c r="C46" s="14"/>
      <c r="D46" s="14"/>
      <c r="E46" s="15"/>
    </row>
    <row r="47" spans="1:5" ht="15.75" x14ac:dyDescent="0.25">
      <c r="A47" s="8">
        <v>35976</v>
      </c>
      <c r="B47" s="14">
        <v>6.8895485580680758</v>
      </c>
      <c r="C47" s="14"/>
      <c r="D47" s="14"/>
      <c r="E47" s="15"/>
    </row>
    <row r="48" spans="1:5" ht="15.75" x14ac:dyDescent="0.25">
      <c r="A48" s="8">
        <v>36068</v>
      </c>
      <c r="B48" s="14">
        <v>6.9290539925438557</v>
      </c>
      <c r="C48" s="14"/>
      <c r="D48" s="14"/>
      <c r="E48" s="15"/>
    </row>
    <row r="49" spans="1:5" ht="15.75" x14ac:dyDescent="0.25">
      <c r="A49" s="8">
        <v>36160</v>
      </c>
      <c r="B49" s="14">
        <v>6.9555432862896911</v>
      </c>
      <c r="C49" s="14"/>
      <c r="D49" s="14"/>
      <c r="E49" s="15"/>
    </row>
    <row r="50" spans="1:5" ht="15.75" x14ac:dyDescent="0.25">
      <c r="A50" s="8">
        <v>36250</v>
      </c>
      <c r="B50" s="14">
        <v>6.5614829665114183</v>
      </c>
      <c r="C50" s="14"/>
      <c r="D50" s="14"/>
      <c r="E50" s="15"/>
    </row>
    <row r="51" spans="1:5" ht="15.75" x14ac:dyDescent="0.25">
      <c r="A51" s="8">
        <v>36341</v>
      </c>
      <c r="B51" s="14">
        <v>6.3441514139359239</v>
      </c>
      <c r="C51" s="14"/>
      <c r="D51" s="14"/>
      <c r="E51" s="15"/>
    </row>
    <row r="52" spans="1:5" ht="15.75" x14ac:dyDescent="0.25">
      <c r="A52" s="8">
        <v>36433</v>
      </c>
      <c r="B52" s="14">
        <v>6.3561838695024129</v>
      </c>
      <c r="C52" s="14"/>
      <c r="D52" s="14"/>
      <c r="E52" s="15"/>
    </row>
    <row r="53" spans="1:5" ht="15.75" x14ac:dyDescent="0.25">
      <c r="A53" s="8">
        <v>36525</v>
      </c>
      <c r="B53" s="14">
        <v>6.293445058243444</v>
      </c>
      <c r="C53" s="14"/>
      <c r="D53" s="14"/>
      <c r="E53" s="15"/>
    </row>
    <row r="54" spans="1:5" ht="15.75" x14ac:dyDescent="0.25">
      <c r="A54" s="8">
        <v>36616</v>
      </c>
      <c r="B54" s="14">
        <v>6.5423647533821132</v>
      </c>
      <c r="C54" s="14"/>
      <c r="D54" s="14"/>
      <c r="E54" s="15"/>
    </row>
    <row r="55" spans="1:5" ht="15.75" x14ac:dyDescent="0.25">
      <c r="A55" s="8">
        <v>36707</v>
      </c>
      <c r="B55" s="14">
        <v>6.8705036225842049</v>
      </c>
      <c r="C55" s="14"/>
      <c r="D55" s="14"/>
      <c r="E55" s="15"/>
    </row>
    <row r="56" spans="1:5" ht="15.75" x14ac:dyDescent="0.25">
      <c r="A56" s="8">
        <v>36799</v>
      </c>
      <c r="B56" s="14">
        <v>6.8747234417869398</v>
      </c>
      <c r="C56" s="14"/>
      <c r="D56" s="14"/>
      <c r="E56" s="15"/>
    </row>
    <row r="57" spans="1:5" ht="15.75" x14ac:dyDescent="0.25">
      <c r="A57" s="8">
        <v>36891</v>
      </c>
      <c r="B57" s="14">
        <v>6.8170654757910496</v>
      </c>
      <c r="C57" s="14"/>
      <c r="D57" s="14"/>
      <c r="E57" s="15"/>
    </row>
    <row r="58" spans="1:5" ht="15.75" x14ac:dyDescent="0.25">
      <c r="A58" s="8">
        <v>36981</v>
      </c>
      <c r="B58" s="14">
        <v>6.8236090019768509</v>
      </c>
      <c r="C58" s="14"/>
      <c r="D58" s="14"/>
      <c r="E58" s="15"/>
    </row>
    <row r="59" spans="1:5" ht="15.75" x14ac:dyDescent="0.25">
      <c r="A59" s="8">
        <v>37072</v>
      </c>
      <c r="B59" s="14">
        <v>6.7495030090498078</v>
      </c>
      <c r="C59" s="14"/>
      <c r="D59" s="14"/>
      <c r="E59" s="15"/>
    </row>
    <row r="60" spans="1:5" ht="15.75" x14ac:dyDescent="0.25">
      <c r="A60" s="8">
        <v>37164</v>
      </c>
      <c r="B60" s="14">
        <v>6.7628444021848502</v>
      </c>
      <c r="C60" s="14"/>
      <c r="D60" s="14"/>
      <c r="E60" s="15"/>
    </row>
    <row r="61" spans="1:5" ht="15.75" x14ac:dyDescent="0.25">
      <c r="A61" s="8">
        <v>37256</v>
      </c>
      <c r="B61" s="14">
        <v>6.7116219177893806</v>
      </c>
      <c r="C61" s="14"/>
      <c r="D61" s="14"/>
      <c r="E61" s="15"/>
    </row>
    <row r="62" spans="1:5" ht="15.75" x14ac:dyDescent="0.25">
      <c r="A62" s="8">
        <v>37346</v>
      </c>
      <c r="B62" s="14">
        <v>7.0930035229619772</v>
      </c>
      <c r="C62" s="14"/>
      <c r="D62" s="14"/>
      <c r="E62" s="15"/>
    </row>
    <row r="63" spans="1:5" ht="15.75" x14ac:dyDescent="0.25">
      <c r="A63" s="8">
        <v>37437</v>
      </c>
      <c r="B63" s="14">
        <v>6.9252924978502621</v>
      </c>
      <c r="C63" s="14"/>
      <c r="D63" s="14"/>
      <c r="E63" s="15"/>
    </row>
    <row r="64" spans="1:5" ht="15.75" x14ac:dyDescent="0.25">
      <c r="A64" s="8">
        <v>37529</v>
      </c>
      <c r="B64" s="14">
        <v>7.2180891178615019</v>
      </c>
      <c r="C64" s="14"/>
      <c r="D64" s="14"/>
      <c r="E64" s="15"/>
    </row>
    <row r="65" spans="1:5" ht="15.75" x14ac:dyDescent="0.25">
      <c r="A65" s="8">
        <v>37621</v>
      </c>
      <c r="B65" s="14">
        <v>7.6669776174696196</v>
      </c>
      <c r="C65" s="14"/>
      <c r="D65" s="14"/>
      <c r="E65" s="15"/>
    </row>
    <row r="66" spans="1:5" ht="15.75" x14ac:dyDescent="0.25">
      <c r="A66" s="8">
        <v>37711</v>
      </c>
      <c r="B66" s="14">
        <v>7.6594879057188354</v>
      </c>
      <c r="C66" s="14"/>
      <c r="D66" s="14"/>
      <c r="E66" s="15"/>
    </row>
    <row r="67" spans="1:5" ht="15.75" x14ac:dyDescent="0.25">
      <c r="A67" s="8">
        <v>37802</v>
      </c>
      <c r="B67" s="14">
        <v>7.7269131648778631</v>
      </c>
      <c r="C67" s="14"/>
      <c r="D67" s="14"/>
      <c r="E67" s="15"/>
    </row>
    <row r="68" spans="1:5" ht="15.75" x14ac:dyDescent="0.25">
      <c r="A68" s="8">
        <v>37894</v>
      </c>
      <c r="B68" s="14">
        <v>7.7568570119180853</v>
      </c>
      <c r="C68" s="14"/>
      <c r="D68" s="14"/>
      <c r="E68" s="15"/>
    </row>
    <row r="69" spans="1:5" ht="15.75" x14ac:dyDescent="0.25">
      <c r="A69" s="8">
        <v>37986</v>
      </c>
      <c r="B69" s="14">
        <v>7.9798967992436323</v>
      </c>
      <c r="C69" s="14"/>
      <c r="D69" s="14"/>
      <c r="E69" s="15"/>
    </row>
    <row r="70" spans="1:5" ht="15.75" x14ac:dyDescent="0.25">
      <c r="A70" s="8">
        <v>38077</v>
      </c>
      <c r="B70" s="14">
        <v>8.3616322417107583</v>
      </c>
      <c r="C70" s="14"/>
      <c r="D70" s="14"/>
      <c r="E70" s="15"/>
    </row>
    <row r="71" spans="1:5" ht="15.75" x14ac:dyDescent="0.25">
      <c r="A71" s="8">
        <v>38168</v>
      </c>
      <c r="B71" s="14">
        <v>8.6833267029445498</v>
      </c>
      <c r="C71" s="14"/>
      <c r="D71" s="14"/>
      <c r="E71" s="15"/>
    </row>
    <row r="72" spans="1:5" ht="15.75" x14ac:dyDescent="0.25">
      <c r="A72" s="8">
        <v>38260</v>
      </c>
      <c r="B72" s="14">
        <v>9.1757820153806424</v>
      </c>
      <c r="C72" s="14"/>
      <c r="D72" s="14"/>
      <c r="E72" s="15"/>
    </row>
    <row r="73" spans="1:5" ht="15.75" x14ac:dyDescent="0.25">
      <c r="A73" s="8">
        <v>38352</v>
      </c>
      <c r="B73" s="14">
        <v>9.3801221397902026</v>
      </c>
      <c r="C73" s="14"/>
      <c r="D73" s="14"/>
      <c r="E73" s="15"/>
    </row>
    <row r="74" spans="1:5" ht="15.75" x14ac:dyDescent="0.25">
      <c r="A74" s="8">
        <v>38442</v>
      </c>
      <c r="B74" s="14">
        <v>9.5847897378010938</v>
      </c>
      <c r="C74" s="14"/>
      <c r="D74" s="14"/>
      <c r="E74" s="15"/>
    </row>
    <row r="75" spans="1:5" ht="15.75" x14ac:dyDescent="0.25">
      <c r="A75" s="8">
        <v>38533</v>
      </c>
      <c r="B75" s="14">
        <v>9.3701117610156501</v>
      </c>
      <c r="C75" s="14"/>
      <c r="D75" s="14"/>
      <c r="E75" s="15"/>
    </row>
    <row r="76" spans="1:5" ht="15.75" x14ac:dyDescent="0.25">
      <c r="A76" s="8">
        <v>38625</v>
      </c>
      <c r="B76" s="14">
        <v>9.409785137900176</v>
      </c>
      <c r="C76" s="14"/>
      <c r="D76" s="14"/>
      <c r="E76" s="15"/>
    </row>
    <row r="77" spans="1:5" ht="15.75" x14ac:dyDescent="0.25">
      <c r="A77" s="8">
        <v>38717</v>
      </c>
      <c r="B77" s="14">
        <v>9.4692494312990192</v>
      </c>
      <c r="C77" s="14"/>
      <c r="D77" s="14"/>
      <c r="E77" s="15"/>
    </row>
    <row r="78" spans="1:5" ht="15.75" x14ac:dyDescent="0.25">
      <c r="A78" s="8">
        <v>38807</v>
      </c>
      <c r="B78" s="14">
        <v>9.8089549383878705</v>
      </c>
      <c r="C78" s="14"/>
      <c r="D78" s="14"/>
      <c r="E78" s="15"/>
    </row>
    <row r="79" spans="1:5" ht="15.75" x14ac:dyDescent="0.25">
      <c r="A79" s="8">
        <v>38898</v>
      </c>
      <c r="B79" s="14">
        <v>9.7034021069672587</v>
      </c>
      <c r="C79" s="14"/>
      <c r="D79" s="14"/>
      <c r="E79" s="15"/>
    </row>
    <row r="80" spans="1:5" ht="15.75" x14ac:dyDescent="0.25">
      <c r="A80" s="8">
        <v>38990</v>
      </c>
      <c r="B80" s="14">
        <v>9.8509786681645668</v>
      </c>
      <c r="C80" s="14"/>
      <c r="D80" s="14"/>
      <c r="E80" s="15"/>
    </row>
    <row r="81" spans="1:5" ht="15.75" x14ac:dyDescent="0.25">
      <c r="A81" s="8">
        <v>39082</v>
      </c>
      <c r="B81" s="14">
        <v>9.9705228856312011</v>
      </c>
      <c r="C81" s="14"/>
      <c r="D81" s="14"/>
      <c r="E81" s="15"/>
    </row>
    <row r="82" spans="1:5" ht="15.75" x14ac:dyDescent="0.25">
      <c r="A82" s="8">
        <v>39172</v>
      </c>
      <c r="B82" s="14">
        <v>10.653359984234198</v>
      </c>
      <c r="C82" s="14"/>
      <c r="D82" s="14"/>
      <c r="E82" s="15"/>
    </row>
    <row r="83" spans="1:5" ht="15.75" x14ac:dyDescent="0.25">
      <c r="A83" s="8">
        <v>39263</v>
      </c>
      <c r="B83" s="14">
        <v>10.379437235617075</v>
      </c>
      <c r="C83" s="14"/>
      <c r="D83" s="14"/>
      <c r="E83" s="15"/>
    </row>
    <row r="84" spans="1:5" ht="15.75" x14ac:dyDescent="0.25">
      <c r="A84" s="8">
        <v>39355</v>
      </c>
      <c r="B84" s="14">
        <v>10.630019274845425</v>
      </c>
      <c r="C84" s="14"/>
      <c r="D84" s="14"/>
      <c r="E84" s="15"/>
    </row>
    <row r="85" spans="1:5" ht="15.75" x14ac:dyDescent="0.25">
      <c r="A85" s="8">
        <v>39447</v>
      </c>
      <c r="B85" s="14">
        <v>10.756692392520408</v>
      </c>
      <c r="C85" s="14"/>
      <c r="D85" s="14"/>
      <c r="E85" s="15"/>
    </row>
    <row r="86" spans="1:5" ht="15.75" x14ac:dyDescent="0.25">
      <c r="A86" s="8">
        <v>39538</v>
      </c>
      <c r="B86" s="14">
        <v>10.702588884217343</v>
      </c>
      <c r="C86" s="14"/>
      <c r="D86" s="14"/>
      <c r="E86" s="15"/>
    </row>
    <row r="87" spans="1:5" ht="15.75" x14ac:dyDescent="0.25">
      <c r="A87" s="8">
        <v>39629</v>
      </c>
      <c r="B87" s="14">
        <v>10.301118776921641</v>
      </c>
      <c r="C87" s="14"/>
      <c r="D87" s="14"/>
      <c r="E87" s="15"/>
    </row>
    <row r="88" spans="1:5" ht="15.75" x14ac:dyDescent="0.25">
      <c r="A88" s="8">
        <v>39721</v>
      </c>
      <c r="B88" s="14">
        <v>10.63531743755274</v>
      </c>
      <c r="C88" s="14"/>
      <c r="D88" s="14"/>
      <c r="E88" s="15"/>
    </row>
    <row r="89" spans="1:5" ht="15.75" x14ac:dyDescent="0.25">
      <c r="A89" s="8">
        <v>39813</v>
      </c>
      <c r="B89" s="14">
        <v>10.543166797314276</v>
      </c>
      <c r="C89" s="14"/>
      <c r="D89" s="14"/>
      <c r="E89" s="15"/>
    </row>
    <row r="90" spans="1:5" ht="15.75" x14ac:dyDescent="0.25">
      <c r="A90" s="8">
        <v>39903</v>
      </c>
      <c r="B90" s="14">
        <v>9.2844099592373386</v>
      </c>
      <c r="C90" s="14"/>
      <c r="D90" s="14"/>
      <c r="E90" s="15"/>
    </row>
    <row r="91" spans="1:5" ht="15.75" x14ac:dyDescent="0.25">
      <c r="A91" s="8">
        <v>39994</v>
      </c>
      <c r="B91" s="14">
        <v>8.5184448697734005</v>
      </c>
      <c r="C91" s="14"/>
      <c r="D91" s="14"/>
      <c r="E91" s="15"/>
    </row>
    <row r="92" spans="1:5" ht="15.75" x14ac:dyDescent="0.25">
      <c r="A92" s="8">
        <v>40086</v>
      </c>
      <c r="B92" s="14">
        <v>8.2013980908321535</v>
      </c>
      <c r="C92" s="14"/>
      <c r="D92" s="14"/>
      <c r="E92" s="15"/>
    </row>
    <row r="93" spans="1:5" ht="15.75" x14ac:dyDescent="0.25">
      <c r="A93" s="8">
        <v>40178</v>
      </c>
      <c r="B93" s="14">
        <v>8.0397469202921421</v>
      </c>
      <c r="C93" s="14"/>
      <c r="D93" s="14"/>
      <c r="E93" s="15"/>
    </row>
    <row r="94" spans="1:5" ht="15.75" x14ac:dyDescent="0.25">
      <c r="A94" s="8">
        <v>40268</v>
      </c>
      <c r="B94" s="14">
        <v>7.9260751258955704</v>
      </c>
      <c r="C94" s="14"/>
      <c r="D94" s="14"/>
      <c r="E94" s="15"/>
    </row>
    <row r="95" spans="1:5" ht="15.75" x14ac:dyDescent="0.25">
      <c r="A95" s="8">
        <v>40359</v>
      </c>
      <c r="B95" s="14">
        <v>7.7234497623985101</v>
      </c>
      <c r="C95" s="14"/>
      <c r="D95" s="14"/>
      <c r="E95" s="15"/>
    </row>
    <row r="96" spans="1:5" ht="15.75" x14ac:dyDescent="0.25">
      <c r="A96" s="8">
        <v>40451</v>
      </c>
      <c r="B96" s="14">
        <v>7.6056669736140572</v>
      </c>
      <c r="C96" s="14"/>
      <c r="D96" s="14"/>
      <c r="E96" s="15"/>
    </row>
    <row r="97" spans="1:5" ht="15.75" x14ac:dyDescent="0.25">
      <c r="A97" s="8">
        <v>40543</v>
      </c>
      <c r="B97" s="14">
        <v>7.6459672046431741</v>
      </c>
      <c r="C97" s="14"/>
      <c r="D97" s="14"/>
      <c r="E97" s="15"/>
    </row>
    <row r="98" spans="1:5" ht="15.75" x14ac:dyDescent="0.25">
      <c r="A98" s="8">
        <v>40633</v>
      </c>
      <c r="B98" s="14">
        <v>7.7978706642071582</v>
      </c>
      <c r="C98" s="14"/>
      <c r="D98" s="14"/>
      <c r="E98" s="15"/>
    </row>
    <row r="99" spans="1:5" ht="15.75" x14ac:dyDescent="0.25">
      <c r="A99" s="8">
        <v>40724</v>
      </c>
      <c r="B99" s="14">
        <v>7.602042415882214</v>
      </c>
      <c r="C99" s="14"/>
      <c r="D99" s="14"/>
      <c r="E99" s="15"/>
    </row>
    <row r="100" spans="1:5" ht="15.75" x14ac:dyDescent="0.25">
      <c r="A100" s="8">
        <v>40816</v>
      </c>
      <c r="B100" s="14">
        <v>7.452456408121555</v>
      </c>
      <c r="C100" s="14"/>
      <c r="D100" s="14"/>
      <c r="E100" s="15"/>
    </row>
    <row r="101" spans="1:5" ht="15.75" x14ac:dyDescent="0.25">
      <c r="A101" s="8">
        <v>40908</v>
      </c>
      <c r="B101" s="14">
        <v>7.5794625646359446</v>
      </c>
      <c r="C101" s="14"/>
      <c r="D101" s="14"/>
      <c r="E101" s="15"/>
    </row>
    <row r="102" spans="1:5" ht="15.75" x14ac:dyDescent="0.25">
      <c r="A102" s="8">
        <v>40999</v>
      </c>
      <c r="B102" s="14">
        <v>7.5456673994028947</v>
      </c>
      <c r="C102" s="14"/>
      <c r="D102" s="14"/>
      <c r="E102" s="15"/>
    </row>
    <row r="103" spans="1:5" ht="15.75" x14ac:dyDescent="0.25">
      <c r="A103" s="8">
        <v>41090</v>
      </c>
      <c r="B103" s="14">
        <v>7.5877036835769838</v>
      </c>
      <c r="C103" s="14"/>
      <c r="D103" s="14"/>
      <c r="E103" s="15"/>
    </row>
    <row r="104" spans="1:5" ht="15.75" x14ac:dyDescent="0.25">
      <c r="A104" s="8">
        <v>41182</v>
      </c>
      <c r="B104" s="14">
        <v>7.566896070861123</v>
      </c>
      <c r="C104" s="14"/>
      <c r="D104" s="14"/>
      <c r="E104" s="15"/>
    </row>
    <row r="105" spans="1:5" ht="15.75" x14ac:dyDescent="0.25">
      <c r="A105" s="8">
        <v>41274</v>
      </c>
      <c r="B105" s="14">
        <v>7.7086552176791914</v>
      </c>
      <c r="C105" s="14"/>
      <c r="D105" s="14"/>
      <c r="E105" s="15"/>
    </row>
    <row r="106" spans="1:5" ht="15.75" x14ac:dyDescent="0.25">
      <c r="A106" s="8">
        <v>41364</v>
      </c>
      <c r="B106" s="14">
        <v>7.7338664235159991</v>
      </c>
      <c r="C106" s="14"/>
      <c r="D106" s="14"/>
      <c r="E106" s="15"/>
    </row>
    <row r="107" spans="1:5" ht="15.75" x14ac:dyDescent="0.25">
      <c r="A107" s="8">
        <v>41455</v>
      </c>
      <c r="B107" s="14">
        <v>7.454797295396733</v>
      </c>
      <c r="C107" s="14"/>
      <c r="D107" s="14"/>
      <c r="E107" s="15"/>
    </row>
    <row r="108" spans="1:5" ht="15.75" x14ac:dyDescent="0.25">
      <c r="A108" s="8">
        <v>41547</v>
      </c>
      <c r="B108" s="14">
        <v>7.573583240868996</v>
      </c>
      <c r="C108" s="14"/>
      <c r="D108" s="14"/>
      <c r="E108" s="15"/>
    </row>
    <row r="109" spans="1:5" ht="15.75" x14ac:dyDescent="0.25">
      <c r="A109" s="8">
        <v>41639</v>
      </c>
      <c r="B109" s="14">
        <v>7.4594958246532412</v>
      </c>
      <c r="C109" s="14"/>
      <c r="D109" s="14"/>
      <c r="E109" s="15"/>
    </row>
    <row r="110" spans="1:5" ht="15.75" x14ac:dyDescent="0.25">
      <c r="A110" s="8">
        <v>41729</v>
      </c>
      <c r="B110" s="14">
        <v>7.4364799442440734</v>
      </c>
      <c r="C110" s="14"/>
      <c r="D110" s="14"/>
      <c r="E110" s="15"/>
    </row>
    <row r="111" spans="1:5" ht="15.75" x14ac:dyDescent="0.25">
      <c r="A111" s="8">
        <v>41820</v>
      </c>
      <c r="B111" s="14">
        <v>7.4725480821833097</v>
      </c>
      <c r="C111" s="14"/>
      <c r="D111" s="14"/>
      <c r="E111" s="15"/>
    </row>
    <row r="112" spans="1:5" ht="15.75" x14ac:dyDescent="0.25">
      <c r="A112" s="8">
        <v>41912</v>
      </c>
      <c r="B112" s="14">
        <v>7.7330378616216473</v>
      </c>
      <c r="C112" s="14"/>
      <c r="D112" s="14"/>
      <c r="E112" s="15"/>
    </row>
    <row r="113" spans="1:5" ht="15.75" x14ac:dyDescent="0.25">
      <c r="A113" s="8">
        <v>42004</v>
      </c>
      <c r="B113" s="14">
        <v>7.5494128413526376</v>
      </c>
      <c r="C113" s="14"/>
      <c r="D113" s="14"/>
      <c r="E113" s="15"/>
    </row>
    <row r="114" spans="1:5" ht="15.75" x14ac:dyDescent="0.25">
      <c r="A114" s="8">
        <v>42094</v>
      </c>
      <c r="B114" s="14">
        <v>7.400071620626929</v>
      </c>
      <c r="C114" s="14"/>
      <c r="D114" s="14"/>
      <c r="E114" s="15"/>
    </row>
    <row r="115" spans="1:5" ht="15.75" x14ac:dyDescent="0.25">
      <c r="A115" s="8">
        <v>42185</v>
      </c>
      <c r="B115" s="14">
        <v>7.1930218429243782</v>
      </c>
      <c r="C115" s="14"/>
      <c r="D115" s="14"/>
      <c r="E115" s="15"/>
    </row>
    <row r="116" spans="1:5" ht="15.75" x14ac:dyDescent="0.25">
      <c r="A116" s="8">
        <v>42277</v>
      </c>
      <c r="B116" s="14">
        <v>7.0787570496820829</v>
      </c>
      <c r="C116" s="14"/>
      <c r="D116" s="14"/>
      <c r="E116" s="15"/>
    </row>
    <row r="117" spans="1:5" ht="15.75" x14ac:dyDescent="0.25">
      <c r="A117" s="8">
        <v>42369</v>
      </c>
      <c r="B117" s="14">
        <v>7.2133482013187535</v>
      </c>
      <c r="C117" s="14"/>
      <c r="D117" s="14"/>
      <c r="E117" s="15"/>
    </row>
    <row r="118" spans="1:5" ht="15.75" x14ac:dyDescent="0.25">
      <c r="A118" s="8">
        <v>42460</v>
      </c>
      <c r="B118" s="14">
        <v>7.1029319648044309</v>
      </c>
      <c r="C118" s="14"/>
      <c r="D118" s="14"/>
      <c r="E118" s="15"/>
    </row>
    <row r="119" spans="1:5" ht="15.75" x14ac:dyDescent="0.25">
      <c r="A119" s="8">
        <v>42551</v>
      </c>
      <c r="B119" s="14">
        <v>7.0176686359603764</v>
      </c>
      <c r="C119" s="14"/>
      <c r="D119" s="14"/>
      <c r="E119" s="15"/>
    </row>
    <row r="120" spans="1:5" ht="15.75" x14ac:dyDescent="0.25">
      <c r="A120" s="8">
        <v>42643</v>
      </c>
      <c r="B120" s="14">
        <v>7.0689921059280669</v>
      </c>
      <c r="C120" s="14"/>
      <c r="D120" s="14"/>
      <c r="E120" s="15"/>
    </row>
    <row r="121" spans="1:5" ht="15.75" x14ac:dyDescent="0.25">
      <c r="A121" s="8">
        <v>42735</v>
      </c>
      <c r="B121" s="14">
        <v>6.8394546969006251</v>
      </c>
      <c r="C121" s="14"/>
      <c r="D121" s="14"/>
      <c r="E121" s="15"/>
    </row>
    <row r="122" spans="1:5" ht="15.75" x14ac:dyDescent="0.25">
      <c r="A122" s="8">
        <v>42825</v>
      </c>
      <c r="B122" s="14">
        <v>7.001893192715718</v>
      </c>
      <c r="C122" s="14"/>
      <c r="D122" s="14"/>
      <c r="E122" s="15"/>
    </row>
    <row r="123" spans="1:5" ht="15.75" x14ac:dyDescent="0.25">
      <c r="A123" s="8">
        <v>42916</v>
      </c>
      <c r="B123" s="14">
        <v>7.0070621056462477</v>
      </c>
      <c r="C123" s="14"/>
      <c r="D123" s="14"/>
      <c r="E123" s="15"/>
    </row>
    <row r="124" spans="1:5" ht="15.75" x14ac:dyDescent="0.25">
      <c r="A124" s="8">
        <v>43008</v>
      </c>
      <c r="B124" s="14">
        <v>6.7890752868170425</v>
      </c>
      <c r="C124" s="14"/>
      <c r="D124" s="14"/>
      <c r="E124" s="15"/>
    </row>
    <row r="125" spans="1:5" ht="15.75" x14ac:dyDescent="0.25">
      <c r="A125" s="8">
        <v>43100</v>
      </c>
      <c r="B125" s="14">
        <v>6.887073773598468</v>
      </c>
      <c r="C125" s="14"/>
      <c r="D125" s="14"/>
      <c r="E125" s="15"/>
    </row>
    <row r="126" spans="1:5" ht="15.75" x14ac:dyDescent="0.25">
      <c r="A126" s="8">
        <v>43190</v>
      </c>
      <c r="B126" s="14">
        <v>6.7809716464613219</v>
      </c>
      <c r="C126" s="14"/>
      <c r="D126" s="14"/>
      <c r="E126" s="15"/>
    </row>
    <row r="127" spans="1:5" ht="15.75" x14ac:dyDescent="0.25">
      <c r="A127" s="8">
        <v>43281</v>
      </c>
      <c r="B127" s="14">
        <v>6.8117510032595874</v>
      </c>
      <c r="C127" s="14"/>
      <c r="D127" s="14"/>
      <c r="E127" s="15"/>
    </row>
    <row r="128" spans="1:5" ht="15.75" x14ac:dyDescent="0.25">
      <c r="A128" s="8">
        <v>43373</v>
      </c>
      <c r="B128" s="14">
        <v>6.7876852140201462</v>
      </c>
      <c r="C128" s="14"/>
      <c r="D128" s="14"/>
      <c r="E128" s="15"/>
    </row>
    <row r="129" spans="1:5" ht="15.75" x14ac:dyDescent="0.25">
      <c r="A129" s="8">
        <v>43465</v>
      </c>
      <c r="B129" s="14">
        <v>6.6884704438552616</v>
      </c>
      <c r="C129" s="14"/>
      <c r="D129" s="14"/>
      <c r="E129" s="15"/>
    </row>
    <row r="130" spans="1:5" ht="15.75" x14ac:dyDescent="0.25">
      <c r="A130" s="8">
        <v>43555</v>
      </c>
      <c r="B130" s="14">
        <v>6.5970620328474059</v>
      </c>
      <c r="C130" s="14"/>
      <c r="D130" s="14"/>
      <c r="E130" s="15"/>
    </row>
    <row r="131" spans="1:5" ht="15.75" x14ac:dyDescent="0.25">
      <c r="A131" s="8">
        <v>43646</v>
      </c>
      <c r="B131" s="14">
        <v>6.3934863300850768</v>
      </c>
      <c r="C131" s="14"/>
      <c r="D131" s="14"/>
      <c r="E131" s="15"/>
    </row>
    <row r="132" spans="1:5" ht="15.75" x14ac:dyDescent="0.25">
      <c r="A132" s="8">
        <v>43738</v>
      </c>
      <c r="B132" s="14">
        <v>6.5403762900674467</v>
      </c>
      <c r="C132" s="14"/>
      <c r="D132" s="14"/>
      <c r="E132" s="15"/>
    </row>
    <row r="133" spans="1:5" ht="15.75" x14ac:dyDescent="0.25">
      <c r="A133" s="8">
        <v>43830</v>
      </c>
      <c r="B133" s="14">
        <v>6.6035512505869018</v>
      </c>
      <c r="C133" s="14"/>
      <c r="D133" s="14"/>
      <c r="E133" s="15"/>
    </row>
    <row r="134" spans="1:5" ht="15.75" x14ac:dyDescent="0.25">
      <c r="A134" s="8">
        <v>43921</v>
      </c>
      <c r="B134" s="14">
        <v>6.820538546404145</v>
      </c>
      <c r="C134" s="14"/>
      <c r="D134" s="14"/>
      <c r="E134" s="15"/>
    </row>
    <row r="135" spans="1:5" ht="15.75" x14ac:dyDescent="0.25">
      <c r="A135" s="8">
        <v>44012</v>
      </c>
      <c r="B135" s="14">
        <v>6.0491081155995632</v>
      </c>
      <c r="C135" s="14"/>
      <c r="D135" s="14"/>
      <c r="E135" s="15"/>
    </row>
    <row r="136" spans="1:5" ht="15.75" x14ac:dyDescent="0.25">
      <c r="A136" s="8">
        <v>44104</v>
      </c>
      <c r="B136" s="14">
        <v>6.1963489877816418</v>
      </c>
      <c r="C136" s="14"/>
      <c r="D136" s="14"/>
      <c r="E136" s="15"/>
    </row>
    <row r="137" spans="1:5" ht="15.75" x14ac:dyDescent="0.25">
      <c r="A137" s="8">
        <v>44196</v>
      </c>
      <c r="B137" s="14">
        <v>6.4185898160278656</v>
      </c>
      <c r="C137" s="14"/>
      <c r="D137" s="14"/>
      <c r="E137" s="15"/>
    </row>
    <row r="138" spans="1:5" ht="15.75" x14ac:dyDescent="0.25">
      <c r="A138" s="8">
        <v>44286</v>
      </c>
      <c r="B138" s="14">
        <v>6.4628689531997336</v>
      </c>
      <c r="C138" s="14"/>
      <c r="D138" s="14"/>
      <c r="E138" s="15"/>
    </row>
    <row r="139" spans="1:5" ht="15.75" x14ac:dyDescent="0.25">
      <c r="A139" s="8">
        <v>44377</v>
      </c>
      <c r="B139" s="14">
        <v>6.5672491135208135</v>
      </c>
      <c r="C139" s="14"/>
      <c r="D139" s="14"/>
      <c r="E139" s="15"/>
    </row>
    <row r="140" spans="1:5" ht="15.75" x14ac:dyDescent="0.25">
      <c r="A140" s="8">
        <v>44469</v>
      </c>
      <c r="B140" s="14">
        <v>6.4570171534399474</v>
      </c>
      <c r="C140" s="14"/>
      <c r="D140" s="14"/>
      <c r="E140" s="15"/>
    </row>
    <row r="141" spans="1:5" ht="15.75" x14ac:dyDescent="0.25">
      <c r="A141" s="8">
        <v>44561</v>
      </c>
      <c r="B141" s="14">
        <v>6.5555851839162322</v>
      </c>
      <c r="C141" s="14"/>
      <c r="D141" s="14"/>
      <c r="E141" s="15"/>
    </row>
    <row r="142" spans="1:5" ht="15.75" x14ac:dyDescent="0.25">
      <c r="A142" s="8">
        <v>44651</v>
      </c>
      <c r="B142" s="14">
        <v>6.5272833630660108</v>
      </c>
      <c r="C142" s="14"/>
      <c r="D142" s="14"/>
      <c r="E142" s="15"/>
    </row>
    <row r="143" spans="1:5" ht="15.75" x14ac:dyDescent="0.25">
      <c r="A143" s="8">
        <v>44742</v>
      </c>
      <c r="B143" s="14">
        <v>6.374775572408975</v>
      </c>
      <c r="C143" s="14"/>
      <c r="D143" s="14"/>
      <c r="E143" s="15"/>
    </row>
    <row r="144" spans="1:5" ht="15.75" x14ac:dyDescent="0.25">
      <c r="A144" s="8">
        <v>44834</v>
      </c>
      <c r="B144" s="14">
        <v>6.4257920539195696</v>
      </c>
      <c r="C144" s="14"/>
      <c r="D144" s="14"/>
      <c r="E144" s="15"/>
    </row>
    <row r="145" spans="1:5" ht="15.75" x14ac:dyDescent="0.25">
      <c r="A145" s="8">
        <v>44926</v>
      </c>
      <c r="B145" s="14">
        <v>6.6961631419331997</v>
      </c>
      <c r="C145" s="14"/>
      <c r="D145" s="14"/>
      <c r="E145" s="15"/>
    </row>
    <row r="146" spans="1:5" ht="15.75" x14ac:dyDescent="0.25">
      <c r="A146" s="8">
        <v>45016</v>
      </c>
      <c r="B146" s="14">
        <v>6.8978800402315033</v>
      </c>
      <c r="C146" s="14"/>
      <c r="D146" s="14"/>
      <c r="E146" s="15"/>
    </row>
    <row r="147" spans="1:5" ht="15.75" x14ac:dyDescent="0.25">
      <c r="A147" s="8">
        <v>45107</v>
      </c>
      <c r="B147" s="14">
        <v>6.7722082633763305</v>
      </c>
      <c r="C147" s="14"/>
      <c r="D147" s="14"/>
      <c r="E147" s="15"/>
    </row>
    <row r="148" spans="1:5" ht="15.75" x14ac:dyDescent="0.25">
      <c r="A148" s="8">
        <v>45199</v>
      </c>
      <c r="B148" s="14">
        <v>7.0434703207925624</v>
      </c>
      <c r="C148" s="14"/>
      <c r="D148" s="14"/>
      <c r="E148" s="15"/>
    </row>
    <row r="149" spans="1:5" ht="15.75" x14ac:dyDescent="0.25">
      <c r="A149" s="8">
        <v>45291</v>
      </c>
      <c r="B149" s="14">
        <v>7.3475082410728021</v>
      </c>
      <c r="C149" s="14">
        <v>7.3475082410728021</v>
      </c>
      <c r="D149" s="14"/>
      <c r="E149" s="15"/>
    </row>
    <row r="150" spans="1:5" ht="15.75" x14ac:dyDescent="0.25">
      <c r="A150" s="8">
        <v>45382</v>
      </c>
      <c r="B150" s="14"/>
      <c r="C150" s="14">
        <v>7.5791544818190228</v>
      </c>
      <c r="D150" s="14"/>
      <c r="E150" s="15"/>
    </row>
    <row r="151" spans="1:5" ht="15.75" x14ac:dyDescent="0.25">
      <c r="A151" s="8">
        <v>45473</v>
      </c>
      <c r="B151" s="14"/>
      <c r="C151" s="14">
        <v>7.6832132165349547</v>
      </c>
      <c r="D151" s="14"/>
      <c r="E151" s="15"/>
    </row>
    <row r="152" spans="1:5" ht="15.75" x14ac:dyDescent="0.25">
      <c r="A152" s="8">
        <v>45565</v>
      </c>
      <c r="B152" s="14"/>
      <c r="C152" s="14">
        <v>7.7564118871543632</v>
      </c>
      <c r="D152" s="14"/>
      <c r="E152" s="15"/>
    </row>
    <row r="153" spans="1:5" ht="15.75" x14ac:dyDescent="0.25">
      <c r="A153" s="8">
        <v>45657</v>
      </c>
      <c r="B153" s="14"/>
      <c r="C153" s="14">
        <v>7.8267576608664786</v>
      </c>
      <c r="D153" s="14"/>
      <c r="E153" s="15"/>
    </row>
    <row r="154" spans="1:5" ht="15.75" x14ac:dyDescent="0.25">
      <c r="A154" s="8">
        <v>45747</v>
      </c>
      <c r="B154" s="14"/>
      <c r="C154" s="14">
        <v>7.8900806545196671</v>
      </c>
      <c r="D154" s="14"/>
      <c r="E154" s="15"/>
    </row>
    <row r="155" spans="1:5" ht="15.75" x14ac:dyDescent="0.25">
      <c r="A155" s="8">
        <v>45838</v>
      </c>
      <c r="B155" s="14"/>
      <c r="C155" s="14">
        <v>7.9578065187814202</v>
      </c>
      <c r="D155" s="14"/>
      <c r="E155" s="15"/>
    </row>
    <row r="156" spans="1:5" ht="15.75" x14ac:dyDescent="0.25">
      <c r="A156" s="8">
        <v>45930</v>
      </c>
      <c r="B156" s="14"/>
      <c r="C156" s="14">
        <v>8.0326906768664781</v>
      </c>
      <c r="D156" s="14"/>
      <c r="E156" s="15"/>
    </row>
    <row r="157" spans="1:5" ht="15.75" x14ac:dyDescent="0.25">
      <c r="A157" s="8">
        <v>46022</v>
      </c>
      <c r="B157" s="14"/>
      <c r="C157" s="14">
        <v>8.1014650908504517</v>
      </c>
      <c r="D157" s="14">
        <v>8.4517559029125486</v>
      </c>
      <c r="E157" s="15"/>
    </row>
    <row r="158" spans="1:5" ht="15.75" x14ac:dyDescent="0.25">
      <c r="A158" s="8">
        <v>46112</v>
      </c>
      <c r="B158" s="14"/>
      <c r="C158" s="14">
        <v>8.1493591252052049</v>
      </c>
      <c r="D158" s="14"/>
      <c r="E158" s="15"/>
    </row>
    <row r="159" spans="1:5" ht="15.75" x14ac:dyDescent="0.25">
      <c r="A159" s="8">
        <v>46203</v>
      </c>
      <c r="B159" s="14"/>
      <c r="C159" s="14">
        <v>8.2173006841587259</v>
      </c>
      <c r="D159" s="14"/>
      <c r="E159" s="15"/>
    </row>
    <row r="160" spans="1:5" ht="15.75" x14ac:dyDescent="0.25">
      <c r="A160" s="8">
        <v>46295</v>
      </c>
      <c r="B160" s="14"/>
      <c r="C160" s="14">
        <v>8.305137951629435</v>
      </c>
      <c r="D160" s="14"/>
      <c r="E160" s="15"/>
    </row>
    <row r="161" spans="1:5" ht="15.75" x14ac:dyDescent="0.25">
      <c r="A161" s="8">
        <v>46387</v>
      </c>
      <c r="B161" s="14"/>
      <c r="C161" s="14">
        <v>8.4105681572834925</v>
      </c>
      <c r="D161" s="14"/>
      <c r="E161" s="15"/>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BA215-639A-4980-BAFD-C384E51962CC}">
  <dimension ref="A1:AH128"/>
  <sheetViews>
    <sheetView zoomScaleNormal="100" workbookViewId="0">
      <selection activeCell="A13" sqref="A13"/>
    </sheetView>
  </sheetViews>
  <sheetFormatPr defaultColWidth="9.140625" defaultRowHeight="15.75" x14ac:dyDescent="0.25"/>
  <cols>
    <col min="1" max="1" width="11.140625" style="8" customWidth="1"/>
    <col min="2" max="2" width="10.140625" customWidth="1"/>
    <col min="3" max="3" width="9.5703125" customWidth="1"/>
    <col min="4" max="4" width="11" customWidth="1"/>
    <col min="5" max="5" width="11.5703125" bestFit="1" customWidth="1"/>
    <col min="6" max="6" width="11.28515625" bestFit="1" customWidth="1"/>
    <col min="8" max="9" width="9.85546875" customWidth="1"/>
  </cols>
  <sheetData>
    <row r="1" spans="1:34" x14ac:dyDescent="0.25">
      <c r="A1" s="6" t="s">
        <v>18</v>
      </c>
    </row>
    <row r="3" spans="1:34" x14ac:dyDescent="0.25">
      <c r="A3" s="9" t="s">
        <v>28</v>
      </c>
      <c r="B3" s="10"/>
    </row>
    <row r="4" spans="1:34" x14ac:dyDescent="0.25">
      <c r="A4" s="8" t="s">
        <v>29</v>
      </c>
    </row>
    <row r="5" spans="1:34" x14ac:dyDescent="0.25">
      <c r="A5" s="8" t="s">
        <v>30</v>
      </c>
    </row>
    <row r="6" spans="1:34" x14ac:dyDescent="0.25">
      <c r="A6" s="11" t="s">
        <v>31</v>
      </c>
    </row>
    <row r="7" spans="1:34" x14ac:dyDescent="0.25">
      <c r="A7" s="11" t="s">
        <v>32</v>
      </c>
    </row>
    <row r="8" spans="1:34" x14ac:dyDescent="0.25">
      <c r="A8" s="11" t="s">
        <v>33</v>
      </c>
    </row>
    <row r="9" spans="1:34" x14ac:dyDescent="0.25">
      <c r="A9" s="11"/>
    </row>
    <row r="10" spans="1:34" ht="31.5" x14ac:dyDescent="0.25">
      <c r="A10" s="12" t="s">
        <v>24</v>
      </c>
      <c r="B10" s="13" t="s">
        <v>34</v>
      </c>
      <c r="C10" s="13" t="s">
        <v>35</v>
      </c>
      <c r="D10" s="13" t="s">
        <v>36</v>
      </c>
      <c r="E10" s="13" t="s">
        <v>37</v>
      </c>
      <c r="F10" s="13" t="s">
        <v>38</v>
      </c>
      <c r="G10" s="13" t="s">
        <v>39</v>
      </c>
      <c r="H10" s="13" t="s">
        <v>40</v>
      </c>
      <c r="I10" s="13" t="s">
        <v>41</v>
      </c>
      <c r="J10" s="13" t="s">
        <v>42</v>
      </c>
      <c r="K10" s="13" t="s">
        <v>43</v>
      </c>
      <c r="L10" s="13" t="s">
        <v>44</v>
      </c>
      <c r="M10" s="13" t="s">
        <v>45</v>
      </c>
      <c r="N10" s="13" t="s">
        <v>46</v>
      </c>
    </row>
    <row r="11" spans="1:34" s="7" customFormat="1" x14ac:dyDescent="0.25">
      <c r="A11" s="8" t="s">
        <v>47</v>
      </c>
      <c r="B11" s="14">
        <v>8.0000000000000002E-3</v>
      </c>
      <c r="C11" s="14">
        <v>0.01</v>
      </c>
      <c r="D11" s="14">
        <v>4.2000000000000003E-2</v>
      </c>
      <c r="E11" s="16">
        <v>1.532</v>
      </c>
      <c r="F11" s="16">
        <v>5.3090000000000002</v>
      </c>
      <c r="G11" s="16">
        <v>0.38700000000000001</v>
      </c>
      <c r="H11" s="16">
        <v>0.38500000000000001</v>
      </c>
      <c r="I11" s="16">
        <v>0.25</v>
      </c>
      <c r="J11" s="16">
        <v>0.15</v>
      </c>
      <c r="K11" s="16">
        <v>8.5999999999999993E-2</v>
      </c>
      <c r="L11" s="16">
        <v>8.8999999999999996E-2</v>
      </c>
      <c r="M11" s="16">
        <v>2.8000000000000001E-2</v>
      </c>
      <c r="N11" s="16">
        <v>3.5000000000000003E-2</v>
      </c>
      <c r="O11"/>
      <c r="P11"/>
      <c r="Q11"/>
      <c r="R11"/>
      <c r="S11"/>
      <c r="T11"/>
      <c r="U11"/>
      <c r="V11"/>
      <c r="W11"/>
      <c r="X11"/>
      <c r="Y11"/>
      <c r="Z11"/>
      <c r="AA11"/>
      <c r="AB11"/>
      <c r="AC11"/>
      <c r="AD11"/>
      <c r="AE11"/>
      <c r="AF11"/>
      <c r="AG11"/>
      <c r="AH11"/>
    </row>
    <row r="12" spans="1:34" s="7" customFormat="1" x14ac:dyDescent="0.25">
      <c r="A12" s="8" t="s">
        <v>48</v>
      </c>
      <c r="B12" s="14">
        <v>0.111</v>
      </c>
      <c r="C12" s="14">
        <v>0.13800000000000001</v>
      </c>
      <c r="D12" s="14">
        <v>0.39100000000000001</v>
      </c>
      <c r="E12" s="17">
        <v>1.3540000000000001</v>
      </c>
      <c r="F12" s="16">
        <v>2.4180000000000001</v>
      </c>
      <c r="G12" s="16">
        <v>1.3</v>
      </c>
      <c r="H12" s="16">
        <v>0.96799999999999997</v>
      </c>
      <c r="I12" s="16">
        <v>0.626</v>
      </c>
      <c r="J12" s="16">
        <v>0.38100000000000001</v>
      </c>
      <c r="K12" s="16">
        <v>0.222</v>
      </c>
      <c r="L12" s="16">
        <v>0.23200000000000001</v>
      </c>
      <c r="M12" s="16">
        <v>7.2999999999999995E-2</v>
      </c>
      <c r="N12" s="16">
        <v>9.9000000000000005E-2</v>
      </c>
      <c r="O12"/>
      <c r="P12"/>
      <c r="Q12"/>
      <c r="R12"/>
      <c r="S12"/>
      <c r="T12"/>
      <c r="U12"/>
      <c r="V12"/>
      <c r="W12"/>
      <c r="X12"/>
      <c r="Y12"/>
      <c r="Z12"/>
      <c r="AA12"/>
      <c r="AB12"/>
      <c r="AC12"/>
      <c r="AD12"/>
      <c r="AE12"/>
      <c r="AF12"/>
      <c r="AG12"/>
      <c r="AH12"/>
    </row>
    <row r="13" spans="1:34" x14ac:dyDescent="0.25">
      <c r="B13" s="15"/>
      <c r="C13" s="15"/>
      <c r="D13" s="15"/>
      <c r="E13" s="18"/>
      <c r="F13" s="7"/>
      <c r="G13" s="7"/>
      <c r="H13" s="7"/>
      <c r="I13" s="7"/>
      <c r="J13" s="7"/>
      <c r="K13" s="7"/>
      <c r="L13" s="7"/>
      <c r="M13" s="7"/>
      <c r="N13" s="7"/>
    </row>
    <row r="14" spans="1:34" x14ac:dyDescent="0.25">
      <c r="B14" s="15"/>
      <c r="C14" s="15"/>
      <c r="D14" s="15"/>
      <c r="E14" s="18"/>
      <c r="F14" s="7"/>
      <c r="G14" s="7"/>
      <c r="H14" s="7"/>
      <c r="I14" s="7"/>
      <c r="J14" s="7"/>
      <c r="K14" s="7"/>
      <c r="L14" s="7"/>
      <c r="M14" s="7"/>
      <c r="N14" s="7"/>
      <c r="O14" s="19"/>
      <c r="P14" s="19"/>
      <c r="Q14" s="19"/>
      <c r="R14" s="19"/>
    </row>
    <row r="15" spans="1:34" x14ac:dyDescent="0.25">
      <c r="B15" s="15"/>
      <c r="C15" s="15"/>
      <c r="D15" s="15"/>
      <c r="E15" s="18"/>
      <c r="F15" s="7"/>
      <c r="G15" s="7"/>
      <c r="H15" s="7"/>
      <c r="I15" s="7"/>
      <c r="J15" s="7"/>
      <c r="K15" s="7"/>
      <c r="L15" s="7"/>
      <c r="M15" s="7"/>
      <c r="N15" s="7"/>
    </row>
    <row r="16" spans="1:34" x14ac:dyDescent="0.25">
      <c r="B16" s="15"/>
      <c r="C16" s="15"/>
      <c r="D16" s="15"/>
      <c r="E16" s="18"/>
      <c r="F16" s="7"/>
      <c r="G16" s="7"/>
      <c r="H16" s="7"/>
      <c r="I16" s="7"/>
      <c r="J16" s="7"/>
      <c r="K16" s="7"/>
      <c r="L16" s="7"/>
      <c r="M16" s="7"/>
      <c r="N16" s="7"/>
    </row>
    <row r="17" spans="2:18" x14ac:dyDescent="0.25">
      <c r="B17" s="15"/>
      <c r="C17" s="15"/>
      <c r="D17" s="15"/>
      <c r="E17" s="18"/>
      <c r="F17" s="7"/>
      <c r="G17" s="7"/>
      <c r="H17" s="7"/>
      <c r="I17" s="7"/>
      <c r="J17" s="7"/>
      <c r="K17" s="7"/>
      <c r="L17" s="7"/>
      <c r="M17" s="7"/>
      <c r="N17" s="7"/>
      <c r="O17" s="7"/>
      <c r="P17" s="7"/>
      <c r="Q17" s="7"/>
      <c r="R17" s="7"/>
    </row>
    <row r="18" spans="2:18" x14ac:dyDescent="0.25">
      <c r="B18" s="15"/>
      <c r="C18" s="15"/>
      <c r="D18" s="15"/>
      <c r="E18" s="18"/>
      <c r="F18" s="7"/>
      <c r="G18" s="7"/>
      <c r="H18" s="7"/>
      <c r="I18" s="7"/>
      <c r="J18" s="7"/>
      <c r="K18" s="7"/>
      <c r="L18" s="7"/>
      <c r="M18" s="7"/>
      <c r="N18" s="7"/>
      <c r="O18" s="7"/>
      <c r="P18" s="7"/>
      <c r="Q18" s="7"/>
      <c r="R18" s="7"/>
    </row>
    <row r="19" spans="2:18" x14ac:dyDescent="0.25">
      <c r="B19" s="15"/>
      <c r="C19" s="15"/>
      <c r="D19" s="15"/>
      <c r="E19" s="18"/>
      <c r="F19" s="7"/>
      <c r="G19" s="7"/>
      <c r="H19" s="7"/>
      <c r="I19" s="7"/>
      <c r="J19" s="7"/>
      <c r="K19" s="7"/>
      <c r="L19" s="7"/>
      <c r="M19" s="7"/>
      <c r="N19" s="7"/>
      <c r="O19" s="7"/>
      <c r="P19" s="7"/>
      <c r="Q19" s="7"/>
      <c r="R19" s="7"/>
    </row>
    <row r="20" spans="2:18" x14ac:dyDescent="0.25">
      <c r="B20" s="15"/>
      <c r="C20" s="15"/>
      <c r="D20" s="15"/>
      <c r="E20" s="18"/>
      <c r="F20" s="7"/>
      <c r="G20" s="7"/>
      <c r="H20" s="7"/>
      <c r="I20" s="7"/>
      <c r="J20" s="7"/>
      <c r="K20" s="7"/>
      <c r="L20" s="7"/>
      <c r="M20" s="7"/>
      <c r="N20" s="7"/>
      <c r="O20" s="7"/>
      <c r="P20" s="7"/>
      <c r="Q20" s="7"/>
      <c r="R20" s="7"/>
    </row>
    <row r="21" spans="2:18" x14ac:dyDescent="0.25">
      <c r="B21" s="15"/>
      <c r="C21" s="15"/>
      <c r="D21" s="15"/>
      <c r="E21" s="18"/>
      <c r="F21" s="7"/>
      <c r="G21" s="7"/>
      <c r="H21" s="7"/>
      <c r="I21" s="7"/>
      <c r="J21" s="7"/>
      <c r="K21" s="7"/>
      <c r="L21" s="7"/>
      <c r="M21" s="7"/>
      <c r="N21" s="7"/>
      <c r="O21" s="7"/>
      <c r="P21" s="7"/>
      <c r="Q21" s="7"/>
      <c r="R21" s="7"/>
    </row>
    <row r="22" spans="2:18" x14ac:dyDescent="0.25">
      <c r="B22" s="15"/>
      <c r="C22" s="15"/>
      <c r="D22" s="15"/>
      <c r="E22" s="18"/>
      <c r="F22" s="7"/>
      <c r="G22" s="7"/>
      <c r="H22" s="7"/>
      <c r="I22" s="7"/>
      <c r="J22" s="7"/>
      <c r="K22" s="7"/>
      <c r="L22" s="7"/>
      <c r="M22" s="7"/>
      <c r="N22" s="7"/>
      <c r="O22" s="7"/>
      <c r="P22" s="7"/>
      <c r="Q22" s="7"/>
      <c r="R22" s="7"/>
    </row>
    <row r="23" spans="2:18" x14ac:dyDescent="0.25">
      <c r="B23" s="15"/>
      <c r="C23" s="15"/>
      <c r="D23" s="15"/>
      <c r="E23" s="18"/>
      <c r="F23" s="7"/>
      <c r="G23" s="7"/>
      <c r="H23" s="7"/>
      <c r="I23" s="7"/>
      <c r="J23" s="7"/>
      <c r="K23" s="7"/>
      <c r="L23" s="7"/>
      <c r="M23" s="7"/>
      <c r="N23" s="7"/>
      <c r="O23" s="7"/>
      <c r="P23" s="7"/>
      <c r="Q23" s="7"/>
      <c r="R23" s="7"/>
    </row>
    <row r="24" spans="2:18" x14ac:dyDescent="0.25">
      <c r="B24" s="15"/>
      <c r="C24" s="15"/>
      <c r="D24" s="15"/>
      <c r="E24" s="18"/>
      <c r="F24" s="7"/>
      <c r="G24" s="7"/>
      <c r="H24" s="7"/>
      <c r="I24" s="7"/>
      <c r="J24" s="7"/>
      <c r="K24" s="7"/>
      <c r="L24" s="7"/>
      <c r="M24" s="7"/>
      <c r="N24" s="7"/>
      <c r="O24" s="7"/>
      <c r="P24" s="7"/>
      <c r="Q24" s="7"/>
      <c r="R24" s="7"/>
    </row>
    <row r="25" spans="2:18" x14ac:dyDescent="0.25">
      <c r="B25" s="14"/>
      <c r="C25" s="14"/>
      <c r="D25" s="14"/>
      <c r="E25" s="20"/>
    </row>
    <row r="26" spans="2:18" x14ac:dyDescent="0.25">
      <c r="B26" s="14"/>
      <c r="C26" s="14"/>
      <c r="D26" s="14"/>
      <c r="E26" s="20"/>
    </row>
    <row r="27" spans="2:18" x14ac:dyDescent="0.25">
      <c r="B27" s="14"/>
      <c r="C27" s="14"/>
      <c r="D27" s="14"/>
      <c r="E27" s="20"/>
    </row>
    <row r="28" spans="2:18" x14ac:dyDescent="0.25">
      <c r="B28" s="14"/>
      <c r="C28" s="14"/>
      <c r="D28" s="14"/>
      <c r="E28" s="20"/>
    </row>
    <row r="29" spans="2:18" x14ac:dyDescent="0.25">
      <c r="B29" s="14"/>
      <c r="C29" s="14"/>
      <c r="D29" s="14"/>
      <c r="E29" s="20"/>
    </row>
    <row r="30" spans="2:18" x14ac:dyDescent="0.25">
      <c r="B30" s="14"/>
      <c r="C30" s="14"/>
      <c r="D30" s="14"/>
      <c r="E30" s="20"/>
    </row>
    <row r="31" spans="2:18" x14ac:dyDescent="0.25">
      <c r="B31" s="14"/>
      <c r="C31" s="14"/>
      <c r="D31" s="14"/>
      <c r="E31" s="20"/>
    </row>
    <row r="32" spans="2:18" x14ac:dyDescent="0.25">
      <c r="B32" s="14"/>
      <c r="C32" s="14"/>
      <c r="D32" s="14"/>
      <c r="E32" s="20"/>
    </row>
    <row r="33" spans="2:5" x14ac:dyDescent="0.25">
      <c r="B33" s="14"/>
      <c r="C33" s="14"/>
      <c r="D33" s="14"/>
      <c r="E33" s="20"/>
    </row>
    <row r="34" spans="2:5" x14ac:dyDescent="0.25">
      <c r="B34" s="14"/>
      <c r="C34" s="14"/>
      <c r="D34" s="14"/>
      <c r="E34" s="20"/>
    </row>
    <row r="35" spans="2:5" x14ac:dyDescent="0.25">
      <c r="B35" s="14"/>
      <c r="C35" s="14"/>
      <c r="D35" s="14"/>
      <c r="E35" s="20"/>
    </row>
    <row r="36" spans="2:5" x14ac:dyDescent="0.25">
      <c r="B36" s="14"/>
      <c r="C36" s="14"/>
      <c r="D36" s="14"/>
      <c r="E36" s="20"/>
    </row>
    <row r="37" spans="2:5" x14ac:dyDescent="0.25">
      <c r="B37" s="14"/>
      <c r="C37" s="14"/>
      <c r="D37" s="14"/>
      <c r="E37" s="20"/>
    </row>
    <row r="38" spans="2:5" x14ac:dyDescent="0.25">
      <c r="B38" s="14"/>
      <c r="C38" s="14"/>
      <c r="D38" s="14"/>
      <c r="E38" s="20"/>
    </row>
    <row r="39" spans="2:5" x14ac:dyDescent="0.25">
      <c r="B39" s="14"/>
      <c r="C39" s="14"/>
      <c r="D39" s="14"/>
      <c r="E39" s="20"/>
    </row>
    <row r="40" spans="2:5" x14ac:dyDescent="0.25">
      <c r="B40" s="14"/>
      <c r="C40" s="14"/>
      <c r="D40" s="14"/>
      <c r="E40" s="20"/>
    </row>
    <row r="41" spans="2:5" x14ac:dyDescent="0.25">
      <c r="B41" s="14"/>
      <c r="C41" s="14"/>
      <c r="D41" s="14"/>
      <c r="E41" s="20"/>
    </row>
    <row r="42" spans="2:5" x14ac:dyDescent="0.25">
      <c r="B42" s="14"/>
      <c r="C42" s="14"/>
      <c r="D42" s="14"/>
      <c r="E42" s="20"/>
    </row>
    <row r="43" spans="2:5" x14ac:dyDescent="0.25">
      <c r="B43" s="14"/>
      <c r="C43" s="14"/>
      <c r="D43" s="14"/>
      <c r="E43" s="20"/>
    </row>
    <row r="44" spans="2:5" x14ac:dyDescent="0.25">
      <c r="B44" s="14"/>
      <c r="C44" s="14"/>
      <c r="D44" s="14"/>
      <c r="E44" s="20"/>
    </row>
    <row r="45" spans="2:5" x14ac:dyDescent="0.25">
      <c r="B45" s="14"/>
      <c r="C45" s="14"/>
      <c r="D45" s="14"/>
      <c r="E45" s="20"/>
    </row>
    <row r="46" spans="2:5" x14ac:dyDescent="0.25">
      <c r="B46" s="14"/>
      <c r="C46" s="14"/>
      <c r="D46" s="14"/>
      <c r="E46" s="20"/>
    </row>
    <row r="47" spans="2:5" x14ac:dyDescent="0.25">
      <c r="B47" s="14"/>
      <c r="C47" s="14"/>
      <c r="D47" s="14"/>
      <c r="E47" s="20"/>
    </row>
    <row r="48" spans="2:5" x14ac:dyDescent="0.25">
      <c r="B48" s="14"/>
      <c r="C48" s="14"/>
      <c r="D48" s="14"/>
      <c r="E48" s="20"/>
    </row>
    <row r="49" spans="2:5" x14ac:dyDescent="0.25">
      <c r="B49" s="14"/>
      <c r="C49" s="14"/>
      <c r="D49" s="14"/>
      <c r="E49" s="20"/>
    </row>
    <row r="50" spans="2:5" x14ac:dyDescent="0.25">
      <c r="B50" s="14"/>
      <c r="C50" s="14"/>
      <c r="D50" s="14"/>
      <c r="E50" s="20"/>
    </row>
    <row r="51" spans="2:5" x14ac:dyDescent="0.25">
      <c r="B51" s="14"/>
      <c r="C51" s="14"/>
      <c r="D51" s="14"/>
      <c r="E51" s="20"/>
    </row>
    <row r="52" spans="2:5" x14ac:dyDescent="0.25">
      <c r="B52" s="14"/>
      <c r="C52" s="14"/>
      <c r="D52" s="14"/>
      <c r="E52" s="20"/>
    </row>
    <row r="53" spans="2:5" x14ac:dyDescent="0.25">
      <c r="B53" s="14"/>
      <c r="C53" s="14"/>
      <c r="D53" s="14"/>
      <c r="E53" s="20"/>
    </row>
    <row r="54" spans="2:5" x14ac:dyDescent="0.25">
      <c r="B54" s="14"/>
      <c r="C54" s="14"/>
      <c r="D54" s="14"/>
      <c r="E54" s="20"/>
    </row>
    <row r="55" spans="2:5" x14ac:dyDescent="0.25">
      <c r="B55" s="14"/>
      <c r="C55" s="14"/>
      <c r="D55" s="14"/>
      <c r="E55" s="20"/>
    </row>
    <row r="56" spans="2:5" x14ac:dyDescent="0.25">
      <c r="B56" s="14"/>
      <c r="C56" s="14"/>
      <c r="D56" s="14"/>
      <c r="E56" s="20"/>
    </row>
    <row r="57" spans="2:5" x14ac:dyDescent="0.25">
      <c r="B57" s="14"/>
      <c r="C57" s="14"/>
      <c r="D57" s="14"/>
      <c r="E57" s="20"/>
    </row>
    <row r="58" spans="2:5" x14ac:dyDescent="0.25">
      <c r="B58" s="14"/>
      <c r="C58" s="14"/>
      <c r="D58" s="14"/>
      <c r="E58" s="20"/>
    </row>
    <row r="59" spans="2:5" x14ac:dyDescent="0.25">
      <c r="B59" s="14"/>
      <c r="C59" s="14"/>
      <c r="D59" s="14"/>
      <c r="E59" s="20"/>
    </row>
    <row r="60" spans="2:5" x14ac:dyDescent="0.25">
      <c r="B60" s="14"/>
      <c r="C60" s="14"/>
      <c r="D60" s="14"/>
      <c r="E60" s="20"/>
    </row>
    <row r="61" spans="2:5" x14ac:dyDescent="0.25">
      <c r="B61" s="14"/>
      <c r="C61" s="14"/>
      <c r="D61" s="14"/>
      <c r="E61" s="20"/>
    </row>
    <row r="62" spans="2:5" x14ac:dyDescent="0.25">
      <c r="B62" s="14"/>
      <c r="C62" s="14"/>
      <c r="D62" s="14"/>
      <c r="E62" s="20"/>
    </row>
    <row r="63" spans="2:5" x14ac:dyDescent="0.25">
      <c r="B63" s="14"/>
      <c r="C63" s="14"/>
      <c r="D63" s="14"/>
      <c r="E63" s="20"/>
    </row>
    <row r="64" spans="2:5" x14ac:dyDescent="0.25">
      <c r="B64" s="14"/>
      <c r="C64" s="14"/>
      <c r="D64" s="14"/>
      <c r="E64" s="20"/>
    </row>
    <row r="65" spans="2:5" x14ac:dyDescent="0.25">
      <c r="B65" s="14"/>
      <c r="C65" s="14"/>
      <c r="D65" s="14"/>
      <c r="E65" s="20"/>
    </row>
    <row r="66" spans="2:5" x14ac:dyDescent="0.25">
      <c r="B66" s="14"/>
      <c r="C66" s="14"/>
      <c r="D66" s="14"/>
      <c r="E66" s="20"/>
    </row>
    <row r="67" spans="2:5" x14ac:dyDescent="0.25">
      <c r="B67" s="14"/>
      <c r="C67" s="14"/>
      <c r="D67" s="14"/>
      <c r="E67" s="20"/>
    </row>
    <row r="68" spans="2:5" x14ac:dyDescent="0.25">
      <c r="B68" s="14"/>
      <c r="C68" s="14"/>
      <c r="D68" s="14"/>
      <c r="E68" s="20"/>
    </row>
    <row r="69" spans="2:5" x14ac:dyDescent="0.25">
      <c r="B69" s="14"/>
      <c r="C69" s="14"/>
      <c r="D69" s="14"/>
      <c r="E69" s="20"/>
    </row>
    <row r="70" spans="2:5" x14ac:dyDescent="0.25">
      <c r="B70" s="14"/>
      <c r="C70" s="14"/>
      <c r="D70" s="14"/>
      <c r="E70" s="20"/>
    </row>
    <row r="71" spans="2:5" x14ac:dyDescent="0.25">
      <c r="B71" s="14"/>
      <c r="C71" s="14"/>
      <c r="D71" s="14"/>
      <c r="E71" s="20"/>
    </row>
    <row r="72" spans="2:5" x14ac:dyDescent="0.25">
      <c r="B72" s="14"/>
      <c r="C72" s="14"/>
      <c r="D72" s="14"/>
      <c r="E72" s="20"/>
    </row>
    <row r="73" spans="2:5" x14ac:dyDescent="0.25">
      <c r="B73" s="14"/>
      <c r="C73" s="14"/>
      <c r="D73" s="14"/>
      <c r="E73" s="20"/>
    </row>
    <row r="74" spans="2:5" x14ac:dyDescent="0.25">
      <c r="B74" s="14"/>
      <c r="C74" s="14"/>
      <c r="D74" s="14"/>
      <c r="E74" s="20"/>
    </row>
    <row r="75" spans="2:5" x14ac:dyDescent="0.25">
      <c r="B75" s="14"/>
      <c r="C75" s="14"/>
      <c r="D75" s="14"/>
      <c r="E75" s="20"/>
    </row>
    <row r="76" spans="2:5" x14ac:dyDescent="0.25">
      <c r="B76" s="14"/>
      <c r="C76" s="14"/>
      <c r="D76" s="14"/>
      <c r="E76" s="20"/>
    </row>
    <row r="77" spans="2:5" x14ac:dyDescent="0.25">
      <c r="B77" s="14"/>
      <c r="C77" s="14"/>
      <c r="D77" s="14"/>
      <c r="E77" s="20"/>
    </row>
    <row r="78" spans="2:5" x14ac:dyDescent="0.25">
      <c r="B78" s="14"/>
      <c r="C78" s="14"/>
      <c r="D78" s="14"/>
      <c r="E78" s="20"/>
    </row>
    <row r="79" spans="2:5" x14ac:dyDescent="0.25">
      <c r="B79" s="14"/>
      <c r="C79" s="14"/>
      <c r="D79" s="14"/>
      <c r="E79" s="20"/>
    </row>
    <row r="80" spans="2:5" x14ac:dyDescent="0.25">
      <c r="B80" s="14"/>
      <c r="C80" s="14"/>
      <c r="D80" s="14"/>
      <c r="E80" s="20"/>
    </row>
    <row r="81" spans="2:5" x14ac:dyDescent="0.25">
      <c r="B81" s="14"/>
      <c r="C81" s="14"/>
      <c r="D81" s="14"/>
      <c r="E81" s="20"/>
    </row>
    <row r="82" spans="2:5" x14ac:dyDescent="0.25">
      <c r="B82" s="14"/>
      <c r="C82" s="14"/>
      <c r="D82" s="14"/>
      <c r="E82" s="20"/>
    </row>
    <row r="83" spans="2:5" x14ac:dyDescent="0.25">
      <c r="B83" s="14"/>
      <c r="C83" s="14"/>
      <c r="D83" s="14"/>
      <c r="E83" s="20"/>
    </row>
    <row r="84" spans="2:5" x14ac:dyDescent="0.25">
      <c r="B84" s="14"/>
      <c r="C84" s="14"/>
      <c r="D84" s="14"/>
      <c r="E84" s="20"/>
    </row>
    <row r="85" spans="2:5" x14ac:dyDescent="0.25">
      <c r="B85" s="14"/>
      <c r="C85" s="14"/>
      <c r="D85" s="14"/>
      <c r="E85" s="20"/>
    </row>
    <row r="86" spans="2:5" x14ac:dyDescent="0.25">
      <c r="B86" s="14"/>
      <c r="C86" s="14"/>
      <c r="D86" s="14"/>
      <c r="E86" s="20"/>
    </row>
    <row r="87" spans="2:5" x14ac:dyDescent="0.25">
      <c r="B87" s="14"/>
      <c r="C87" s="14"/>
      <c r="D87" s="14"/>
      <c r="E87" s="20"/>
    </row>
    <row r="88" spans="2:5" x14ac:dyDescent="0.25">
      <c r="B88" s="14"/>
      <c r="C88" s="14"/>
      <c r="D88" s="14"/>
      <c r="E88" s="20"/>
    </row>
    <row r="89" spans="2:5" x14ac:dyDescent="0.25">
      <c r="B89" s="14"/>
      <c r="C89" s="14"/>
      <c r="D89" s="14"/>
      <c r="E89" s="20"/>
    </row>
    <row r="90" spans="2:5" x14ac:dyDescent="0.25">
      <c r="B90" s="14"/>
      <c r="C90" s="14"/>
      <c r="D90" s="14"/>
      <c r="E90" s="20"/>
    </row>
    <row r="91" spans="2:5" x14ac:dyDescent="0.25">
      <c r="B91" s="14"/>
      <c r="C91" s="14"/>
      <c r="D91" s="14"/>
      <c r="E91" s="20"/>
    </row>
    <row r="92" spans="2:5" x14ac:dyDescent="0.25">
      <c r="B92" s="14"/>
      <c r="C92" s="14"/>
      <c r="D92" s="14"/>
      <c r="E92" s="20"/>
    </row>
    <row r="93" spans="2:5" x14ac:dyDescent="0.25">
      <c r="B93" s="14"/>
      <c r="C93" s="14"/>
      <c r="D93" s="14"/>
      <c r="E93" s="20"/>
    </row>
    <row r="94" spans="2:5" x14ac:dyDescent="0.25">
      <c r="B94" s="14"/>
      <c r="C94" s="14"/>
      <c r="D94" s="14"/>
      <c r="E94" s="20"/>
    </row>
    <row r="95" spans="2:5" x14ac:dyDescent="0.25">
      <c r="B95" s="14"/>
      <c r="C95" s="14"/>
      <c r="D95" s="14"/>
      <c r="E95" s="20"/>
    </row>
    <row r="96" spans="2:5" x14ac:dyDescent="0.25">
      <c r="B96" s="14"/>
      <c r="C96" s="14"/>
      <c r="D96" s="14"/>
      <c r="E96" s="20"/>
    </row>
    <row r="97" spans="2:6" x14ac:dyDescent="0.25">
      <c r="B97" s="14"/>
      <c r="C97" s="14"/>
      <c r="D97" s="14"/>
      <c r="E97" s="20"/>
    </row>
    <row r="98" spans="2:6" x14ac:dyDescent="0.25">
      <c r="B98" s="14"/>
      <c r="C98" s="14"/>
      <c r="D98" s="14"/>
      <c r="E98" s="20"/>
    </row>
    <row r="99" spans="2:6" x14ac:dyDescent="0.25">
      <c r="B99" s="14"/>
      <c r="C99" s="14"/>
      <c r="D99" s="14"/>
      <c r="E99" s="20"/>
    </row>
    <row r="100" spans="2:6" x14ac:dyDescent="0.25">
      <c r="B100" s="14"/>
      <c r="C100" s="14"/>
      <c r="D100" s="14"/>
      <c r="E100" s="20"/>
    </row>
    <row r="101" spans="2:6" x14ac:dyDescent="0.25">
      <c r="B101" s="14"/>
      <c r="C101" s="14"/>
      <c r="D101" s="14"/>
      <c r="E101" s="20"/>
    </row>
    <row r="102" spans="2:6" x14ac:dyDescent="0.25">
      <c r="B102" s="14"/>
      <c r="C102" s="14"/>
      <c r="D102" s="14"/>
      <c r="E102" s="20"/>
    </row>
    <row r="103" spans="2:6" x14ac:dyDescent="0.25">
      <c r="B103" s="14"/>
      <c r="C103" s="14"/>
      <c r="D103" s="14"/>
      <c r="E103" s="20"/>
    </row>
    <row r="104" spans="2:6" x14ac:dyDescent="0.25">
      <c r="B104" s="14"/>
      <c r="C104" s="14"/>
      <c r="D104" s="14"/>
      <c r="E104" s="20"/>
    </row>
    <row r="105" spans="2:6" x14ac:dyDescent="0.25">
      <c r="B105" s="14"/>
      <c r="C105" s="14"/>
      <c r="D105" s="14"/>
      <c r="E105" s="20"/>
    </row>
    <row r="106" spans="2:6" x14ac:dyDescent="0.25">
      <c r="B106" s="14"/>
      <c r="C106" s="14"/>
      <c r="D106" s="14"/>
      <c r="E106" s="20"/>
    </row>
    <row r="107" spans="2:6" x14ac:dyDescent="0.25">
      <c r="B107" s="14"/>
      <c r="C107" s="14"/>
      <c r="D107" s="14"/>
      <c r="E107" s="20"/>
    </row>
    <row r="108" spans="2:6" x14ac:dyDescent="0.25">
      <c r="B108" s="14"/>
      <c r="C108" s="14"/>
      <c r="D108" s="14"/>
      <c r="E108" s="20"/>
      <c r="F108" s="20"/>
    </row>
    <row r="109" spans="2:6" x14ac:dyDescent="0.25">
      <c r="B109" s="14"/>
      <c r="C109" s="14"/>
      <c r="D109" s="14"/>
      <c r="E109" s="20"/>
    </row>
    <row r="110" spans="2:6" x14ac:dyDescent="0.25">
      <c r="B110" s="14"/>
      <c r="C110" s="14"/>
      <c r="D110" s="14"/>
      <c r="E110" s="20"/>
    </row>
    <row r="111" spans="2:6" x14ac:dyDescent="0.25">
      <c r="B111" s="14"/>
      <c r="C111" s="14"/>
      <c r="D111" s="14"/>
      <c r="E111" s="20"/>
    </row>
    <row r="112" spans="2:6" x14ac:dyDescent="0.25">
      <c r="B112" s="14"/>
      <c r="C112" s="14"/>
      <c r="D112" s="14"/>
      <c r="E112" s="20"/>
    </row>
    <row r="113" spans="2:6" x14ac:dyDescent="0.25">
      <c r="B113" s="14"/>
      <c r="C113" s="14"/>
      <c r="D113" s="14"/>
      <c r="E113" s="20"/>
    </row>
    <row r="114" spans="2:6" x14ac:dyDescent="0.25">
      <c r="B114" s="14"/>
      <c r="C114" s="14"/>
      <c r="D114" s="14"/>
      <c r="E114" s="20"/>
    </row>
    <row r="115" spans="2:6" x14ac:dyDescent="0.25">
      <c r="B115" s="14"/>
      <c r="C115" s="14"/>
      <c r="D115" s="14"/>
      <c r="E115" s="20"/>
    </row>
    <row r="116" spans="2:6" x14ac:dyDescent="0.25">
      <c r="B116" s="14"/>
      <c r="C116" s="14"/>
      <c r="D116" s="14"/>
      <c r="E116" s="20"/>
    </row>
    <row r="117" spans="2:6" x14ac:dyDescent="0.25">
      <c r="B117" s="14"/>
      <c r="C117" s="14"/>
      <c r="D117" s="14"/>
      <c r="E117" s="20"/>
    </row>
    <row r="118" spans="2:6" x14ac:dyDescent="0.25">
      <c r="B118" s="14"/>
      <c r="C118" s="14"/>
      <c r="D118" s="14"/>
      <c r="E118" s="20"/>
    </row>
    <row r="119" spans="2:6" x14ac:dyDescent="0.25">
      <c r="B119" s="14"/>
      <c r="C119" s="14"/>
      <c r="D119" s="14"/>
      <c r="E119" s="20"/>
    </row>
    <row r="120" spans="2:6" x14ac:dyDescent="0.25">
      <c r="B120" s="14"/>
      <c r="C120" s="14"/>
      <c r="D120" s="14"/>
      <c r="E120" s="20"/>
    </row>
    <row r="121" spans="2:6" x14ac:dyDescent="0.25">
      <c r="B121" s="14"/>
      <c r="C121" s="14"/>
      <c r="D121" s="14"/>
      <c r="E121" s="20"/>
    </row>
    <row r="122" spans="2:6" x14ac:dyDescent="0.25">
      <c r="B122" s="14"/>
      <c r="C122" s="14"/>
      <c r="D122" s="14"/>
      <c r="E122" s="20"/>
    </row>
    <row r="123" spans="2:6" x14ac:dyDescent="0.25">
      <c r="B123" s="14"/>
      <c r="C123" s="14"/>
      <c r="D123" s="14"/>
      <c r="F123" s="20"/>
    </row>
    <row r="124" spans="2:6" x14ac:dyDescent="0.25">
      <c r="D124" s="14"/>
      <c r="F124" s="20"/>
    </row>
    <row r="125" spans="2:6" x14ac:dyDescent="0.25">
      <c r="F125" s="20"/>
    </row>
    <row r="126" spans="2:6" x14ac:dyDescent="0.25">
      <c r="F126" s="20"/>
    </row>
    <row r="127" spans="2:6" x14ac:dyDescent="0.25">
      <c r="F127" s="20"/>
    </row>
    <row r="128" spans="2:6" x14ac:dyDescent="0.25">
      <c r="F128" s="20"/>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3</vt:i4>
      </vt:variant>
      <vt:variant>
        <vt:lpstr>Charts</vt:lpstr>
      </vt:variant>
      <vt:variant>
        <vt:i4>3</vt:i4>
      </vt:variant>
      <vt:variant>
        <vt:lpstr>Named Ranges</vt:lpstr>
      </vt:variant>
      <vt:variant>
        <vt:i4>1</vt:i4>
      </vt:variant>
    </vt:vector>
  </HeadingPairs>
  <TitlesOfParts>
    <vt:vector size="7" baseType="lpstr">
      <vt:lpstr>Chart Data</vt:lpstr>
      <vt:lpstr>BoE FSR - Chart 3.2</vt:lpstr>
      <vt:lpstr>BoE FSR - Chart 3.1</vt:lpstr>
      <vt:lpstr>Chart1</vt:lpstr>
      <vt:lpstr>Chart1a</vt:lpstr>
      <vt:lpstr>Chart2</vt:lpstr>
      <vt:lpstr>'BoE FSR - Chart 3.1'!_Hlk168903729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Andrew Goodwin</cp:lastModifiedBy>
  <dcterms:created xsi:type="dcterms:W3CDTF">2024-06-04T08:10:12Z</dcterms:created>
  <dcterms:modified xsi:type="dcterms:W3CDTF">2024-06-27T13:32:00Z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1f5784-19ed-4d1e-9a93-4ea41014d730_Enabled">
    <vt:lpwstr>true</vt:lpwstr>
  </property>
  <property fmtid="{D5CDD505-2E9C-101B-9397-08002B2CF9AE}" pid="3" name="MSIP_Label_231f5784-19ed-4d1e-9a93-4ea41014d730_SetDate">
    <vt:lpwstr>2024-06-04T08:15:21Z</vt:lpwstr>
  </property>
  <property fmtid="{D5CDD505-2E9C-101B-9397-08002B2CF9AE}" pid="4" name="MSIP_Label_231f5784-19ed-4d1e-9a93-4ea41014d730_Method">
    <vt:lpwstr>Privileged</vt:lpwstr>
  </property>
  <property fmtid="{D5CDD505-2E9C-101B-9397-08002B2CF9AE}" pid="5" name="MSIP_Label_231f5784-19ed-4d1e-9a93-4ea41014d730_Name">
    <vt:lpwstr>External</vt:lpwstr>
  </property>
  <property fmtid="{D5CDD505-2E9C-101B-9397-08002B2CF9AE}" pid="6" name="MSIP_Label_231f5784-19ed-4d1e-9a93-4ea41014d730_SiteId">
    <vt:lpwstr>2c277f63-6743-4f98-ac15-4851e55c0cc7</vt:lpwstr>
  </property>
  <property fmtid="{D5CDD505-2E9C-101B-9397-08002B2CF9AE}" pid="7" name="MSIP_Label_231f5784-19ed-4d1e-9a93-4ea41014d730_ActionId">
    <vt:lpwstr>e45a8dd2-4895-460e-bd5f-2b5f31600256</vt:lpwstr>
  </property>
  <property fmtid="{D5CDD505-2E9C-101B-9397-08002B2CF9AE}" pid="8" name="MSIP_Label_231f5784-19ed-4d1e-9a93-4ea41014d730_ContentBits">
    <vt:lpwstr>0</vt:lpwstr>
  </property>
</Properties>
</file>