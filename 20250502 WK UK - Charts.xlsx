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UK Team\UK Weekly\"/>
    </mc:Choice>
  </mc:AlternateContent>
  <xr:revisionPtr revIDLastSave="0" documentId="13_ncr:9_{03313BC9-5949-4138-8CE6-71E5B4769A84}" xr6:coauthVersionLast="47" xr6:coauthVersionMax="47" xr10:uidLastSave="{00000000-0000-0000-0000-000000000000}"/>
  <bookViews>
    <workbookView xWindow="-120" yWindow="-120" windowWidth="29040" windowHeight="15840" activeTab="1" xr2:uid="{60D3E825-C284-451A-B51A-8AE11F77483A}"/>
  </bookViews>
  <sheets>
    <sheet name="Chart2" sheetId="4" r:id="rId1"/>
    <sheet name="Chart Data" sheetId="3" r:id="rId2"/>
    <sheet name="ONS" sheetId="1" r:id="rId3"/>
    <sheet name="HAVER" sheetId="2" r:id="rId4"/>
  </sheets>
  <definedNames>
    <definedName name="_DLX1.INC">HAVER!$A$1:$D$6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7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3" i="3"/>
  <c r="C54" i="3"/>
  <c r="C55" i="3"/>
  <c r="C56" i="3"/>
  <c r="B54" i="3"/>
  <c r="B55" i="3"/>
  <c r="B56" i="3"/>
  <c r="B57" i="3"/>
  <c r="B58" i="3"/>
  <c r="B59" i="3"/>
  <c r="B60" i="3"/>
  <c r="B61" i="3"/>
  <c r="B62" i="3"/>
  <c r="B63" i="3"/>
  <c r="B64" i="3"/>
  <c r="B65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3" i="3"/>
</calcChain>
</file>

<file path=xl/sharedStrings.xml><?xml version="1.0" encoding="utf-8"?>
<sst xmlns="http://schemas.openxmlformats.org/spreadsheetml/2006/main" count="150" uniqueCount="145">
  <si>
    <t/>
  </si>
  <si>
    <t xml:space="preserve">Figure 1: The annual rate of change of the Consumer Prices Index was 0.04 percentage points lower on average when groceries scanner data were included </t>
  </si>
  <si>
    <t>Indicative impact of implementing groceries scanner data on Consumer Prices Index (CPI) 12-month rate (including 2025 methods improvements), UK, January 2020 to June 2024</t>
  </si>
  <si>
    <t>Notes</t>
  </si>
  <si>
    <t>Unit</t>
  </si>
  <si>
    <t>%</t>
  </si>
  <si>
    <t>period</t>
  </si>
  <si>
    <t>CPI (2025 improvements)</t>
  </si>
  <si>
    <t>CPI (introducing groceries scanner data)</t>
  </si>
  <si>
    <t>Impact of introducing groceries scanner data</t>
  </si>
  <si>
    <t>Jan 2020</t>
  </si>
  <si>
    <t>1.6</t>
  </si>
  <si>
    <t>0</t>
  </si>
  <si>
    <t>Feb 2020</t>
  </si>
  <si>
    <t>Mar 2020</t>
  </si>
  <si>
    <t>Apr 2020</t>
  </si>
  <si>
    <t>May 2020</t>
  </si>
  <si>
    <t>Jun 2020</t>
  </si>
  <si>
    <t>Jul 2020</t>
  </si>
  <si>
    <t>Aug 2020</t>
  </si>
  <si>
    <t>Sep 2020</t>
  </si>
  <si>
    <t>Oct 2020</t>
  </si>
  <si>
    <t>Nov 2020</t>
  </si>
  <si>
    <t>Dec 2020</t>
  </si>
  <si>
    <t>Jan 2021</t>
  </si>
  <si>
    <t>Feb 2021</t>
  </si>
  <si>
    <t>Mar 2021</t>
  </si>
  <si>
    <t>Apr 2021</t>
  </si>
  <si>
    <t>May 2021</t>
  </si>
  <si>
    <t>Jun 2021</t>
  </si>
  <si>
    <t>Jul 2021</t>
  </si>
  <si>
    <t>Aug 2021</t>
  </si>
  <si>
    <t>Sep 2021</t>
  </si>
  <si>
    <t>Oct 2021</t>
  </si>
  <si>
    <t>Nov 2021</t>
  </si>
  <si>
    <t>Dec 2021</t>
  </si>
  <si>
    <t>Jan 2022</t>
  </si>
  <si>
    <t>Feb 2022</t>
  </si>
  <si>
    <t>Mar 2022</t>
  </si>
  <si>
    <t>Apr 2022</t>
  </si>
  <si>
    <t>May 2022</t>
  </si>
  <si>
    <t>Jun 2022</t>
  </si>
  <si>
    <t>Jul 2022</t>
  </si>
  <si>
    <t>Aug 2022</t>
  </si>
  <si>
    <t>Sep 2022</t>
  </si>
  <si>
    <t>Oct 2022</t>
  </si>
  <si>
    <t>Nov 2022</t>
  </si>
  <si>
    <t>Dec 2022</t>
  </si>
  <si>
    <t>Jan 2023</t>
  </si>
  <si>
    <t>Feb 2023</t>
  </si>
  <si>
    <t>Mar 2023</t>
  </si>
  <si>
    <t>Apr 2023</t>
  </si>
  <si>
    <t>May 2023</t>
  </si>
  <si>
    <t>Jun 2023</t>
  </si>
  <si>
    <t>Jul 2023</t>
  </si>
  <si>
    <t>Aug 2023</t>
  </si>
  <si>
    <t>Sep 2023</t>
  </si>
  <si>
    <t>Oct 2023</t>
  </si>
  <si>
    <t>Nov 2023</t>
  </si>
  <si>
    <t>Dec 2023</t>
  </si>
  <si>
    <t>Jan 2024</t>
  </si>
  <si>
    <t>Feb 2024</t>
  </si>
  <si>
    <t>Mar 2024</t>
  </si>
  <si>
    <t>Apr 2024</t>
  </si>
  <si>
    <t>May 2024</t>
  </si>
  <si>
    <t>Jun 2024</t>
  </si>
  <si>
    <t>D7G7@UK</t>
  </si>
  <si>
    <t>202001 !M</t>
  </si>
  <si>
    <t>202001</t>
  </si>
  <si>
    <t>.DTLM</t>
  </si>
  <si>
    <t>.LSOURCE</t>
  </si>
  <si>
    <t>.TN</t>
  </si>
  <si>
    <t>.T1</t>
  </si>
  <si>
    <t>.DESC</t>
  </si>
  <si>
    <t>Apr-16-2025 07:02</t>
  </si>
  <si>
    <t>Office for National Statistics</t>
  </si>
  <si>
    <t>Mar-2025</t>
  </si>
  <si>
    <t>Jan-1989</t>
  </si>
  <si>
    <t>UK: Consumer Price Index (Yr/Yr % Change)</t>
  </si>
  <si>
    <t>202002</t>
  </si>
  <si>
    <t>202003</t>
  </si>
  <si>
    <t>202004</t>
  </si>
  <si>
    <t>202005</t>
  </si>
  <si>
    <t>202006</t>
  </si>
  <si>
    <t>202007</t>
  </si>
  <si>
    <t>202008</t>
  </si>
  <si>
    <t>202009</t>
  </si>
  <si>
    <t>202010</t>
  </si>
  <si>
    <t>202011</t>
  </si>
  <si>
    <t>202012</t>
  </si>
  <si>
    <t>202101</t>
  </si>
  <si>
    <t>202102</t>
  </si>
  <si>
    <t>202103</t>
  </si>
  <si>
    <t>202104</t>
  </si>
  <si>
    <t>202105</t>
  </si>
  <si>
    <t>202106</t>
  </si>
  <si>
    <t>202107</t>
  </si>
  <si>
    <t>202108</t>
  </si>
  <si>
    <t>202109</t>
  </si>
  <si>
    <t>202110</t>
  </si>
  <si>
    <t>202111</t>
  </si>
  <si>
    <t>202112</t>
  </si>
  <si>
    <t>202201</t>
  </si>
  <si>
    <t>202202</t>
  </si>
  <si>
    <t>202203</t>
  </si>
  <si>
    <t>202204</t>
  </si>
  <si>
    <t>202205</t>
  </si>
  <si>
    <t>202206</t>
  </si>
  <si>
    <t>202207</t>
  </si>
  <si>
    <t>202208</t>
  </si>
  <si>
    <t>202209</t>
  </si>
  <si>
    <t>202210</t>
  </si>
  <si>
    <t>202211</t>
  </si>
  <si>
    <t>202212</t>
  </si>
  <si>
    <t>202301</t>
  </si>
  <si>
    <t>202302</t>
  </si>
  <si>
    <t>202303</t>
  </si>
  <si>
    <t>202304</t>
  </si>
  <si>
    <t>202305</t>
  </si>
  <si>
    <t>202306</t>
  </si>
  <si>
    <t>202307</t>
  </si>
  <si>
    <t>202308</t>
  </si>
  <si>
    <t>202309</t>
  </si>
  <si>
    <t>202310</t>
  </si>
  <si>
    <t>202311</t>
  </si>
  <si>
    <t>202312</t>
  </si>
  <si>
    <t>202401</t>
  </si>
  <si>
    <t>202402</t>
  </si>
  <si>
    <t>202403</t>
  </si>
  <si>
    <t>202404</t>
  </si>
  <si>
    <t>202405</t>
  </si>
  <si>
    <t>202406</t>
  </si>
  <si>
    <t>202407</t>
  </si>
  <si>
    <t>202408</t>
  </si>
  <si>
    <t>202409</t>
  </si>
  <si>
    <t>202410</t>
  </si>
  <si>
    <t>202411</t>
  </si>
  <si>
    <t>202412</t>
  </si>
  <si>
    <t>202501</t>
  </si>
  <si>
    <t>202502</t>
  </si>
  <si>
    <t>202503</t>
  </si>
  <si>
    <t>Current published data</t>
  </si>
  <si>
    <t>CPI inflation</t>
  </si>
  <si>
    <t>Using groceries scanner data</t>
  </si>
  <si>
    <t>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</si>
</sst>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"/>
  </numFmts>
  <fonts count="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72" fontId="0" fillId="0" borderId="0" xfId="0" applyNumberFormat="1"/>
    <xf numFmtId="0" fontId="1" fillId="0" borderId="0" xfId="0" applyFont="1"/>
    <xf numFmtId="0" fontId="0" fillId="0" borderId="0" xfId="0" quotePrefix="1"/>
    <xf numFmtId="0" fontId="0" fillId="0" borderId="0" xfId="0" applyFill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8312606597437084E-2"/>
          <c:y val="0.14728143509160144"/>
          <c:w val="0.8861091695319947"/>
          <c:h val="0.71330591420071221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Data'!$B$2</c:f>
              <c:strCache>
                <c:ptCount val="1"/>
                <c:pt idx="0">
                  <c:v>Current published data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Data'!$A$3:$A$65</c:f>
              <c:numCache>
                <c:formatCode>m/d/yyyy</c:formatCode>
                <c:ptCount val="63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</c:numCache>
            </c:numRef>
          </c:cat>
          <c:val>
            <c:numRef>
              <c:f>'Chart Data'!$B$3:$B$65</c:f>
              <c:numCache>
                <c:formatCode>0.0</c:formatCode>
                <c:ptCount val="63"/>
                <c:pt idx="0">
                  <c:v>1.8</c:v>
                </c:pt>
                <c:pt idx="1">
                  <c:v>1.7</c:v>
                </c:pt>
                <c:pt idx="2">
                  <c:v>1.5</c:v>
                </c:pt>
                <c:pt idx="3">
                  <c:v>0.8</c:v>
                </c:pt>
                <c:pt idx="4">
                  <c:v>0.5</c:v>
                </c:pt>
                <c:pt idx="5">
                  <c:v>0.6</c:v>
                </c:pt>
                <c:pt idx="6">
                  <c:v>1</c:v>
                </c:pt>
                <c:pt idx="7">
                  <c:v>0.2</c:v>
                </c:pt>
                <c:pt idx="8">
                  <c:v>0.5</c:v>
                </c:pt>
                <c:pt idx="9">
                  <c:v>0.7</c:v>
                </c:pt>
                <c:pt idx="10">
                  <c:v>0.3</c:v>
                </c:pt>
                <c:pt idx="11">
                  <c:v>0.6</c:v>
                </c:pt>
                <c:pt idx="12">
                  <c:v>0.7</c:v>
                </c:pt>
                <c:pt idx="13">
                  <c:v>0.4</c:v>
                </c:pt>
                <c:pt idx="14">
                  <c:v>0.7</c:v>
                </c:pt>
                <c:pt idx="15">
                  <c:v>1.5</c:v>
                </c:pt>
                <c:pt idx="16">
                  <c:v>2.1</c:v>
                </c:pt>
                <c:pt idx="17">
                  <c:v>2.5</c:v>
                </c:pt>
                <c:pt idx="18">
                  <c:v>2</c:v>
                </c:pt>
                <c:pt idx="19">
                  <c:v>3.2</c:v>
                </c:pt>
                <c:pt idx="20">
                  <c:v>3.1</c:v>
                </c:pt>
                <c:pt idx="21">
                  <c:v>4.2</c:v>
                </c:pt>
                <c:pt idx="22">
                  <c:v>5.0999999999999996</c:v>
                </c:pt>
                <c:pt idx="23">
                  <c:v>5.4</c:v>
                </c:pt>
                <c:pt idx="24">
                  <c:v>5.5</c:v>
                </c:pt>
                <c:pt idx="25">
                  <c:v>6.2</c:v>
                </c:pt>
                <c:pt idx="26">
                  <c:v>7</c:v>
                </c:pt>
                <c:pt idx="27">
                  <c:v>9</c:v>
                </c:pt>
                <c:pt idx="28">
                  <c:v>9.1</c:v>
                </c:pt>
                <c:pt idx="29">
                  <c:v>9.4</c:v>
                </c:pt>
                <c:pt idx="30">
                  <c:v>10.1</c:v>
                </c:pt>
                <c:pt idx="31">
                  <c:v>9.9</c:v>
                </c:pt>
                <c:pt idx="32">
                  <c:v>10.1</c:v>
                </c:pt>
                <c:pt idx="33">
                  <c:v>11.1</c:v>
                </c:pt>
                <c:pt idx="34">
                  <c:v>10.7</c:v>
                </c:pt>
                <c:pt idx="35">
                  <c:v>10.5</c:v>
                </c:pt>
                <c:pt idx="36">
                  <c:v>10.1</c:v>
                </c:pt>
                <c:pt idx="37">
                  <c:v>10.4</c:v>
                </c:pt>
                <c:pt idx="38">
                  <c:v>10.1</c:v>
                </c:pt>
                <c:pt idx="39">
                  <c:v>8.6999999999999993</c:v>
                </c:pt>
                <c:pt idx="40">
                  <c:v>8.6999999999999993</c:v>
                </c:pt>
                <c:pt idx="41">
                  <c:v>7.9</c:v>
                </c:pt>
                <c:pt idx="42">
                  <c:v>6.8</c:v>
                </c:pt>
                <c:pt idx="43">
                  <c:v>6.7</c:v>
                </c:pt>
                <c:pt idx="44">
                  <c:v>6.7</c:v>
                </c:pt>
                <c:pt idx="45">
                  <c:v>4.5999999999999996</c:v>
                </c:pt>
                <c:pt idx="46">
                  <c:v>3.9</c:v>
                </c:pt>
                <c:pt idx="47">
                  <c:v>4</c:v>
                </c:pt>
                <c:pt idx="48">
                  <c:v>4</c:v>
                </c:pt>
                <c:pt idx="49">
                  <c:v>3.4</c:v>
                </c:pt>
                <c:pt idx="50">
                  <c:v>3.2</c:v>
                </c:pt>
                <c:pt idx="51">
                  <c:v>2.2999999999999998</c:v>
                </c:pt>
                <c:pt idx="52">
                  <c:v>2</c:v>
                </c:pt>
                <c:pt idx="53">
                  <c:v>2</c:v>
                </c:pt>
                <c:pt idx="54">
                  <c:v>2.2000000000000002</c:v>
                </c:pt>
                <c:pt idx="55">
                  <c:v>2.2000000000000002</c:v>
                </c:pt>
                <c:pt idx="56">
                  <c:v>1.7</c:v>
                </c:pt>
                <c:pt idx="57">
                  <c:v>2.2999999999999998</c:v>
                </c:pt>
                <c:pt idx="58">
                  <c:v>2.6</c:v>
                </c:pt>
                <c:pt idx="59">
                  <c:v>2.5</c:v>
                </c:pt>
                <c:pt idx="60">
                  <c:v>3</c:v>
                </c:pt>
                <c:pt idx="61">
                  <c:v>2.8</c:v>
                </c:pt>
                <c:pt idx="62">
                  <c:v>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Data'!$C$2</c:f>
              <c:strCache>
                <c:ptCount val="1"/>
                <c:pt idx="0">
                  <c:v>Using groceries scanner data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'Chart Data'!$A$3:$A$65</c:f>
              <c:numCache>
                <c:formatCode>m/d/yyyy</c:formatCode>
                <c:ptCount val="63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</c:numCache>
            </c:numRef>
          </c:cat>
          <c:val>
            <c:numRef>
              <c:f>'Chart Data'!$C$3:$C$65</c:f>
              <c:numCache>
                <c:formatCode>General</c:formatCode>
                <c:ptCount val="63"/>
                <c:pt idx="0">
                  <c:v>0</c:v>
                </c:pt>
                <c:pt idx="1">
                  <c:v>1.5</c:v>
                </c:pt>
                <c:pt idx="2">
                  <c:v>1.4</c:v>
                </c:pt>
                <c:pt idx="3">
                  <c:v>0.9</c:v>
                </c:pt>
                <c:pt idx="4">
                  <c:v>0.4</c:v>
                </c:pt>
                <c:pt idx="5">
                  <c:v>0.6</c:v>
                </c:pt>
                <c:pt idx="6">
                  <c:v>0.9</c:v>
                </c:pt>
                <c:pt idx="7">
                  <c:v>-0.1</c:v>
                </c:pt>
                <c:pt idx="8">
                  <c:v>0.3</c:v>
                </c:pt>
                <c:pt idx="9">
                  <c:v>0.4</c:v>
                </c:pt>
                <c:pt idx="10">
                  <c:v>0</c:v>
                </c:pt>
                <c:pt idx="11">
                  <c:v>0.3</c:v>
                </c:pt>
                <c:pt idx="12">
                  <c:v>0.4</c:v>
                </c:pt>
                <c:pt idx="13">
                  <c:v>0.1</c:v>
                </c:pt>
                <c:pt idx="14">
                  <c:v>0.3</c:v>
                </c:pt>
                <c:pt idx="15">
                  <c:v>0.9</c:v>
                </c:pt>
                <c:pt idx="16">
                  <c:v>1.6</c:v>
                </c:pt>
                <c:pt idx="17">
                  <c:v>1.8</c:v>
                </c:pt>
                <c:pt idx="18">
                  <c:v>1.4</c:v>
                </c:pt>
                <c:pt idx="19">
                  <c:v>2.8</c:v>
                </c:pt>
                <c:pt idx="20">
                  <c:v>2.7</c:v>
                </c:pt>
                <c:pt idx="21">
                  <c:v>3.8</c:v>
                </c:pt>
                <c:pt idx="22">
                  <c:v>4.7</c:v>
                </c:pt>
                <c:pt idx="23">
                  <c:v>4.8</c:v>
                </c:pt>
                <c:pt idx="24">
                  <c:v>5</c:v>
                </c:pt>
                <c:pt idx="25">
                  <c:v>5.7</c:v>
                </c:pt>
                <c:pt idx="26">
                  <c:v>6.6</c:v>
                </c:pt>
                <c:pt idx="27">
                  <c:v>8.6</c:v>
                </c:pt>
                <c:pt idx="28">
                  <c:v>8.6999999999999993</c:v>
                </c:pt>
                <c:pt idx="29">
                  <c:v>9.1</c:v>
                </c:pt>
                <c:pt idx="30">
                  <c:v>9.8000000000000007</c:v>
                </c:pt>
                <c:pt idx="31">
                  <c:v>9.6</c:v>
                </c:pt>
                <c:pt idx="32">
                  <c:v>9.8000000000000007</c:v>
                </c:pt>
                <c:pt idx="33">
                  <c:v>10.8</c:v>
                </c:pt>
                <c:pt idx="34">
                  <c:v>10.4</c:v>
                </c:pt>
                <c:pt idx="35">
                  <c:v>10.3</c:v>
                </c:pt>
                <c:pt idx="36">
                  <c:v>9.9</c:v>
                </c:pt>
                <c:pt idx="37">
                  <c:v>10.3</c:v>
                </c:pt>
                <c:pt idx="38">
                  <c:v>9.9</c:v>
                </c:pt>
                <c:pt idx="39">
                  <c:v>8.4</c:v>
                </c:pt>
                <c:pt idx="40">
                  <c:v>8.4</c:v>
                </c:pt>
                <c:pt idx="41">
                  <c:v>7.7</c:v>
                </c:pt>
                <c:pt idx="42">
                  <c:v>6.6</c:v>
                </c:pt>
                <c:pt idx="43">
                  <c:v>6.4</c:v>
                </c:pt>
                <c:pt idx="44">
                  <c:v>6.4</c:v>
                </c:pt>
                <c:pt idx="45">
                  <c:v>4.3</c:v>
                </c:pt>
                <c:pt idx="46">
                  <c:v>3.7</c:v>
                </c:pt>
                <c:pt idx="47">
                  <c:v>3.7</c:v>
                </c:pt>
                <c:pt idx="48">
                  <c:v>3.6</c:v>
                </c:pt>
                <c:pt idx="49">
                  <c:v>3.1</c:v>
                </c:pt>
                <c:pt idx="50">
                  <c:v>2.8</c:v>
                </c:pt>
                <c:pt idx="51">
                  <c:v>2.1</c:v>
                </c:pt>
                <c:pt idx="52">
                  <c:v>1.7</c:v>
                </c:pt>
                <c:pt idx="53">
                  <c:v>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0"/>
        <c:auto val="0"/>
        <c:lblOffset val="100"/>
        <c:baseTimeUnit val="months"/>
        <c:majorUnit val="12"/>
        <c:majorTimeUnit val="months"/>
        <c:minorUnit val="12"/>
      </c:dateAx>
      <c:valAx>
        <c:axId val="26360857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10121547464513771"/>
          <c:y val="8.9565910997037423E-2"/>
          <c:w val="0.83003491521894168"/>
          <c:h val="5.6110414634933527E-2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5853949-9FCA-4933-B327-3FFB52332FD1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432426" cy="67235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7177B2-FBF7-98A7-2724-54EEB777A0C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0.00806</cdr:y>
    </cdr:from>
    <cdr:to>
      <cdr:x>1</cdr:x>
      <cdr:y>0.08869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21E2ED9-BCB4-F43E-E20C-10C094AE9634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CPI inflation</a:t>
          </a:r>
        </a:p>
      </cdr:txBody>
    </cdr:sp>
  </cdr:relSizeAnchor>
  <cdr:relSizeAnchor xmlns:cdr="http://schemas.openxmlformats.org/drawingml/2006/chartDrawing">
    <cdr:from>
      <cdr:x>0</cdr:x>
      <cdr:y>0.93933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3F5EDFCC-42B9-9FE9-22CF-FB1800D5B6CF}"/>
            </a:ext>
          </a:extLst>
        </cdr:cNvPr>
        <cdr:cNvSpPr/>
      </cdr:nvSpPr>
      <cdr:spPr>
        <a:xfrm xmlns:a="http://schemas.openxmlformats.org/drawingml/2006/main">
          <a:off x="50800" y="5918212"/>
          <a:ext cx="8677362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Sources: Haver Analytics, ONS</a:t>
          </a:r>
        </a:p>
      </cdr:txBody>
    </cdr:sp>
  </cdr:relSizeAnchor>
  <cdr:relSizeAnchor xmlns:cdr="http://schemas.openxmlformats.org/drawingml/2006/chartDrawing">
    <cdr:from>
      <cdr:x>0</cdr:x>
      <cdr:y>0.07556</cdr:y>
    </cdr:from>
    <cdr:to>
      <cdr:x>0.21346</cdr:x>
      <cdr:y>0.12656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A5AB7806-4B80-0021-775B-9063DAD465BE}"/>
            </a:ext>
          </a:extLst>
        </cdr:cNvPr>
        <cdr:cNvSpPr txBox="1"/>
      </cdr:nvSpPr>
      <cdr:spPr>
        <a:xfrm xmlns:a="http://schemas.openxmlformats.org/drawingml/2006/main">
          <a:off x="0" y="508000"/>
          <a:ext cx="180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year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215FC-6500-4F88-BE37-EEABAB64A6B7}">
  <dimension ref="A1:D70"/>
  <sheetViews>
    <sheetView tabSelected="1" workbookViewId="0">
      <selection activeCell="D20" sqref="D20"/>
    </sheetView>
  </sheetViews>
  <sheetFormatPr defaultRowHeight="12.75" x14ac:dyDescent="0.2"/>
  <cols>
    <col min="1" max="1" width="10.140625" bestFit="1" customWidth="1"/>
  </cols>
  <sheetData>
    <row r="1" spans="1:4" x14ac:dyDescent="0.2">
      <c r="A1" s="5" t="s">
        <v>142</v>
      </c>
    </row>
    <row r="2" spans="1:4" x14ac:dyDescent="0.2">
      <c r="B2" s="2" t="s">
        <v>141</v>
      </c>
      <c r="C2" s="2" t="s">
        <v>143</v>
      </c>
    </row>
    <row r="3" spans="1:4" x14ac:dyDescent="0.2">
      <c r="A3" s="6">
        <v>43831</v>
      </c>
      <c r="B3" s="1">
        <f>HAVER!B7</f>
        <v>1.8</v>
      </c>
      <c r="C3" t="str">
        <f>ONS!C8</f>
        <v>1.6</v>
      </c>
      <c r="D3" s="1">
        <f>C3-B3</f>
        <v>-0.19999999999999996</v>
      </c>
    </row>
    <row r="4" spans="1:4" x14ac:dyDescent="0.2">
      <c r="A4" s="6">
        <v>43862</v>
      </c>
      <c r="B4" s="1">
        <f>HAVER!B8</f>
        <v>1.7</v>
      </c>
      <c r="C4">
        <f>ONS!C9</f>
        <v>1.5</v>
      </c>
      <c r="D4" s="1">
        <f t="shared" ref="D4:D65" si="0">C4-B4</f>
        <v>-0.19999999999999996</v>
      </c>
    </row>
    <row r="5" spans="1:4" x14ac:dyDescent="0.2">
      <c r="A5" s="6">
        <v>43891</v>
      </c>
      <c r="B5" s="1">
        <f>HAVER!B9</f>
        <v>1.5</v>
      </c>
      <c r="C5">
        <f>ONS!C10</f>
        <v>1.4</v>
      </c>
      <c r="D5" s="1">
        <f t="shared" si="0"/>
        <v>-0.10000000000000009</v>
      </c>
    </row>
    <row r="6" spans="1:4" x14ac:dyDescent="0.2">
      <c r="A6" s="6">
        <v>43922</v>
      </c>
      <c r="B6" s="1">
        <f>HAVER!B10</f>
        <v>0.8</v>
      </c>
      <c r="C6">
        <f>ONS!C11</f>
        <v>0.9</v>
      </c>
      <c r="D6" s="1">
        <f t="shared" si="0"/>
        <v>9.9999999999999978E-2</v>
      </c>
    </row>
    <row r="7" spans="1:4" x14ac:dyDescent="0.2">
      <c r="A7" s="6">
        <v>43952</v>
      </c>
      <c r="B7" s="1">
        <f>HAVER!B11</f>
        <v>0.5</v>
      </c>
      <c r="C7">
        <f>ONS!C12</f>
        <v>0.4</v>
      </c>
      <c r="D7" s="1">
        <f t="shared" si="0"/>
        <v>-9.9999999999999978E-2</v>
      </c>
    </row>
    <row r="8" spans="1:4" x14ac:dyDescent="0.2">
      <c r="A8" s="6">
        <v>43983</v>
      </c>
      <c r="B8" s="1">
        <f>HAVER!B12</f>
        <v>0.6</v>
      </c>
      <c r="C8">
        <f>ONS!C13</f>
        <v>0.6</v>
      </c>
      <c r="D8" s="1">
        <f t="shared" si="0"/>
        <v>0</v>
      </c>
    </row>
    <row r="9" spans="1:4" x14ac:dyDescent="0.2">
      <c r="A9" s="6">
        <v>44013</v>
      </c>
      <c r="B9" s="1">
        <f>HAVER!B13</f>
        <v>1</v>
      </c>
      <c r="C9">
        <f>ONS!C14</f>
        <v>0.9</v>
      </c>
      <c r="D9" s="1">
        <f t="shared" si="0"/>
        <v>-9.9999999999999978E-2</v>
      </c>
    </row>
    <row r="10" spans="1:4" x14ac:dyDescent="0.2">
      <c r="A10" s="6">
        <v>44044</v>
      </c>
      <c r="B10" s="1">
        <f>HAVER!B14</f>
        <v>0.2</v>
      </c>
      <c r="C10">
        <f>ONS!C15</f>
        <v>-0.1</v>
      </c>
      <c r="D10" s="1">
        <f t="shared" si="0"/>
        <v>-0.30000000000000004</v>
      </c>
    </row>
    <row r="11" spans="1:4" x14ac:dyDescent="0.2">
      <c r="A11" s="6">
        <v>44075</v>
      </c>
      <c r="B11" s="1">
        <f>HAVER!B15</f>
        <v>0.5</v>
      </c>
      <c r="C11">
        <f>ONS!C16</f>
        <v>0.3</v>
      </c>
      <c r="D11" s="1">
        <f t="shared" si="0"/>
        <v>-0.2</v>
      </c>
    </row>
    <row r="12" spans="1:4" x14ac:dyDescent="0.2">
      <c r="A12" s="6">
        <v>44105</v>
      </c>
      <c r="B12" s="1">
        <f>HAVER!B16</f>
        <v>0.7</v>
      </c>
      <c r="C12">
        <f>ONS!C17</f>
        <v>0.4</v>
      </c>
      <c r="D12" s="1">
        <f t="shared" si="0"/>
        <v>-0.29999999999999993</v>
      </c>
    </row>
    <row r="13" spans="1:4" x14ac:dyDescent="0.2">
      <c r="A13" s="6">
        <v>44136</v>
      </c>
      <c r="B13" s="1">
        <f>HAVER!B17</f>
        <v>0.3</v>
      </c>
      <c r="C13">
        <f>ONS!C18</f>
        <v>0</v>
      </c>
      <c r="D13" s="1">
        <f t="shared" si="0"/>
        <v>-0.3</v>
      </c>
    </row>
    <row r="14" spans="1:4" x14ac:dyDescent="0.2">
      <c r="A14" s="6">
        <v>44166</v>
      </c>
      <c r="B14" s="1">
        <f>HAVER!B18</f>
        <v>0.6</v>
      </c>
      <c r="C14">
        <f>ONS!C19</f>
        <v>0.3</v>
      </c>
      <c r="D14" s="1">
        <f t="shared" si="0"/>
        <v>-0.3</v>
      </c>
    </row>
    <row r="15" spans="1:4" x14ac:dyDescent="0.2">
      <c r="A15" s="6">
        <v>44197</v>
      </c>
      <c r="B15" s="1">
        <f>HAVER!B19</f>
        <v>0.7</v>
      </c>
      <c r="C15">
        <f>ONS!C20</f>
        <v>0.4</v>
      </c>
      <c r="D15" s="1">
        <f t="shared" si="0"/>
        <v>-0.29999999999999993</v>
      </c>
    </row>
    <row r="16" spans="1:4" x14ac:dyDescent="0.2">
      <c r="A16" s="6">
        <v>44228</v>
      </c>
      <c r="B16" s="1">
        <f>HAVER!B20</f>
        <v>0.4</v>
      </c>
      <c r="C16">
        <f>ONS!C21</f>
        <v>0.1</v>
      </c>
      <c r="D16" s="1">
        <f t="shared" si="0"/>
        <v>-0.30000000000000004</v>
      </c>
    </row>
    <row r="17" spans="1:4" x14ac:dyDescent="0.2">
      <c r="A17" s="6">
        <v>44256</v>
      </c>
      <c r="B17" s="1">
        <f>HAVER!B21</f>
        <v>0.7</v>
      </c>
      <c r="C17">
        <f>ONS!C22</f>
        <v>0.3</v>
      </c>
      <c r="D17" s="1">
        <f t="shared" si="0"/>
        <v>-0.39999999999999997</v>
      </c>
    </row>
    <row r="18" spans="1:4" x14ac:dyDescent="0.2">
      <c r="A18" s="6">
        <v>44287</v>
      </c>
      <c r="B18" s="1">
        <f>HAVER!B22</f>
        <v>1.5</v>
      </c>
      <c r="C18">
        <f>ONS!C23</f>
        <v>0.9</v>
      </c>
      <c r="D18" s="1">
        <f t="shared" si="0"/>
        <v>-0.6</v>
      </c>
    </row>
    <row r="19" spans="1:4" x14ac:dyDescent="0.2">
      <c r="A19" s="6">
        <v>44317</v>
      </c>
      <c r="B19" s="1">
        <f>HAVER!B23</f>
        <v>2.1</v>
      </c>
      <c r="C19">
        <f>ONS!C24</f>
        <v>1.6</v>
      </c>
      <c r="D19" s="1">
        <f t="shared" si="0"/>
        <v>-0.5</v>
      </c>
    </row>
    <row r="20" spans="1:4" x14ac:dyDescent="0.2">
      <c r="A20" s="6">
        <v>44348</v>
      </c>
      <c r="B20" s="1">
        <f>HAVER!B24</f>
        <v>2.5</v>
      </c>
      <c r="C20">
        <f>ONS!C25</f>
        <v>1.8</v>
      </c>
      <c r="D20" s="1">
        <f t="shared" si="0"/>
        <v>-0.7</v>
      </c>
    </row>
    <row r="21" spans="1:4" x14ac:dyDescent="0.2">
      <c r="A21" s="6">
        <v>44378</v>
      </c>
      <c r="B21" s="1">
        <f>HAVER!B25</f>
        <v>2</v>
      </c>
      <c r="C21">
        <f>ONS!C26</f>
        <v>1.4</v>
      </c>
      <c r="D21" s="1">
        <f t="shared" si="0"/>
        <v>-0.60000000000000009</v>
      </c>
    </row>
    <row r="22" spans="1:4" x14ac:dyDescent="0.2">
      <c r="A22" s="6">
        <v>44409</v>
      </c>
      <c r="B22" s="1">
        <f>HAVER!B26</f>
        <v>3.2</v>
      </c>
      <c r="C22">
        <f>ONS!C27</f>
        <v>2.8</v>
      </c>
      <c r="D22" s="1">
        <f t="shared" si="0"/>
        <v>-0.40000000000000036</v>
      </c>
    </row>
    <row r="23" spans="1:4" x14ac:dyDescent="0.2">
      <c r="A23" s="6">
        <v>44440</v>
      </c>
      <c r="B23" s="1">
        <f>HAVER!B27</f>
        <v>3.1</v>
      </c>
      <c r="C23">
        <f>ONS!C28</f>
        <v>2.7</v>
      </c>
      <c r="D23" s="1">
        <f t="shared" si="0"/>
        <v>-0.39999999999999991</v>
      </c>
    </row>
    <row r="24" spans="1:4" x14ac:dyDescent="0.2">
      <c r="A24" s="6">
        <v>44470</v>
      </c>
      <c r="B24" s="1">
        <f>HAVER!B28</f>
        <v>4.2</v>
      </c>
      <c r="C24">
        <f>ONS!C29</f>
        <v>3.8</v>
      </c>
      <c r="D24" s="1">
        <f t="shared" si="0"/>
        <v>-0.40000000000000036</v>
      </c>
    </row>
    <row r="25" spans="1:4" x14ac:dyDescent="0.2">
      <c r="A25" s="6">
        <v>44501</v>
      </c>
      <c r="B25" s="1">
        <f>HAVER!B29</f>
        <v>5.0999999999999996</v>
      </c>
      <c r="C25">
        <f>ONS!C30</f>
        <v>4.7</v>
      </c>
      <c r="D25" s="1">
        <f t="shared" si="0"/>
        <v>-0.39999999999999947</v>
      </c>
    </row>
    <row r="26" spans="1:4" x14ac:dyDescent="0.2">
      <c r="A26" s="6">
        <v>44531</v>
      </c>
      <c r="B26" s="1">
        <f>HAVER!B30</f>
        <v>5.4</v>
      </c>
      <c r="C26">
        <f>ONS!C31</f>
        <v>4.8</v>
      </c>
      <c r="D26" s="1">
        <f t="shared" si="0"/>
        <v>-0.60000000000000053</v>
      </c>
    </row>
    <row r="27" spans="1:4" x14ac:dyDescent="0.2">
      <c r="A27" s="6">
        <v>44562</v>
      </c>
      <c r="B27" s="1">
        <f>HAVER!B31</f>
        <v>5.5</v>
      </c>
      <c r="C27">
        <f>ONS!C32</f>
        <v>5</v>
      </c>
      <c r="D27" s="1">
        <f t="shared" si="0"/>
        <v>-0.5</v>
      </c>
    </row>
    <row r="28" spans="1:4" x14ac:dyDescent="0.2">
      <c r="A28" s="6">
        <v>44593</v>
      </c>
      <c r="B28" s="1">
        <f>HAVER!B32</f>
        <v>6.2</v>
      </c>
      <c r="C28">
        <f>ONS!C33</f>
        <v>5.7</v>
      </c>
      <c r="D28" s="1">
        <f t="shared" si="0"/>
        <v>-0.5</v>
      </c>
    </row>
    <row r="29" spans="1:4" x14ac:dyDescent="0.2">
      <c r="A29" s="6">
        <v>44621</v>
      </c>
      <c r="B29" s="1">
        <f>HAVER!B33</f>
        <v>7</v>
      </c>
      <c r="C29">
        <f>ONS!C34</f>
        <v>6.6</v>
      </c>
      <c r="D29" s="1">
        <f t="shared" si="0"/>
        <v>-0.40000000000000036</v>
      </c>
    </row>
    <row r="30" spans="1:4" x14ac:dyDescent="0.2">
      <c r="A30" s="6">
        <v>44652</v>
      </c>
      <c r="B30" s="1">
        <f>HAVER!B34</f>
        <v>9</v>
      </c>
      <c r="C30">
        <f>ONS!C35</f>
        <v>8.6</v>
      </c>
      <c r="D30" s="1">
        <f t="shared" si="0"/>
        <v>-0.40000000000000036</v>
      </c>
    </row>
    <row r="31" spans="1:4" x14ac:dyDescent="0.2">
      <c r="A31" s="6">
        <v>44682</v>
      </c>
      <c r="B31" s="1">
        <f>HAVER!B35</f>
        <v>9.1</v>
      </c>
      <c r="C31">
        <f>ONS!C36</f>
        <v>8.6999999999999993</v>
      </c>
      <c r="D31" s="1">
        <f t="shared" si="0"/>
        <v>-0.40000000000000036</v>
      </c>
    </row>
    <row r="32" spans="1:4" x14ac:dyDescent="0.2">
      <c r="A32" s="6">
        <v>44713</v>
      </c>
      <c r="B32" s="1">
        <f>HAVER!B36</f>
        <v>9.4</v>
      </c>
      <c r="C32">
        <f>ONS!C37</f>
        <v>9.1</v>
      </c>
      <c r="D32" s="1">
        <f t="shared" si="0"/>
        <v>-0.30000000000000071</v>
      </c>
    </row>
    <row r="33" spans="1:4" x14ac:dyDescent="0.2">
      <c r="A33" s="6">
        <v>44743</v>
      </c>
      <c r="B33" s="1">
        <f>HAVER!B37</f>
        <v>10.1</v>
      </c>
      <c r="C33">
        <f>ONS!C38</f>
        <v>9.8000000000000007</v>
      </c>
      <c r="D33" s="1">
        <f t="shared" si="0"/>
        <v>-0.29999999999999893</v>
      </c>
    </row>
    <row r="34" spans="1:4" x14ac:dyDescent="0.2">
      <c r="A34" s="6">
        <v>44774</v>
      </c>
      <c r="B34" s="1">
        <f>HAVER!B38</f>
        <v>9.9</v>
      </c>
      <c r="C34">
        <f>ONS!C39</f>
        <v>9.6</v>
      </c>
      <c r="D34" s="1">
        <f t="shared" si="0"/>
        <v>-0.30000000000000071</v>
      </c>
    </row>
    <row r="35" spans="1:4" x14ac:dyDescent="0.2">
      <c r="A35" s="6">
        <v>44805</v>
      </c>
      <c r="B35" s="1">
        <f>HAVER!B39</f>
        <v>10.1</v>
      </c>
      <c r="C35">
        <f>ONS!C40</f>
        <v>9.8000000000000007</v>
      </c>
      <c r="D35" s="1">
        <f t="shared" si="0"/>
        <v>-0.29999999999999893</v>
      </c>
    </row>
    <row r="36" spans="1:4" x14ac:dyDescent="0.2">
      <c r="A36" s="6">
        <v>44835</v>
      </c>
      <c r="B36" s="1">
        <f>HAVER!B40</f>
        <v>11.1</v>
      </c>
      <c r="C36">
        <f>ONS!C41</f>
        <v>10.8</v>
      </c>
      <c r="D36" s="1">
        <f t="shared" si="0"/>
        <v>-0.29999999999999893</v>
      </c>
    </row>
    <row r="37" spans="1:4" x14ac:dyDescent="0.2">
      <c r="A37" s="6">
        <v>44866</v>
      </c>
      <c r="B37" s="1">
        <f>HAVER!B41</f>
        <v>10.7</v>
      </c>
      <c r="C37">
        <f>ONS!C42</f>
        <v>10.4</v>
      </c>
      <c r="D37" s="1">
        <f t="shared" si="0"/>
        <v>-0.29999999999999893</v>
      </c>
    </row>
    <row r="38" spans="1:4" x14ac:dyDescent="0.2">
      <c r="A38" s="6">
        <v>44896</v>
      </c>
      <c r="B38" s="1">
        <f>HAVER!B42</f>
        <v>10.5</v>
      </c>
      <c r="C38">
        <f>ONS!C43</f>
        <v>10.3</v>
      </c>
      <c r="D38" s="1">
        <f t="shared" si="0"/>
        <v>-0.19999999999999929</v>
      </c>
    </row>
    <row r="39" spans="1:4" x14ac:dyDescent="0.2">
      <c r="A39" s="6">
        <v>44927</v>
      </c>
      <c r="B39" s="1">
        <f>HAVER!B43</f>
        <v>10.1</v>
      </c>
      <c r="C39">
        <f>ONS!C44</f>
        <v>9.9</v>
      </c>
      <c r="D39" s="1">
        <f t="shared" si="0"/>
        <v>-0.19999999999999929</v>
      </c>
    </row>
    <row r="40" spans="1:4" x14ac:dyDescent="0.2">
      <c r="A40" s="6">
        <v>44958</v>
      </c>
      <c r="B40" s="1">
        <f>HAVER!B44</f>
        <v>10.4</v>
      </c>
      <c r="C40">
        <f>ONS!C45</f>
        <v>10.3</v>
      </c>
      <c r="D40" s="1">
        <f t="shared" si="0"/>
        <v>-9.9999999999999645E-2</v>
      </c>
    </row>
    <row r="41" spans="1:4" x14ac:dyDescent="0.2">
      <c r="A41" s="6">
        <v>44986</v>
      </c>
      <c r="B41" s="1">
        <f>HAVER!B45</f>
        <v>10.1</v>
      </c>
      <c r="C41">
        <f>ONS!C46</f>
        <v>9.9</v>
      </c>
      <c r="D41" s="1">
        <f t="shared" si="0"/>
        <v>-0.19999999999999929</v>
      </c>
    </row>
    <row r="42" spans="1:4" x14ac:dyDescent="0.2">
      <c r="A42" s="6">
        <v>45017</v>
      </c>
      <c r="B42" s="1">
        <f>HAVER!B46</f>
        <v>8.6999999999999993</v>
      </c>
      <c r="C42">
        <f>ONS!C47</f>
        <v>8.4</v>
      </c>
      <c r="D42" s="1">
        <f t="shared" si="0"/>
        <v>-0.29999999999999893</v>
      </c>
    </row>
    <row r="43" spans="1:4" x14ac:dyDescent="0.2">
      <c r="A43" s="6">
        <v>45047</v>
      </c>
      <c r="B43" s="1">
        <f>HAVER!B47</f>
        <v>8.6999999999999993</v>
      </c>
      <c r="C43">
        <f>ONS!C48</f>
        <v>8.4</v>
      </c>
      <c r="D43" s="1">
        <f t="shared" si="0"/>
        <v>-0.29999999999999893</v>
      </c>
    </row>
    <row r="44" spans="1:4" x14ac:dyDescent="0.2">
      <c r="A44" s="6">
        <v>45078</v>
      </c>
      <c r="B44" s="1">
        <f>HAVER!B48</f>
        <v>7.9</v>
      </c>
      <c r="C44">
        <f>ONS!C49</f>
        <v>7.7</v>
      </c>
      <c r="D44" s="1">
        <f t="shared" si="0"/>
        <v>-0.20000000000000018</v>
      </c>
    </row>
    <row r="45" spans="1:4" x14ac:dyDescent="0.2">
      <c r="A45" s="6">
        <v>45108</v>
      </c>
      <c r="B45" s="1">
        <f>HAVER!B49</f>
        <v>6.8</v>
      </c>
      <c r="C45">
        <f>ONS!C50</f>
        <v>6.6</v>
      </c>
      <c r="D45" s="1">
        <f t="shared" si="0"/>
        <v>-0.20000000000000018</v>
      </c>
    </row>
    <row r="46" spans="1:4" x14ac:dyDescent="0.2">
      <c r="A46" s="6">
        <v>45139</v>
      </c>
      <c r="B46" s="1">
        <f>HAVER!B50</f>
        <v>6.7</v>
      </c>
      <c r="C46">
        <f>ONS!C51</f>
        <v>6.4</v>
      </c>
      <c r="D46" s="1">
        <f t="shared" si="0"/>
        <v>-0.29999999999999982</v>
      </c>
    </row>
    <row r="47" spans="1:4" x14ac:dyDescent="0.2">
      <c r="A47" s="6">
        <v>45170</v>
      </c>
      <c r="B47" s="1">
        <f>HAVER!B51</f>
        <v>6.7</v>
      </c>
      <c r="C47">
        <f>ONS!C52</f>
        <v>6.4</v>
      </c>
      <c r="D47" s="1">
        <f t="shared" si="0"/>
        <v>-0.29999999999999982</v>
      </c>
    </row>
    <row r="48" spans="1:4" x14ac:dyDescent="0.2">
      <c r="A48" s="6">
        <v>45200</v>
      </c>
      <c r="B48" s="1">
        <f>HAVER!B52</f>
        <v>4.5999999999999996</v>
      </c>
      <c r="C48">
        <f>ONS!C53</f>
        <v>4.3</v>
      </c>
      <c r="D48" s="1">
        <f t="shared" si="0"/>
        <v>-0.29999999999999982</v>
      </c>
    </row>
    <row r="49" spans="1:4" x14ac:dyDescent="0.2">
      <c r="A49" s="6">
        <v>45231</v>
      </c>
      <c r="B49" s="1">
        <f>HAVER!B53</f>
        <v>3.9</v>
      </c>
      <c r="C49">
        <f>ONS!C54</f>
        <v>3.7</v>
      </c>
      <c r="D49" s="1">
        <f t="shared" si="0"/>
        <v>-0.19999999999999973</v>
      </c>
    </row>
    <row r="50" spans="1:4" x14ac:dyDescent="0.2">
      <c r="A50" s="6">
        <v>45261</v>
      </c>
      <c r="B50" s="1">
        <f>HAVER!B54</f>
        <v>4</v>
      </c>
      <c r="C50">
        <f>ONS!C55</f>
        <v>3.7</v>
      </c>
      <c r="D50" s="1">
        <f t="shared" si="0"/>
        <v>-0.29999999999999982</v>
      </c>
    </row>
    <row r="51" spans="1:4" x14ac:dyDescent="0.2">
      <c r="A51" s="6">
        <v>45292</v>
      </c>
      <c r="B51" s="1">
        <f>HAVER!B55</f>
        <v>4</v>
      </c>
      <c r="C51">
        <f>ONS!C56</f>
        <v>3.6</v>
      </c>
      <c r="D51" s="1">
        <f t="shared" si="0"/>
        <v>-0.39999999999999991</v>
      </c>
    </row>
    <row r="52" spans="1:4" x14ac:dyDescent="0.2">
      <c r="A52" s="6">
        <v>45323</v>
      </c>
      <c r="B52" s="1">
        <f>HAVER!B56</f>
        <v>3.4</v>
      </c>
      <c r="C52">
        <f>ONS!C57</f>
        <v>3.1</v>
      </c>
      <c r="D52" s="1">
        <f t="shared" si="0"/>
        <v>-0.29999999999999982</v>
      </c>
    </row>
    <row r="53" spans="1:4" x14ac:dyDescent="0.2">
      <c r="A53" s="6">
        <v>45352</v>
      </c>
      <c r="B53" s="1">
        <f>HAVER!B57</f>
        <v>3.2</v>
      </c>
      <c r="C53">
        <f>ONS!C58</f>
        <v>2.8</v>
      </c>
      <c r="D53" s="1">
        <f t="shared" si="0"/>
        <v>-0.40000000000000036</v>
      </c>
    </row>
    <row r="54" spans="1:4" x14ac:dyDescent="0.2">
      <c r="A54" s="6">
        <v>45383</v>
      </c>
      <c r="B54" s="1">
        <f>HAVER!B58</f>
        <v>2.2999999999999998</v>
      </c>
      <c r="C54">
        <f>ONS!C59</f>
        <v>2.1</v>
      </c>
      <c r="D54" s="1">
        <f t="shared" si="0"/>
        <v>-0.19999999999999973</v>
      </c>
    </row>
    <row r="55" spans="1:4" x14ac:dyDescent="0.2">
      <c r="A55" s="6">
        <v>45413</v>
      </c>
      <c r="B55" s="1">
        <f>HAVER!B59</f>
        <v>2</v>
      </c>
      <c r="C55">
        <f>ONS!C60</f>
        <v>1.7</v>
      </c>
      <c r="D55" s="1">
        <f t="shared" si="0"/>
        <v>-0.30000000000000004</v>
      </c>
    </row>
    <row r="56" spans="1:4" x14ac:dyDescent="0.2">
      <c r="A56" s="6">
        <v>45444</v>
      </c>
      <c r="B56" s="1">
        <f>HAVER!B60</f>
        <v>2</v>
      </c>
      <c r="C56">
        <f>ONS!C61</f>
        <v>1.8</v>
      </c>
      <c r="D56" s="1">
        <f t="shared" si="0"/>
        <v>-0.19999999999999996</v>
      </c>
    </row>
    <row r="57" spans="1:4" x14ac:dyDescent="0.2">
      <c r="A57" s="6">
        <v>45474</v>
      </c>
      <c r="B57" s="1">
        <f>HAVER!B61</f>
        <v>2.2000000000000002</v>
      </c>
      <c r="D57" s="1"/>
    </row>
    <row r="58" spans="1:4" x14ac:dyDescent="0.2">
      <c r="A58" s="6">
        <v>45505</v>
      </c>
      <c r="B58" s="1">
        <f>HAVER!B62</f>
        <v>2.2000000000000002</v>
      </c>
      <c r="D58" s="1"/>
    </row>
    <row r="59" spans="1:4" x14ac:dyDescent="0.2">
      <c r="A59" s="6">
        <v>45536</v>
      </c>
      <c r="B59" s="1">
        <f>HAVER!B63</f>
        <v>1.7</v>
      </c>
      <c r="D59" s="1"/>
    </row>
    <row r="60" spans="1:4" x14ac:dyDescent="0.2">
      <c r="A60" s="6">
        <v>45566</v>
      </c>
      <c r="B60" s="1">
        <f>HAVER!B64</f>
        <v>2.2999999999999998</v>
      </c>
      <c r="D60" s="1"/>
    </row>
    <row r="61" spans="1:4" x14ac:dyDescent="0.2">
      <c r="A61" s="6">
        <v>45597</v>
      </c>
      <c r="B61" s="1">
        <f>HAVER!B65</f>
        <v>2.6</v>
      </c>
      <c r="D61" s="1"/>
    </row>
    <row r="62" spans="1:4" x14ac:dyDescent="0.2">
      <c r="A62" s="6">
        <v>45627</v>
      </c>
      <c r="B62" s="1">
        <f>HAVER!B66</f>
        <v>2.5</v>
      </c>
      <c r="D62" s="1"/>
    </row>
    <row r="63" spans="1:4" x14ac:dyDescent="0.2">
      <c r="A63" s="6">
        <v>45658</v>
      </c>
      <c r="B63" s="1">
        <f>HAVER!B67</f>
        <v>3</v>
      </c>
      <c r="D63" s="1"/>
    </row>
    <row r="64" spans="1:4" x14ac:dyDescent="0.2">
      <c r="A64" s="6">
        <v>45689</v>
      </c>
      <c r="B64" s="1">
        <f>HAVER!B68</f>
        <v>2.8</v>
      </c>
      <c r="D64" s="1"/>
    </row>
    <row r="65" spans="1:4" x14ac:dyDescent="0.2">
      <c r="A65" s="6">
        <v>45717</v>
      </c>
      <c r="B65" s="1">
        <f>HAVER!B69</f>
        <v>2.6</v>
      </c>
      <c r="D65" s="1"/>
    </row>
    <row r="66" spans="1:4" x14ac:dyDescent="0.2">
      <c r="A66" s="6"/>
    </row>
    <row r="67" spans="1:4" x14ac:dyDescent="0.2">
      <c r="A67" s="6" t="s">
        <v>144</v>
      </c>
      <c r="D67" s="1">
        <f>AVERAGE(D3:D56)</f>
        <v>-0.30555555555555541</v>
      </c>
    </row>
    <row r="68" spans="1:4" x14ac:dyDescent="0.2">
      <c r="A68" s="6"/>
    </row>
    <row r="69" spans="1:4" x14ac:dyDescent="0.2">
      <c r="A69" s="6"/>
    </row>
    <row r="70" spans="1:4" x14ac:dyDescent="0.2">
      <c r="A70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49274-B487-43D7-807F-C27151A7C90D}">
  <dimension ref="A1:D61"/>
  <sheetViews>
    <sheetView workbookViewId="0">
      <selection activeCell="C7" sqref="C7"/>
    </sheetView>
  </sheetViews>
  <sheetFormatPr defaultRowHeight="12.75" x14ac:dyDescent="0.2"/>
  <sheetData>
    <row r="1" spans="1:4" x14ac:dyDescent="0.2">
      <c r="A1" t="s">
        <v>1</v>
      </c>
    </row>
    <row r="2" spans="1:4" x14ac:dyDescent="0.2">
      <c r="A2" t="s">
        <v>2</v>
      </c>
    </row>
    <row r="3" spans="1:4" x14ac:dyDescent="0.2">
      <c r="A3" t="s">
        <v>0</v>
      </c>
      <c r="B3" t="s">
        <v>0</v>
      </c>
    </row>
    <row r="4" spans="1:4" x14ac:dyDescent="0.2">
      <c r="A4" t="s">
        <v>3</v>
      </c>
      <c r="B4" t="s">
        <v>0</v>
      </c>
    </row>
    <row r="5" spans="1:4" x14ac:dyDescent="0.2">
      <c r="A5" t="s">
        <v>4</v>
      </c>
      <c r="B5" t="s">
        <v>5</v>
      </c>
    </row>
    <row r="6" spans="1:4" x14ac:dyDescent="0.2">
      <c r="A6" t="s">
        <v>0</v>
      </c>
      <c r="B6" t="s">
        <v>0</v>
      </c>
    </row>
    <row r="7" spans="1:4" x14ac:dyDescent="0.2">
      <c r="A7" t="s">
        <v>6</v>
      </c>
      <c r="B7" t="s">
        <v>7</v>
      </c>
      <c r="C7" t="s">
        <v>8</v>
      </c>
      <c r="D7" t="s">
        <v>9</v>
      </c>
    </row>
    <row r="8" spans="1:4" x14ac:dyDescent="0.2">
      <c r="A8" t="s">
        <v>10</v>
      </c>
      <c r="B8" t="s">
        <v>11</v>
      </c>
      <c r="C8" t="s">
        <v>11</v>
      </c>
      <c r="D8" t="s">
        <v>12</v>
      </c>
    </row>
    <row r="9" spans="1:4" x14ac:dyDescent="0.2">
      <c r="A9" t="s">
        <v>13</v>
      </c>
      <c r="B9" s="1">
        <v>1.6</v>
      </c>
      <c r="C9" s="1">
        <v>1.5</v>
      </c>
      <c r="D9" s="1">
        <v>-0.1</v>
      </c>
    </row>
    <row r="10" spans="1:4" x14ac:dyDescent="0.2">
      <c r="A10" t="s">
        <v>14</v>
      </c>
      <c r="B10" s="1">
        <v>1.4</v>
      </c>
      <c r="C10" s="1">
        <v>1.4</v>
      </c>
      <c r="D10">
        <v>0</v>
      </c>
    </row>
    <row r="11" spans="1:4" x14ac:dyDescent="0.2">
      <c r="A11" t="s">
        <v>15</v>
      </c>
      <c r="B11" s="1">
        <v>0.8</v>
      </c>
      <c r="C11" s="1">
        <v>0.9</v>
      </c>
      <c r="D11" s="1">
        <v>0.1</v>
      </c>
    </row>
    <row r="12" spans="1:4" x14ac:dyDescent="0.2">
      <c r="A12" t="s">
        <v>16</v>
      </c>
      <c r="B12" s="1">
        <v>0.4</v>
      </c>
      <c r="C12" s="1">
        <v>0.4</v>
      </c>
      <c r="D12">
        <v>0</v>
      </c>
    </row>
    <row r="13" spans="1:4" x14ac:dyDescent="0.2">
      <c r="A13" t="s">
        <v>17</v>
      </c>
      <c r="B13" s="1">
        <v>0.6</v>
      </c>
      <c r="C13" s="1">
        <v>0.6</v>
      </c>
      <c r="D13">
        <v>0</v>
      </c>
    </row>
    <row r="14" spans="1:4" x14ac:dyDescent="0.2">
      <c r="A14" t="s">
        <v>18</v>
      </c>
      <c r="B14" s="1">
        <v>0.9</v>
      </c>
      <c r="C14" s="1">
        <v>0.9</v>
      </c>
      <c r="D14">
        <v>0</v>
      </c>
    </row>
    <row r="15" spans="1:4" x14ac:dyDescent="0.2">
      <c r="A15" t="s">
        <v>19</v>
      </c>
      <c r="B15" s="1">
        <v>-0.1</v>
      </c>
      <c r="C15" s="1">
        <v>-0.1</v>
      </c>
      <c r="D15">
        <v>0</v>
      </c>
    </row>
    <row r="16" spans="1:4" x14ac:dyDescent="0.2">
      <c r="A16" t="s">
        <v>20</v>
      </c>
      <c r="B16" s="1">
        <v>0.2</v>
      </c>
      <c r="C16" s="1">
        <v>0.3</v>
      </c>
      <c r="D16" s="1">
        <v>0.1</v>
      </c>
    </row>
    <row r="17" spans="1:4" x14ac:dyDescent="0.2">
      <c r="A17" t="s">
        <v>21</v>
      </c>
      <c r="B17" s="1">
        <v>0.4</v>
      </c>
      <c r="C17" s="1">
        <v>0.4</v>
      </c>
      <c r="D17">
        <v>0</v>
      </c>
    </row>
    <row r="18" spans="1:4" x14ac:dyDescent="0.2">
      <c r="A18" t="s">
        <v>22</v>
      </c>
      <c r="B18" s="1">
        <v>-0.1</v>
      </c>
      <c r="C18">
        <v>0</v>
      </c>
      <c r="D18" s="1">
        <v>0.1</v>
      </c>
    </row>
    <row r="19" spans="1:4" x14ac:dyDescent="0.2">
      <c r="A19" t="s">
        <v>23</v>
      </c>
      <c r="B19" s="1">
        <v>0.2</v>
      </c>
      <c r="C19" s="1">
        <v>0.3</v>
      </c>
      <c r="D19" s="1">
        <v>0.1</v>
      </c>
    </row>
    <row r="20" spans="1:4" x14ac:dyDescent="0.2">
      <c r="A20" t="s">
        <v>24</v>
      </c>
      <c r="B20" s="1">
        <v>0.3</v>
      </c>
      <c r="C20" s="1">
        <v>0.4</v>
      </c>
      <c r="D20" s="1">
        <v>0.1</v>
      </c>
    </row>
    <row r="21" spans="1:4" x14ac:dyDescent="0.2">
      <c r="A21" t="s">
        <v>25</v>
      </c>
      <c r="B21">
        <v>0</v>
      </c>
      <c r="C21" s="1">
        <v>0.1</v>
      </c>
      <c r="D21" s="1">
        <v>0.1</v>
      </c>
    </row>
    <row r="22" spans="1:4" x14ac:dyDescent="0.2">
      <c r="A22" t="s">
        <v>26</v>
      </c>
      <c r="B22" s="1">
        <v>0.3</v>
      </c>
      <c r="C22" s="1">
        <v>0.3</v>
      </c>
      <c r="D22">
        <v>0</v>
      </c>
    </row>
    <row r="23" spans="1:4" x14ac:dyDescent="0.2">
      <c r="A23" t="s">
        <v>27</v>
      </c>
      <c r="B23" s="1">
        <v>0.9</v>
      </c>
      <c r="C23" s="1">
        <v>0.9</v>
      </c>
      <c r="D23">
        <v>0</v>
      </c>
    </row>
    <row r="24" spans="1:4" x14ac:dyDescent="0.2">
      <c r="A24" t="s">
        <v>28</v>
      </c>
      <c r="B24" s="1">
        <v>1.5</v>
      </c>
      <c r="C24" s="1">
        <v>1.6</v>
      </c>
      <c r="D24" s="1">
        <v>0.1</v>
      </c>
    </row>
    <row r="25" spans="1:4" x14ac:dyDescent="0.2">
      <c r="A25" t="s">
        <v>29</v>
      </c>
      <c r="B25" s="1">
        <v>1.8</v>
      </c>
      <c r="C25" s="1">
        <v>1.8</v>
      </c>
      <c r="D25">
        <v>0</v>
      </c>
    </row>
    <row r="26" spans="1:4" x14ac:dyDescent="0.2">
      <c r="A26" t="s">
        <v>30</v>
      </c>
      <c r="B26" s="1">
        <v>1.4</v>
      </c>
      <c r="C26" s="1">
        <v>1.4</v>
      </c>
      <c r="D26">
        <v>0</v>
      </c>
    </row>
    <row r="27" spans="1:4" x14ac:dyDescent="0.2">
      <c r="A27" t="s">
        <v>31</v>
      </c>
      <c r="B27" s="1">
        <v>2.7</v>
      </c>
      <c r="C27" s="1">
        <v>2.8</v>
      </c>
      <c r="D27" s="1">
        <v>0.1</v>
      </c>
    </row>
    <row r="28" spans="1:4" x14ac:dyDescent="0.2">
      <c r="A28" t="s">
        <v>32</v>
      </c>
      <c r="B28" s="1">
        <v>2.6</v>
      </c>
      <c r="C28" s="1">
        <v>2.7</v>
      </c>
      <c r="D28" s="1">
        <v>0.1</v>
      </c>
    </row>
    <row r="29" spans="1:4" x14ac:dyDescent="0.2">
      <c r="A29" t="s">
        <v>33</v>
      </c>
      <c r="B29" s="1">
        <v>3.7</v>
      </c>
      <c r="C29" s="1">
        <v>3.8</v>
      </c>
      <c r="D29" s="1">
        <v>0.1</v>
      </c>
    </row>
    <row r="30" spans="1:4" x14ac:dyDescent="0.2">
      <c r="A30" t="s">
        <v>34</v>
      </c>
      <c r="B30" s="1">
        <v>4.7</v>
      </c>
      <c r="C30" s="1">
        <v>4.7</v>
      </c>
      <c r="D30">
        <v>0</v>
      </c>
    </row>
    <row r="31" spans="1:4" x14ac:dyDescent="0.2">
      <c r="A31" t="s">
        <v>35</v>
      </c>
      <c r="B31" s="1">
        <v>4.9000000000000004</v>
      </c>
      <c r="C31" s="1">
        <v>4.8</v>
      </c>
      <c r="D31" s="1">
        <v>-0.1</v>
      </c>
    </row>
    <row r="32" spans="1:4" x14ac:dyDescent="0.2">
      <c r="A32" t="s">
        <v>36</v>
      </c>
      <c r="B32">
        <v>5</v>
      </c>
      <c r="C32">
        <v>5</v>
      </c>
      <c r="D32">
        <v>0</v>
      </c>
    </row>
    <row r="33" spans="1:4" x14ac:dyDescent="0.2">
      <c r="A33" t="s">
        <v>37</v>
      </c>
      <c r="B33" s="1">
        <v>5.7</v>
      </c>
      <c r="C33" s="1">
        <v>5.7</v>
      </c>
      <c r="D33">
        <v>0</v>
      </c>
    </row>
    <row r="34" spans="1:4" x14ac:dyDescent="0.2">
      <c r="A34" t="s">
        <v>38</v>
      </c>
      <c r="B34" s="1">
        <v>6.6</v>
      </c>
      <c r="C34" s="1">
        <v>6.6</v>
      </c>
      <c r="D34">
        <v>0</v>
      </c>
    </row>
    <row r="35" spans="1:4" x14ac:dyDescent="0.2">
      <c r="A35" t="s">
        <v>39</v>
      </c>
      <c r="B35" s="1">
        <v>8.6</v>
      </c>
      <c r="C35" s="1">
        <v>8.6</v>
      </c>
      <c r="D35">
        <v>0</v>
      </c>
    </row>
    <row r="36" spans="1:4" x14ac:dyDescent="0.2">
      <c r="A36" t="s">
        <v>40</v>
      </c>
      <c r="B36" s="1">
        <v>8.8000000000000007</v>
      </c>
      <c r="C36" s="1">
        <v>8.6999999999999993</v>
      </c>
      <c r="D36" s="1">
        <v>-0.1</v>
      </c>
    </row>
    <row r="37" spans="1:4" x14ac:dyDescent="0.2">
      <c r="A37" t="s">
        <v>41</v>
      </c>
      <c r="B37" s="1">
        <v>9.1999999999999993</v>
      </c>
      <c r="C37" s="1">
        <v>9.1</v>
      </c>
      <c r="D37" s="1">
        <v>-0.1</v>
      </c>
    </row>
    <row r="38" spans="1:4" x14ac:dyDescent="0.2">
      <c r="A38" t="s">
        <v>42</v>
      </c>
      <c r="B38" s="1">
        <v>9.9</v>
      </c>
      <c r="C38" s="1">
        <v>9.8000000000000007</v>
      </c>
      <c r="D38" s="1">
        <v>-0.1</v>
      </c>
    </row>
    <row r="39" spans="1:4" x14ac:dyDescent="0.2">
      <c r="A39" t="s">
        <v>43</v>
      </c>
      <c r="B39" s="1">
        <v>9.6</v>
      </c>
      <c r="C39" s="1">
        <v>9.6</v>
      </c>
      <c r="D39">
        <v>0</v>
      </c>
    </row>
    <row r="40" spans="1:4" x14ac:dyDescent="0.2">
      <c r="A40" t="s">
        <v>44</v>
      </c>
      <c r="B40" s="1">
        <v>9.9</v>
      </c>
      <c r="C40" s="1">
        <v>9.8000000000000007</v>
      </c>
      <c r="D40" s="1">
        <v>-0.1</v>
      </c>
    </row>
    <row r="41" spans="1:4" x14ac:dyDescent="0.2">
      <c r="A41" t="s">
        <v>45</v>
      </c>
      <c r="B41" s="1">
        <v>10.8</v>
      </c>
      <c r="C41" s="1">
        <v>10.8</v>
      </c>
      <c r="D41">
        <v>0</v>
      </c>
    </row>
    <row r="42" spans="1:4" x14ac:dyDescent="0.2">
      <c r="A42" t="s">
        <v>46</v>
      </c>
      <c r="B42" s="1">
        <v>10.5</v>
      </c>
      <c r="C42" s="1">
        <v>10.4</v>
      </c>
      <c r="D42" s="1">
        <v>-0.1</v>
      </c>
    </row>
    <row r="43" spans="1:4" x14ac:dyDescent="0.2">
      <c r="A43" t="s">
        <v>47</v>
      </c>
      <c r="B43" s="1">
        <v>10.4</v>
      </c>
      <c r="C43" s="1">
        <v>10.3</v>
      </c>
      <c r="D43" s="1">
        <v>-0.1</v>
      </c>
    </row>
    <row r="44" spans="1:4" x14ac:dyDescent="0.2">
      <c r="A44" t="s">
        <v>48</v>
      </c>
      <c r="B44" s="1">
        <v>9.9</v>
      </c>
      <c r="C44" s="1">
        <v>9.9</v>
      </c>
      <c r="D44">
        <v>0</v>
      </c>
    </row>
    <row r="45" spans="1:4" x14ac:dyDescent="0.2">
      <c r="A45" t="s">
        <v>49</v>
      </c>
      <c r="B45" s="1">
        <v>10.3</v>
      </c>
      <c r="C45" s="1">
        <v>10.3</v>
      </c>
      <c r="D45">
        <v>0</v>
      </c>
    </row>
    <row r="46" spans="1:4" x14ac:dyDescent="0.2">
      <c r="A46" t="s">
        <v>50</v>
      </c>
      <c r="B46" s="1">
        <v>9.9</v>
      </c>
      <c r="C46" s="1">
        <v>9.9</v>
      </c>
      <c r="D46">
        <v>0</v>
      </c>
    </row>
    <row r="47" spans="1:4" x14ac:dyDescent="0.2">
      <c r="A47" t="s">
        <v>51</v>
      </c>
      <c r="B47" s="1">
        <v>8.6</v>
      </c>
      <c r="C47" s="1">
        <v>8.4</v>
      </c>
      <c r="D47" s="1">
        <v>-0.2</v>
      </c>
    </row>
    <row r="48" spans="1:4" x14ac:dyDescent="0.2">
      <c r="A48" t="s">
        <v>52</v>
      </c>
      <c r="B48" s="1">
        <v>8.5</v>
      </c>
      <c r="C48" s="1">
        <v>8.4</v>
      </c>
      <c r="D48" s="1">
        <v>-0.1</v>
      </c>
    </row>
    <row r="49" spans="1:4" x14ac:dyDescent="0.2">
      <c r="A49" t="s">
        <v>53</v>
      </c>
      <c r="B49" s="1">
        <v>7.8</v>
      </c>
      <c r="C49" s="1">
        <v>7.7</v>
      </c>
      <c r="D49" s="1">
        <v>-0.1</v>
      </c>
    </row>
    <row r="50" spans="1:4" x14ac:dyDescent="0.2">
      <c r="A50" t="s">
        <v>54</v>
      </c>
      <c r="B50" s="1">
        <v>6.7</v>
      </c>
      <c r="C50" s="1">
        <v>6.6</v>
      </c>
      <c r="D50" s="1">
        <v>-0.1</v>
      </c>
    </row>
    <row r="51" spans="1:4" x14ac:dyDescent="0.2">
      <c r="A51" t="s">
        <v>55</v>
      </c>
      <c r="B51" s="1">
        <v>6.5</v>
      </c>
      <c r="C51" s="1">
        <v>6.4</v>
      </c>
      <c r="D51" s="1">
        <v>-0.1</v>
      </c>
    </row>
    <row r="52" spans="1:4" x14ac:dyDescent="0.2">
      <c r="A52" t="s">
        <v>56</v>
      </c>
      <c r="B52" s="1">
        <v>6.5</v>
      </c>
      <c r="C52" s="1">
        <v>6.4</v>
      </c>
      <c r="D52" s="1">
        <v>-0.1</v>
      </c>
    </row>
    <row r="53" spans="1:4" x14ac:dyDescent="0.2">
      <c r="A53" t="s">
        <v>57</v>
      </c>
      <c r="B53" s="1">
        <v>4.5</v>
      </c>
      <c r="C53" s="1">
        <v>4.3</v>
      </c>
      <c r="D53" s="1">
        <v>-0.2</v>
      </c>
    </row>
    <row r="54" spans="1:4" x14ac:dyDescent="0.2">
      <c r="A54" t="s">
        <v>58</v>
      </c>
      <c r="B54" s="1">
        <v>3.8</v>
      </c>
      <c r="C54" s="1">
        <v>3.7</v>
      </c>
      <c r="D54" s="1">
        <v>-0.1</v>
      </c>
    </row>
    <row r="55" spans="1:4" x14ac:dyDescent="0.2">
      <c r="A55" t="s">
        <v>59</v>
      </c>
      <c r="B55" s="1">
        <v>3.8</v>
      </c>
      <c r="C55" s="1">
        <v>3.7</v>
      </c>
      <c r="D55" s="1">
        <v>-0.1</v>
      </c>
    </row>
    <row r="56" spans="1:4" x14ac:dyDescent="0.2">
      <c r="A56" t="s">
        <v>60</v>
      </c>
      <c r="B56" s="1">
        <v>3.8</v>
      </c>
      <c r="C56" s="1">
        <v>3.6</v>
      </c>
      <c r="D56" s="1">
        <v>-0.2</v>
      </c>
    </row>
    <row r="57" spans="1:4" x14ac:dyDescent="0.2">
      <c r="A57" t="s">
        <v>61</v>
      </c>
      <c r="B57" s="1">
        <v>3.3</v>
      </c>
      <c r="C57" s="1">
        <v>3.1</v>
      </c>
      <c r="D57" s="1">
        <v>-0.2</v>
      </c>
    </row>
    <row r="58" spans="1:4" x14ac:dyDescent="0.2">
      <c r="A58" t="s">
        <v>62</v>
      </c>
      <c r="B58" s="1">
        <v>3.1</v>
      </c>
      <c r="C58" s="1">
        <v>2.8</v>
      </c>
      <c r="D58" s="1">
        <v>-0.3</v>
      </c>
    </row>
    <row r="59" spans="1:4" x14ac:dyDescent="0.2">
      <c r="A59" t="s">
        <v>63</v>
      </c>
      <c r="B59" s="1">
        <v>2.2000000000000002</v>
      </c>
      <c r="C59" s="1">
        <v>2.1</v>
      </c>
      <c r="D59" s="1">
        <v>-0.1</v>
      </c>
    </row>
    <row r="60" spans="1:4" x14ac:dyDescent="0.2">
      <c r="A60" t="s">
        <v>64</v>
      </c>
      <c r="B60" s="1">
        <v>1.9</v>
      </c>
      <c r="C60" s="1">
        <v>1.7</v>
      </c>
      <c r="D60" s="1">
        <v>-0.2</v>
      </c>
    </row>
    <row r="61" spans="1:4" x14ac:dyDescent="0.2">
      <c r="A61" t="s">
        <v>65</v>
      </c>
      <c r="B61" s="1">
        <v>1.9</v>
      </c>
      <c r="C61" s="1">
        <v>1.8</v>
      </c>
      <c r="D61" s="1">
        <v>-0.1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B5CCE-4581-44D5-A814-6BE0472CE995}">
  <dimension ref="A1:B69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69" sqref="B69"/>
    </sheetView>
  </sheetViews>
  <sheetFormatPr defaultRowHeight="12.75" x14ac:dyDescent="0.2"/>
  <sheetData>
    <row r="1" spans="1:2" x14ac:dyDescent="0.2">
      <c r="A1" s="3" t="s">
        <v>67</v>
      </c>
      <c r="B1" s="4" t="s">
        <v>66</v>
      </c>
    </row>
    <row r="2" spans="1:2" x14ac:dyDescent="0.2">
      <c r="A2" t="s">
        <v>73</v>
      </c>
      <c r="B2" t="s">
        <v>78</v>
      </c>
    </row>
    <row r="3" spans="1:2" x14ac:dyDescent="0.2">
      <c r="A3" t="s">
        <v>72</v>
      </c>
      <c r="B3" t="s">
        <v>77</v>
      </c>
    </row>
    <row r="4" spans="1:2" x14ac:dyDescent="0.2">
      <c r="A4" t="s">
        <v>71</v>
      </c>
      <c r="B4" t="s">
        <v>76</v>
      </c>
    </row>
    <row r="5" spans="1:2" x14ac:dyDescent="0.2">
      <c r="A5" t="s">
        <v>70</v>
      </c>
      <c r="B5" t="s">
        <v>75</v>
      </c>
    </row>
    <row r="6" spans="1:2" x14ac:dyDescent="0.2">
      <c r="A6" t="s">
        <v>69</v>
      </c>
      <c r="B6" t="s">
        <v>74</v>
      </c>
    </row>
    <row r="7" spans="1:2" x14ac:dyDescent="0.2">
      <c r="A7" t="s">
        <v>68</v>
      </c>
      <c r="B7" s="1">
        <v>1.8</v>
      </c>
    </row>
    <row r="8" spans="1:2" x14ac:dyDescent="0.2">
      <c r="A8" t="s">
        <v>79</v>
      </c>
      <c r="B8" s="1">
        <v>1.7</v>
      </c>
    </row>
    <row r="9" spans="1:2" x14ac:dyDescent="0.2">
      <c r="A9" t="s">
        <v>80</v>
      </c>
      <c r="B9" s="1">
        <v>1.5</v>
      </c>
    </row>
    <row r="10" spans="1:2" x14ac:dyDescent="0.2">
      <c r="A10" t="s">
        <v>81</v>
      </c>
      <c r="B10" s="1">
        <v>0.8</v>
      </c>
    </row>
    <row r="11" spans="1:2" x14ac:dyDescent="0.2">
      <c r="A11" t="s">
        <v>82</v>
      </c>
      <c r="B11" s="1">
        <v>0.5</v>
      </c>
    </row>
    <row r="12" spans="1:2" x14ac:dyDescent="0.2">
      <c r="A12" t="s">
        <v>83</v>
      </c>
      <c r="B12" s="1">
        <v>0.6</v>
      </c>
    </row>
    <row r="13" spans="1:2" x14ac:dyDescent="0.2">
      <c r="A13" t="s">
        <v>84</v>
      </c>
      <c r="B13" s="1">
        <v>1</v>
      </c>
    </row>
    <row r="14" spans="1:2" x14ac:dyDescent="0.2">
      <c r="A14" t="s">
        <v>85</v>
      </c>
      <c r="B14" s="1">
        <v>0.2</v>
      </c>
    </row>
    <row r="15" spans="1:2" x14ac:dyDescent="0.2">
      <c r="A15" t="s">
        <v>86</v>
      </c>
      <c r="B15" s="1">
        <v>0.5</v>
      </c>
    </row>
    <row r="16" spans="1:2" x14ac:dyDescent="0.2">
      <c r="A16" t="s">
        <v>87</v>
      </c>
      <c r="B16" s="1">
        <v>0.7</v>
      </c>
    </row>
    <row r="17" spans="1:2" x14ac:dyDescent="0.2">
      <c r="A17" t="s">
        <v>88</v>
      </c>
      <c r="B17" s="1">
        <v>0.3</v>
      </c>
    </row>
    <row r="18" spans="1:2" x14ac:dyDescent="0.2">
      <c r="A18" t="s">
        <v>89</v>
      </c>
      <c r="B18" s="1">
        <v>0.6</v>
      </c>
    </row>
    <row r="19" spans="1:2" x14ac:dyDescent="0.2">
      <c r="A19" t="s">
        <v>90</v>
      </c>
      <c r="B19" s="1">
        <v>0.7</v>
      </c>
    </row>
    <row r="20" spans="1:2" x14ac:dyDescent="0.2">
      <c r="A20" t="s">
        <v>91</v>
      </c>
      <c r="B20" s="1">
        <v>0.4</v>
      </c>
    </row>
    <row r="21" spans="1:2" x14ac:dyDescent="0.2">
      <c r="A21" t="s">
        <v>92</v>
      </c>
      <c r="B21" s="1">
        <v>0.7</v>
      </c>
    </row>
    <row r="22" spans="1:2" x14ac:dyDescent="0.2">
      <c r="A22" t="s">
        <v>93</v>
      </c>
      <c r="B22" s="1">
        <v>1.5</v>
      </c>
    </row>
    <row r="23" spans="1:2" x14ac:dyDescent="0.2">
      <c r="A23" t="s">
        <v>94</v>
      </c>
      <c r="B23" s="1">
        <v>2.1</v>
      </c>
    </row>
    <row r="24" spans="1:2" x14ac:dyDescent="0.2">
      <c r="A24" t="s">
        <v>95</v>
      </c>
      <c r="B24" s="1">
        <v>2.5</v>
      </c>
    </row>
    <row r="25" spans="1:2" x14ac:dyDescent="0.2">
      <c r="A25" t="s">
        <v>96</v>
      </c>
      <c r="B25" s="1">
        <v>2</v>
      </c>
    </row>
    <row r="26" spans="1:2" x14ac:dyDescent="0.2">
      <c r="A26" t="s">
        <v>97</v>
      </c>
      <c r="B26" s="1">
        <v>3.2</v>
      </c>
    </row>
    <row r="27" spans="1:2" x14ac:dyDescent="0.2">
      <c r="A27" t="s">
        <v>98</v>
      </c>
      <c r="B27" s="1">
        <v>3.1</v>
      </c>
    </row>
    <row r="28" spans="1:2" x14ac:dyDescent="0.2">
      <c r="A28" t="s">
        <v>99</v>
      </c>
      <c r="B28" s="1">
        <v>4.2</v>
      </c>
    </row>
    <row r="29" spans="1:2" x14ac:dyDescent="0.2">
      <c r="A29" t="s">
        <v>100</v>
      </c>
      <c r="B29" s="1">
        <v>5.0999999999999996</v>
      </c>
    </row>
    <row r="30" spans="1:2" x14ac:dyDescent="0.2">
      <c r="A30" t="s">
        <v>101</v>
      </c>
      <c r="B30" s="1">
        <v>5.4</v>
      </c>
    </row>
    <row r="31" spans="1:2" x14ac:dyDescent="0.2">
      <c r="A31" t="s">
        <v>102</v>
      </c>
      <c r="B31" s="1">
        <v>5.5</v>
      </c>
    </row>
    <row r="32" spans="1:2" x14ac:dyDescent="0.2">
      <c r="A32" t="s">
        <v>103</v>
      </c>
      <c r="B32" s="1">
        <v>6.2</v>
      </c>
    </row>
    <row r="33" spans="1:2" x14ac:dyDescent="0.2">
      <c r="A33" t="s">
        <v>104</v>
      </c>
      <c r="B33" s="1">
        <v>7</v>
      </c>
    </row>
    <row r="34" spans="1:2" x14ac:dyDescent="0.2">
      <c r="A34" t="s">
        <v>105</v>
      </c>
      <c r="B34" s="1">
        <v>9</v>
      </c>
    </row>
    <row r="35" spans="1:2" x14ac:dyDescent="0.2">
      <c r="A35" t="s">
        <v>106</v>
      </c>
      <c r="B35" s="1">
        <v>9.1</v>
      </c>
    </row>
    <row r="36" spans="1:2" x14ac:dyDescent="0.2">
      <c r="A36" t="s">
        <v>107</v>
      </c>
      <c r="B36" s="1">
        <v>9.4</v>
      </c>
    </row>
    <row r="37" spans="1:2" x14ac:dyDescent="0.2">
      <c r="A37" t="s">
        <v>108</v>
      </c>
      <c r="B37" s="1">
        <v>10.1</v>
      </c>
    </row>
    <row r="38" spans="1:2" x14ac:dyDescent="0.2">
      <c r="A38" t="s">
        <v>109</v>
      </c>
      <c r="B38" s="1">
        <v>9.9</v>
      </c>
    </row>
    <row r="39" spans="1:2" x14ac:dyDescent="0.2">
      <c r="A39" t="s">
        <v>110</v>
      </c>
      <c r="B39" s="1">
        <v>10.1</v>
      </c>
    </row>
    <row r="40" spans="1:2" x14ac:dyDescent="0.2">
      <c r="A40" t="s">
        <v>111</v>
      </c>
      <c r="B40" s="1">
        <v>11.1</v>
      </c>
    </row>
    <row r="41" spans="1:2" x14ac:dyDescent="0.2">
      <c r="A41" t="s">
        <v>112</v>
      </c>
      <c r="B41" s="1">
        <v>10.7</v>
      </c>
    </row>
    <row r="42" spans="1:2" x14ac:dyDescent="0.2">
      <c r="A42" t="s">
        <v>113</v>
      </c>
      <c r="B42" s="1">
        <v>10.5</v>
      </c>
    </row>
    <row r="43" spans="1:2" x14ac:dyDescent="0.2">
      <c r="A43" t="s">
        <v>114</v>
      </c>
      <c r="B43" s="1">
        <v>10.1</v>
      </c>
    </row>
    <row r="44" spans="1:2" x14ac:dyDescent="0.2">
      <c r="A44" t="s">
        <v>115</v>
      </c>
      <c r="B44" s="1">
        <v>10.4</v>
      </c>
    </row>
    <row r="45" spans="1:2" x14ac:dyDescent="0.2">
      <c r="A45" t="s">
        <v>116</v>
      </c>
      <c r="B45" s="1">
        <v>10.1</v>
      </c>
    </row>
    <row r="46" spans="1:2" x14ac:dyDescent="0.2">
      <c r="A46" t="s">
        <v>117</v>
      </c>
      <c r="B46" s="1">
        <v>8.6999999999999993</v>
      </c>
    </row>
    <row r="47" spans="1:2" x14ac:dyDescent="0.2">
      <c r="A47" t="s">
        <v>118</v>
      </c>
      <c r="B47" s="1">
        <v>8.6999999999999993</v>
      </c>
    </row>
    <row r="48" spans="1:2" x14ac:dyDescent="0.2">
      <c r="A48" t="s">
        <v>119</v>
      </c>
      <c r="B48" s="1">
        <v>7.9</v>
      </c>
    </row>
    <row r="49" spans="1:2" x14ac:dyDescent="0.2">
      <c r="A49" t="s">
        <v>120</v>
      </c>
      <c r="B49" s="1">
        <v>6.8</v>
      </c>
    </row>
    <row r="50" spans="1:2" x14ac:dyDescent="0.2">
      <c r="A50" t="s">
        <v>121</v>
      </c>
      <c r="B50" s="1">
        <v>6.7</v>
      </c>
    </row>
    <row r="51" spans="1:2" x14ac:dyDescent="0.2">
      <c r="A51" t="s">
        <v>122</v>
      </c>
      <c r="B51" s="1">
        <v>6.7</v>
      </c>
    </row>
    <row r="52" spans="1:2" x14ac:dyDescent="0.2">
      <c r="A52" t="s">
        <v>123</v>
      </c>
      <c r="B52" s="1">
        <v>4.5999999999999996</v>
      </c>
    </row>
    <row r="53" spans="1:2" x14ac:dyDescent="0.2">
      <c r="A53" t="s">
        <v>124</v>
      </c>
      <c r="B53" s="1">
        <v>3.9</v>
      </c>
    </row>
    <row r="54" spans="1:2" x14ac:dyDescent="0.2">
      <c r="A54" t="s">
        <v>125</v>
      </c>
      <c r="B54" s="1">
        <v>4</v>
      </c>
    </row>
    <row r="55" spans="1:2" x14ac:dyDescent="0.2">
      <c r="A55" t="s">
        <v>126</v>
      </c>
      <c r="B55" s="1">
        <v>4</v>
      </c>
    </row>
    <row r="56" spans="1:2" x14ac:dyDescent="0.2">
      <c r="A56" t="s">
        <v>127</v>
      </c>
      <c r="B56" s="1">
        <v>3.4</v>
      </c>
    </row>
    <row r="57" spans="1:2" x14ac:dyDescent="0.2">
      <c r="A57" t="s">
        <v>128</v>
      </c>
      <c r="B57" s="1">
        <v>3.2</v>
      </c>
    </row>
    <row r="58" spans="1:2" x14ac:dyDescent="0.2">
      <c r="A58" t="s">
        <v>129</v>
      </c>
      <c r="B58" s="1">
        <v>2.2999999999999998</v>
      </c>
    </row>
    <row r="59" spans="1:2" x14ac:dyDescent="0.2">
      <c r="A59" t="s">
        <v>130</v>
      </c>
      <c r="B59" s="1">
        <v>2</v>
      </c>
    </row>
    <row r="60" spans="1:2" x14ac:dyDescent="0.2">
      <c r="A60" t="s">
        <v>131</v>
      </c>
      <c r="B60" s="1">
        <v>2</v>
      </c>
    </row>
    <row r="61" spans="1:2" x14ac:dyDescent="0.2">
      <c r="A61" t="s">
        <v>132</v>
      </c>
      <c r="B61" s="1">
        <v>2.2000000000000002</v>
      </c>
    </row>
    <row r="62" spans="1:2" x14ac:dyDescent="0.2">
      <c r="A62" t="s">
        <v>133</v>
      </c>
      <c r="B62" s="1">
        <v>2.2000000000000002</v>
      </c>
    </row>
    <row r="63" spans="1:2" x14ac:dyDescent="0.2">
      <c r="A63" t="s">
        <v>134</v>
      </c>
      <c r="B63" s="1">
        <v>1.7</v>
      </c>
    </row>
    <row r="64" spans="1:2" x14ac:dyDescent="0.2">
      <c r="A64" t="s">
        <v>135</v>
      </c>
      <c r="B64" s="1">
        <v>2.2999999999999998</v>
      </c>
    </row>
    <row r="65" spans="1:2" x14ac:dyDescent="0.2">
      <c r="A65" t="s">
        <v>136</v>
      </c>
      <c r="B65" s="1">
        <v>2.6</v>
      </c>
    </row>
    <row r="66" spans="1:2" x14ac:dyDescent="0.2">
      <c r="A66" t="s">
        <v>137</v>
      </c>
      <c r="B66" s="1">
        <v>2.5</v>
      </c>
    </row>
    <row r="67" spans="1:2" x14ac:dyDescent="0.2">
      <c r="A67" t="s">
        <v>138</v>
      </c>
      <c r="B67" s="1">
        <v>3</v>
      </c>
    </row>
    <row r="68" spans="1:2" x14ac:dyDescent="0.2">
      <c r="A68" t="s">
        <v>139</v>
      </c>
      <c r="B68" s="1">
        <v>2.8</v>
      </c>
    </row>
    <row r="69" spans="1:2" x14ac:dyDescent="0.2">
      <c r="A69" t="s">
        <v>140</v>
      </c>
      <c r="B69" s="1">
        <v>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Chart Data</vt:lpstr>
      <vt:lpstr>ONS</vt:lpstr>
      <vt:lpstr>HAVER</vt:lpstr>
      <vt:lpstr>Chart2</vt:lpstr>
      <vt:lpstr>_DLX1.INC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Goodwin</dc:creator>
  <cp:lastModifiedBy>Andrew Goodwin</cp:lastModifiedBy>
  <dcterms:created xsi:type="dcterms:W3CDTF">2025-04-30T14:09:37Z</dcterms:created>
  <dcterms:modified xsi:type="dcterms:W3CDTF">2025-04-30T16:28:28Z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1f5784-19ed-4d1e-9a93-4ea41014d730_Enabled">
    <vt:lpwstr>true</vt:lpwstr>
  </property>
  <property fmtid="{D5CDD505-2E9C-101B-9397-08002B2CF9AE}" pid="3" name="MSIP_Label_231f5784-19ed-4d1e-9a93-4ea41014d730_SetDate">
    <vt:lpwstr>2025-04-30T14:09:37Z</vt:lpwstr>
  </property>
  <property fmtid="{D5CDD505-2E9C-101B-9397-08002B2CF9AE}" pid="4" name="MSIP_Label_231f5784-19ed-4d1e-9a93-4ea41014d730_Method">
    <vt:lpwstr>Privileged</vt:lpwstr>
  </property>
  <property fmtid="{D5CDD505-2E9C-101B-9397-08002B2CF9AE}" pid="5" name="MSIP_Label_231f5784-19ed-4d1e-9a93-4ea41014d730_Name">
    <vt:lpwstr>External</vt:lpwstr>
  </property>
  <property fmtid="{D5CDD505-2E9C-101B-9397-08002B2CF9AE}" pid="6" name="MSIP_Label_231f5784-19ed-4d1e-9a93-4ea41014d730_SiteId">
    <vt:lpwstr>2c277f63-6743-4f98-ac15-4851e55c0cc7</vt:lpwstr>
  </property>
  <property fmtid="{D5CDD505-2E9C-101B-9397-08002B2CF9AE}" pid="7" name="MSIP_Label_231f5784-19ed-4d1e-9a93-4ea41014d730_ActionId">
    <vt:lpwstr>c9ed8679-c757-4495-9cc4-6affafe833bd</vt:lpwstr>
  </property>
  <property fmtid="{D5CDD505-2E9C-101B-9397-08002B2CF9AE}" pid="8" name="MSIP_Label_231f5784-19ed-4d1e-9a93-4ea41014d730_ContentBits">
    <vt:lpwstr>0</vt:lpwstr>
  </property>
</Properties>
</file>