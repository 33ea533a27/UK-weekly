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6AC4BC8C-F0A6-4D33-9D6A-737541ABA0C9}" xr6:coauthVersionLast="47" xr6:coauthVersionMax="47" xr10:uidLastSave="{00000000-0000-0000-0000-000000000000}"/>
  <bookViews>
    <workbookView xWindow="-28920" yWindow="-120" windowWidth="19440" windowHeight="10320" xr2:uid="{953F9223-5CC7-4E6D-B31A-D9CC9D92A355}"/>
  </bookViews>
  <sheets>
    <sheet name="Chart1" sheetId="3" r:id="rId1"/>
    <sheet name="Chart Data" sheetId="2" r:id="rId2"/>
    <sheet name="HAVER" sheetId="1" r:id="rId3"/>
  </sheets>
  <definedNames>
    <definedName name="_DLX1.INC">HAVER!$A$1:$J$6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2" l="1"/>
  <c r="C61" i="2"/>
  <c r="F61" i="2"/>
  <c r="G61" i="2"/>
  <c r="B137" i="1"/>
  <c r="B30" i="2" l="1"/>
  <c r="C31" i="2"/>
  <c r="B34" i="2"/>
  <c r="C43" i="2"/>
  <c r="B50" i="2"/>
  <c r="C59" i="2"/>
  <c r="F3" i="2"/>
  <c r="B3" i="2" s="1"/>
  <c r="G3" i="2"/>
  <c r="C3" i="2" s="1"/>
  <c r="F4" i="2"/>
  <c r="B4" i="2" s="1"/>
  <c r="G4" i="2"/>
  <c r="C4" i="2" s="1"/>
  <c r="F5" i="2"/>
  <c r="B5" i="2" s="1"/>
  <c r="G5" i="2"/>
  <c r="C5" i="2" s="1"/>
  <c r="F6" i="2"/>
  <c r="B6" i="2" s="1"/>
  <c r="G6" i="2"/>
  <c r="C6" i="2" s="1"/>
  <c r="F7" i="2"/>
  <c r="B7" i="2" s="1"/>
  <c r="G7" i="2"/>
  <c r="C7" i="2" s="1"/>
  <c r="F8" i="2"/>
  <c r="B8" i="2" s="1"/>
  <c r="G8" i="2"/>
  <c r="C8" i="2" s="1"/>
  <c r="F9" i="2"/>
  <c r="B9" i="2" s="1"/>
  <c r="G9" i="2"/>
  <c r="C9" i="2" s="1"/>
  <c r="F10" i="2"/>
  <c r="B10" i="2" s="1"/>
  <c r="G10" i="2"/>
  <c r="C10" i="2" s="1"/>
  <c r="F11" i="2"/>
  <c r="B11" i="2" s="1"/>
  <c r="G11" i="2"/>
  <c r="C11" i="2" s="1"/>
  <c r="F12" i="2"/>
  <c r="B12" i="2" s="1"/>
  <c r="G12" i="2"/>
  <c r="C12" i="2" s="1"/>
  <c r="F13" i="2"/>
  <c r="B13" i="2" s="1"/>
  <c r="G13" i="2"/>
  <c r="C13" i="2" s="1"/>
  <c r="F14" i="2"/>
  <c r="B14" i="2" s="1"/>
  <c r="G14" i="2"/>
  <c r="C14" i="2" s="1"/>
  <c r="F15" i="2"/>
  <c r="B15" i="2" s="1"/>
  <c r="G15" i="2"/>
  <c r="C15" i="2" s="1"/>
  <c r="F16" i="2"/>
  <c r="B16" i="2" s="1"/>
  <c r="G16" i="2"/>
  <c r="C16" i="2" s="1"/>
  <c r="F17" i="2"/>
  <c r="B17" i="2" s="1"/>
  <c r="G17" i="2"/>
  <c r="C17" i="2" s="1"/>
  <c r="F18" i="2"/>
  <c r="B18" i="2" s="1"/>
  <c r="G18" i="2"/>
  <c r="C18" i="2" s="1"/>
  <c r="F19" i="2"/>
  <c r="B19" i="2" s="1"/>
  <c r="G19" i="2"/>
  <c r="C19" i="2" s="1"/>
  <c r="F20" i="2"/>
  <c r="B20" i="2" s="1"/>
  <c r="G20" i="2"/>
  <c r="C20" i="2" s="1"/>
  <c r="F21" i="2"/>
  <c r="B21" i="2" s="1"/>
  <c r="G21" i="2"/>
  <c r="C21" i="2" s="1"/>
  <c r="F22" i="2"/>
  <c r="B22" i="2" s="1"/>
  <c r="G22" i="2"/>
  <c r="C22" i="2" s="1"/>
  <c r="F23" i="2"/>
  <c r="B23" i="2" s="1"/>
  <c r="G23" i="2"/>
  <c r="C23" i="2" s="1"/>
  <c r="F24" i="2"/>
  <c r="B24" i="2" s="1"/>
  <c r="G24" i="2"/>
  <c r="C24" i="2" s="1"/>
  <c r="F25" i="2"/>
  <c r="B25" i="2" s="1"/>
  <c r="G25" i="2"/>
  <c r="C25" i="2" s="1"/>
  <c r="F26" i="2"/>
  <c r="B26" i="2" s="1"/>
  <c r="G26" i="2"/>
  <c r="C26" i="2" s="1"/>
  <c r="F27" i="2"/>
  <c r="B27" i="2" s="1"/>
  <c r="G27" i="2"/>
  <c r="C27" i="2" s="1"/>
  <c r="F28" i="2"/>
  <c r="B28" i="2" s="1"/>
  <c r="G28" i="2"/>
  <c r="C28" i="2" s="1"/>
  <c r="F29" i="2"/>
  <c r="B29" i="2" s="1"/>
  <c r="G29" i="2"/>
  <c r="C29" i="2" s="1"/>
  <c r="F30" i="2"/>
  <c r="G30" i="2"/>
  <c r="C30" i="2" s="1"/>
  <c r="G31" i="2"/>
  <c r="F31" i="2"/>
  <c r="B31" i="2" s="1"/>
  <c r="F32" i="2"/>
  <c r="B32" i="2" s="1"/>
  <c r="G32" i="2"/>
  <c r="C32" i="2" s="1"/>
  <c r="F33" i="2"/>
  <c r="B33" i="2" s="1"/>
  <c r="G33" i="2"/>
  <c r="C33" i="2" s="1"/>
  <c r="F34" i="2"/>
  <c r="G34" i="2"/>
  <c r="C34" i="2" s="1"/>
  <c r="F35" i="2"/>
  <c r="B35" i="2" s="1"/>
  <c r="G35" i="2"/>
  <c r="C35" i="2" s="1"/>
  <c r="F36" i="2"/>
  <c r="B36" i="2" s="1"/>
  <c r="G36" i="2"/>
  <c r="C36" i="2" s="1"/>
  <c r="F37" i="2"/>
  <c r="B37" i="2" s="1"/>
  <c r="G37" i="2"/>
  <c r="C37" i="2" s="1"/>
  <c r="F38" i="2"/>
  <c r="B38" i="2" s="1"/>
  <c r="G38" i="2"/>
  <c r="C38" i="2" s="1"/>
  <c r="F39" i="2"/>
  <c r="B39" i="2" s="1"/>
  <c r="G39" i="2"/>
  <c r="C39" i="2" s="1"/>
  <c r="F40" i="2"/>
  <c r="B40" i="2" s="1"/>
  <c r="G40" i="2"/>
  <c r="C40" i="2" s="1"/>
  <c r="F41" i="2"/>
  <c r="B41" i="2" s="1"/>
  <c r="G41" i="2"/>
  <c r="C41" i="2" s="1"/>
  <c r="F42" i="2"/>
  <c r="B42" i="2" s="1"/>
  <c r="G42" i="2"/>
  <c r="C42" i="2" s="1"/>
  <c r="F43" i="2"/>
  <c r="B43" i="2" s="1"/>
  <c r="G43" i="2"/>
  <c r="F44" i="2"/>
  <c r="B44" i="2" s="1"/>
  <c r="G44" i="2"/>
  <c r="C44" i="2" s="1"/>
  <c r="F45" i="2"/>
  <c r="B45" i="2" s="1"/>
  <c r="G45" i="2"/>
  <c r="C45" i="2" s="1"/>
  <c r="F46" i="2"/>
  <c r="B46" i="2" s="1"/>
  <c r="G46" i="2"/>
  <c r="C46" i="2" s="1"/>
  <c r="F47" i="2"/>
  <c r="B47" i="2" s="1"/>
  <c r="G47" i="2"/>
  <c r="C47" i="2" s="1"/>
  <c r="F48" i="2"/>
  <c r="B48" i="2" s="1"/>
  <c r="G48" i="2"/>
  <c r="C48" i="2" s="1"/>
  <c r="F49" i="2"/>
  <c r="B49" i="2" s="1"/>
  <c r="G49" i="2"/>
  <c r="C49" i="2" s="1"/>
  <c r="F50" i="2"/>
  <c r="G50" i="2"/>
  <c r="C50" i="2" s="1"/>
  <c r="F51" i="2"/>
  <c r="B51" i="2" s="1"/>
  <c r="G51" i="2"/>
  <c r="C51" i="2" s="1"/>
  <c r="F52" i="2"/>
  <c r="B52" i="2" s="1"/>
  <c r="G52" i="2"/>
  <c r="C52" i="2" s="1"/>
  <c r="F53" i="2"/>
  <c r="B53" i="2" s="1"/>
  <c r="G53" i="2"/>
  <c r="C53" i="2" s="1"/>
  <c r="F54" i="2"/>
  <c r="B54" i="2" s="1"/>
  <c r="G54" i="2"/>
  <c r="C54" i="2" s="1"/>
  <c r="F55" i="2"/>
  <c r="B55" i="2" s="1"/>
  <c r="G55" i="2"/>
  <c r="C55" i="2" s="1"/>
  <c r="F56" i="2"/>
  <c r="B56" i="2" s="1"/>
  <c r="G56" i="2"/>
  <c r="C56" i="2" s="1"/>
  <c r="F57" i="2"/>
  <c r="B57" i="2" s="1"/>
  <c r="G57" i="2"/>
  <c r="C57" i="2" s="1"/>
  <c r="F58" i="2"/>
  <c r="B58" i="2" s="1"/>
  <c r="G58" i="2"/>
  <c r="C58" i="2" s="1"/>
  <c r="F59" i="2"/>
  <c r="B59" i="2" s="1"/>
  <c r="G59" i="2"/>
  <c r="G60" i="2"/>
  <c r="C60" i="2" s="1"/>
  <c r="B136" i="1"/>
  <c r="F60" i="2" s="1"/>
  <c r="B60" i="2" s="1"/>
  <c r="A9" i="2"/>
  <c r="A14" i="2" s="1"/>
  <c r="A19" i="2" s="1"/>
  <c r="A24" i="2" s="1"/>
  <c r="A29" i="2" s="1"/>
  <c r="A34" i="2" s="1"/>
  <c r="A39" i="2" s="1"/>
  <c r="A44" i="2" s="1"/>
  <c r="A49" i="2" s="1"/>
  <c r="A54" i="2" s="1"/>
  <c r="A59" i="2" s="1"/>
  <c r="A10" i="2"/>
  <c r="A15" i="2" s="1"/>
  <c r="A20" i="2" s="1"/>
  <c r="A25" i="2" s="1"/>
  <c r="A30" i="2" s="1"/>
  <c r="A35" i="2" s="1"/>
  <c r="A40" i="2" s="1"/>
  <c r="A45" i="2" s="1"/>
  <c r="A50" i="2" s="1"/>
  <c r="A55" i="2" s="1"/>
  <c r="A60" i="2" s="1"/>
  <c r="A11" i="2"/>
  <c r="A16" i="2" s="1"/>
  <c r="A21" i="2" s="1"/>
  <c r="A26" i="2" s="1"/>
  <c r="A31" i="2" s="1"/>
  <c r="A36" i="2" s="1"/>
  <c r="A41" i="2" s="1"/>
  <c r="A46" i="2" s="1"/>
  <c r="A51" i="2" s="1"/>
  <c r="A56" i="2" s="1"/>
  <c r="A61" i="2" s="1"/>
  <c r="A12" i="2"/>
  <c r="A17" i="2"/>
  <c r="A22" i="2" s="1"/>
  <c r="A27" i="2" s="1"/>
  <c r="A32" i="2" s="1"/>
  <c r="A37" i="2" s="1"/>
  <c r="A42" i="2" s="1"/>
  <c r="A47" i="2" s="1"/>
  <c r="A52" i="2" s="1"/>
  <c r="A57" i="2" s="1"/>
  <c r="A62" i="2" s="1"/>
  <c r="A8" i="2"/>
  <c r="A13" i="2" s="1"/>
  <c r="A18" i="2" s="1"/>
  <c r="A23" i="2" s="1"/>
  <c r="A28" i="2" s="1"/>
  <c r="A33" i="2" s="1"/>
  <c r="A38" i="2" s="1"/>
  <c r="A43" i="2" s="1"/>
  <c r="A48" i="2" s="1"/>
  <c r="A53" i="2" s="1"/>
  <c r="A58" i="2" s="1"/>
</calcChain>
</file>

<file path=xl/sharedStrings.xml><?xml version="1.0" encoding="utf-8"?>
<sst xmlns="http://schemas.openxmlformats.org/spreadsheetml/2006/main" count="173" uniqueCount="159">
  <si>
    <t>R112LOS@INTDAILY</t>
  </si>
  <si>
    <t>M112MOT@INTDAILY</t>
  </si>
  <si>
    <t>M112MTH@INTDAILY</t>
  </si>
  <si>
    <t>M112MHF@INTDAILY</t>
  </si>
  <si>
    <t>M112MHV@INTDAILY</t>
  </si>
  <si>
    <t>20250501 !D</t>
  </si>
  <si>
    <t>20250501</t>
  </si>
  <si>
    <t>.DTLM</t>
  </si>
  <si>
    <t>.LSOURCE</t>
  </si>
  <si>
    <t>.TN</t>
  </si>
  <si>
    <t>.T1</t>
  </si>
  <si>
    <t>.DESC</t>
  </si>
  <si>
    <t>Oct-30-2025 09:30</t>
  </si>
  <si>
    <t>Bank of England</t>
  </si>
  <si>
    <t>28-Oct-2025</t>
  </si>
  <si>
    <t>02-Jan-1997</t>
  </si>
  <si>
    <t>UK:Lending Rate: Sterling Overnight Interbank Average [SONIA]  (% pa)</t>
  </si>
  <si>
    <t>Tullett Prebon Information/Haver Analytics</t>
  </si>
  <si>
    <t>16-May-2007</t>
  </si>
  <si>
    <t>UK: Forward OIS: MPC Mtg Date # 1 vs MPC Mtg Date # 2: Mid Rate (% p.a.)</t>
  </si>
  <si>
    <t>UK: Forward OIS: MPC Mtg Date # 2 vs MPC Mtg Date # 3: Mid Rate (% p.a.)</t>
  </si>
  <si>
    <t>UK: Forward OIS: MPC Mtg Date # 3 vs MPC Mtg Date # 4: Mid Rate (% p.a.)</t>
  </si>
  <si>
    <t>UK: Forward OIS: MPC Mtg Date # 4 vs MPC Mtg Date # 5: Mid Rate (% p.a.)</t>
  </si>
  <si>
    <t>20250502</t>
  </si>
  <si>
    <t>20250505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</si>
  <si>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</si>
  <si>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</si>
  <si>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</si>
  <si>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</si>
  <si>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</si>
  <si>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</si>
  <si>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</si>
  <si>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</si>
  <si>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</si>
  <si>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</si>
  <si>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</si>
  <si>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</si>
  <si>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</si>
  <si>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</si>
  <si>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</si>
  <si>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</si>
  <si>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</si>
  <si>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</si>
  <si>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</si>
  <si>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20250602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</si>
  <si>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</si>
  <si>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</si>
  <si>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</si>
  <si>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</si>
  <si>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</si>
  <si>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</si>
  <si>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</si>
  <si>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</si>
  <si>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</si>
  <si>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</si>
  <si>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</si>
  <si>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</si>
  <si>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</si>
  <si>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</si>
  <si>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</si>
  <si>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</si>
  <si>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</si>
  <si>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</si>
  <si>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</si>
  <si>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</si>
  <si>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</si>
  <si>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</si>
  <si>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</si>
  <si>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</si>
  <si>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</si>
  <si>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</si>
  <si>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</si>
  <si>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</si>
  <si>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</si>
  <si>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</si>
  <si>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</si>
  <si>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</si>
  <si>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</si>
  <si>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</si>
  <si>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</si>
  <si>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</si>
  <si>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</si>
  <si>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</si>
  <si>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</si>
  <si>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</si>
  <si>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</si>
  <si>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</si>
  <si>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</si>
  <si>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</si>
  <si>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</si>
  <si>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</si>
  <si>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</si>
  <si>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</si>
  <si>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</si>
  <si>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</si>
  <si>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</si>
  <si>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</si>
  <si>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</si>
  <si>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</si>
  <si>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</si>
  <si>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</si>
  <si>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</si>
  <si>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</si>
  <si>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</si>
  <si>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</si>
  <si>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</si>
  <si>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</si>
  <si>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</si>
  <si>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</si>
  <si>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</si>
  <si>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</si>
  <si>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</si>
  <si>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</si>
  <si>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</si>
  <si>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</si>
  <si>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</si>
  <si>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</si>
  <si>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</si>
  <si>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</si>
  <si>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</si>
  <si>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</si>
  <si>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</si>
  <si>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</si>
  <si>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</si>
  <si>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20250922</t>
  </si>
  <si>
    <t>20250923</t>
  </si>
  <si>
    <t>20250924</t>
  </si>
  <si>
    <t>20250925</t>
  </si>
  <si>
    <t>20250926</t>
  </si>
  <si>
    <t>20250929</t>
  </si>
  <si>
    <t>20250930</t>
  </si>
  <si>
    <t>20251001</t>
  </si>
  <si>
    <t>20251002</t>
  </si>
  <si>
    <t>20251003</t>
  </si>
  <si>
    <t>20251006</t>
  </si>
  <si>
    <t>20251007</t>
  </si>
  <si>
    <t>20251008</t>
  </si>
  <si>
    <t>20251009</t>
  </si>
  <si>
    <t>20251010</t>
  </si>
  <si>
    <t>20251013</t>
  </si>
  <si>
    <t>20251014</t>
  </si>
  <si>
    <t>20251015</t>
  </si>
  <si>
    <t>20251016</t>
  </si>
  <si>
    <t>20251017</t>
  </si>
  <si>
    <t>20251020</t>
  </si>
  <si>
    <t>20251021</t>
  </si>
  <si>
    <t>20251022</t>
  </si>
  <si>
    <t>20251023</t>
  </si>
  <si>
    <t>20251024</t>
  </si>
  <si>
    <t>20251027</t>
  </si>
  <si>
    <t>20251028</t>
  </si>
  <si>
    <t>20251029</t>
  </si>
  <si>
    <t>Implied probability of rate cut by meeting</t>
  </si>
  <si>
    <t>November</t>
  </si>
  <si>
    <t>December</t>
  </si>
  <si>
    <t>Change compared with today</t>
  </si>
  <si>
    <t>Oct-30-2025 18:23</t>
  </si>
  <si>
    <t>30-Oct-2025</t>
  </si>
  <si>
    <t>20251030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</si>
</sst>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84694618029406E-2"/>
          <c:y val="0.14723135453006744"/>
          <c:w val="0.86383213185598318"/>
          <c:h val="0.7130633665862997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November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Data'!$A$3:$A$62</c:f>
              <c:numCache>
                <c:formatCode>m/d/yyyy</c:formatCode>
                <c:ptCount val="60"/>
                <c:pt idx="0">
                  <c:v>45880</c:v>
                </c:pt>
                <c:pt idx="1">
                  <c:v>45881</c:v>
                </c:pt>
                <c:pt idx="2">
                  <c:v>45882</c:v>
                </c:pt>
                <c:pt idx="3">
                  <c:v>45883</c:v>
                </c:pt>
                <c:pt idx="4">
                  <c:v>45884</c:v>
                </c:pt>
                <c:pt idx="5">
                  <c:v>45887</c:v>
                </c:pt>
                <c:pt idx="6">
                  <c:v>45888</c:v>
                </c:pt>
                <c:pt idx="7">
                  <c:v>45889</c:v>
                </c:pt>
                <c:pt idx="8">
                  <c:v>45890</c:v>
                </c:pt>
                <c:pt idx="9">
                  <c:v>45891</c:v>
                </c:pt>
                <c:pt idx="10">
                  <c:v>45894</c:v>
                </c:pt>
                <c:pt idx="11">
                  <c:v>45895</c:v>
                </c:pt>
                <c:pt idx="12">
                  <c:v>45896</c:v>
                </c:pt>
                <c:pt idx="13">
                  <c:v>45897</c:v>
                </c:pt>
                <c:pt idx="14">
                  <c:v>45898</c:v>
                </c:pt>
                <c:pt idx="15">
                  <c:v>45901</c:v>
                </c:pt>
                <c:pt idx="16">
                  <c:v>45902</c:v>
                </c:pt>
                <c:pt idx="17">
                  <c:v>45903</c:v>
                </c:pt>
                <c:pt idx="18">
                  <c:v>45904</c:v>
                </c:pt>
                <c:pt idx="19">
                  <c:v>45905</c:v>
                </c:pt>
                <c:pt idx="20">
                  <c:v>45908</c:v>
                </c:pt>
                <c:pt idx="21">
                  <c:v>45909</c:v>
                </c:pt>
                <c:pt idx="22">
                  <c:v>45910</c:v>
                </c:pt>
                <c:pt idx="23">
                  <c:v>45911</c:v>
                </c:pt>
                <c:pt idx="24">
                  <c:v>45912</c:v>
                </c:pt>
                <c:pt idx="25">
                  <c:v>45915</c:v>
                </c:pt>
                <c:pt idx="26">
                  <c:v>45916</c:v>
                </c:pt>
                <c:pt idx="27">
                  <c:v>45917</c:v>
                </c:pt>
                <c:pt idx="28">
                  <c:v>45918</c:v>
                </c:pt>
                <c:pt idx="29">
                  <c:v>45919</c:v>
                </c:pt>
                <c:pt idx="30">
                  <c:v>45922</c:v>
                </c:pt>
                <c:pt idx="31">
                  <c:v>45923</c:v>
                </c:pt>
                <c:pt idx="32">
                  <c:v>45924</c:v>
                </c:pt>
                <c:pt idx="33">
                  <c:v>45925</c:v>
                </c:pt>
                <c:pt idx="34">
                  <c:v>45926</c:v>
                </c:pt>
                <c:pt idx="35">
                  <c:v>45929</c:v>
                </c:pt>
                <c:pt idx="36">
                  <c:v>45930</c:v>
                </c:pt>
                <c:pt idx="37">
                  <c:v>45931</c:v>
                </c:pt>
                <c:pt idx="38">
                  <c:v>45932</c:v>
                </c:pt>
                <c:pt idx="39">
                  <c:v>45933</c:v>
                </c:pt>
                <c:pt idx="40">
                  <c:v>45936</c:v>
                </c:pt>
                <c:pt idx="41">
                  <c:v>45937</c:v>
                </c:pt>
                <c:pt idx="42">
                  <c:v>45938</c:v>
                </c:pt>
                <c:pt idx="43">
                  <c:v>45939</c:v>
                </c:pt>
                <c:pt idx="44">
                  <c:v>45940</c:v>
                </c:pt>
                <c:pt idx="45">
                  <c:v>45943</c:v>
                </c:pt>
                <c:pt idx="46">
                  <c:v>45944</c:v>
                </c:pt>
                <c:pt idx="47">
                  <c:v>45945</c:v>
                </c:pt>
                <c:pt idx="48">
                  <c:v>45946</c:v>
                </c:pt>
                <c:pt idx="49">
                  <c:v>45947</c:v>
                </c:pt>
                <c:pt idx="50">
                  <c:v>45950</c:v>
                </c:pt>
                <c:pt idx="51">
                  <c:v>45951</c:v>
                </c:pt>
                <c:pt idx="52">
                  <c:v>45952</c:v>
                </c:pt>
                <c:pt idx="53">
                  <c:v>45953</c:v>
                </c:pt>
                <c:pt idx="54">
                  <c:v>45954</c:v>
                </c:pt>
                <c:pt idx="55">
                  <c:v>45957</c:v>
                </c:pt>
                <c:pt idx="56">
                  <c:v>45958</c:v>
                </c:pt>
                <c:pt idx="57">
                  <c:v>45959</c:v>
                </c:pt>
                <c:pt idx="58">
                  <c:v>45960</c:v>
                </c:pt>
                <c:pt idx="59">
                  <c:v>45961</c:v>
                </c:pt>
              </c:numCache>
            </c:numRef>
          </c:cat>
          <c:val>
            <c:numRef>
              <c:f>'Chart Data'!$B$3:$B$62</c:f>
              <c:numCache>
                <c:formatCode>0%</c:formatCode>
                <c:ptCount val="60"/>
                <c:pt idx="0">
                  <c:v>0.48359999999999914</c:v>
                </c:pt>
                <c:pt idx="1">
                  <c:v>0.41200000000000081</c:v>
                </c:pt>
                <c:pt idx="2">
                  <c:v>0.39680000000000071</c:v>
                </c:pt>
                <c:pt idx="3">
                  <c:v>0.33760000000000012</c:v>
                </c:pt>
                <c:pt idx="4">
                  <c:v>0.3083999999999989</c:v>
                </c:pt>
                <c:pt idx="5">
                  <c:v>0.28759999999999941</c:v>
                </c:pt>
                <c:pt idx="6">
                  <c:v>0.29640000000000022</c:v>
                </c:pt>
                <c:pt idx="7">
                  <c:v>0.27719999999999878</c:v>
                </c:pt>
                <c:pt idx="8">
                  <c:v>0.1899999999999995</c:v>
                </c:pt>
                <c:pt idx="9">
                  <c:v>0.21239999999999881</c:v>
                </c:pt>
                <c:pt idx="10">
                  <c:v>#N/A</c:v>
                </c:pt>
                <c:pt idx="11">
                  <c:v>0.19759999999999955</c:v>
                </c:pt>
                <c:pt idx="12">
                  <c:v>0.17399999999999949</c:v>
                </c:pt>
                <c:pt idx="13">
                  <c:v>0.17399999999999949</c:v>
                </c:pt>
                <c:pt idx="14">
                  <c:v>0.15399999999999991</c:v>
                </c:pt>
                <c:pt idx="15">
                  <c:v>0.16760000000000019</c:v>
                </c:pt>
                <c:pt idx="16">
                  <c:v>0.1595999999999993</c:v>
                </c:pt>
                <c:pt idx="17">
                  <c:v>0.1720000000000006</c:v>
                </c:pt>
                <c:pt idx="18">
                  <c:v>0.16039999999999921</c:v>
                </c:pt>
                <c:pt idx="19">
                  <c:v>0.19960000000000022</c:v>
                </c:pt>
                <c:pt idx="20">
                  <c:v>0.20400000000000063</c:v>
                </c:pt>
                <c:pt idx="21">
                  <c:v>0.20400000000000063</c:v>
                </c:pt>
                <c:pt idx="22">
                  <c:v>0.18800000000000061</c:v>
                </c:pt>
                <c:pt idx="23">
                  <c:v>0.18800000000000061</c:v>
                </c:pt>
                <c:pt idx="24">
                  <c:v>0.10880000000000045</c:v>
                </c:pt>
                <c:pt idx="25">
                  <c:v>0.15440000000000076</c:v>
                </c:pt>
                <c:pt idx="26">
                  <c:v>0.14519999999999911</c:v>
                </c:pt>
                <c:pt idx="27">
                  <c:v>0.1056000000000008</c:v>
                </c:pt>
                <c:pt idx="28">
                  <c:v>9.360000000000035E-2</c:v>
                </c:pt>
                <c:pt idx="29">
                  <c:v>5.3199999999998582E-2</c:v>
                </c:pt>
                <c:pt idx="30">
                  <c:v>5.239999999999867E-2</c:v>
                </c:pt>
                <c:pt idx="31">
                  <c:v>6.7199999999999704E-2</c:v>
                </c:pt>
                <c:pt idx="32">
                  <c:v>6.679999999999886E-2</c:v>
                </c:pt>
                <c:pt idx="33">
                  <c:v>4.5999999999999375E-2</c:v>
                </c:pt>
                <c:pt idx="34">
                  <c:v>3.1599999999999184E-2</c:v>
                </c:pt>
                <c:pt idx="35">
                  <c:v>3.0799999999999272E-2</c:v>
                </c:pt>
                <c:pt idx="36">
                  <c:v>4.839999999999911E-2</c:v>
                </c:pt>
                <c:pt idx="37">
                  <c:v>5.7600000000000762E-2</c:v>
                </c:pt>
                <c:pt idx="38">
                  <c:v>2.1599999999999397E-2</c:v>
                </c:pt>
                <c:pt idx="39">
                  <c:v>2.4800000000000821E-2</c:v>
                </c:pt>
                <c:pt idx="40">
                  <c:v>2.9600000000000293E-2</c:v>
                </c:pt>
                <c:pt idx="41">
                  <c:v>2.6400000000000645E-2</c:v>
                </c:pt>
                <c:pt idx="42">
                  <c:v>3.4799999999998832E-2</c:v>
                </c:pt>
                <c:pt idx="43">
                  <c:v>2.7200000000000557E-2</c:v>
                </c:pt>
                <c:pt idx="44">
                  <c:v>2.3199999999999221E-2</c:v>
                </c:pt>
                <c:pt idx="45">
                  <c:v>4.4800000000000395E-2</c:v>
                </c:pt>
                <c:pt idx="46">
                  <c:v>9.7599999999999909E-2</c:v>
                </c:pt>
                <c:pt idx="47">
                  <c:v>8.8400000000000034E-2</c:v>
                </c:pt>
                <c:pt idx="48">
                  <c:v>9.0400000000000702E-2</c:v>
                </c:pt>
                <c:pt idx="49">
                  <c:v>8.8799999999999102E-2</c:v>
                </c:pt>
                <c:pt idx="50">
                  <c:v>0.10880000000000045</c:v>
                </c:pt>
                <c:pt idx="51">
                  <c:v>0.10319999999999929</c:v>
                </c:pt>
                <c:pt idx="52">
                  <c:v>0.35480000000000089</c:v>
                </c:pt>
                <c:pt idx="53">
                  <c:v>0.30840000000000067</c:v>
                </c:pt>
                <c:pt idx="54">
                  <c:v>0.20439999999999969</c:v>
                </c:pt>
                <c:pt idx="55">
                  <c:v>0.22119999999999962</c:v>
                </c:pt>
                <c:pt idx="56">
                  <c:v>0.27759999999999962</c:v>
                </c:pt>
                <c:pt idx="57">
                  <c:v>0.25359999999999872</c:v>
                </c:pt>
                <c:pt idx="58">
                  <c:v>0.22959999999999958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December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Data'!$A$3:$A$62</c:f>
              <c:numCache>
                <c:formatCode>m/d/yyyy</c:formatCode>
                <c:ptCount val="60"/>
                <c:pt idx="0">
                  <c:v>45880</c:v>
                </c:pt>
                <c:pt idx="1">
                  <c:v>45881</c:v>
                </c:pt>
                <c:pt idx="2">
                  <c:v>45882</c:v>
                </c:pt>
                <c:pt idx="3">
                  <c:v>45883</c:v>
                </c:pt>
                <c:pt idx="4">
                  <c:v>45884</c:v>
                </c:pt>
                <c:pt idx="5">
                  <c:v>45887</c:v>
                </c:pt>
                <c:pt idx="6">
                  <c:v>45888</c:v>
                </c:pt>
                <c:pt idx="7">
                  <c:v>45889</c:v>
                </c:pt>
                <c:pt idx="8">
                  <c:v>45890</c:v>
                </c:pt>
                <c:pt idx="9">
                  <c:v>45891</c:v>
                </c:pt>
                <c:pt idx="10">
                  <c:v>45894</c:v>
                </c:pt>
                <c:pt idx="11">
                  <c:v>45895</c:v>
                </c:pt>
                <c:pt idx="12">
                  <c:v>45896</c:v>
                </c:pt>
                <c:pt idx="13">
                  <c:v>45897</c:v>
                </c:pt>
                <c:pt idx="14">
                  <c:v>45898</c:v>
                </c:pt>
                <c:pt idx="15">
                  <c:v>45901</c:v>
                </c:pt>
                <c:pt idx="16">
                  <c:v>45902</c:v>
                </c:pt>
                <c:pt idx="17">
                  <c:v>45903</c:v>
                </c:pt>
                <c:pt idx="18">
                  <c:v>45904</c:v>
                </c:pt>
                <c:pt idx="19">
                  <c:v>45905</c:v>
                </c:pt>
                <c:pt idx="20">
                  <c:v>45908</c:v>
                </c:pt>
                <c:pt idx="21">
                  <c:v>45909</c:v>
                </c:pt>
                <c:pt idx="22">
                  <c:v>45910</c:v>
                </c:pt>
                <c:pt idx="23">
                  <c:v>45911</c:v>
                </c:pt>
                <c:pt idx="24">
                  <c:v>45912</c:v>
                </c:pt>
                <c:pt idx="25">
                  <c:v>45915</c:v>
                </c:pt>
                <c:pt idx="26">
                  <c:v>45916</c:v>
                </c:pt>
                <c:pt idx="27">
                  <c:v>45917</c:v>
                </c:pt>
                <c:pt idx="28">
                  <c:v>45918</c:v>
                </c:pt>
                <c:pt idx="29">
                  <c:v>45919</c:v>
                </c:pt>
                <c:pt idx="30">
                  <c:v>45922</c:v>
                </c:pt>
                <c:pt idx="31">
                  <c:v>45923</c:v>
                </c:pt>
                <c:pt idx="32">
                  <c:v>45924</c:v>
                </c:pt>
                <c:pt idx="33">
                  <c:v>45925</c:v>
                </c:pt>
                <c:pt idx="34">
                  <c:v>45926</c:v>
                </c:pt>
                <c:pt idx="35">
                  <c:v>45929</c:v>
                </c:pt>
                <c:pt idx="36">
                  <c:v>45930</c:v>
                </c:pt>
                <c:pt idx="37">
                  <c:v>45931</c:v>
                </c:pt>
                <c:pt idx="38">
                  <c:v>45932</c:v>
                </c:pt>
                <c:pt idx="39">
                  <c:v>45933</c:v>
                </c:pt>
                <c:pt idx="40">
                  <c:v>45936</c:v>
                </c:pt>
                <c:pt idx="41">
                  <c:v>45937</c:v>
                </c:pt>
                <c:pt idx="42">
                  <c:v>45938</c:v>
                </c:pt>
                <c:pt idx="43">
                  <c:v>45939</c:v>
                </c:pt>
                <c:pt idx="44">
                  <c:v>45940</c:v>
                </c:pt>
                <c:pt idx="45">
                  <c:v>45943</c:v>
                </c:pt>
                <c:pt idx="46">
                  <c:v>45944</c:v>
                </c:pt>
                <c:pt idx="47">
                  <c:v>45945</c:v>
                </c:pt>
                <c:pt idx="48">
                  <c:v>45946</c:v>
                </c:pt>
                <c:pt idx="49">
                  <c:v>45947</c:v>
                </c:pt>
                <c:pt idx="50">
                  <c:v>45950</c:v>
                </c:pt>
                <c:pt idx="51">
                  <c:v>45951</c:v>
                </c:pt>
                <c:pt idx="52">
                  <c:v>45952</c:v>
                </c:pt>
                <c:pt idx="53">
                  <c:v>45953</c:v>
                </c:pt>
                <c:pt idx="54">
                  <c:v>45954</c:v>
                </c:pt>
                <c:pt idx="55">
                  <c:v>45957</c:v>
                </c:pt>
                <c:pt idx="56">
                  <c:v>45958</c:v>
                </c:pt>
                <c:pt idx="57">
                  <c:v>45959</c:v>
                </c:pt>
                <c:pt idx="58">
                  <c:v>45960</c:v>
                </c:pt>
                <c:pt idx="59">
                  <c:v>45961</c:v>
                </c:pt>
              </c:numCache>
            </c:numRef>
          </c:cat>
          <c:val>
            <c:numRef>
              <c:f>'Chart Data'!$C$3:$C$62</c:f>
              <c:numCache>
                <c:formatCode>0%</c:formatCode>
                <c:ptCount val="60"/>
                <c:pt idx="0">
                  <c:v>0.73959999999999937</c:v>
                </c:pt>
                <c:pt idx="1">
                  <c:v>0.64000000000000057</c:v>
                </c:pt>
                <c:pt idx="2">
                  <c:v>0.64480000000000004</c:v>
                </c:pt>
                <c:pt idx="3">
                  <c:v>0.56959999999999944</c:v>
                </c:pt>
                <c:pt idx="4">
                  <c:v>0.52439999999999998</c:v>
                </c:pt>
                <c:pt idx="5">
                  <c:v>0.49160000000000004</c:v>
                </c:pt>
                <c:pt idx="6">
                  <c:v>0.46839999999999904</c:v>
                </c:pt>
                <c:pt idx="7">
                  <c:v>0.48519999999999897</c:v>
                </c:pt>
                <c:pt idx="8">
                  <c:v>0.36599999999999966</c:v>
                </c:pt>
                <c:pt idx="9">
                  <c:v>0.40439999999999898</c:v>
                </c:pt>
                <c:pt idx="10">
                  <c:v>#N/A</c:v>
                </c:pt>
                <c:pt idx="11">
                  <c:v>0.38959999999999972</c:v>
                </c:pt>
                <c:pt idx="12">
                  <c:v>0.3539999999999992</c:v>
                </c:pt>
                <c:pt idx="13">
                  <c:v>0.38199999999999967</c:v>
                </c:pt>
                <c:pt idx="14">
                  <c:v>0.36999999999999922</c:v>
                </c:pt>
                <c:pt idx="15">
                  <c:v>0.37159999999999904</c:v>
                </c:pt>
                <c:pt idx="16">
                  <c:v>0.33559999999999945</c:v>
                </c:pt>
                <c:pt idx="17">
                  <c:v>0.36000000000000121</c:v>
                </c:pt>
                <c:pt idx="18">
                  <c:v>0.38439999999999941</c:v>
                </c:pt>
                <c:pt idx="19">
                  <c:v>0.43959999999999866</c:v>
                </c:pt>
                <c:pt idx="20">
                  <c:v>0.43200000000000038</c:v>
                </c:pt>
                <c:pt idx="21">
                  <c:v>0.41200000000000081</c:v>
                </c:pt>
                <c:pt idx="22">
                  <c:v>0.3879999999999999</c:v>
                </c:pt>
                <c:pt idx="23">
                  <c:v>0.40399999999999991</c:v>
                </c:pt>
                <c:pt idx="24">
                  <c:v>0.30480000000000018</c:v>
                </c:pt>
                <c:pt idx="25">
                  <c:v>0.33440000000000047</c:v>
                </c:pt>
                <c:pt idx="26">
                  <c:v>0.31320000000000014</c:v>
                </c:pt>
                <c:pt idx="27">
                  <c:v>0.26960000000000051</c:v>
                </c:pt>
                <c:pt idx="28">
                  <c:v>0.26560000000000095</c:v>
                </c:pt>
                <c:pt idx="29">
                  <c:v>0.24119999999999919</c:v>
                </c:pt>
                <c:pt idx="30">
                  <c:v>0.24039999999999928</c:v>
                </c:pt>
                <c:pt idx="31">
                  <c:v>0.24719999999999942</c:v>
                </c:pt>
                <c:pt idx="32">
                  <c:v>0.24279999999999902</c:v>
                </c:pt>
                <c:pt idx="33">
                  <c:v>0.19799999999999862</c:v>
                </c:pt>
                <c:pt idx="34">
                  <c:v>0.18759999999999977</c:v>
                </c:pt>
                <c:pt idx="35">
                  <c:v>0.18679999999999986</c:v>
                </c:pt>
                <c:pt idx="36">
                  <c:v>0.19239999999999924</c:v>
                </c:pt>
                <c:pt idx="37">
                  <c:v>0.22160000000000046</c:v>
                </c:pt>
                <c:pt idx="38">
                  <c:v>0.18159999999999954</c:v>
                </c:pt>
                <c:pt idx="39">
                  <c:v>0.20480000000000054</c:v>
                </c:pt>
                <c:pt idx="40">
                  <c:v>0.20560000000000045</c:v>
                </c:pt>
                <c:pt idx="41">
                  <c:v>0.19040000000000035</c:v>
                </c:pt>
                <c:pt idx="42">
                  <c:v>0.19079999999999941</c:v>
                </c:pt>
                <c:pt idx="43">
                  <c:v>0.17120000000000068</c:v>
                </c:pt>
                <c:pt idx="44">
                  <c:v>0.19919999999999938</c:v>
                </c:pt>
                <c:pt idx="45">
                  <c:v>0.22879999999999967</c:v>
                </c:pt>
                <c:pt idx="46">
                  <c:v>0.33760000000000012</c:v>
                </c:pt>
                <c:pt idx="47">
                  <c:v>0.35639999999999894</c:v>
                </c:pt>
                <c:pt idx="48">
                  <c:v>0.40639999999999965</c:v>
                </c:pt>
                <c:pt idx="49">
                  <c:v>0.37679999999999936</c:v>
                </c:pt>
                <c:pt idx="50">
                  <c:v>0.39279999999999937</c:v>
                </c:pt>
                <c:pt idx="51">
                  <c:v>0.37519999999999953</c:v>
                </c:pt>
                <c:pt idx="52">
                  <c:v>0.69080000000000119</c:v>
                </c:pt>
                <c:pt idx="53">
                  <c:v>0.67239999999999966</c:v>
                </c:pt>
                <c:pt idx="54">
                  <c:v>0.60040000000000049</c:v>
                </c:pt>
                <c:pt idx="55">
                  <c:v>0.59319999999999951</c:v>
                </c:pt>
                <c:pt idx="56">
                  <c:v>0.65359999999999907</c:v>
                </c:pt>
                <c:pt idx="57">
                  <c:v>0.62959999999999994</c:v>
                </c:pt>
                <c:pt idx="58">
                  <c:v>0.59759999999999991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50%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Data'!$A$3:$A$62</c:f>
              <c:numCache>
                <c:formatCode>m/d/yyyy</c:formatCode>
                <c:ptCount val="60"/>
                <c:pt idx="0">
                  <c:v>45880</c:v>
                </c:pt>
                <c:pt idx="1">
                  <c:v>45881</c:v>
                </c:pt>
                <c:pt idx="2">
                  <c:v>45882</c:v>
                </c:pt>
                <c:pt idx="3">
                  <c:v>45883</c:v>
                </c:pt>
                <c:pt idx="4">
                  <c:v>45884</c:v>
                </c:pt>
                <c:pt idx="5">
                  <c:v>45887</c:v>
                </c:pt>
                <c:pt idx="6">
                  <c:v>45888</c:v>
                </c:pt>
                <c:pt idx="7">
                  <c:v>45889</c:v>
                </c:pt>
                <c:pt idx="8">
                  <c:v>45890</c:v>
                </c:pt>
                <c:pt idx="9">
                  <c:v>45891</c:v>
                </c:pt>
                <c:pt idx="10">
                  <c:v>45894</c:v>
                </c:pt>
                <c:pt idx="11">
                  <c:v>45895</c:v>
                </c:pt>
                <c:pt idx="12">
                  <c:v>45896</c:v>
                </c:pt>
                <c:pt idx="13">
                  <c:v>45897</c:v>
                </c:pt>
                <c:pt idx="14">
                  <c:v>45898</c:v>
                </c:pt>
                <c:pt idx="15">
                  <c:v>45901</c:v>
                </c:pt>
                <c:pt idx="16">
                  <c:v>45902</c:v>
                </c:pt>
                <c:pt idx="17">
                  <c:v>45903</c:v>
                </c:pt>
                <c:pt idx="18">
                  <c:v>45904</c:v>
                </c:pt>
                <c:pt idx="19">
                  <c:v>45905</c:v>
                </c:pt>
                <c:pt idx="20">
                  <c:v>45908</c:v>
                </c:pt>
                <c:pt idx="21">
                  <c:v>45909</c:v>
                </c:pt>
                <c:pt idx="22">
                  <c:v>45910</c:v>
                </c:pt>
                <c:pt idx="23">
                  <c:v>45911</c:v>
                </c:pt>
                <c:pt idx="24">
                  <c:v>45912</c:v>
                </c:pt>
                <c:pt idx="25">
                  <c:v>45915</c:v>
                </c:pt>
                <c:pt idx="26">
                  <c:v>45916</c:v>
                </c:pt>
                <c:pt idx="27">
                  <c:v>45917</c:v>
                </c:pt>
                <c:pt idx="28">
                  <c:v>45918</c:v>
                </c:pt>
                <c:pt idx="29">
                  <c:v>45919</c:v>
                </c:pt>
                <c:pt idx="30">
                  <c:v>45922</c:v>
                </c:pt>
                <c:pt idx="31">
                  <c:v>45923</c:v>
                </c:pt>
                <c:pt idx="32">
                  <c:v>45924</c:v>
                </c:pt>
                <c:pt idx="33">
                  <c:v>45925</c:v>
                </c:pt>
                <c:pt idx="34">
                  <c:v>45926</c:v>
                </c:pt>
                <c:pt idx="35">
                  <c:v>45929</c:v>
                </c:pt>
                <c:pt idx="36">
                  <c:v>45930</c:v>
                </c:pt>
                <c:pt idx="37">
                  <c:v>45931</c:v>
                </c:pt>
                <c:pt idx="38">
                  <c:v>45932</c:v>
                </c:pt>
                <c:pt idx="39">
                  <c:v>45933</c:v>
                </c:pt>
                <c:pt idx="40">
                  <c:v>45936</c:v>
                </c:pt>
                <c:pt idx="41">
                  <c:v>45937</c:v>
                </c:pt>
                <c:pt idx="42">
                  <c:v>45938</c:v>
                </c:pt>
                <c:pt idx="43">
                  <c:v>45939</c:v>
                </c:pt>
                <c:pt idx="44">
                  <c:v>45940</c:v>
                </c:pt>
                <c:pt idx="45">
                  <c:v>45943</c:v>
                </c:pt>
                <c:pt idx="46">
                  <c:v>45944</c:v>
                </c:pt>
                <c:pt idx="47">
                  <c:v>45945</c:v>
                </c:pt>
                <c:pt idx="48">
                  <c:v>45946</c:v>
                </c:pt>
                <c:pt idx="49">
                  <c:v>45947</c:v>
                </c:pt>
                <c:pt idx="50">
                  <c:v>45950</c:v>
                </c:pt>
                <c:pt idx="51">
                  <c:v>45951</c:v>
                </c:pt>
                <c:pt idx="52">
                  <c:v>45952</c:v>
                </c:pt>
                <c:pt idx="53">
                  <c:v>45953</c:v>
                </c:pt>
                <c:pt idx="54">
                  <c:v>45954</c:v>
                </c:pt>
                <c:pt idx="55">
                  <c:v>45957</c:v>
                </c:pt>
                <c:pt idx="56">
                  <c:v>45958</c:v>
                </c:pt>
                <c:pt idx="57">
                  <c:v>45959</c:v>
                </c:pt>
                <c:pt idx="58">
                  <c:v>45960</c:v>
                </c:pt>
                <c:pt idx="59">
                  <c:v>45961</c:v>
                </c:pt>
              </c:numCache>
            </c:numRef>
          </c:cat>
          <c:val>
            <c:numRef>
              <c:f>'Chart Data'!$D$3:$D$62</c:f>
              <c:numCache>
                <c:formatCode>0%</c:formatCode>
                <c:ptCount val="6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00-4198-B739-49277A5CF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days"/>
      </c:dateAx>
      <c:valAx>
        <c:axId val="263608576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14830036257333679"/>
          <c:y val="0.14252887679353701"/>
          <c:w val="0.56817614088726687"/>
          <c:h val="7.6862049155076509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207B9C-5C58-48EE-A5F8-6788E04EB509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6709" cy="67258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6F943-DB75-715A-585C-79082ED01C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03FFFB6-9FE3-1C45-838F-6DE8D3CCC49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Probability of a Bank Rate cut implied by market pricing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DC62A28-C8A0-33F9-809D-9FFDE4262732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0.85303</cdr:x>
      <cdr:y>0.20063</cdr:y>
    </cdr:from>
    <cdr:to>
      <cdr:x>0.85303</cdr:x>
      <cdr:y>0.85898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EA195EB8-2C87-3E51-248A-923EF0C0BE30}"/>
            </a:ext>
          </a:extLst>
        </cdr:cNvPr>
        <cdr:cNvCxnSpPr/>
      </cdr:nvCxnSpPr>
      <cdr:spPr>
        <a:xfrm xmlns:a="http://schemas.openxmlformats.org/drawingml/2006/main">
          <a:off x="7188200" y="1349375"/>
          <a:ext cx="0" cy="442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0.75657</cdr:x>
      <cdr:y>0.09819</cdr:y>
    </cdr:from>
    <cdr:to>
      <cdr:x>0.94609</cdr:x>
      <cdr:y>0.21526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742B3FE-A84E-0BFC-C182-BD18138CBA9C}"/>
            </a:ext>
          </a:extLst>
        </cdr:cNvPr>
        <cdr:cNvSpPr txBox="1"/>
      </cdr:nvSpPr>
      <cdr:spPr>
        <a:xfrm xmlns:a="http://schemas.openxmlformats.org/drawingml/2006/main">
          <a:off x="6375399" y="660400"/>
          <a:ext cx="1597025" cy="787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September inflation data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0.66238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A8856FC-2BA6-553E-89EF-44545BFB33C6}"/>
            </a:ext>
          </a:extLst>
        </cdr:cNvPr>
        <cdr:cNvSpPr txBox="1"/>
      </cdr:nvSpPr>
      <cdr:spPr>
        <a:xfrm xmlns:a="http://schemas.openxmlformats.org/drawingml/2006/main">
          <a:off x="0" y="508000"/>
          <a:ext cx="55816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Probability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a Bank Rate cut by meeting date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9222-CB68-49E4-AA64-0A832E18671D}">
  <dimension ref="A1:G62"/>
  <sheetViews>
    <sheetView workbookViewId="0">
      <pane xSplit="1" ySplit="2" topLeftCell="B40" activePane="bottomRight" state="frozen"/>
      <selection pane="topRight" activeCell="B1" sqref="B1"/>
      <selection pane="bottomLeft" activeCell="A3" sqref="A3"/>
      <selection pane="bottomRight" activeCell="C61" sqref="C61"/>
    </sheetView>
  </sheetViews>
  <sheetFormatPr defaultRowHeight="15" x14ac:dyDescent="0.25"/>
  <cols>
    <col min="1" max="1" width="10.42578125" bestFit="1" customWidth="1"/>
  </cols>
  <sheetData>
    <row r="1" spans="1:7" x14ac:dyDescent="0.25">
      <c r="A1" s="4" t="s">
        <v>152</v>
      </c>
      <c r="F1" t="s">
        <v>155</v>
      </c>
    </row>
    <row r="2" spans="1:7" x14ac:dyDescent="0.25">
      <c r="B2" t="s">
        <v>153</v>
      </c>
      <c r="C2" t="s">
        <v>154</v>
      </c>
      <c r="D2" s="7">
        <v>0.5</v>
      </c>
      <c r="F2" t="s">
        <v>153</v>
      </c>
      <c r="G2" t="s">
        <v>154</v>
      </c>
    </row>
    <row r="3" spans="1:7" x14ac:dyDescent="0.25">
      <c r="A3" s="5">
        <v>45880</v>
      </c>
      <c r="B3" s="7">
        <f>IF(F3&lt;0,-F3/0.25,F3/0.25)</f>
        <v>0.48359999999999914</v>
      </c>
      <c r="C3" s="7">
        <f>IF(G3&lt;0,-G3/0.25,G3/0.25)</f>
        <v>0.73959999999999937</v>
      </c>
      <c r="D3" s="7">
        <v>0.5</v>
      </c>
      <c r="F3" s="6">
        <f>HAVER!D79-HAVER!$B79</f>
        <v>-0.12089999999999979</v>
      </c>
      <c r="G3" s="6">
        <f>HAVER!E79-HAVER!$B79</f>
        <v>-0.18489999999999984</v>
      </c>
    </row>
    <row r="4" spans="1:7" x14ac:dyDescent="0.25">
      <c r="A4" s="5">
        <v>45881</v>
      </c>
      <c r="B4" s="7">
        <f t="shared" ref="B4:B62" si="0">IF(F4&lt;0,-F4/0.25,F4/0.25)</f>
        <v>0.41200000000000081</v>
      </c>
      <c r="C4" s="7">
        <f t="shared" ref="C4:C62" si="1">IF(G4&lt;0,-G4/0.25,G4/0.25)</f>
        <v>0.64000000000000057</v>
      </c>
      <c r="D4" s="7">
        <v>0.5</v>
      </c>
      <c r="F4" s="6">
        <f>HAVER!D80-HAVER!$B80</f>
        <v>-0.1030000000000002</v>
      </c>
      <c r="G4" s="6">
        <f>HAVER!E80-HAVER!$B80</f>
        <v>-0.16000000000000014</v>
      </c>
    </row>
    <row r="5" spans="1:7" x14ac:dyDescent="0.25">
      <c r="A5" s="5">
        <v>45882</v>
      </c>
      <c r="B5" s="7">
        <f t="shared" si="0"/>
        <v>0.39680000000000071</v>
      </c>
      <c r="C5" s="7">
        <f t="shared" si="1"/>
        <v>0.64480000000000004</v>
      </c>
      <c r="D5" s="7">
        <v>0.5</v>
      </c>
      <c r="F5" s="6">
        <f>HAVER!D81-HAVER!$B81</f>
        <v>-9.9200000000000177E-2</v>
      </c>
      <c r="G5" s="6">
        <f>HAVER!E81-HAVER!$B81</f>
        <v>-0.16120000000000001</v>
      </c>
    </row>
    <row r="6" spans="1:7" x14ac:dyDescent="0.25">
      <c r="A6" s="5">
        <v>45883</v>
      </c>
      <c r="B6" s="7">
        <f t="shared" si="0"/>
        <v>0.33760000000000012</v>
      </c>
      <c r="C6" s="7">
        <f t="shared" si="1"/>
        <v>0.56959999999999944</v>
      </c>
      <c r="D6" s="7">
        <v>0.5</v>
      </c>
      <c r="F6" s="6">
        <f>HAVER!D82-HAVER!$B82</f>
        <v>-8.4400000000000031E-2</v>
      </c>
      <c r="G6" s="6">
        <f>HAVER!E82-HAVER!$B82</f>
        <v>-0.14239999999999986</v>
      </c>
    </row>
    <row r="7" spans="1:7" x14ac:dyDescent="0.25">
      <c r="A7" s="5">
        <v>45884</v>
      </c>
      <c r="B7" s="7">
        <f t="shared" si="0"/>
        <v>0.3083999999999989</v>
      </c>
      <c r="C7" s="7">
        <f t="shared" si="1"/>
        <v>0.52439999999999998</v>
      </c>
      <c r="D7" s="7">
        <v>0.5</v>
      </c>
      <c r="F7" s="6">
        <f>HAVER!D83-HAVER!$B83</f>
        <v>-7.7099999999999724E-2</v>
      </c>
      <c r="G7" s="6">
        <f>HAVER!E83-HAVER!$B83</f>
        <v>-0.13109999999999999</v>
      </c>
    </row>
    <row r="8" spans="1:7" x14ac:dyDescent="0.25">
      <c r="A8" s="5">
        <f>+A3+7</f>
        <v>45887</v>
      </c>
      <c r="B8" s="7">
        <f t="shared" si="0"/>
        <v>0.28759999999999941</v>
      </c>
      <c r="C8" s="7">
        <f t="shared" si="1"/>
        <v>0.49160000000000004</v>
      </c>
      <c r="D8" s="7">
        <v>0.5</v>
      </c>
      <c r="F8" s="6">
        <f>HAVER!D84-HAVER!$B84</f>
        <v>-7.1899999999999853E-2</v>
      </c>
      <c r="G8" s="6">
        <f>HAVER!E84-HAVER!$B84</f>
        <v>-0.12290000000000001</v>
      </c>
    </row>
    <row r="9" spans="1:7" x14ac:dyDescent="0.25">
      <c r="A9" s="5">
        <f t="shared" ref="A9:A62" si="2">+A4+7</f>
        <v>45888</v>
      </c>
      <c r="B9" s="7">
        <f t="shared" si="0"/>
        <v>0.29640000000000022</v>
      </c>
      <c r="C9" s="7">
        <f t="shared" si="1"/>
        <v>0.46839999999999904</v>
      </c>
      <c r="D9" s="7">
        <v>0.5</v>
      </c>
      <c r="F9" s="6">
        <f>HAVER!D85-HAVER!$B85</f>
        <v>-7.4100000000000055E-2</v>
      </c>
      <c r="G9" s="6">
        <f>HAVER!E85-HAVER!$B85</f>
        <v>-0.11709999999999976</v>
      </c>
    </row>
    <row r="10" spans="1:7" x14ac:dyDescent="0.25">
      <c r="A10" s="5">
        <f t="shared" si="2"/>
        <v>45889</v>
      </c>
      <c r="B10" s="7">
        <f t="shared" si="0"/>
        <v>0.27719999999999878</v>
      </c>
      <c r="C10" s="7">
        <f t="shared" si="1"/>
        <v>0.48519999999999897</v>
      </c>
      <c r="D10" s="7">
        <v>0.5</v>
      </c>
      <c r="F10" s="6">
        <f>HAVER!D86-HAVER!$B86</f>
        <v>-6.9299999999999695E-2</v>
      </c>
      <c r="G10" s="6">
        <f>HAVER!E86-HAVER!$B86</f>
        <v>-0.12129999999999974</v>
      </c>
    </row>
    <row r="11" spans="1:7" x14ac:dyDescent="0.25">
      <c r="A11" s="5">
        <f t="shared" si="2"/>
        <v>45890</v>
      </c>
      <c r="B11" s="7">
        <f t="shared" si="0"/>
        <v>0.1899999999999995</v>
      </c>
      <c r="C11" s="7">
        <f t="shared" si="1"/>
        <v>0.36599999999999966</v>
      </c>
      <c r="D11" s="7">
        <v>0.5</v>
      </c>
      <c r="F11" s="6">
        <f>HAVER!D87-HAVER!$B87</f>
        <v>-4.7499999999999876E-2</v>
      </c>
      <c r="G11" s="6">
        <f>HAVER!E87-HAVER!$B87</f>
        <v>-9.1499999999999915E-2</v>
      </c>
    </row>
    <row r="12" spans="1:7" x14ac:dyDescent="0.25">
      <c r="A12" s="5">
        <f t="shared" si="2"/>
        <v>45891</v>
      </c>
      <c r="B12" s="7">
        <f t="shared" si="0"/>
        <v>0.21239999999999881</v>
      </c>
      <c r="C12" s="7">
        <f t="shared" si="1"/>
        <v>0.40439999999999898</v>
      </c>
      <c r="D12" s="7">
        <v>0.5</v>
      </c>
      <c r="F12" s="6">
        <f>HAVER!D88-HAVER!$B88</f>
        <v>-5.3099999999999703E-2</v>
      </c>
      <c r="G12" s="6">
        <f>HAVER!E88-HAVER!$B88</f>
        <v>-0.10109999999999975</v>
      </c>
    </row>
    <row r="13" spans="1:7" x14ac:dyDescent="0.25">
      <c r="A13" s="5">
        <f t="shared" si="2"/>
        <v>45894</v>
      </c>
      <c r="B13" s="7" t="e">
        <f t="shared" si="0"/>
        <v>#N/A</v>
      </c>
      <c r="C13" s="7" t="e">
        <f t="shared" si="1"/>
        <v>#N/A</v>
      </c>
      <c r="D13" s="7">
        <v>0.5</v>
      </c>
      <c r="F13" s="6" t="e">
        <f>HAVER!D89-HAVER!$B89</f>
        <v>#N/A</v>
      </c>
      <c r="G13" s="6" t="e">
        <f>HAVER!E89-HAVER!$B89</f>
        <v>#N/A</v>
      </c>
    </row>
    <row r="14" spans="1:7" x14ac:dyDescent="0.25">
      <c r="A14" s="5">
        <f t="shared" si="2"/>
        <v>45895</v>
      </c>
      <c r="B14" s="7">
        <f t="shared" si="0"/>
        <v>0.19759999999999955</v>
      </c>
      <c r="C14" s="7">
        <f t="shared" si="1"/>
        <v>0.38959999999999972</v>
      </c>
      <c r="D14" s="7">
        <v>0.5</v>
      </c>
      <c r="F14" s="6">
        <f>HAVER!D90-HAVER!$B90</f>
        <v>-4.9399999999999888E-2</v>
      </c>
      <c r="G14" s="6">
        <f>HAVER!E90-HAVER!$B90</f>
        <v>-9.7399999999999931E-2</v>
      </c>
    </row>
    <row r="15" spans="1:7" x14ac:dyDescent="0.25">
      <c r="A15" s="5">
        <f t="shared" si="2"/>
        <v>45896</v>
      </c>
      <c r="B15" s="7">
        <f t="shared" si="0"/>
        <v>0.17399999999999949</v>
      </c>
      <c r="C15" s="7">
        <f t="shared" si="1"/>
        <v>0.3539999999999992</v>
      </c>
      <c r="D15" s="7">
        <v>0.5</v>
      </c>
      <c r="F15" s="6">
        <f>HAVER!D91-HAVER!$B91</f>
        <v>-4.3499999999999872E-2</v>
      </c>
      <c r="G15" s="6">
        <f>HAVER!E91-HAVER!$B91</f>
        <v>-8.8499999999999801E-2</v>
      </c>
    </row>
    <row r="16" spans="1:7" x14ac:dyDescent="0.25">
      <c r="A16" s="5">
        <f t="shared" si="2"/>
        <v>45897</v>
      </c>
      <c r="B16" s="7">
        <f t="shared" si="0"/>
        <v>0.17399999999999949</v>
      </c>
      <c r="C16" s="7">
        <f t="shared" si="1"/>
        <v>0.38199999999999967</v>
      </c>
      <c r="D16" s="7">
        <v>0.5</v>
      </c>
      <c r="F16" s="6">
        <f>HAVER!D92-HAVER!$B92</f>
        <v>-4.3499999999999872E-2</v>
      </c>
      <c r="G16" s="6">
        <f>HAVER!E92-HAVER!$B92</f>
        <v>-9.5499999999999918E-2</v>
      </c>
    </row>
    <row r="17" spans="1:7" x14ac:dyDescent="0.25">
      <c r="A17" s="5">
        <f t="shared" si="2"/>
        <v>45898</v>
      </c>
      <c r="B17" s="7">
        <f t="shared" si="0"/>
        <v>0.15399999999999991</v>
      </c>
      <c r="C17" s="7">
        <f t="shared" si="1"/>
        <v>0.36999999999999922</v>
      </c>
      <c r="D17" s="7">
        <v>0.5</v>
      </c>
      <c r="F17" s="6">
        <f>HAVER!D93-HAVER!$B93</f>
        <v>-3.8499999999999979E-2</v>
      </c>
      <c r="G17" s="6">
        <f>HAVER!E93-HAVER!$B93</f>
        <v>-9.2499999999999805E-2</v>
      </c>
    </row>
    <row r="18" spans="1:7" x14ac:dyDescent="0.25">
      <c r="A18" s="5">
        <f t="shared" si="2"/>
        <v>45901</v>
      </c>
      <c r="B18" s="7">
        <f t="shared" si="0"/>
        <v>0.16760000000000019</v>
      </c>
      <c r="C18" s="7">
        <f t="shared" si="1"/>
        <v>0.37159999999999904</v>
      </c>
      <c r="D18" s="7">
        <v>0.5</v>
      </c>
      <c r="F18" s="6">
        <f>HAVER!D94-HAVER!$B94</f>
        <v>-4.1900000000000048E-2</v>
      </c>
      <c r="G18" s="6">
        <f>HAVER!E94-HAVER!$B94</f>
        <v>-9.2899999999999761E-2</v>
      </c>
    </row>
    <row r="19" spans="1:7" x14ac:dyDescent="0.25">
      <c r="A19" s="5">
        <f t="shared" si="2"/>
        <v>45902</v>
      </c>
      <c r="B19" s="7">
        <f t="shared" si="0"/>
        <v>0.1595999999999993</v>
      </c>
      <c r="C19" s="7">
        <f t="shared" si="1"/>
        <v>0.33559999999999945</v>
      </c>
      <c r="D19" s="7">
        <v>0.5</v>
      </c>
      <c r="F19" s="6">
        <f>HAVER!D95-HAVER!$B95</f>
        <v>-3.9899999999999824E-2</v>
      </c>
      <c r="G19" s="6">
        <f>HAVER!E95-HAVER!$B95</f>
        <v>-8.3899999999999864E-2</v>
      </c>
    </row>
    <row r="20" spans="1:7" x14ac:dyDescent="0.25">
      <c r="A20" s="5">
        <f t="shared" si="2"/>
        <v>45903</v>
      </c>
      <c r="B20" s="7">
        <f t="shared" si="0"/>
        <v>0.1720000000000006</v>
      </c>
      <c r="C20" s="7">
        <f t="shared" si="1"/>
        <v>0.36000000000000121</v>
      </c>
      <c r="D20" s="7">
        <v>0.5</v>
      </c>
      <c r="F20" s="6">
        <f>HAVER!D96-HAVER!$B96</f>
        <v>-4.3000000000000149E-2</v>
      </c>
      <c r="G20" s="6">
        <f>HAVER!E96-HAVER!$B96</f>
        <v>-9.0000000000000302E-2</v>
      </c>
    </row>
    <row r="21" spans="1:7" x14ac:dyDescent="0.25">
      <c r="A21" s="5">
        <f t="shared" si="2"/>
        <v>45904</v>
      </c>
      <c r="B21" s="7">
        <f t="shared" si="0"/>
        <v>0.16039999999999921</v>
      </c>
      <c r="C21" s="7">
        <f t="shared" si="1"/>
        <v>0.38439999999999941</v>
      </c>
      <c r="D21" s="7">
        <v>0.5</v>
      </c>
      <c r="F21" s="6">
        <f>HAVER!D97-HAVER!$B97</f>
        <v>-4.0099999999999802E-2</v>
      </c>
      <c r="G21" s="6">
        <f>HAVER!E97-HAVER!$B97</f>
        <v>-9.6099999999999852E-2</v>
      </c>
    </row>
    <row r="22" spans="1:7" x14ac:dyDescent="0.25">
      <c r="A22" s="5">
        <f t="shared" si="2"/>
        <v>45905</v>
      </c>
      <c r="B22" s="7">
        <f t="shared" si="0"/>
        <v>0.19960000000000022</v>
      </c>
      <c r="C22" s="7">
        <f t="shared" si="1"/>
        <v>0.43959999999999866</v>
      </c>
      <c r="D22" s="7">
        <v>0.5</v>
      </c>
      <c r="F22" s="6">
        <f>HAVER!D98-HAVER!$B98</f>
        <v>-4.9900000000000055E-2</v>
      </c>
      <c r="G22" s="6">
        <f>HAVER!E98-HAVER!$B98</f>
        <v>-0.10989999999999966</v>
      </c>
    </row>
    <row r="23" spans="1:7" x14ac:dyDescent="0.25">
      <c r="A23" s="5">
        <f t="shared" si="2"/>
        <v>45908</v>
      </c>
      <c r="B23" s="7">
        <f t="shared" si="0"/>
        <v>0.20400000000000063</v>
      </c>
      <c r="C23" s="7">
        <f t="shared" si="1"/>
        <v>0.43200000000000038</v>
      </c>
      <c r="D23" s="7">
        <v>0.5</v>
      </c>
      <c r="F23" s="6">
        <f>HAVER!D99-HAVER!$B99</f>
        <v>-5.1000000000000156E-2</v>
      </c>
      <c r="G23" s="6">
        <f>HAVER!E99-HAVER!$B99</f>
        <v>-0.1080000000000001</v>
      </c>
    </row>
    <row r="24" spans="1:7" x14ac:dyDescent="0.25">
      <c r="A24" s="5">
        <f t="shared" si="2"/>
        <v>45909</v>
      </c>
      <c r="B24" s="7">
        <f t="shared" si="0"/>
        <v>0.20400000000000063</v>
      </c>
      <c r="C24" s="7">
        <f t="shared" si="1"/>
        <v>0.41200000000000081</v>
      </c>
      <c r="D24" s="7">
        <v>0.5</v>
      </c>
      <c r="F24" s="6">
        <f>HAVER!D100-HAVER!$B100</f>
        <v>-5.1000000000000156E-2</v>
      </c>
      <c r="G24" s="6">
        <f>HAVER!E100-HAVER!$B100</f>
        <v>-0.1030000000000002</v>
      </c>
    </row>
    <row r="25" spans="1:7" x14ac:dyDescent="0.25">
      <c r="A25" s="5">
        <f t="shared" si="2"/>
        <v>45910</v>
      </c>
      <c r="B25" s="7">
        <f t="shared" si="0"/>
        <v>0.18800000000000061</v>
      </c>
      <c r="C25" s="7">
        <f t="shared" si="1"/>
        <v>0.3879999999999999</v>
      </c>
      <c r="D25" s="7">
        <v>0.5</v>
      </c>
      <c r="F25" s="6">
        <f>HAVER!D101-HAVER!$B101</f>
        <v>-4.7000000000000153E-2</v>
      </c>
      <c r="G25" s="6">
        <f>HAVER!E101-HAVER!$B101</f>
        <v>-9.6999999999999975E-2</v>
      </c>
    </row>
    <row r="26" spans="1:7" x14ac:dyDescent="0.25">
      <c r="A26" s="5">
        <f t="shared" si="2"/>
        <v>45911</v>
      </c>
      <c r="B26" s="7">
        <f t="shared" si="0"/>
        <v>0.18800000000000061</v>
      </c>
      <c r="C26" s="7">
        <f t="shared" si="1"/>
        <v>0.40399999999999991</v>
      </c>
      <c r="D26" s="7">
        <v>0.5</v>
      </c>
      <c r="F26" s="6">
        <f>HAVER!D102-HAVER!$B102</f>
        <v>-4.7000000000000153E-2</v>
      </c>
      <c r="G26" s="6">
        <f>HAVER!E102-HAVER!$B102</f>
        <v>-0.10099999999999998</v>
      </c>
    </row>
    <row r="27" spans="1:7" x14ac:dyDescent="0.25">
      <c r="A27" s="5">
        <f t="shared" si="2"/>
        <v>45912</v>
      </c>
      <c r="B27" s="7">
        <f t="shared" si="0"/>
        <v>0.10880000000000045</v>
      </c>
      <c r="C27" s="7">
        <f t="shared" si="1"/>
        <v>0.30480000000000018</v>
      </c>
      <c r="D27" s="7">
        <v>0.5</v>
      </c>
      <c r="F27" s="6">
        <f>HAVER!D103-HAVER!$B103</f>
        <v>-2.7200000000000113E-2</v>
      </c>
      <c r="G27" s="6">
        <f>HAVER!E103-HAVER!$B103</f>
        <v>-7.6200000000000045E-2</v>
      </c>
    </row>
    <row r="28" spans="1:7" x14ac:dyDescent="0.25">
      <c r="A28" s="5">
        <f t="shared" si="2"/>
        <v>45915</v>
      </c>
      <c r="B28" s="7">
        <f t="shared" si="0"/>
        <v>0.15440000000000076</v>
      </c>
      <c r="C28" s="7">
        <f t="shared" si="1"/>
        <v>0.33440000000000047</v>
      </c>
      <c r="D28" s="7">
        <v>0.5</v>
      </c>
      <c r="F28" s="6">
        <f>HAVER!D104-HAVER!$B104</f>
        <v>-3.860000000000019E-2</v>
      </c>
      <c r="G28" s="6">
        <f>HAVER!E104-HAVER!$B104</f>
        <v>-8.3600000000000119E-2</v>
      </c>
    </row>
    <row r="29" spans="1:7" x14ac:dyDescent="0.25">
      <c r="A29" s="5">
        <f t="shared" si="2"/>
        <v>45916</v>
      </c>
      <c r="B29" s="7">
        <f t="shared" si="0"/>
        <v>0.14519999999999911</v>
      </c>
      <c r="C29" s="7">
        <f t="shared" si="1"/>
        <v>0.31320000000000014</v>
      </c>
      <c r="D29" s="7">
        <v>0.5</v>
      </c>
      <c r="F29" s="6">
        <f>HAVER!D105-HAVER!$B105</f>
        <v>-3.6299999999999777E-2</v>
      </c>
      <c r="G29" s="6">
        <f>HAVER!E105-HAVER!$B105</f>
        <v>-7.8300000000000036E-2</v>
      </c>
    </row>
    <row r="30" spans="1:7" x14ac:dyDescent="0.25">
      <c r="A30" s="5">
        <f t="shared" si="2"/>
        <v>45917</v>
      </c>
      <c r="B30" s="7">
        <f t="shared" si="0"/>
        <v>0.1056000000000008</v>
      </c>
      <c r="C30" s="7">
        <f t="shared" si="1"/>
        <v>0.26960000000000051</v>
      </c>
      <c r="D30" s="7">
        <v>0.5</v>
      </c>
      <c r="F30" s="6">
        <f>HAVER!D106-HAVER!$B106</f>
        <v>-2.6400000000000201E-2</v>
      </c>
      <c r="G30" s="6">
        <f>HAVER!E106-HAVER!$B106</f>
        <v>-6.7400000000000126E-2</v>
      </c>
    </row>
    <row r="31" spans="1:7" x14ac:dyDescent="0.25">
      <c r="A31" s="5">
        <f t="shared" si="2"/>
        <v>45918</v>
      </c>
      <c r="B31" s="7">
        <f t="shared" si="0"/>
        <v>9.360000000000035E-2</v>
      </c>
      <c r="C31" s="7">
        <f t="shared" si="1"/>
        <v>0.26560000000000095</v>
      </c>
      <c r="D31" s="7">
        <v>0.5</v>
      </c>
      <c r="F31" s="6">
        <f>HAVER!D107-HAVER!$B107</f>
        <v>-2.3400000000000087E-2</v>
      </c>
      <c r="G31" s="6">
        <f>HAVER!E107-HAVER!$B107</f>
        <v>-6.6400000000000237E-2</v>
      </c>
    </row>
    <row r="32" spans="1:7" x14ac:dyDescent="0.25">
      <c r="A32" s="5">
        <f t="shared" si="2"/>
        <v>45919</v>
      </c>
      <c r="B32" s="7">
        <f t="shared" si="0"/>
        <v>5.3199999999998582E-2</v>
      </c>
      <c r="C32" s="7">
        <f t="shared" si="1"/>
        <v>0.24119999999999919</v>
      </c>
      <c r="D32" s="7">
        <v>0.5</v>
      </c>
      <c r="F32" s="6">
        <f>HAVER!C108-HAVER!$B108</f>
        <v>-1.3299999999999645E-2</v>
      </c>
      <c r="G32" s="6">
        <f>HAVER!D108-HAVER!$B108</f>
        <v>-6.0299999999999798E-2</v>
      </c>
    </row>
    <row r="33" spans="1:7" x14ac:dyDescent="0.25">
      <c r="A33" s="5">
        <f t="shared" si="2"/>
        <v>45922</v>
      </c>
      <c r="B33" s="7">
        <f t="shared" si="0"/>
        <v>5.239999999999867E-2</v>
      </c>
      <c r="C33" s="7">
        <f t="shared" si="1"/>
        <v>0.24039999999999928</v>
      </c>
      <c r="D33" s="7">
        <v>0.5</v>
      </c>
      <c r="F33" s="6">
        <f>HAVER!C109-HAVER!$B109</f>
        <v>-1.3099999999999667E-2</v>
      </c>
      <c r="G33" s="6">
        <f>HAVER!D109-HAVER!$B109</f>
        <v>-6.009999999999982E-2</v>
      </c>
    </row>
    <row r="34" spans="1:7" x14ac:dyDescent="0.25">
      <c r="A34" s="5">
        <f t="shared" si="2"/>
        <v>45923</v>
      </c>
      <c r="B34" s="7">
        <f t="shared" si="0"/>
        <v>6.7199999999999704E-2</v>
      </c>
      <c r="C34" s="7">
        <f t="shared" si="1"/>
        <v>0.24719999999999942</v>
      </c>
      <c r="D34" s="7">
        <v>0.5</v>
      </c>
      <c r="F34" s="6">
        <f>HAVER!C110-HAVER!$B110</f>
        <v>-1.6799999999999926E-2</v>
      </c>
      <c r="G34" s="6">
        <f>HAVER!D110-HAVER!$B110</f>
        <v>-6.1799999999999855E-2</v>
      </c>
    </row>
    <row r="35" spans="1:7" x14ac:dyDescent="0.25">
      <c r="A35" s="5">
        <f t="shared" si="2"/>
        <v>45924</v>
      </c>
      <c r="B35" s="7">
        <f t="shared" si="0"/>
        <v>6.679999999999886E-2</v>
      </c>
      <c r="C35" s="7">
        <f t="shared" si="1"/>
        <v>0.24279999999999902</v>
      </c>
      <c r="D35" s="7">
        <v>0.5</v>
      </c>
      <c r="F35" s="6">
        <f>HAVER!C111-HAVER!$B111</f>
        <v>-1.6699999999999715E-2</v>
      </c>
      <c r="G35" s="6">
        <f>HAVER!D111-HAVER!$B111</f>
        <v>-6.0699999999999754E-2</v>
      </c>
    </row>
    <row r="36" spans="1:7" x14ac:dyDescent="0.25">
      <c r="A36" s="5">
        <f t="shared" si="2"/>
        <v>45925</v>
      </c>
      <c r="B36" s="7">
        <f t="shared" si="0"/>
        <v>4.5999999999999375E-2</v>
      </c>
      <c r="C36" s="7">
        <f t="shared" si="1"/>
        <v>0.19799999999999862</v>
      </c>
      <c r="D36" s="7">
        <v>0.5</v>
      </c>
      <c r="F36" s="6">
        <f>HAVER!C112-HAVER!$B112</f>
        <v>-1.1499999999999844E-2</v>
      </c>
      <c r="G36" s="6">
        <f>HAVER!D112-HAVER!$B112</f>
        <v>-4.9499999999999655E-2</v>
      </c>
    </row>
    <row r="37" spans="1:7" x14ac:dyDescent="0.25">
      <c r="A37" s="5">
        <f t="shared" si="2"/>
        <v>45926</v>
      </c>
      <c r="B37" s="7">
        <f t="shared" si="0"/>
        <v>3.1599999999999184E-2</v>
      </c>
      <c r="C37" s="7">
        <f t="shared" si="1"/>
        <v>0.18759999999999977</v>
      </c>
      <c r="D37" s="7">
        <v>0.5</v>
      </c>
      <c r="F37" s="6">
        <f>HAVER!C113-HAVER!$B113</f>
        <v>-7.8999999999997961E-3</v>
      </c>
      <c r="G37" s="6">
        <f>HAVER!D113-HAVER!$B113</f>
        <v>-4.6899999999999942E-2</v>
      </c>
    </row>
    <row r="38" spans="1:7" x14ac:dyDescent="0.25">
      <c r="A38" s="5">
        <f t="shared" si="2"/>
        <v>45929</v>
      </c>
      <c r="B38" s="7">
        <f t="shared" si="0"/>
        <v>3.0799999999999272E-2</v>
      </c>
      <c r="C38" s="7">
        <f t="shared" si="1"/>
        <v>0.18679999999999986</v>
      </c>
      <c r="D38" s="7">
        <v>0.5</v>
      </c>
      <c r="F38" s="6">
        <f>HAVER!C114-HAVER!$B114</f>
        <v>-7.6999999999998181E-3</v>
      </c>
      <c r="G38" s="6">
        <f>HAVER!D114-HAVER!$B114</f>
        <v>-4.6699999999999964E-2</v>
      </c>
    </row>
    <row r="39" spans="1:7" x14ac:dyDescent="0.25">
      <c r="A39" s="5">
        <f t="shared" si="2"/>
        <v>45930</v>
      </c>
      <c r="B39" s="7">
        <f t="shared" si="0"/>
        <v>4.839999999999911E-2</v>
      </c>
      <c r="C39" s="7">
        <f t="shared" si="1"/>
        <v>0.19239999999999924</v>
      </c>
      <c r="D39" s="7">
        <v>0.5</v>
      </c>
      <c r="F39" s="6">
        <f>HAVER!C115-HAVER!$B115</f>
        <v>-1.2099999999999778E-2</v>
      </c>
      <c r="G39" s="6">
        <f>HAVER!D115-HAVER!$B115</f>
        <v>-4.809999999999981E-2</v>
      </c>
    </row>
    <row r="40" spans="1:7" x14ac:dyDescent="0.25">
      <c r="A40" s="5">
        <f t="shared" si="2"/>
        <v>45931</v>
      </c>
      <c r="B40" s="7">
        <f t="shared" si="0"/>
        <v>5.7600000000000762E-2</v>
      </c>
      <c r="C40" s="7">
        <f t="shared" si="1"/>
        <v>0.22160000000000046</v>
      </c>
      <c r="D40" s="7">
        <v>0.5</v>
      </c>
      <c r="F40" s="6">
        <f>HAVER!C116-HAVER!$B116</f>
        <v>-1.440000000000019E-2</v>
      </c>
      <c r="G40" s="6">
        <f>HAVER!D116-HAVER!$B116</f>
        <v>-5.5400000000000116E-2</v>
      </c>
    </row>
    <row r="41" spans="1:7" x14ac:dyDescent="0.25">
      <c r="A41" s="5">
        <f t="shared" si="2"/>
        <v>45932</v>
      </c>
      <c r="B41" s="7">
        <f t="shared" si="0"/>
        <v>2.1599999999999397E-2</v>
      </c>
      <c r="C41" s="7">
        <f t="shared" si="1"/>
        <v>0.18159999999999954</v>
      </c>
      <c r="D41" s="7">
        <v>0.5</v>
      </c>
      <c r="F41" s="6">
        <f>HAVER!C117-HAVER!$B117</f>
        <v>-5.3999999999998494E-3</v>
      </c>
      <c r="G41" s="6">
        <f>HAVER!D117-HAVER!$B117</f>
        <v>-4.5399999999999885E-2</v>
      </c>
    </row>
    <row r="42" spans="1:7" x14ac:dyDescent="0.25">
      <c r="A42" s="5">
        <f t="shared" si="2"/>
        <v>45933</v>
      </c>
      <c r="B42" s="7">
        <f t="shared" si="0"/>
        <v>2.4800000000000821E-2</v>
      </c>
      <c r="C42" s="7">
        <f t="shared" si="1"/>
        <v>0.20480000000000054</v>
      </c>
      <c r="D42" s="7">
        <v>0.5</v>
      </c>
      <c r="F42" s="6">
        <f>HAVER!C118-HAVER!$B118</f>
        <v>-6.2000000000002053E-3</v>
      </c>
      <c r="G42" s="6">
        <f>HAVER!D118-HAVER!$B118</f>
        <v>-5.1200000000000134E-2</v>
      </c>
    </row>
    <row r="43" spans="1:7" x14ac:dyDescent="0.25">
      <c r="A43" s="5">
        <f t="shared" si="2"/>
        <v>45936</v>
      </c>
      <c r="B43" s="7">
        <f t="shared" si="0"/>
        <v>2.9600000000000293E-2</v>
      </c>
      <c r="C43" s="7">
        <f t="shared" si="1"/>
        <v>0.20560000000000045</v>
      </c>
      <c r="D43" s="7">
        <v>0.5</v>
      </c>
      <c r="F43" s="6">
        <f>HAVER!C119-HAVER!$B119</f>
        <v>-7.4000000000000732E-3</v>
      </c>
      <c r="G43" s="6">
        <f>HAVER!D119-HAVER!$B119</f>
        <v>-5.1400000000000112E-2</v>
      </c>
    </row>
    <row r="44" spans="1:7" x14ac:dyDescent="0.25">
      <c r="A44" s="5">
        <f t="shared" si="2"/>
        <v>45937</v>
      </c>
      <c r="B44" s="7">
        <f t="shared" si="0"/>
        <v>2.6400000000000645E-2</v>
      </c>
      <c r="C44" s="7">
        <f t="shared" si="1"/>
        <v>0.19040000000000035</v>
      </c>
      <c r="D44" s="7">
        <v>0.5</v>
      </c>
      <c r="F44" s="6">
        <f>HAVER!C120-HAVER!$B120</f>
        <v>-6.6000000000001613E-3</v>
      </c>
      <c r="G44" s="6">
        <f>HAVER!D120-HAVER!$B120</f>
        <v>-4.7600000000000087E-2</v>
      </c>
    </row>
    <row r="45" spans="1:7" x14ac:dyDescent="0.25">
      <c r="A45" s="5">
        <f t="shared" si="2"/>
        <v>45938</v>
      </c>
      <c r="B45" s="7">
        <f t="shared" si="0"/>
        <v>3.4799999999998832E-2</v>
      </c>
      <c r="C45" s="7">
        <f t="shared" si="1"/>
        <v>0.19079999999999941</v>
      </c>
      <c r="D45" s="7">
        <v>0.5</v>
      </c>
      <c r="F45" s="6">
        <f>HAVER!C121-HAVER!$B121</f>
        <v>-8.699999999999708E-3</v>
      </c>
      <c r="G45" s="6">
        <f>HAVER!D121-HAVER!$B121</f>
        <v>-4.7699999999999854E-2</v>
      </c>
    </row>
    <row r="46" spans="1:7" x14ac:dyDescent="0.25">
      <c r="A46" s="5">
        <f t="shared" si="2"/>
        <v>45939</v>
      </c>
      <c r="B46" s="7">
        <f t="shared" si="0"/>
        <v>2.7200000000000557E-2</v>
      </c>
      <c r="C46" s="7">
        <f t="shared" si="1"/>
        <v>0.17120000000000068</v>
      </c>
      <c r="D46" s="7">
        <v>0.5</v>
      </c>
      <c r="F46" s="6">
        <f>HAVER!C122-HAVER!$B122</f>
        <v>-6.8000000000001393E-3</v>
      </c>
      <c r="G46" s="6">
        <f>HAVER!D122-HAVER!$B122</f>
        <v>-4.2800000000000171E-2</v>
      </c>
    </row>
    <row r="47" spans="1:7" x14ac:dyDescent="0.25">
      <c r="A47" s="5">
        <f t="shared" si="2"/>
        <v>45940</v>
      </c>
      <c r="B47" s="7">
        <f t="shared" si="0"/>
        <v>2.3199999999999221E-2</v>
      </c>
      <c r="C47" s="7">
        <f t="shared" si="1"/>
        <v>0.19919999999999938</v>
      </c>
      <c r="D47" s="7">
        <v>0.5</v>
      </c>
      <c r="F47" s="6">
        <f>HAVER!C123-HAVER!$B123</f>
        <v>-5.7999999999998053E-3</v>
      </c>
      <c r="G47" s="6">
        <f>HAVER!D123-HAVER!$B123</f>
        <v>-4.9799999999999844E-2</v>
      </c>
    </row>
    <row r="48" spans="1:7" x14ac:dyDescent="0.25">
      <c r="A48" s="5">
        <f t="shared" si="2"/>
        <v>45943</v>
      </c>
      <c r="B48" s="7">
        <f t="shared" si="0"/>
        <v>4.4800000000000395E-2</v>
      </c>
      <c r="C48" s="7">
        <f t="shared" si="1"/>
        <v>0.22879999999999967</v>
      </c>
      <c r="D48" s="7">
        <v>0.5</v>
      </c>
      <c r="F48" s="6">
        <f>HAVER!C124-HAVER!$B124</f>
        <v>-1.1200000000000099E-2</v>
      </c>
      <c r="G48" s="6">
        <f>HAVER!D124-HAVER!$B124</f>
        <v>-5.7199999999999918E-2</v>
      </c>
    </row>
    <row r="49" spans="1:7" x14ac:dyDescent="0.25">
      <c r="A49" s="5">
        <f t="shared" si="2"/>
        <v>45944</v>
      </c>
      <c r="B49" s="7">
        <f t="shared" si="0"/>
        <v>9.7599999999999909E-2</v>
      </c>
      <c r="C49" s="7">
        <f t="shared" si="1"/>
        <v>0.33760000000000012</v>
      </c>
      <c r="D49" s="7">
        <v>0.5</v>
      </c>
      <c r="F49" s="6">
        <f>HAVER!C125-HAVER!$B125</f>
        <v>-2.4399999999999977E-2</v>
      </c>
      <c r="G49" s="6">
        <f>HAVER!D125-HAVER!$B125</f>
        <v>-8.4400000000000031E-2</v>
      </c>
    </row>
    <row r="50" spans="1:7" x14ac:dyDescent="0.25">
      <c r="A50" s="5">
        <f t="shared" si="2"/>
        <v>45945</v>
      </c>
      <c r="B50" s="7">
        <f t="shared" si="0"/>
        <v>8.8400000000000034E-2</v>
      </c>
      <c r="C50" s="7">
        <f t="shared" si="1"/>
        <v>0.35639999999999894</v>
      </c>
      <c r="D50" s="7">
        <v>0.5</v>
      </c>
      <c r="F50" s="6">
        <f>HAVER!C126-HAVER!$B126</f>
        <v>-2.2100000000000009E-2</v>
      </c>
      <c r="G50" s="6">
        <f>HAVER!D126-HAVER!$B126</f>
        <v>-8.9099999999999735E-2</v>
      </c>
    </row>
    <row r="51" spans="1:7" x14ac:dyDescent="0.25">
      <c r="A51" s="5">
        <f t="shared" si="2"/>
        <v>45946</v>
      </c>
      <c r="B51" s="7">
        <f t="shared" si="0"/>
        <v>9.0400000000000702E-2</v>
      </c>
      <c r="C51" s="7">
        <f t="shared" si="1"/>
        <v>0.40639999999999965</v>
      </c>
      <c r="D51" s="7">
        <v>0.5</v>
      </c>
      <c r="F51" s="6">
        <f>HAVER!C127-HAVER!$B127</f>
        <v>-2.2600000000000176E-2</v>
      </c>
      <c r="G51" s="6">
        <f>HAVER!D127-HAVER!$B127</f>
        <v>-0.10159999999999991</v>
      </c>
    </row>
    <row r="52" spans="1:7" x14ac:dyDescent="0.25">
      <c r="A52" s="5">
        <f t="shared" si="2"/>
        <v>45947</v>
      </c>
      <c r="B52" s="7">
        <f t="shared" si="0"/>
        <v>8.8799999999999102E-2</v>
      </c>
      <c r="C52" s="7">
        <f t="shared" si="1"/>
        <v>0.37679999999999936</v>
      </c>
      <c r="D52" s="7">
        <v>0.5</v>
      </c>
      <c r="F52" s="6">
        <f>HAVER!C128-HAVER!$B128</f>
        <v>-2.2199999999999775E-2</v>
      </c>
      <c r="G52" s="6">
        <f>HAVER!D128-HAVER!$B128</f>
        <v>-9.4199999999999839E-2</v>
      </c>
    </row>
    <row r="53" spans="1:7" x14ac:dyDescent="0.25">
      <c r="A53" s="5">
        <f t="shared" si="2"/>
        <v>45950</v>
      </c>
      <c r="B53" s="7">
        <f t="shared" si="0"/>
        <v>0.10880000000000045</v>
      </c>
      <c r="C53" s="7">
        <f t="shared" si="1"/>
        <v>0.39279999999999937</v>
      </c>
      <c r="D53" s="7">
        <v>0.5</v>
      </c>
      <c r="F53" s="6">
        <f>HAVER!C129-HAVER!$B129</f>
        <v>-2.7200000000000113E-2</v>
      </c>
      <c r="G53" s="6">
        <f>HAVER!D129-HAVER!$B129</f>
        <v>-9.8199999999999843E-2</v>
      </c>
    </row>
    <row r="54" spans="1:7" x14ac:dyDescent="0.25">
      <c r="A54" s="5">
        <f t="shared" si="2"/>
        <v>45951</v>
      </c>
      <c r="B54" s="7">
        <f t="shared" si="0"/>
        <v>0.10319999999999929</v>
      </c>
      <c r="C54" s="7">
        <f t="shared" si="1"/>
        <v>0.37519999999999953</v>
      </c>
      <c r="D54" s="7">
        <v>0.5</v>
      </c>
      <c r="F54" s="6">
        <f>HAVER!C130-HAVER!$B130</f>
        <v>-2.5799999999999823E-2</v>
      </c>
      <c r="G54" s="6">
        <f>HAVER!D130-HAVER!$B130</f>
        <v>-9.3799999999999883E-2</v>
      </c>
    </row>
    <row r="55" spans="1:7" x14ac:dyDescent="0.25">
      <c r="A55" s="5">
        <f>+A50+7</f>
        <v>45952</v>
      </c>
      <c r="B55" s="7">
        <f t="shared" si="0"/>
        <v>0.35480000000000089</v>
      </c>
      <c r="C55" s="7">
        <f t="shared" si="1"/>
        <v>0.69080000000000119</v>
      </c>
      <c r="D55" s="7">
        <v>0.5</v>
      </c>
      <c r="F55" s="6">
        <f>HAVER!C131-HAVER!$B131</f>
        <v>-8.8700000000000223E-2</v>
      </c>
      <c r="G55" s="6">
        <f>HAVER!D131-HAVER!$B131</f>
        <v>-0.1727000000000003</v>
      </c>
    </row>
    <row r="56" spans="1:7" x14ac:dyDescent="0.25">
      <c r="A56" s="5">
        <f t="shared" si="2"/>
        <v>45953</v>
      </c>
      <c r="B56" s="7">
        <f t="shared" si="0"/>
        <v>0.30840000000000067</v>
      </c>
      <c r="C56" s="7">
        <f t="shared" si="1"/>
        <v>0.67239999999999966</v>
      </c>
      <c r="D56" s="7">
        <v>0.5</v>
      </c>
      <c r="F56" s="6">
        <f>HAVER!C132-HAVER!$B132</f>
        <v>-7.7100000000000168E-2</v>
      </c>
      <c r="G56" s="6">
        <f>HAVER!D132-HAVER!$B132</f>
        <v>-0.16809999999999992</v>
      </c>
    </row>
    <row r="57" spans="1:7" x14ac:dyDescent="0.25">
      <c r="A57" s="5">
        <f t="shared" si="2"/>
        <v>45954</v>
      </c>
      <c r="B57" s="7">
        <f t="shared" si="0"/>
        <v>0.20439999999999969</v>
      </c>
      <c r="C57" s="7">
        <f t="shared" si="1"/>
        <v>0.60040000000000049</v>
      </c>
      <c r="D57" s="7">
        <v>0.5</v>
      </c>
      <c r="F57" s="6">
        <f>HAVER!C133-HAVER!$B133</f>
        <v>-5.1099999999999923E-2</v>
      </c>
      <c r="G57" s="6">
        <f>HAVER!D133-HAVER!$B133</f>
        <v>-0.15010000000000012</v>
      </c>
    </row>
    <row r="58" spans="1:7" x14ac:dyDescent="0.25">
      <c r="A58" s="5">
        <f t="shared" si="2"/>
        <v>45957</v>
      </c>
      <c r="B58" s="7">
        <f t="shared" si="0"/>
        <v>0.22119999999999962</v>
      </c>
      <c r="C58" s="7">
        <f t="shared" si="1"/>
        <v>0.59319999999999951</v>
      </c>
      <c r="D58" s="7">
        <v>0.5</v>
      </c>
      <c r="F58" s="6">
        <f>HAVER!C134-HAVER!$B134</f>
        <v>-5.5299999999999905E-2</v>
      </c>
      <c r="G58" s="6">
        <f>HAVER!D134-HAVER!$B134</f>
        <v>-0.14829999999999988</v>
      </c>
    </row>
    <row r="59" spans="1:7" x14ac:dyDescent="0.25">
      <c r="A59" s="5">
        <f t="shared" si="2"/>
        <v>45958</v>
      </c>
      <c r="B59" s="7">
        <f t="shared" si="0"/>
        <v>0.27759999999999962</v>
      </c>
      <c r="C59" s="7">
        <f t="shared" si="1"/>
        <v>0.65359999999999907</v>
      </c>
      <c r="D59" s="7">
        <v>0.5</v>
      </c>
      <c r="F59" s="6">
        <f>HAVER!C135-HAVER!$B135</f>
        <v>-6.9399999999999906E-2</v>
      </c>
      <c r="G59" s="6">
        <f>HAVER!D135-HAVER!$B135</f>
        <v>-0.16339999999999977</v>
      </c>
    </row>
    <row r="60" spans="1:7" x14ac:dyDescent="0.25">
      <c r="A60" s="5">
        <f t="shared" si="2"/>
        <v>45959</v>
      </c>
      <c r="B60" s="7">
        <f t="shared" si="0"/>
        <v>0.25359999999999872</v>
      </c>
      <c r="C60" s="7">
        <f t="shared" si="1"/>
        <v>0.62959999999999994</v>
      </c>
      <c r="D60" s="7">
        <v>0.5</v>
      </c>
      <c r="F60" s="6">
        <f>HAVER!C136-HAVER!$B136</f>
        <v>-6.3399999999999679E-2</v>
      </c>
      <c r="G60" s="6">
        <f>HAVER!D136-HAVER!$B136</f>
        <v>-0.15739999999999998</v>
      </c>
    </row>
    <row r="61" spans="1:7" x14ac:dyDescent="0.25">
      <c r="A61" s="5">
        <f t="shared" si="2"/>
        <v>45960</v>
      </c>
      <c r="B61" s="7">
        <f t="shared" ref="B61" si="3">IF(F61&lt;0,-F61/0.25,F61/0.25)</f>
        <v>0.22959999999999958</v>
      </c>
      <c r="C61" s="7">
        <f t="shared" ref="C61" si="4">IF(G61&lt;0,-G61/0.25,G61/0.25)</f>
        <v>0.59759999999999991</v>
      </c>
      <c r="D61" s="7">
        <v>0.5</v>
      </c>
      <c r="F61" s="6">
        <f>HAVER!C137-HAVER!$B137</f>
        <v>-5.7399999999999896E-2</v>
      </c>
      <c r="G61" s="6">
        <f>HAVER!D137-HAVER!$B137</f>
        <v>-0.14939999999999998</v>
      </c>
    </row>
    <row r="62" spans="1:7" x14ac:dyDescent="0.25">
      <c r="A62" s="5">
        <f t="shared" si="2"/>
        <v>45961</v>
      </c>
      <c r="B62" s="7"/>
      <c r="C62" s="7"/>
      <c r="D62" s="7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EB58-D21F-421B-97FE-121274FA0CD0}">
  <dimension ref="A1:F137"/>
  <sheetViews>
    <sheetView workbookViewId="0">
      <pane xSplit="1" ySplit="6" topLeftCell="B121" activePane="bottomRight" state="frozen"/>
      <selection pane="topRight" activeCell="B1" sqref="B1"/>
      <selection pane="bottomLeft" activeCell="A7" sqref="A7"/>
      <selection pane="bottomRight" activeCell="B137" sqref="B137"/>
    </sheetView>
  </sheetViews>
  <sheetFormatPr defaultRowHeight="15" x14ac:dyDescent="0.25"/>
  <cols>
    <col min="2" max="6" width="24.7109375" customWidth="1"/>
  </cols>
  <sheetData>
    <row r="1" spans="1:6" x14ac:dyDescent="0.2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s="3" customFormat="1" ht="45" x14ac:dyDescent="0.25">
      <c r="A2" s="3" t="s">
        <v>11</v>
      </c>
      <c r="B2" s="3" t="s">
        <v>16</v>
      </c>
      <c r="C2" s="3" t="s">
        <v>19</v>
      </c>
      <c r="D2" s="3" t="s">
        <v>20</v>
      </c>
      <c r="E2" s="3" t="s">
        <v>21</v>
      </c>
      <c r="F2" s="3" t="s">
        <v>22</v>
      </c>
    </row>
    <row r="3" spans="1:6" x14ac:dyDescent="0.25">
      <c r="A3" t="s">
        <v>10</v>
      </c>
      <c r="B3" t="s">
        <v>15</v>
      </c>
      <c r="C3" t="s">
        <v>18</v>
      </c>
      <c r="D3" t="s">
        <v>18</v>
      </c>
      <c r="E3" t="s">
        <v>18</v>
      </c>
      <c r="F3" t="s">
        <v>18</v>
      </c>
    </row>
    <row r="4" spans="1:6" x14ac:dyDescent="0.25">
      <c r="A4" t="s">
        <v>9</v>
      </c>
      <c r="B4" t="s">
        <v>14</v>
      </c>
      <c r="C4" t="s">
        <v>157</v>
      </c>
      <c r="D4" t="s">
        <v>157</v>
      </c>
      <c r="E4" t="s">
        <v>157</v>
      </c>
      <c r="F4" t="s">
        <v>157</v>
      </c>
    </row>
    <row r="5" spans="1:6" x14ac:dyDescent="0.25">
      <c r="A5" t="s">
        <v>8</v>
      </c>
      <c r="B5" t="s">
        <v>13</v>
      </c>
      <c r="C5" t="s">
        <v>17</v>
      </c>
      <c r="D5" t="s">
        <v>17</v>
      </c>
      <c r="E5" t="s">
        <v>17</v>
      </c>
      <c r="F5" t="s">
        <v>17</v>
      </c>
    </row>
    <row r="6" spans="1:6" x14ac:dyDescent="0.25">
      <c r="A6" t="s">
        <v>7</v>
      </c>
      <c r="B6" t="s">
        <v>12</v>
      </c>
      <c r="C6" t="s">
        <v>156</v>
      </c>
      <c r="D6" t="s">
        <v>156</v>
      </c>
      <c r="E6" t="s">
        <v>156</v>
      </c>
      <c r="F6" t="s">
        <v>156</v>
      </c>
    </row>
    <row r="7" spans="1:6" x14ac:dyDescent="0.25">
      <c r="A7" t="s">
        <v>6</v>
      </c>
      <c r="B7" s="2">
        <v>4.4585999999999997</v>
      </c>
      <c r="C7" s="2">
        <v>4.2</v>
      </c>
      <c r="D7" s="2">
        <v>4.0620000000000003</v>
      </c>
      <c r="E7" s="2">
        <v>3.8519999999999999</v>
      </c>
      <c r="F7" s="2">
        <v>3.7149999999999999</v>
      </c>
    </row>
    <row r="8" spans="1:6" x14ac:dyDescent="0.25">
      <c r="A8" t="s">
        <v>23</v>
      </c>
      <c r="B8" s="2">
        <v>4.4593999999999996</v>
      </c>
      <c r="C8" s="2">
        <v>4.2039999999999997</v>
      </c>
      <c r="D8" s="2">
        <v>4.0750000000000002</v>
      </c>
      <c r="E8" s="2">
        <v>3.8730000000000002</v>
      </c>
      <c r="F8" s="2">
        <v>3.7349999999999999</v>
      </c>
    </row>
    <row r="9" spans="1:6" x14ac:dyDescent="0.25">
      <c r="A9" t="s">
        <v>24</v>
      </c>
      <c r="B9" s="2" t="e">
        <v>#N/A</v>
      </c>
      <c r="C9" s="2">
        <v>4.2080000000000002</v>
      </c>
      <c r="D9" s="2">
        <v>4.0780000000000003</v>
      </c>
      <c r="E9" s="2">
        <v>3.875</v>
      </c>
      <c r="F9" s="2">
        <v>3.74</v>
      </c>
    </row>
    <row r="10" spans="1:6" x14ac:dyDescent="0.25">
      <c r="A10" t="s">
        <v>25</v>
      </c>
      <c r="B10" s="2">
        <v>4.4589999999999996</v>
      </c>
      <c r="C10" s="2">
        <v>4.2</v>
      </c>
      <c r="D10" s="2">
        <v>4.0679999999999996</v>
      </c>
      <c r="E10" s="2">
        <v>3.8660000000000001</v>
      </c>
      <c r="F10" s="2">
        <v>3.7250000000000001</v>
      </c>
    </row>
    <row r="11" spans="1:6" x14ac:dyDescent="0.25">
      <c r="A11" t="s">
        <v>26</v>
      </c>
      <c r="B11" s="2">
        <v>4.4600999999999997</v>
      </c>
      <c r="C11" s="2">
        <v>4.2039999999999997</v>
      </c>
      <c r="D11" s="2">
        <v>4.0730000000000004</v>
      </c>
      <c r="E11" s="2">
        <v>3.8719999999999999</v>
      </c>
      <c r="F11" s="2">
        <v>3.726</v>
      </c>
    </row>
    <row r="12" spans="1:6" x14ac:dyDescent="0.25">
      <c r="A12" t="s">
        <v>27</v>
      </c>
      <c r="B12" s="2">
        <v>4.21</v>
      </c>
      <c r="C12" s="2">
        <v>4.2190000000000003</v>
      </c>
      <c r="D12" s="2">
        <v>4.1719999999999997</v>
      </c>
      <c r="E12" s="2">
        <v>3.9870000000000001</v>
      </c>
      <c r="F12" s="2">
        <v>3.8759999999999999</v>
      </c>
    </row>
    <row r="13" spans="1:6" x14ac:dyDescent="0.25">
      <c r="A13" t="s">
        <v>28</v>
      </c>
      <c r="B13" s="2">
        <v>4.2103000000000002</v>
      </c>
      <c r="C13" s="2">
        <v>4.1660000000000004</v>
      </c>
      <c r="D13" s="2">
        <v>3.976</v>
      </c>
      <c r="E13" s="2">
        <v>3.8730000000000002</v>
      </c>
      <c r="F13" s="2">
        <v>3.7120000000000002</v>
      </c>
    </row>
    <row r="14" spans="1:6" x14ac:dyDescent="0.25">
      <c r="A14" t="s">
        <v>29</v>
      </c>
      <c r="B14" s="2">
        <v>4.21</v>
      </c>
      <c r="C14" s="2">
        <v>4.1900000000000004</v>
      </c>
      <c r="D14" s="2">
        <v>4.01</v>
      </c>
      <c r="E14" s="2">
        <v>3.9340000000000002</v>
      </c>
      <c r="F14" s="2">
        <v>3.7919999999999998</v>
      </c>
    </row>
    <row r="15" spans="1:6" x14ac:dyDescent="0.25">
      <c r="A15" t="s">
        <v>30</v>
      </c>
      <c r="B15" s="2">
        <v>4.2106000000000003</v>
      </c>
      <c r="C15" s="2">
        <v>4.1950000000000003</v>
      </c>
      <c r="D15" s="2">
        <v>4.0179999999999998</v>
      </c>
      <c r="E15" s="2">
        <v>3.9460000000000002</v>
      </c>
      <c r="F15" s="2">
        <v>3.798</v>
      </c>
    </row>
    <row r="16" spans="1:6" x14ac:dyDescent="0.25">
      <c r="A16" t="s">
        <v>31</v>
      </c>
      <c r="B16" s="2">
        <v>4.2107999999999999</v>
      </c>
      <c r="C16" s="2">
        <v>4.1989999999999998</v>
      </c>
      <c r="D16" s="2">
        <v>4.0410000000000004</v>
      </c>
      <c r="E16" s="2">
        <v>3.984</v>
      </c>
      <c r="F16" s="2">
        <v>3.8530000000000002</v>
      </c>
    </row>
    <row r="17" spans="1:6" x14ac:dyDescent="0.25">
      <c r="A17" t="s">
        <v>32</v>
      </c>
      <c r="B17" s="2">
        <v>4.2111000000000001</v>
      </c>
      <c r="C17" s="2">
        <v>4.1989999999999998</v>
      </c>
      <c r="D17" s="2">
        <v>4.0380000000000003</v>
      </c>
      <c r="E17" s="2">
        <v>3.9710000000000001</v>
      </c>
      <c r="F17" s="2">
        <v>3.8330000000000002</v>
      </c>
    </row>
    <row r="18" spans="1:6" x14ac:dyDescent="0.25">
      <c r="A18" t="s">
        <v>33</v>
      </c>
      <c r="B18" s="2">
        <v>4.2106000000000003</v>
      </c>
      <c r="C18" s="2">
        <v>4.202</v>
      </c>
      <c r="D18" s="2">
        <v>4.0490000000000004</v>
      </c>
      <c r="E18" s="2">
        <v>3.98</v>
      </c>
      <c r="F18" s="2">
        <v>3.8460000000000001</v>
      </c>
    </row>
    <row r="19" spans="1:6" x14ac:dyDescent="0.25">
      <c r="A19" t="s">
        <v>34</v>
      </c>
      <c r="B19" s="2">
        <v>4.2108999999999996</v>
      </c>
      <c r="C19" s="2">
        <v>4.1989999999999998</v>
      </c>
      <c r="D19" s="2">
        <v>4.0410000000000004</v>
      </c>
      <c r="E19" s="2">
        <v>3.9809999999999999</v>
      </c>
      <c r="F19" s="2">
        <v>3.8530000000000002</v>
      </c>
    </row>
    <row r="20" spans="1:6" x14ac:dyDescent="0.25">
      <c r="A20" t="s">
        <v>35</v>
      </c>
      <c r="B20" s="2">
        <v>4.2107999999999999</v>
      </c>
      <c r="C20" s="2">
        <v>4.2030000000000003</v>
      </c>
      <c r="D20" s="2">
        <v>4.056</v>
      </c>
      <c r="E20" s="2">
        <v>3.996</v>
      </c>
      <c r="F20" s="2">
        <v>3.8719999999999999</v>
      </c>
    </row>
    <row r="21" spans="1:6" x14ac:dyDescent="0.25">
      <c r="A21" t="s">
        <v>36</v>
      </c>
      <c r="B21" s="2">
        <v>4.2115</v>
      </c>
      <c r="C21" s="2">
        <v>4.2130000000000001</v>
      </c>
      <c r="D21" s="2">
        <v>4.0949999999999998</v>
      </c>
      <c r="E21" s="2">
        <v>4.0350000000000001</v>
      </c>
      <c r="F21" s="2">
        <v>3.9079999999999999</v>
      </c>
    </row>
    <row r="22" spans="1:6" x14ac:dyDescent="0.25">
      <c r="A22" t="s">
        <v>37</v>
      </c>
      <c r="B22" s="2">
        <v>4.2114000000000003</v>
      </c>
      <c r="C22" s="2">
        <v>4.2130000000000001</v>
      </c>
      <c r="D22" s="2">
        <v>4.09</v>
      </c>
      <c r="E22" s="2">
        <v>4.0250000000000004</v>
      </c>
      <c r="F22" s="2">
        <v>3.89</v>
      </c>
    </row>
    <row r="23" spans="1:6" x14ac:dyDescent="0.25">
      <c r="A23" t="s">
        <v>38</v>
      </c>
      <c r="B23" s="2">
        <v>4.2107999999999999</v>
      </c>
      <c r="C23" s="2">
        <v>4.2149999999999999</v>
      </c>
      <c r="D23" s="2">
        <v>4.0880000000000001</v>
      </c>
      <c r="E23" s="2">
        <v>4.0279999999999996</v>
      </c>
      <c r="F23" s="2">
        <v>3.8839999999999999</v>
      </c>
    </row>
    <row r="24" spans="1:6" x14ac:dyDescent="0.25">
      <c r="A24" t="s">
        <v>39</v>
      </c>
      <c r="B24" s="2" t="e">
        <v>#N/A</v>
      </c>
      <c r="C24" s="2">
        <v>4.218</v>
      </c>
      <c r="D24" s="2">
        <v>4.093</v>
      </c>
      <c r="E24" s="2">
        <v>4.0330000000000004</v>
      </c>
      <c r="F24" s="2">
        <v>3.8839999999999999</v>
      </c>
    </row>
    <row r="25" spans="1:6" x14ac:dyDescent="0.25">
      <c r="A25" t="s">
        <v>40</v>
      </c>
      <c r="B25" s="2">
        <v>4.2107000000000001</v>
      </c>
      <c r="C25" s="2">
        <v>4.218</v>
      </c>
      <c r="D25" s="2">
        <v>4.1020000000000003</v>
      </c>
      <c r="E25" s="2">
        <v>4.0519999999999996</v>
      </c>
      <c r="F25" s="2">
        <v>3.9119999999999999</v>
      </c>
    </row>
    <row r="26" spans="1:6" x14ac:dyDescent="0.25">
      <c r="A26" t="s">
        <v>41</v>
      </c>
      <c r="B26" s="2">
        <v>4.2103999999999999</v>
      </c>
      <c r="C26" s="2">
        <v>4.2190000000000003</v>
      </c>
      <c r="D26" s="2">
        <v>4.1040000000000001</v>
      </c>
      <c r="E26" s="2">
        <v>4.0609999999999999</v>
      </c>
      <c r="F26" s="2">
        <v>3.9239999999999999</v>
      </c>
    </row>
    <row r="27" spans="1:6" x14ac:dyDescent="0.25">
      <c r="A27" t="s">
        <v>42</v>
      </c>
      <c r="B27" s="2">
        <v>4.2107000000000001</v>
      </c>
      <c r="C27" s="2">
        <v>4.2169999999999996</v>
      </c>
      <c r="D27" s="2">
        <v>4.101</v>
      </c>
      <c r="E27" s="2">
        <v>4.056</v>
      </c>
      <c r="F27" s="2">
        <v>3.907</v>
      </c>
    </row>
    <row r="28" spans="1:6" x14ac:dyDescent="0.25">
      <c r="A28" t="s">
        <v>43</v>
      </c>
      <c r="B28" s="2">
        <v>4.2111000000000001</v>
      </c>
      <c r="C28" s="2">
        <v>4.21</v>
      </c>
      <c r="D28" s="2">
        <v>4.0979999999999999</v>
      </c>
      <c r="E28" s="2">
        <v>4.0529999999999999</v>
      </c>
      <c r="F28" s="2">
        <v>3.9089999999999998</v>
      </c>
    </row>
    <row r="29" spans="1:6" x14ac:dyDescent="0.25">
      <c r="A29" t="s">
        <v>44</v>
      </c>
      <c r="B29" s="2">
        <v>4.2111999999999998</v>
      </c>
      <c r="C29" s="2">
        <v>4.2160000000000002</v>
      </c>
      <c r="D29" s="2">
        <v>4.0999999999999996</v>
      </c>
      <c r="E29" s="2">
        <v>4.056</v>
      </c>
      <c r="F29" s="2">
        <v>3.9159999999999999</v>
      </c>
    </row>
    <row r="30" spans="1:6" x14ac:dyDescent="0.25">
      <c r="A30" t="s">
        <v>45</v>
      </c>
      <c r="B30" s="2">
        <v>4.2111999999999998</v>
      </c>
      <c r="C30" s="2">
        <v>4.2169999999999996</v>
      </c>
      <c r="D30" s="2">
        <v>4.0739999999999998</v>
      </c>
      <c r="E30" s="2">
        <v>4.0279999999999996</v>
      </c>
      <c r="F30" s="2">
        <v>3.8889999999999998</v>
      </c>
    </row>
    <row r="31" spans="1:6" x14ac:dyDescent="0.25">
      <c r="A31" t="s">
        <v>46</v>
      </c>
      <c r="B31" s="2">
        <v>4.2111000000000001</v>
      </c>
      <c r="C31" s="2">
        <v>4.2130000000000001</v>
      </c>
      <c r="D31" s="2">
        <v>4.0650000000000004</v>
      </c>
      <c r="E31" s="2">
        <v>4.016</v>
      </c>
      <c r="F31" s="2">
        <v>3.8690000000000002</v>
      </c>
    </row>
    <row r="32" spans="1:6" x14ac:dyDescent="0.25">
      <c r="A32" t="s">
        <v>47</v>
      </c>
      <c r="B32" s="2">
        <v>4.2119</v>
      </c>
      <c r="C32" s="2">
        <v>4.2169999999999996</v>
      </c>
      <c r="D32" s="2">
        <v>4.0629999999999997</v>
      </c>
      <c r="E32" s="2">
        <v>4.0190000000000001</v>
      </c>
      <c r="F32" s="2">
        <v>3.8769999999999998</v>
      </c>
    </row>
    <row r="33" spans="1:6" x14ac:dyDescent="0.25">
      <c r="A33" t="s">
        <v>48</v>
      </c>
      <c r="B33" s="2">
        <v>4.2118000000000002</v>
      </c>
      <c r="C33" s="2">
        <v>4.2160000000000002</v>
      </c>
      <c r="D33" s="2">
        <v>4.0620000000000003</v>
      </c>
      <c r="E33" s="2">
        <v>4.0250000000000004</v>
      </c>
      <c r="F33" s="2">
        <v>3.891</v>
      </c>
    </row>
    <row r="34" spans="1:6" x14ac:dyDescent="0.25">
      <c r="A34" t="s">
        <v>49</v>
      </c>
      <c r="B34" s="2">
        <v>4.2127999999999997</v>
      </c>
      <c r="C34" s="2">
        <v>4.2140000000000004</v>
      </c>
      <c r="D34" s="2">
        <v>4.0540000000000003</v>
      </c>
      <c r="E34" s="2">
        <v>4.01</v>
      </c>
      <c r="F34" s="2">
        <v>3.867</v>
      </c>
    </row>
    <row r="35" spans="1:6" x14ac:dyDescent="0.25">
      <c r="A35" t="s">
        <v>50</v>
      </c>
      <c r="B35" s="2">
        <v>4.2126000000000001</v>
      </c>
      <c r="C35" s="2">
        <v>4.2069999999999999</v>
      </c>
      <c r="D35" s="2">
        <v>4.0170000000000003</v>
      </c>
      <c r="E35" s="2">
        <v>3.9569999999999999</v>
      </c>
      <c r="F35" s="2">
        <v>3.802</v>
      </c>
    </row>
    <row r="36" spans="1:6" x14ac:dyDescent="0.25">
      <c r="A36" t="s">
        <v>51</v>
      </c>
      <c r="B36" s="2">
        <v>4.2129000000000003</v>
      </c>
      <c r="C36" s="2">
        <v>4.2080000000000002</v>
      </c>
      <c r="D36" s="2">
        <v>4.0179999999999998</v>
      </c>
      <c r="E36" s="2">
        <v>3.956</v>
      </c>
      <c r="F36" s="2">
        <v>3.8010000000000002</v>
      </c>
    </row>
    <row r="37" spans="1:6" x14ac:dyDescent="0.25">
      <c r="A37" t="s">
        <v>52</v>
      </c>
      <c r="B37" s="2">
        <v>4.2126000000000001</v>
      </c>
      <c r="C37" s="2">
        <v>4.2050000000000001</v>
      </c>
      <c r="D37" s="2">
        <v>4.01</v>
      </c>
      <c r="E37" s="2">
        <v>3.9430000000000001</v>
      </c>
      <c r="F37" s="2">
        <v>3.778</v>
      </c>
    </row>
    <row r="38" spans="1:6" x14ac:dyDescent="0.25">
      <c r="A38" t="s">
        <v>53</v>
      </c>
      <c r="B38" s="2">
        <v>4.2126999999999999</v>
      </c>
      <c r="C38" s="2">
        <v>4.2089999999999996</v>
      </c>
      <c r="D38" s="2">
        <v>4.0170000000000003</v>
      </c>
      <c r="E38" s="2">
        <v>3.9649999999999999</v>
      </c>
      <c r="F38" s="2">
        <v>3.8149999999999999</v>
      </c>
    </row>
    <row r="39" spans="1:6" x14ac:dyDescent="0.25">
      <c r="A39" t="s">
        <v>54</v>
      </c>
      <c r="B39" s="2">
        <v>4.2148000000000003</v>
      </c>
      <c r="C39" s="2">
        <v>4.2119999999999997</v>
      </c>
      <c r="D39" s="2">
        <v>4.024</v>
      </c>
      <c r="E39" s="2">
        <v>3.9630000000000001</v>
      </c>
      <c r="F39" s="2">
        <v>3.8050000000000002</v>
      </c>
    </row>
    <row r="40" spans="1:6" x14ac:dyDescent="0.25">
      <c r="A40" t="s">
        <v>55</v>
      </c>
      <c r="B40" s="2">
        <v>4.2160000000000002</v>
      </c>
      <c r="C40" s="2">
        <v>4.2140000000000004</v>
      </c>
      <c r="D40" s="2">
        <v>4.0250000000000004</v>
      </c>
      <c r="E40" s="2">
        <v>3.9660000000000002</v>
      </c>
      <c r="F40" s="2">
        <v>3.8109999999999999</v>
      </c>
    </row>
    <row r="41" spans="1:6" x14ac:dyDescent="0.25">
      <c r="A41" t="s">
        <v>56</v>
      </c>
      <c r="B41" s="2">
        <v>4.2163000000000004</v>
      </c>
      <c r="C41" s="2">
        <v>4.2220000000000004</v>
      </c>
      <c r="D41" s="2">
        <v>4.0309999999999997</v>
      </c>
      <c r="E41" s="2">
        <v>3.9769999999999999</v>
      </c>
      <c r="F41" s="2">
        <v>3.8239999999999998</v>
      </c>
    </row>
    <row r="42" spans="1:6" x14ac:dyDescent="0.25">
      <c r="A42" t="s">
        <v>57</v>
      </c>
      <c r="B42" s="2">
        <v>4.2168999999999999</v>
      </c>
      <c r="C42" s="2">
        <v>4.226</v>
      </c>
      <c r="D42" s="2">
        <v>4.03</v>
      </c>
      <c r="E42" s="2">
        <v>3.968</v>
      </c>
      <c r="F42" s="2">
        <v>3.8109999999999999</v>
      </c>
    </row>
    <row r="43" spans="1:6" x14ac:dyDescent="0.25">
      <c r="A43" t="s">
        <v>58</v>
      </c>
      <c r="B43" s="2">
        <v>4.2164000000000001</v>
      </c>
      <c r="C43" s="2">
        <v>4.0270000000000001</v>
      </c>
      <c r="D43" s="2">
        <v>3.9630000000000001</v>
      </c>
      <c r="E43" s="2">
        <v>3.8039999999999998</v>
      </c>
      <c r="F43" s="2">
        <v>3.7330000000000001</v>
      </c>
    </row>
    <row r="44" spans="1:6" x14ac:dyDescent="0.25">
      <c r="A44" t="s">
        <v>59</v>
      </c>
      <c r="B44" s="2">
        <v>4.2165999999999997</v>
      </c>
      <c r="C44" s="2">
        <v>4.0220000000000002</v>
      </c>
      <c r="D44" s="2">
        <v>3.9649999999999999</v>
      </c>
      <c r="E44" s="2">
        <v>3.802</v>
      </c>
      <c r="F44" s="2">
        <v>3.72</v>
      </c>
    </row>
    <row r="45" spans="1:6" x14ac:dyDescent="0.25">
      <c r="A45" t="s">
        <v>60</v>
      </c>
      <c r="B45" s="2">
        <v>4.2169999999999996</v>
      </c>
      <c r="C45" s="2">
        <v>4.0190000000000001</v>
      </c>
      <c r="D45" s="2">
        <v>3.9540000000000002</v>
      </c>
      <c r="E45" s="2">
        <v>3.7850000000000001</v>
      </c>
      <c r="F45" s="2">
        <v>3.7029999999999998</v>
      </c>
    </row>
    <row r="46" spans="1:6" x14ac:dyDescent="0.25">
      <c r="A46" t="s">
        <v>61</v>
      </c>
      <c r="B46" s="2">
        <v>4.2172000000000001</v>
      </c>
      <c r="C46" s="2">
        <v>4.0129999999999999</v>
      </c>
      <c r="D46" s="2">
        <v>3.9430000000000001</v>
      </c>
      <c r="E46" s="2">
        <v>3.7690000000000001</v>
      </c>
      <c r="F46" s="2">
        <v>3.6789999999999998</v>
      </c>
    </row>
    <row r="47" spans="1:6" x14ac:dyDescent="0.25">
      <c r="A47" t="s">
        <v>62</v>
      </c>
      <c r="B47" s="2">
        <v>4.2169999999999996</v>
      </c>
      <c r="C47" s="2">
        <v>4.0149999999999997</v>
      </c>
      <c r="D47" s="2">
        <v>3.9489999999999998</v>
      </c>
      <c r="E47" s="2">
        <v>3.7719999999999998</v>
      </c>
      <c r="F47" s="2">
        <v>3.6739999999999999</v>
      </c>
    </row>
    <row r="48" spans="1:6" x14ac:dyDescent="0.25">
      <c r="A48" t="s">
        <v>63</v>
      </c>
      <c r="B48" s="2">
        <v>4.2172000000000001</v>
      </c>
      <c r="C48" s="2">
        <v>4.016</v>
      </c>
      <c r="D48" s="2">
        <v>3.9529999999999998</v>
      </c>
      <c r="E48" s="2">
        <v>3.7829999999999999</v>
      </c>
      <c r="F48" s="2">
        <v>3.6869999999999998</v>
      </c>
    </row>
    <row r="49" spans="1:6" x14ac:dyDescent="0.25">
      <c r="A49" t="s">
        <v>64</v>
      </c>
      <c r="B49" s="2">
        <v>4.2171000000000003</v>
      </c>
      <c r="C49" s="2">
        <v>4.0119999999999996</v>
      </c>
      <c r="D49" s="2">
        <v>3.9359999999999999</v>
      </c>
      <c r="E49" s="2">
        <v>3.7629999999999999</v>
      </c>
      <c r="F49" s="2">
        <v>3.6619999999999999</v>
      </c>
    </row>
    <row r="50" spans="1:6" x14ac:dyDescent="0.25">
      <c r="A50" t="s">
        <v>65</v>
      </c>
      <c r="B50" s="2">
        <v>4.2176</v>
      </c>
      <c r="C50" s="2">
        <v>4.0069999999999997</v>
      </c>
      <c r="D50" s="2">
        <v>3.9350000000000001</v>
      </c>
      <c r="E50" s="2">
        <v>3.7629999999999999</v>
      </c>
      <c r="F50" s="2">
        <v>3.6720000000000002</v>
      </c>
    </row>
    <row r="51" spans="1:6" x14ac:dyDescent="0.25">
      <c r="A51" t="s">
        <v>66</v>
      </c>
      <c r="B51" s="2">
        <v>4.2171000000000003</v>
      </c>
      <c r="C51" s="2">
        <v>4.008</v>
      </c>
      <c r="D51" s="2">
        <v>3.9430000000000001</v>
      </c>
      <c r="E51" s="2">
        <v>3.774</v>
      </c>
      <c r="F51" s="2">
        <v>3.6909999999999998</v>
      </c>
    </row>
    <row r="52" spans="1:6" x14ac:dyDescent="0.25">
      <c r="A52" t="s">
        <v>67</v>
      </c>
      <c r="B52" s="2">
        <v>4.2172999999999998</v>
      </c>
      <c r="C52" s="2">
        <v>4.0039999999999996</v>
      </c>
      <c r="D52" s="2">
        <v>3.9359999999999999</v>
      </c>
      <c r="E52" s="2">
        <v>3.7650000000000001</v>
      </c>
      <c r="F52" s="2">
        <v>3.6819999999999999</v>
      </c>
    </row>
    <row r="53" spans="1:6" x14ac:dyDescent="0.25">
      <c r="A53" t="s">
        <v>68</v>
      </c>
      <c r="B53" s="2">
        <v>4.2172999999999998</v>
      </c>
      <c r="C53" s="2">
        <v>4.0060000000000002</v>
      </c>
      <c r="D53" s="2">
        <v>3.9380000000000002</v>
      </c>
      <c r="E53" s="2">
        <v>3.7629999999999999</v>
      </c>
      <c r="F53" s="2">
        <v>3.6749999999999998</v>
      </c>
    </row>
    <row r="54" spans="1:6" x14ac:dyDescent="0.25">
      <c r="A54" t="s">
        <v>69</v>
      </c>
      <c r="B54" s="2">
        <v>4.2169999999999996</v>
      </c>
      <c r="C54" s="2">
        <v>4.0039999999999996</v>
      </c>
      <c r="D54" s="2">
        <v>3.9420000000000002</v>
      </c>
      <c r="E54" s="2">
        <v>3.7709999999999999</v>
      </c>
      <c r="F54" s="2">
        <v>3.6850000000000001</v>
      </c>
    </row>
    <row r="55" spans="1:6" x14ac:dyDescent="0.25">
      <c r="A55" t="s">
        <v>70</v>
      </c>
      <c r="B55" s="2">
        <v>4.2169999999999996</v>
      </c>
      <c r="C55" s="2">
        <v>4.01</v>
      </c>
      <c r="D55" s="2">
        <v>3.95</v>
      </c>
      <c r="E55" s="2">
        <v>3.7829999999999999</v>
      </c>
      <c r="F55" s="2">
        <v>3.7010000000000001</v>
      </c>
    </row>
    <row r="56" spans="1:6" x14ac:dyDescent="0.25">
      <c r="A56" t="s">
        <v>71</v>
      </c>
      <c r="B56" s="2">
        <v>4.2168999999999999</v>
      </c>
      <c r="C56" s="2">
        <v>4.008</v>
      </c>
      <c r="D56" s="2">
        <v>3.9510000000000001</v>
      </c>
      <c r="E56" s="2">
        <v>3.7839999999999998</v>
      </c>
      <c r="F56" s="2">
        <v>3.7029999999999998</v>
      </c>
    </row>
    <row r="57" spans="1:6" x14ac:dyDescent="0.25">
      <c r="A57" t="s">
        <v>72</v>
      </c>
      <c r="B57" s="2">
        <v>4.2175000000000002</v>
      </c>
      <c r="C57" s="2">
        <v>4.0060000000000002</v>
      </c>
      <c r="D57" s="2">
        <v>3.948</v>
      </c>
      <c r="E57" s="2">
        <v>3.78</v>
      </c>
      <c r="F57" s="2">
        <v>3.6989999999999998</v>
      </c>
    </row>
    <row r="58" spans="1:6" x14ac:dyDescent="0.25">
      <c r="A58" t="s">
        <v>73</v>
      </c>
      <c r="B58" s="2">
        <v>4.2172000000000001</v>
      </c>
      <c r="C58" s="2">
        <v>4.008</v>
      </c>
      <c r="D58" s="2">
        <v>3.95</v>
      </c>
      <c r="E58" s="2">
        <v>3.7850000000000001</v>
      </c>
      <c r="F58" s="2">
        <v>3.7050000000000001</v>
      </c>
    </row>
    <row r="59" spans="1:6" x14ac:dyDescent="0.25">
      <c r="A59" t="s">
        <v>74</v>
      </c>
      <c r="B59" s="2">
        <v>4.2171000000000003</v>
      </c>
      <c r="C59" s="2">
        <v>3.992</v>
      </c>
      <c r="D59" s="2">
        <v>3.9209999999999998</v>
      </c>
      <c r="E59" s="2">
        <v>3.742</v>
      </c>
      <c r="F59" s="2">
        <v>3.6560000000000001</v>
      </c>
    </row>
    <row r="60" spans="1:6" x14ac:dyDescent="0.25">
      <c r="A60" t="s">
        <v>75</v>
      </c>
      <c r="B60" s="2">
        <v>4.2172000000000001</v>
      </c>
      <c r="C60" s="2">
        <v>4.0010000000000003</v>
      </c>
      <c r="D60" s="2">
        <v>3.93</v>
      </c>
      <c r="E60" s="2">
        <v>3.7629999999999999</v>
      </c>
      <c r="F60" s="2">
        <v>3.6760000000000002</v>
      </c>
    </row>
    <row r="61" spans="1:6" x14ac:dyDescent="0.25">
      <c r="A61" t="s">
        <v>76</v>
      </c>
      <c r="B61" s="2">
        <v>4.2169999999999996</v>
      </c>
      <c r="C61" s="2">
        <v>4.008</v>
      </c>
      <c r="D61" s="2">
        <v>3.9580000000000002</v>
      </c>
      <c r="E61" s="2">
        <v>3.79</v>
      </c>
      <c r="F61" s="2">
        <v>3.702</v>
      </c>
    </row>
    <row r="62" spans="1:6" x14ac:dyDescent="0.25">
      <c r="A62" t="s">
        <v>77</v>
      </c>
      <c r="B62" s="2">
        <v>4.2175000000000002</v>
      </c>
      <c r="C62" s="2">
        <v>4.0049999999999999</v>
      </c>
      <c r="D62" s="2">
        <v>3.9710000000000001</v>
      </c>
      <c r="E62" s="2">
        <v>3.8159999999999998</v>
      </c>
      <c r="F62" s="2">
        <v>3.7549999999999999</v>
      </c>
    </row>
    <row r="63" spans="1:6" x14ac:dyDescent="0.25">
      <c r="A63" t="s">
        <v>78</v>
      </c>
      <c r="B63" s="2">
        <v>4.2173999999999996</v>
      </c>
      <c r="C63" s="2">
        <v>4.0010000000000003</v>
      </c>
      <c r="D63" s="2">
        <v>3.9660000000000002</v>
      </c>
      <c r="E63" s="2">
        <v>3.8109999999999999</v>
      </c>
      <c r="F63" s="2">
        <v>3.746</v>
      </c>
    </row>
    <row r="64" spans="1:6" x14ac:dyDescent="0.25">
      <c r="A64" t="s">
        <v>79</v>
      </c>
      <c r="B64" s="2">
        <v>4.2168000000000001</v>
      </c>
      <c r="C64" s="2">
        <v>3.9950000000000001</v>
      </c>
      <c r="D64" s="2">
        <v>3.9620000000000002</v>
      </c>
      <c r="E64" s="2">
        <v>3.8109999999999999</v>
      </c>
      <c r="F64" s="2">
        <v>3.7429999999999999</v>
      </c>
    </row>
    <row r="65" spans="1:6" x14ac:dyDescent="0.25">
      <c r="A65" t="s">
        <v>80</v>
      </c>
      <c r="B65" s="2">
        <v>4.2172000000000001</v>
      </c>
      <c r="C65" s="2">
        <v>3.9929999999999999</v>
      </c>
      <c r="D65" s="2">
        <v>3.952</v>
      </c>
      <c r="E65" s="2">
        <v>3.7919999999999998</v>
      </c>
      <c r="F65" s="2">
        <v>3.722</v>
      </c>
    </row>
    <row r="66" spans="1:6" x14ac:dyDescent="0.25">
      <c r="A66" t="s">
        <v>81</v>
      </c>
      <c r="B66" s="2">
        <v>4.2172000000000001</v>
      </c>
      <c r="C66" s="2">
        <v>3.9910000000000001</v>
      </c>
      <c r="D66" s="2">
        <v>3.9540000000000002</v>
      </c>
      <c r="E66" s="2">
        <v>3.802</v>
      </c>
      <c r="F66" s="2">
        <v>3.738</v>
      </c>
    </row>
    <row r="67" spans="1:6" x14ac:dyDescent="0.25">
      <c r="A67" t="s">
        <v>82</v>
      </c>
      <c r="B67" s="2">
        <v>4.2173999999999996</v>
      </c>
      <c r="C67" s="2">
        <v>3.992</v>
      </c>
      <c r="D67" s="2">
        <v>3.9529999999999998</v>
      </c>
      <c r="E67" s="2">
        <v>3.7970000000000002</v>
      </c>
      <c r="F67" s="2">
        <v>3.7330000000000001</v>
      </c>
    </row>
    <row r="68" spans="1:6" x14ac:dyDescent="0.25">
      <c r="A68" t="s">
        <v>83</v>
      </c>
      <c r="B68" s="2">
        <v>4.2173999999999996</v>
      </c>
      <c r="C68" s="2">
        <v>3.992</v>
      </c>
      <c r="D68" s="2">
        <v>3.9620000000000002</v>
      </c>
      <c r="E68" s="2">
        <v>3.8109999999999999</v>
      </c>
      <c r="F68" s="2">
        <v>3.758</v>
      </c>
    </row>
    <row r="69" spans="1:6" x14ac:dyDescent="0.25">
      <c r="A69" t="s">
        <v>84</v>
      </c>
      <c r="B69" s="2">
        <v>4.2171000000000003</v>
      </c>
      <c r="C69" s="2">
        <v>3.9910000000000001</v>
      </c>
      <c r="D69" s="2">
        <v>3.96</v>
      </c>
      <c r="E69" s="2">
        <v>3.8069999999999999</v>
      </c>
      <c r="F69" s="2">
        <v>3.7589999999999999</v>
      </c>
    </row>
    <row r="70" spans="1:6" x14ac:dyDescent="0.25">
      <c r="A70" t="s">
        <v>85</v>
      </c>
      <c r="B70" s="2">
        <v>4.2171000000000003</v>
      </c>
      <c r="C70" s="2">
        <v>3.9940000000000002</v>
      </c>
      <c r="D70" s="2">
        <v>3.9630000000000001</v>
      </c>
      <c r="E70" s="2">
        <v>3.8119999999999998</v>
      </c>
      <c r="F70" s="2">
        <v>3.7549999999999999</v>
      </c>
    </row>
    <row r="71" spans="1:6" x14ac:dyDescent="0.25">
      <c r="A71" t="s">
        <v>86</v>
      </c>
      <c r="B71" s="2">
        <v>4.2171000000000003</v>
      </c>
      <c r="C71" s="2">
        <v>3.9929999999999999</v>
      </c>
      <c r="D71" s="2">
        <v>3.9620000000000002</v>
      </c>
      <c r="E71" s="2">
        <v>3.8140000000000001</v>
      </c>
      <c r="F71" s="2">
        <v>3.7610000000000001</v>
      </c>
    </row>
    <row r="72" spans="1:6" x14ac:dyDescent="0.25">
      <c r="A72" t="s">
        <v>87</v>
      </c>
      <c r="B72" s="2">
        <v>4.2169999999999996</v>
      </c>
      <c r="C72" s="2">
        <v>3.9910000000000001</v>
      </c>
      <c r="D72" s="2">
        <v>3.9620000000000002</v>
      </c>
      <c r="E72" s="2">
        <v>3.8119999999999998</v>
      </c>
      <c r="F72" s="2">
        <v>3.7549999999999999</v>
      </c>
    </row>
    <row r="73" spans="1:6" x14ac:dyDescent="0.25">
      <c r="A73" t="s">
        <v>88</v>
      </c>
      <c r="B73" s="2">
        <v>4.2176</v>
      </c>
      <c r="C73" s="2">
        <v>3.984</v>
      </c>
      <c r="D73" s="2">
        <v>3.94</v>
      </c>
      <c r="E73" s="2">
        <v>3.77</v>
      </c>
      <c r="F73" s="2">
        <v>3.6909999999999998</v>
      </c>
    </row>
    <row r="74" spans="1:6" x14ac:dyDescent="0.25">
      <c r="A74" t="s">
        <v>89</v>
      </c>
      <c r="B74" s="2">
        <v>4.2168999999999999</v>
      </c>
      <c r="C74" s="2">
        <v>3.9830000000000001</v>
      </c>
      <c r="D74" s="2">
        <v>3.9449999999999998</v>
      </c>
      <c r="E74" s="2">
        <v>3.786</v>
      </c>
      <c r="F74" s="2">
        <v>3.7160000000000002</v>
      </c>
    </row>
    <row r="75" spans="1:6" x14ac:dyDescent="0.25">
      <c r="A75" t="s">
        <v>90</v>
      </c>
      <c r="B75" s="2">
        <v>4.2168000000000001</v>
      </c>
      <c r="C75" s="2">
        <v>3.984</v>
      </c>
      <c r="D75" s="2">
        <v>3.95</v>
      </c>
      <c r="E75" s="2">
        <v>3.802</v>
      </c>
      <c r="F75" s="2">
        <v>3.7349999999999999</v>
      </c>
    </row>
    <row r="76" spans="1:6" x14ac:dyDescent="0.25">
      <c r="A76" t="s">
        <v>91</v>
      </c>
      <c r="B76" s="2">
        <v>4.2169999999999996</v>
      </c>
      <c r="C76" s="2">
        <v>3.9849999999999999</v>
      </c>
      <c r="D76" s="2">
        <v>3.9449999999999998</v>
      </c>
      <c r="E76" s="2">
        <v>3.7949999999999999</v>
      </c>
      <c r="F76" s="2">
        <v>3.7290000000000001</v>
      </c>
    </row>
    <row r="77" spans="1:6" x14ac:dyDescent="0.25">
      <c r="A77" t="s">
        <v>92</v>
      </c>
      <c r="B77" s="2">
        <v>3.9676</v>
      </c>
      <c r="C77" s="2">
        <v>3.976</v>
      </c>
      <c r="D77" s="2">
        <v>3.964</v>
      </c>
      <c r="E77" s="2">
        <v>3.8460000000000001</v>
      </c>
      <c r="F77" s="2">
        <v>3.786</v>
      </c>
    </row>
    <row r="78" spans="1:6" x14ac:dyDescent="0.25">
      <c r="A78" t="s">
        <v>93</v>
      </c>
      <c r="B78" s="2">
        <v>3.9672000000000001</v>
      </c>
      <c r="C78" s="2">
        <v>3.9689999999999999</v>
      </c>
      <c r="D78" s="2">
        <v>3.863</v>
      </c>
      <c r="E78" s="2">
        <v>3.8039999999999998</v>
      </c>
      <c r="F78" s="2">
        <v>3.7050000000000001</v>
      </c>
    </row>
    <row r="79" spans="1:6" x14ac:dyDescent="0.25">
      <c r="A79" t="s">
        <v>94</v>
      </c>
      <c r="B79" s="2">
        <v>3.9668999999999999</v>
      </c>
      <c r="C79" s="2">
        <v>3.9590000000000001</v>
      </c>
      <c r="D79" s="2">
        <v>3.8460000000000001</v>
      </c>
      <c r="E79" s="2">
        <v>3.782</v>
      </c>
      <c r="F79" s="2">
        <v>3.6789999999999998</v>
      </c>
    </row>
    <row r="80" spans="1:6" x14ac:dyDescent="0.25">
      <c r="A80" t="s">
        <v>95</v>
      </c>
      <c r="B80" s="2">
        <v>3.9670000000000001</v>
      </c>
      <c r="C80" s="2">
        <v>3.9670000000000001</v>
      </c>
      <c r="D80" s="2">
        <v>3.8639999999999999</v>
      </c>
      <c r="E80" s="2">
        <v>3.8069999999999999</v>
      </c>
      <c r="F80" s="2">
        <v>3.7040000000000002</v>
      </c>
    </row>
    <row r="81" spans="1:6" x14ac:dyDescent="0.25">
      <c r="A81" t="s">
        <v>96</v>
      </c>
      <c r="B81" s="2">
        <v>3.9672000000000001</v>
      </c>
      <c r="C81" s="2">
        <v>3.9710000000000001</v>
      </c>
      <c r="D81" s="2">
        <v>3.8679999999999999</v>
      </c>
      <c r="E81" s="2">
        <v>3.806</v>
      </c>
      <c r="F81" s="2">
        <v>3.6970000000000001</v>
      </c>
    </row>
    <row r="82" spans="1:6" x14ac:dyDescent="0.25">
      <c r="A82" t="s">
        <v>97</v>
      </c>
      <c r="B82" s="2">
        <v>3.9674</v>
      </c>
      <c r="C82" s="2">
        <v>3.972</v>
      </c>
      <c r="D82" s="2">
        <v>3.883</v>
      </c>
      <c r="E82" s="2">
        <v>3.8250000000000002</v>
      </c>
      <c r="F82" s="2">
        <v>3.72</v>
      </c>
    </row>
    <row r="83" spans="1:6" x14ac:dyDescent="0.25">
      <c r="A83" t="s">
        <v>98</v>
      </c>
      <c r="B83" s="2">
        <v>3.9670999999999998</v>
      </c>
      <c r="C83" s="2">
        <v>3.9740000000000002</v>
      </c>
      <c r="D83" s="2">
        <v>3.89</v>
      </c>
      <c r="E83" s="2">
        <v>3.8359999999999999</v>
      </c>
      <c r="F83" s="2">
        <v>3.7309999999999999</v>
      </c>
    </row>
    <row r="84" spans="1:6" x14ac:dyDescent="0.25">
      <c r="A84" t="s">
        <v>99</v>
      </c>
      <c r="B84" s="2">
        <v>3.9668999999999999</v>
      </c>
      <c r="C84" s="2">
        <v>3.9710000000000001</v>
      </c>
      <c r="D84" s="2">
        <v>3.895</v>
      </c>
      <c r="E84" s="2">
        <v>3.8439999999999999</v>
      </c>
      <c r="F84" s="2">
        <v>3.7450000000000001</v>
      </c>
    </row>
    <row r="85" spans="1:6" x14ac:dyDescent="0.25">
      <c r="A85" t="s">
        <v>100</v>
      </c>
      <c r="B85" s="2">
        <v>3.9670999999999998</v>
      </c>
      <c r="C85" s="2">
        <v>3.9710000000000001</v>
      </c>
      <c r="D85" s="2">
        <v>3.8929999999999998</v>
      </c>
      <c r="E85" s="2">
        <v>3.85</v>
      </c>
      <c r="F85" s="2">
        <v>3.7530000000000001</v>
      </c>
    </row>
    <row r="86" spans="1:6" x14ac:dyDescent="0.25">
      <c r="A86" t="s">
        <v>101</v>
      </c>
      <c r="B86" s="2">
        <v>3.9672999999999998</v>
      </c>
      <c r="C86" s="2">
        <v>3.972</v>
      </c>
      <c r="D86" s="2">
        <v>3.8980000000000001</v>
      </c>
      <c r="E86" s="2">
        <v>3.8460000000000001</v>
      </c>
      <c r="F86" s="2">
        <v>3.7440000000000002</v>
      </c>
    </row>
    <row r="87" spans="1:6" x14ac:dyDescent="0.25">
      <c r="A87" t="s">
        <v>102</v>
      </c>
      <c r="B87" s="2">
        <v>3.9674999999999998</v>
      </c>
      <c r="C87" s="2">
        <v>3.9740000000000002</v>
      </c>
      <c r="D87" s="2">
        <v>3.92</v>
      </c>
      <c r="E87" s="2">
        <v>3.8759999999999999</v>
      </c>
      <c r="F87" s="2">
        <v>3.7839999999999998</v>
      </c>
    </row>
    <row r="88" spans="1:6" x14ac:dyDescent="0.25">
      <c r="A88" t="s">
        <v>103</v>
      </c>
      <c r="B88" s="2">
        <v>3.9670999999999998</v>
      </c>
      <c r="C88" s="2">
        <v>3.9729999999999999</v>
      </c>
      <c r="D88" s="2">
        <v>3.9140000000000001</v>
      </c>
      <c r="E88" s="2">
        <v>3.8660000000000001</v>
      </c>
      <c r="F88" s="2">
        <v>3.7690000000000001</v>
      </c>
    </row>
    <row r="89" spans="1:6" x14ac:dyDescent="0.25">
      <c r="A89" t="s">
        <v>104</v>
      </c>
      <c r="B89" s="2" t="e">
        <v>#N/A</v>
      </c>
      <c r="C89" s="2">
        <v>3.9750000000000001</v>
      </c>
      <c r="D89" s="2">
        <v>3.9140000000000001</v>
      </c>
      <c r="E89" s="2">
        <v>3.863</v>
      </c>
      <c r="F89" s="2">
        <v>3.7639999999999998</v>
      </c>
    </row>
    <row r="90" spans="1:6" x14ac:dyDescent="0.25">
      <c r="A90" t="s">
        <v>105</v>
      </c>
      <c r="B90" s="2">
        <v>3.9674</v>
      </c>
      <c r="C90" s="2">
        <v>3.9750000000000001</v>
      </c>
      <c r="D90" s="2">
        <v>3.9180000000000001</v>
      </c>
      <c r="E90" s="2">
        <v>3.87</v>
      </c>
      <c r="F90" s="2">
        <v>3.7749999999999999</v>
      </c>
    </row>
    <row r="91" spans="1:6" x14ac:dyDescent="0.25">
      <c r="A91" t="s">
        <v>106</v>
      </c>
      <c r="B91" s="2">
        <v>3.9674999999999998</v>
      </c>
      <c r="C91" s="2">
        <v>3.9769999999999999</v>
      </c>
      <c r="D91" s="2">
        <v>3.9239999999999999</v>
      </c>
      <c r="E91" s="2">
        <v>3.879</v>
      </c>
      <c r="F91" s="2">
        <v>3.7839999999999998</v>
      </c>
    </row>
    <row r="92" spans="1:6" x14ac:dyDescent="0.25">
      <c r="A92" t="s">
        <v>107</v>
      </c>
      <c r="B92" s="2">
        <v>3.9674999999999998</v>
      </c>
      <c r="C92" s="2">
        <v>3.9740000000000002</v>
      </c>
      <c r="D92" s="2">
        <v>3.9239999999999999</v>
      </c>
      <c r="E92" s="2">
        <v>3.8719999999999999</v>
      </c>
      <c r="F92" s="2">
        <v>3.7730000000000001</v>
      </c>
    </row>
    <row r="93" spans="1:6" x14ac:dyDescent="0.25">
      <c r="A93" t="s">
        <v>108</v>
      </c>
      <c r="B93" s="2">
        <v>3.9664999999999999</v>
      </c>
      <c r="C93" s="2">
        <v>3.9740000000000002</v>
      </c>
      <c r="D93" s="2">
        <v>3.9279999999999999</v>
      </c>
      <c r="E93" s="2">
        <v>3.8740000000000001</v>
      </c>
      <c r="F93" s="2">
        <v>3.778</v>
      </c>
    </row>
    <row r="94" spans="1:6" x14ac:dyDescent="0.25">
      <c r="A94" t="s">
        <v>109</v>
      </c>
      <c r="B94" s="2">
        <v>3.9668999999999999</v>
      </c>
      <c r="C94" s="2">
        <v>3.9740000000000002</v>
      </c>
      <c r="D94" s="2">
        <v>3.9249999999999998</v>
      </c>
      <c r="E94" s="2">
        <v>3.8740000000000001</v>
      </c>
      <c r="F94" s="2">
        <v>3.7789999999999999</v>
      </c>
    </row>
    <row r="95" spans="1:6" x14ac:dyDescent="0.25">
      <c r="A95" t="s">
        <v>110</v>
      </c>
      <c r="B95" s="2">
        <v>3.9668999999999999</v>
      </c>
      <c r="C95" s="2">
        <v>3.9729999999999999</v>
      </c>
      <c r="D95" s="2">
        <v>3.927</v>
      </c>
      <c r="E95" s="2">
        <v>3.883</v>
      </c>
      <c r="F95" s="2">
        <v>3.7919999999999998</v>
      </c>
    </row>
    <row r="96" spans="1:6" x14ac:dyDescent="0.25">
      <c r="A96" t="s">
        <v>111</v>
      </c>
      <c r="B96" s="2">
        <v>3.9670000000000001</v>
      </c>
      <c r="C96" s="2">
        <v>3.9740000000000002</v>
      </c>
      <c r="D96" s="2">
        <v>3.9239999999999999</v>
      </c>
      <c r="E96" s="2">
        <v>3.8769999999999998</v>
      </c>
      <c r="F96" s="2">
        <v>3.7810000000000001</v>
      </c>
    </row>
    <row r="97" spans="1:6" x14ac:dyDescent="0.25">
      <c r="A97" t="s">
        <v>112</v>
      </c>
      <c r="B97" s="2">
        <v>3.9670999999999998</v>
      </c>
      <c r="C97" s="2">
        <v>3.9729999999999999</v>
      </c>
      <c r="D97" s="2">
        <v>3.927</v>
      </c>
      <c r="E97" s="2">
        <v>3.871</v>
      </c>
      <c r="F97" s="2">
        <v>3.77</v>
      </c>
    </row>
    <row r="98" spans="1:6" x14ac:dyDescent="0.25">
      <c r="A98" t="s">
        <v>113</v>
      </c>
      <c r="B98" s="2">
        <v>3.9668999999999999</v>
      </c>
      <c r="C98" s="2">
        <v>3.9710000000000001</v>
      </c>
      <c r="D98" s="2">
        <v>3.9169999999999998</v>
      </c>
      <c r="E98" s="2">
        <v>3.8570000000000002</v>
      </c>
      <c r="F98" s="2">
        <v>3.7440000000000002</v>
      </c>
    </row>
    <row r="99" spans="1:6" x14ac:dyDescent="0.25">
      <c r="A99" t="s">
        <v>114</v>
      </c>
      <c r="B99" s="2">
        <v>3.9670000000000001</v>
      </c>
      <c r="C99" s="2">
        <v>3.9750000000000001</v>
      </c>
      <c r="D99" s="2">
        <v>3.9159999999999999</v>
      </c>
      <c r="E99" s="2">
        <v>3.859</v>
      </c>
      <c r="F99" s="2">
        <v>3.7429999999999999</v>
      </c>
    </row>
    <row r="100" spans="1:6" x14ac:dyDescent="0.25">
      <c r="A100" t="s">
        <v>115</v>
      </c>
      <c r="B100" s="2">
        <v>3.9670000000000001</v>
      </c>
      <c r="C100" s="2">
        <v>3.9740000000000002</v>
      </c>
      <c r="D100" s="2">
        <v>3.9159999999999999</v>
      </c>
      <c r="E100" s="2">
        <v>3.8639999999999999</v>
      </c>
      <c r="F100" s="2">
        <v>3.7519999999999998</v>
      </c>
    </row>
    <row r="101" spans="1:6" x14ac:dyDescent="0.25">
      <c r="A101" t="s">
        <v>116</v>
      </c>
      <c r="B101" s="2">
        <v>3.9670000000000001</v>
      </c>
      <c r="C101" s="2">
        <v>3.9729999999999999</v>
      </c>
      <c r="D101" s="2">
        <v>3.92</v>
      </c>
      <c r="E101" s="2">
        <v>3.87</v>
      </c>
      <c r="F101" s="2">
        <v>3.7629999999999999</v>
      </c>
    </row>
    <row r="102" spans="1:6" x14ac:dyDescent="0.25">
      <c r="A102" t="s">
        <v>117</v>
      </c>
      <c r="B102" s="2">
        <v>3.9670000000000001</v>
      </c>
      <c r="C102" s="2">
        <v>3.9740000000000002</v>
      </c>
      <c r="D102" s="2">
        <v>3.92</v>
      </c>
      <c r="E102" s="2">
        <v>3.8660000000000001</v>
      </c>
      <c r="F102" s="2">
        <v>3.7570000000000001</v>
      </c>
    </row>
    <row r="103" spans="1:6" x14ac:dyDescent="0.25">
      <c r="A103" t="s">
        <v>118</v>
      </c>
      <c r="B103" s="2">
        <v>3.9672000000000001</v>
      </c>
      <c r="C103" s="2">
        <v>3.976</v>
      </c>
      <c r="D103" s="2">
        <v>3.94</v>
      </c>
      <c r="E103" s="2">
        <v>3.891</v>
      </c>
      <c r="F103" s="2">
        <v>3.7789999999999999</v>
      </c>
    </row>
    <row r="104" spans="1:6" x14ac:dyDescent="0.25">
      <c r="A104" t="s">
        <v>119</v>
      </c>
      <c r="B104" s="2">
        <v>3.9676</v>
      </c>
      <c r="C104" s="2">
        <v>3.972</v>
      </c>
      <c r="D104" s="2">
        <v>3.9289999999999998</v>
      </c>
      <c r="E104" s="2">
        <v>3.8839999999999999</v>
      </c>
      <c r="F104" s="2">
        <v>3.7749999999999999</v>
      </c>
    </row>
    <row r="105" spans="1:6" x14ac:dyDescent="0.25">
      <c r="A105" t="s">
        <v>120</v>
      </c>
      <c r="B105" s="2">
        <v>3.9672999999999998</v>
      </c>
      <c r="C105" s="2">
        <v>3.976</v>
      </c>
      <c r="D105" s="2">
        <v>3.931</v>
      </c>
      <c r="E105" s="2">
        <v>3.8889999999999998</v>
      </c>
      <c r="F105" s="2">
        <v>3.7839999999999998</v>
      </c>
    </row>
    <row r="106" spans="1:6" x14ac:dyDescent="0.25">
      <c r="A106" t="s">
        <v>121</v>
      </c>
      <c r="B106" s="2">
        <v>3.9674</v>
      </c>
      <c r="C106" s="2">
        <v>3.9780000000000002</v>
      </c>
      <c r="D106" s="2">
        <v>3.9409999999999998</v>
      </c>
      <c r="E106" s="2">
        <v>3.9</v>
      </c>
      <c r="F106" s="2">
        <v>3.7970000000000002</v>
      </c>
    </row>
    <row r="107" spans="1:6" x14ac:dyDescent="0.25">
      <c r="A107" t="s">
        <v>122</v>
      </c>
      <c r="B107" s="2">
        <v>3.9674</v>
      </c>
      <c r="C107" s="2">
        <v>3.9780000000000002</v>
      </c>
      <c r="D107" s="2">
        <v>3.944</v>
      </c>
      <c r="E107" s="2">
        <v>3.9009999999999998</v>
      </c>
      <c r="F107" s="2">
        <v>3.7959999999999998</v>
      </c>
    </row>
    <row r="108" spans="1:6" x14ac:dyDescent="0.25">
      <c r="A108" t="s">
        <v>123</v>
      </c>
      <c r="B108" s="2">
        <v>3.9672999999999998</v>
      </c>
      <c r="C108" s="2">
        <v>3.9540000000000002</v>
      </c>
      <c r="D108" s="2">
        <v>3.907</v>
      </c>
      <c r="E108" s="2">
        <v>3.8</v>
      </c>
      <c r="F108" s="2">
        <v>3.7650000000000001</v>
      </c>
    </row>
    <row r="109" spans="1:6" x14ac:dyDescent="0.25">
      <c r="A109" t="s">
        <v>124</v>
      </c>
      <c r="B109" s="2">
        <v>3.9670999999999998</v>
      </c>
      <c r="C109" s="2">
        <v>3.9540000000000002</v>
      </c>
      <c r="D109" s="2">
        <v>3.907</v>
      </c>
      <c r="E109" s="2">
        <v>3.8010000000000002</v>
      </c>
      <c r="F109" s="2">
        <v>3.7669999999999999</v>
      </c>
    </row>
    <row r="110" spans="1:6" x14ac:dyDescent="0.25">
      <c r="A110" t="s">
        <v>125</v>
      </c>
      <c r="B110" s="2">
        <v>3.9678</v>
      </c>
      <c r="C110" s="2">
        <v>3.9510000000000001</v>
      </c>
      <c r="D110" s="2">
        <v>3.9060000000000001</v>
      </c>
      <c r="E110" s="2">
        <v>3.7909999999999999</v>
      </c>
      <c r="F110" s="2">
        <v>3.7509999999999999</v>
      </c>
    </row>
    <row r="111" spans="1:6" x14ac:dyDescent="0.25">
      <c r="A111" t="s">
        <v>126</v>
      </c>
      <c r="B111" s="2">
        <v>3.9676999999999998</v>
      </c>
      <c r="C111" s="2">
        <v>3.9510000000000001</v>
      </c>
      <c r="D111" s="2">
        <v>3.907</v>
      </c>
      <c r="E111" s="2">
        <v>3.7890000000000001</v>
      </c>
      <c r="F111" s="2">
        <v>3.7480000000000002</v>
      </c>
    </row>
    <row r="112" spans="1:6" x14ac:dyDescent="0.25">
      <c r="A112" t="s">
        <v>127</v>
      </c>
      <c r="B112" s="2">
        <v>3.9674999999999998</v>
      </c>
      <c r="C112" s="2">
        <v>3.956</v>
      </c>
      <c r="D112" s="2">
        <v>3.9180000000000001</v>
      </c>
      <c r="E112" s="2">
        <v>3.8079999999999998</v>
      </c>
      <c r="F112" s="2">
        <v>3.7789999999999999</v>
      </c>
    </row>
    <row r="113" spans="1:6" x14ac:dyDescent="0.25">
      <c r="A113" t="s">
        <v>128</v>
      </c>
      <c r="B113" s="2">
        <v>3.9668999999999999</v>
      </c>
      <c r="C113" s="2">
        <v>3.9590000000000001</v>
      </c>
      <c r="D113" s="2">
        <v>3.92</v>
      </c>
      <c r="E113" s="2">
        <v>3.8149999999999999</v>
      </c>
      <c r="F113" s="2">
        <v>3.7850000000000001</v>
      </c>
    </row>
    <row r="114" spans="1:6" x14ac:dyDescent="0.25">
      <c r="A114" t="s">
        <v>129</v>
      </c>
      <c r="B114" s="2">
        <v>3.9666999999999999</v>
      </c>
      <c r="C114" s="2">
        <v>3.9590000000000001</v>
      </c>
      <c r="D114" s="2">
        <v>3.92</v>
      </c>
      <c r="E114" s="2">
        <v>3.8130000000000002</v>
      </c>
      <c r="F114" s="2">
        <v>3.7810000000000001</v>
      </c>
    </row>
    <row r="115" spans="1:6" x14ac:dyDescent="0.25">
      <c r="A115" t="s">
        <v>130</v>
      </c>
      <c r="B115" s="2">
        <v>3.9670999999999998</v>
      </c>
      <c r="C115" s="2">
        <v>3.9550000000000001</v>
      </c>
      <c r="D115" s="2">
        <v>3.919</v>
      </c>
      <c r="E115" s="2">
        <v>3.8119999999999998</v>
      </c>
      <c r="F115" s="2">
        <v>3.778</v>
      </c>
    </row>
    <row r="116" spans="1:6" x14ac:dyDescent="0.25">
      <c r="A116" t="s">
        <v>131</v>
      </c>
      <c r="B116" s="2">
        <v>3.9674</v>
      </c>
      <c r="C116" s="2">
        <v>3.9529999999999998</v>
      </c>
      <c r="D116" s="2">
        <v>3.9119999999999999</v>
      </c>
      <c r="E116" s="2">
        <v>3.802</v>
      </c>
      <c r="F116" s="2">
        <v>3.7690000000000001</v>
      </c>
    </row>
    <row r="117" spans="1:6" x14ac:dyDescent="0.25">
      <c r="A117" t="s">
        <v>132</v>
      </c>
      <c r="B117" s="2">
        <v>3.9674</v>
      </c>
      <c r="C117" s="2">
        <v>3.9620000000000002</v>
      </c>
      <c r="D117" s="2">
        <v>3.9220000000000002</v>
      </c>
      <c r="E117" s="2">
        <v>3.8170000000000002</v>
      </c>
      <c r="F117" s="2">
        <v>3.7829999999999999</v>
      </c>
    </row>
    <row r="118" spans="1:6" x14ac:dyDescent="0.25">
      <c r="A118" t="s">
        <v>133</v>
      </c>
      <c r="B118" s="2">
        <v>3.9672000000000001</v>
      </c>
      <c r="C118" s="2">
        <v>3.9609999999999999</v>
      </c>
      <c r="D118" s="2">
        <v>3.9159999999999999</v>
      </c>
      <c r="E118" s="2">
        <v>3.8069999999999999</v>
      </c>
      <c r="F118" s="2">
        <v>3.7719999999999998</v>
      </c>
    </row>
    <row r="119" spans="1:6" x14ac:dyDescent="0.25">
      <c r="A119" t="s">
        <v>134</v>
      </c>
      <c r="B119" s="2">
        <v>3.9674</v>
      </c>
      <c r="C119" s="2">
        <v>3.96</v>
      </c>
      <c r="D119" s="2">
        <v>3.9159999999999999</v>
      </c>
      <c r="E119" s="2">
        <v>3.8109999999999999</v>
      </c>
      <c r="F119" s="2">
        <v>3.782</v>
      </c>
    </row>
    <row r="120" spans="1:6" x14ac:dyDescent="0.25">
      <c r="A120" t="s">
        <v>135</v>
      </c>
      <c r="B120" s="2">
        <v>3.9676</v>
      </c>
      <c r="C120" s="2">
        <v>3.9609999999999999</v>
      </c>
      <c r="D120" s="2">
        <v>3.92</v>
      </c>
      <c r="E120" s="2">
        <v>3.8149999999999999</v>
      </c>
      <c r="F120" s="2">
        <v>3.7850000000000001</v>
      </c>
    </row>
    <row r="121" spans="1:6" x14ac:dyDescent="0.25">
      <c r="A121" t="s">
        <v>136</v>
      </c>
      <c r="B121" s="2">
        <v>3.9676999999999998</v>
      </c>
      <c r="C121" s="2">
        <v>3.9590000000000001</v>
      </c>
      <c r="D121" s="2">
        <v>3.92</v>
      </c>
      <c r="E121" s="2">
        <v>3.8159999999999998</v>
      </c>
      <c r="F121" s="2">
        <v>3.7829999999999999</v>
      </c>
    </row>
    <row r="122" spans="1:6" x14ac:dyDescent="0.25">
      <c r="A122" t="s">
        <v>137</v>
      </c>
      <c r="B122" s="2">
        <v>3.9678</v>
      </c>
      <c r="C122" s="2">
        <v>3.9609999999999999</v>
      </c>
      <c r="D122" s="2">
        <v>3.9249999999999998</v>
      </c>
      <c r="E122" s="2">
        <v>3.823</v>
      </c>
      <c r="F122" s="2">
        <v>3.7930000000000001</v>
      </c>
    </row>
    <row r="123" spans="1:6" x14ac:dyDescent="0.25">
      <c r="A123" t="s">
        <v>138</v>
      </c>
      <c r="B123" s="2">
        <v>3.9678</v>
      </c>
      <c r="C123" s="2">
        <v>3.9620000000000002</v>
      </c>
      <c r="D123" s="2">
        <v>3.9180000000000001</v>
      </c>
      <c r="E123" s="2">
        <v>3.8119999999999998</v>
      </c>
      <c r="F123" s="2">
        <v>3.7749999999999999</v>
      </c>
    </row>
    <row r="124" spans="1:6" x14ac:dyDescent="0.25">
      <c r="A124" t="s">
        <v>139</v>
      </c>
      <c r="B124" s="2">
        <v>3.9672000000000001</v>
      </c>
      <c r="C124" s="2">
        <v>3.956</v>
      </c>
      <c r="D124" s="2">
        <v>3.91</v>
      </c>
      <c r="E124" s="2">
        <v>3.7989999999999999</v>
      </c>
      <c r="F124" s="2">
        <v>3.76</v>
      </c>
    </row>
    <row r="125" spans="1:6" x14ac:dyDescent="0.25">
      <c r="A125" t="s">
        <v>140</v>
      </c>
      <c r="B125" s="2">
        <v>3.9674</v>
      </c>
      <c r="C125" s="2">
        <v>3.9430000000000001</v>
      </c>
      <c r="D125" s="2">
        <v>3.883</v>
      </c>
      <c r="E125" s="2">
        <v>3.7549999999999999</v>
      </c>
      <c r="F125" s="2">
        <v>3.71</v>
      </c>
    </row>
    <row r="126" spans="1:6" x14ac:dyDescent="0.25">
      <c r="A126" t="s">
        <v>141</v>
      </c>
      <c r="B126" s="2">
        <v>3.9670999999999998</v>
      </c>
      <c r="C126" s="2">
        <v>3.9449999999999998</v>
      </c>
      <c r="D126" s="2">
        <v>3.8780000000000001</v>
      </c>
      <c r="E126" s="2">
        <v>3.7450000000000001</v>
      </c>
      <c r="F126" s="2">
        <v>3.7</v>
      </c>
    </row>
    <row r="127" spans="1:6" x14ac:dyDescent="0.25">
      <c r="A127" t="s">
        <v>142</v>
      </c>
      <c r="B127" s="2">
        <v>3.9676</v>
      </c>
      <c r="C127" s="2">
        <v>3.9449999999999998</v>
      </c>
      <c r="D127" s="2">
        <v>3.8660000000000001</v>
      </c>
      <c r="E127" s="2">
        <v>3.7229999999999999</v>
      </c>
      <c r="F127" s="2">
        <v>3.6669999999999998</v>
      </c>
    </row>
    <row r="128" spans="1:6" x14ac:dyDescent="0.25">
      <c r="A128" t="s">
        <v>143</v>
      </c>
      <c r="B128" s="2">
        <v>3.9681999999999999</v>
      </c>
      <c r="C128" s="2">
        <v>3.9460000000000002</v>
      </c>
      <c r="D128" s="2">
        <v>3.8740000000000001</v>
      </c>
      <c r="E128" s="2">
        <v>3.738</v>
      </c>
      <c r="F128" s="2">
        <v>3.6829999999999998</v>
      </c>
    </row>
    <row r="129" spans="1:6" x14ac:dyDescent="0.25">
      <c r="A129" t="s">
        <v>144</v>
      </c>
      <c r="B129" s="2">
        <v>3.9681999999999999</v>
      </c>
      <c r="C129" s="2">
        <v>3.9409999999999998</v>
      </c>
      <c r="D129" s="2">
        <v>3.87</v>
      </c>
      <c r="E129" s="2">
        <v>3.7330000000000001</v>
      </c>
      <c r="F129" s="2">
        <v>3.6789999999999998</v>
      </c>
    </row>
    <row r="130" spans="1:6" x14ac:dyDescent="0.25">
      <c r="A130" t="s">
        <v>145</v>
      </c>
      <c r="B130" s="2">
        <v>3.9687999999999999</v>
      </c>
      <c r="C130" s="2">
        <v>3.9430000000000001</v>
      </c>
      <c r="D130" s="2">
        <v>3.875</v>
      </c>
      <c r="E130" s="2">
        <v>3.74</v>
      </c>
      <c r="F130" s="2">
        <v>3.6890000000000001</v>
      </c>
    </row>
    <row r="131" spans="1:6" x14ac:dyDescent="0.25">
      <c r="A131" t="s">
        <v>146</v>
      </c>
      <c r="B131" s="2">
        <v>3.9687000000000001</v>
      </c>
      <c r="C131" s="2">
        <v>3.88</v>
      </c>
      <c r="D131" s="2">
        <v>3.7959999999999998</v>
      </c>
      <c r="E131" s="2">
        <v>3.649</v>
      </c>
      <c r="F131" s="2">
        <v>3.5870000000000002</v>
      </c>
    </row>
    <row r="132" spans="1:6" x14ac:dyDescent="0.25">
      <c r="A132" t="s">
        <v>147</v>
      </c>
      <c r="B132" s="2">
        <v>3.9691000000000001</v>
      </c>
      <c r="C132" s="2">
        <v>3.8919999999999999</v>
      </c>
      <c r="D132" s="2">
        <v>3.8010000000000002</v>
      </c>
      <c r="E132" s="2">
        <v>3.649</v>
      </c>
      <c r="F132" s="2">
        <v>3.5870000000000002</v>
      </c>
    </row>
    <row r="133" spans="1:6" x14ac:dyDescent="0.25">
      <c r="A133" t="s">
        <v>148</v>
      </c>
      <c r="B133" s="2">
        <v>3.9691000000000001</v>
      </c>
      <c r="C133" s="2">
        <v>3.9180000000000001</v>
      </c>
      <c r="D133" s="2">
        <v>3.819</v>
      </c>
      <c r="E133" s="2">
        <v>3.6619999999999999</v>
      </c>
      <c r="F133" s="2">
        <v>3.6040000000000001</v>
      </c>
    </row>
    <row r="134" spans="1:6" x14ac:dyDescent="0.25">
      <c r="A134" t="s">
        <v>149</v>
      </c>
      <c r="B134" s="2">
        <v>3.9693000000000001</v>
      </c>
      <c r="C134" s="2">
        <v>3.9140000000000001</v>
      </c>
      <c r="D134" s="2">
        <v>3.8210000000000002</v>
      </c>
      <c r="E134" s="2">
        <v>3.669</v>
      </c>
      <c r="F134" s="2">
        <v>3.6110000000000002</v>
      </c>
    </row>
    <row r="135" spans="1:6" x14ac:dyDescent="0.25">
      <c r="A135" t="s">
        <v>150</v>
      </c>
      <c r="B135" s="2">
        <v>3.9693999999999998</v>
      </c>
      <c r="C135" s="2">
        <v>3.9</v>
      </c>
      <c r="D135" s="2">
        <v>3.806</v>
      </c>
      <c r="E135" s="2">
        <v>3.653</v>
      </c>
      <c r="F135" s="2">
        <v>3.589</v>
      </c>
    </row>
    <row r="136" spans="1:6" x14ac:dyDescent="0.25">
      <c r="A136" t="s">
        <v>151</v>
      </c>
      <c r="B136" s="2">
        <f>B135</f>
        <v>3.9693999999999998</v>
      </c>
      <c r="C136" s="2">
        <v>3.9060000000000001</v>
      </c>
      <c r="D136" s="2">
        <v>3.8119999999999998</v>
      </c>
      <c r="E136" s="2">
        <v>3.657</v>
      </c>
      <c r="F136" s="2">
        <v>3.59</v>
      </c>
    </row>
    <row r="137" spans="1:6" x14ac:dyDescent="0.25">
      <c r="A137" t="s">
        <v>158</v>
      </c>
      <c r="B137" s="2">
        <f>B136</f>
        <v>3.9693999999999998</v>
      </c>
      <c r="C137" s="2">
        <v>3.9119999999999999</v>
      </c>
      <c r="D137" s="2">
        <v>3.82</v>
      </c>
      <c r="E137" s="2">
        <v>3.67</v>
      </c>
      <c r="F137" s="2">
        <v>3.609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Chart Data</vt:lpstr>
      <vt:lpstr>HAVER</vt:lpstr>
      <vt:lpstr>Chart1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2025-10-30T14:01:56Z</dcterms:created>
  <dcterms:modified xsi:type="dcterms:W3CDTF">2025-10-30T22:37:42Z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2025-10-30T14:03:29Z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7d56c2c5-d2cb-4e2d-9cda-36bbe53ceae8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