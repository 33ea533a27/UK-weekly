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chartsheets/sheet1.xml" ContentType="application/vnd.openxmlformats-officedocument.spreadsheetml.chartsheet+xml"/>
  <Override PartName="/xl/worksheets/sheet1.xml" ContentType="application/vnd.openxmlformats-officedocument.spreadsheetml.worksheet+xml"/>
  <Override PartName="/xl/chartsheets/sheet2.xml" ContentType="application/vnd.openxmlformats-officedocument.spreadsheetml.chart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theme/themeOverride1.xml" ContentType="application/vnd.openxmlformats-officedocument.themeOverride+xml"/>
  <Override PartName="/xl/drawings/drawing2.xml" ContentType="application/vnd.openxmlformats-officedocument.drawingml.chartshapes+xml"/>
  <Override PartName="/xl/drawings/drawing3.xml" ContentType="application/vnd.openxmlformats-officedocument.drawing+xml"/>
  <Override PartName="/xl/charts/chart2.xml" ContentType="application/vnd.openxmlformats-officedocument.drawingml.chart+xml"/>
  <Override PartName="/xl/theme/themeOverride2.xml" ContentType="application/vnd.openxmlformats-officedocument.themeOverride+xml"/>
  <Override PartName="/xl/drawings/drawing4.xml" ContentType="application/vnd.openxmlformats-officedocument.drawingml.chartshape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328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oxecon-my.sharepoint.com/personal/eallenby_oxfordeconomics_com/Documents/Documents/2024-08/Weekly 1/"/>
    </mc:Choice>
  </mc:AlternateContent>
  <xr:revisionPtr revIDLastSave="44" documentId="8_{504A922A-5E6D-4DC6-AA15-0D24E36331D9}" xr6:coauthVersionLast="47" xr6:coauthVersionMax="47" xr10:uidLastSave="{6AA0C0E8-BFE4-4ED9-8A32-BF6A518643FF}"/>
  <bookViews>
    <workbookView xWindow="-110" yWindow="-110" windowWidth="19420" windowHeight="10300" activeTab="2" xr2:uid="{17852345-1974-42B9-8320-8FB6D49A4685}"/>
  </bookViews>
  <sheets>
    <sheet name="Chart1" sheetId="2" r:id="rId1"/>
    <sheet name="Haver Q" sheetId="1" r:id="rId2"/>
    <sheet name="Chart2" sheetId="5" r:id="rId3"/>
    <sheet name="BoE Aug24 MPR C2.19" sheetId="4" r:id="rId4"/>
  </sheets>
  <definedNames>
    <definedName name="_DLX1.INC">'Haver Q'!$A$4:$D$9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I32" i="1" l="1"/>
  <c r="I33" i="1"/>
  <c r="I34" i="1"/>
  <c r="I35" i="1"/>
  <c r="I36" i="1"/>
  <c r="I37" i="1"/>
  <c r="I38" i="1"/>
  <c r="I39" i="1"/>
  <c r="I40" i="1"/>
  <c r="I41" i="1"/>
  <c r="I42" i="1"/>
  <c r="I43" i="1"/>
  <c r="I31" i="1"/>
  <c r="H31" i="1"/>
  <c r="I11" i="1"/>
  <c r="I12" i="1"/>
  <c r="I13" i="1"/>
  <c r="I14" i="1"/>
  <c r="I15" i="1"/>
  <c r="I16" i="1"/>
  <c r="I17" i="1"/>
  <c r="I18" i="1"/>
  <c r="I19" i="1"/>
  <c r="I20" i="1"/>
  <c r="I21" i="1"/>
  <c r="I22" i="1"/>
  <c r="I23" i="1"/>
  <c r="I24" i="1"/>
  <c r="I25" i="1"/>
  <c r="I26" i="1"/>
  <c r="I27" i="1"/>
  <c r="I28" i="1"/>
  <c r="I29" i="1"/>
  <c r="I30" i="1"/>
  <c r="I10" i="1"/>
  <c r="H33" i="1"/>
  <c r="H34" i="1"/>
  <c r="H35" i="1"/>
  <c r="H36" i="1"/>
  <c r="H37" i="1"/>
  <c r="H38" i="1"/>
  <c r="H39" i="1"/>
  <c r="H40" i="1"/>
  <c r="H41" i="1"/>
  <c r="H42" i="1"/>
  <c r="H43" i="1"/>
  <c r="H44" i="1"/>
  <c r="H32" i="1"/>
  <c r="H11" i="1"/>
  <c r="H12" i="1"/>
  <c r="H13" i="1"/>
  <c r="H14" i="1"/>
  <c r="H15" i="1"/>
  <c r="H16" i="1"/>
  <c r="H17" i="1"/>
  <c r="H18" i="1"/>
  <c r="H19" i="1"/>
  <c r="H20" i="1"/>
  <c r="H21" i="1"/>
  <c r="H22" i="1"/>
  <c r="H23" i="1"/>
  <c r="H24" i="1"/>
  <c r="H25" i="1"/>
  <c r="H26" i="1"/>
  <c r="H27" i="1"/>
  <c r="H28" i="1"/>
  <c r="H29" i="1"/>
  <c r="H30" i="1"/>
  <c r="H10" i="1"/>
  <c r="G11" i="1"/>
  <c r="G12" i="1"/>
  <c r="G13" i="1"/>
  <c r="G14" i="1"/>
  <c r="G15" i="1"/>
  <c r="G16" i="1"/>
  <c r="G17" i="1"/>
  <c r="G18" i="1"/>
  <c r="G19" i="1"/>
  <c r="G20" i="1"/>
  <c r="G21" i="1"/>
  <c r="G22" i="1"/>
  <c r="G23" i="1"/>
  <c r="G24" i="1"/>
  <c r="G25" i="1"/>
  <c r="G26" i="1"/>
  <c r="G27" i="1"/>
  <c r="G28" i="1"/>
  <c r="G29" i="1"/>
  <c r="G30" i="1"/>
  <c r="G31" i="1"/>
  <c r="G32" i="1"/>
  <c r="G33" i="1"/>
  <c r="G34" i="1"/>
  <c r="G35" i="1"/>
  <c r="G36" i="1"/>
  <c r="G37" i="1"/>
  <c r="G38" i="1"/>
  <c r="G39" i="1"/>
  <c r="G40" i="1"/>
  <c r="G41" i="1"/>
  <c r="G42" i="1"/>
  <c r="G43" i="1"/>
  <c r="G44" i="1"/>
  <c r="G10" i="1"/>
</calcChain>
</file>

<file path=xl/sharedStrings.xml><?xml version="1.0" encoding="utf-8"?>
<sst xmlns="http://schemas.openxmlformats.org/spreadsheetml/2006/main" count="72" uniqueCount="71">
  <si>
    <t>UNPD@UK</t>
  </si>
  <si>
    <t>UNPD242@UK</t>
  </si>
  <si>
    <t>yryr%(D7BT@UK)</t>
  </si>
  <si>
    <t>20181 !Q</t>
  </si>
  <si>
    <t>20181</t>
  </si>
  <si>
    <t>.DTLM</t>
  </si>
  <si>
    <t>.LSOURCE</t>
  </si>
  <si>
    <t>.TN</t>
  </si>
  <si>
    <t>.T1</t>
  </si>
  <si>
    <t>.DESC</t>
  </si>
  <si>
    <t>Aug-01-2024 12:09</t>
  </si>
  <si>
    <t>Bank of England</t>
  </si>
  <si>
    <t>Q3-2027</t>
  </si>
  <si>
    <t>Q3-2024</t>
  </si>
  <si>
    <t>UK: BoE CPI Projections Based on Expected Interest Rate: Mode (Y/Y % Chg)</t>
  </si>
  <si>
    <t>May-09-2024 12:57</t>
  </si>
  <si>
    <t>Discontinued</t>
  </si>
  <si>
    <t>Q2-2027</t>
  </si>
  <si>
    <t>Q2-2024</t>
  </si>
  <si>
    <t>UK: BoE CPI Proj Based on Expected Interest Rate: Mode [Q2-24] (Y/Y % Chg)</t>
  </si>
  <si>
    <t>Jul-17-2024 07:04</t>
  </si>
  <si>
    <t>Office for National Statistics</t>
  </si>
  <si>
    <t>Q2-2024 &lt;- Jun-2024</t>
  </si>
  <si>
    <t>Q1-1988 &lt;- Jan-1988</t>
  </si>
  <si>
    <t>UK: Consumer Price Index: All Items (NSA, 2015=100) % Change - Year to Year</t>
  </si>
  <si>
    <t>20182</t>
  </si>
  <si>
    <t>20183</t>
  </si>
  <si>
    <t>20184</t>
  </si>
  <si>
    <t>20191</t>
  </si>
  <si>
    <t>20192</t>
  </si>
  <si>
    <t>20193</t>
  </si>
  <si>
    <t>20194</t>
  </si>
  <si>
    <t>20201</t>
  </si>
  <si>
    <t>20202</t>
  </si>
  <si>
    <t>20203</t>
  </si>
  <si>
    <t>20204</t>
  </si>
  <si>
    <t>20211</t>
  </si>
  <si>
    <t>20212</t>
  </si>
  <si>
    <t>20213</t>
  </si>
  <si>
    <t>20214</t>
  </si>
  <si>
    <t>20221</t>
  </si>
  <si>
    <t>20222</t>
  </si>
  <si>
    <t>20223</t>
  </si>
  <si>
    <t>20224</t>
  </si>
  <si>
    <t>20231</t>
  </si>
  <si>
    <t>20232</t>
  </si>
  <si>
    <t>20233</t>
  </si>
  <si>
    <t>20234</t>
  </si>
  <si>
    <t>20241</t>
  </si>
  <si>
    <t>20242</t>
  </si>
  <si>
    <t>20243</t>
  </si>
  <si>
    <t>20244</t>
  </si>
  <si>
    <t>20251</t>
  </si>
  <si>
    <t>20252</t>
  </si>
  <si>
    <t>20253</t>
  </si>
  <si>
    <t>20254</t>
  </si>
  <si>
    <t>20261</t>
  </si>
  <si>
    <t>20262</t>
  </si>
  <si>
    <t>20263</t>
  </si>
  <si>
    <t>20264</t>
  </si>
  <si>
    <t>20271</t>
  </si>
  <si>
    <t>20272</t>
  </si>
  <si>
    <t>20273</t>
  </si>
  <si>
    <t>Date</t>
  </si>
  <si>
    <t>2% line</t>
  </si>
  <si>
    <t>Section 2: Current economic conditions</t>
  </si>
  <si>
    <t xml:space="preserve">Chart 2.19 - Measures of higher-frequency services price inflation </t>
  </si>
  <si>
    <t>Monthly annualised inflation 
(three-month averages)</t>
  </si>
  <si>
    <t>Services</t>
  </si>
  <si>
    <t>Indexed and regulated services</t>
  </si>
  <si>
    <t>Services excluding indexed and volatile components, rents and foreign holidays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</si>
</sst>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7" formatCode="0.0"/>
    <numFmt numFmtId="168" formatCode="mmm\ yyyy"/>
  </numFmts>
  <fonts count="9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  <font>
      <sz val="10"/>
      <name val="Arial"/>
      <family val="2"/>
    </font>
    <font>
      <b/>
      <sz val="11"/>
      <name val="Times New Roman"/>
      <family val="1"/>
    </font>
    <font>
      <sz val="11"/>
      <color theme="1"/>
      <name val="Times New Roman"/>
      <family val="1"/>
    </font>
    <font>
      <sz val="11"/>
      <name val="Times New Roman"/>
      <family val="1"/>
    </font>
    <font>
      <b/>
      <sz val="11"/>
      <color indexed="10"/>
      <name val="Times New Roman"/>
      <family val="1"/>
    </font>
    <font>
      <sz val="11"/>
      <color indexed="12"/>
      <name val="Times New Roman"/>
      <family val="1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 style="thin">
        <color indexed="64"/>
      </bottom>
      <diagonal/>
    </border>
  </borders>
  <cellStyleXfs count="6">
    <xf numFmtId="0" fontId="0" fillId="0" borderId="0"/>
    <xf numFmtId="0" fontId="2" fillId="0" borderId="0" applyNumberFormat="0" applyFill="0" applyBorder="0" applyAlignment="0" applyProtection="0"/>
    <xf numFmtId="0" fontId="3" fillId="0" borderId="0"/>
    <xf numFmtId="0" fontId="1" fillId="0" borderId="0"/>
    <xf numFmtId="0" fontId="3" fillId="0" borderId="0"/>
    <xf numFmtId="0" fontId="3" fillId="0" borderId="0"/>
  </cellStyleXfs>
  <cellXfs count="19">
    <xf numFmtId="0" fontId="0" fillId="0" borderId="0" xfId="0"/>
    <xf numFmtId="0" fontId="2" fillId="0" borderId="0" xfId="1"/>
    <xf numFmtId="0" fontId="0" fillId="0" borderId="0" xfId="0" quotePrefix="1"/>
    <xf numFmtId="2" fontId="0" fillId="0" borderId="0" xfId="0" applyNumberFormat="1"/>
    <xf numFmtId="10" fontId="0" fillId="0" borderId="0" xfId="0" applyNumberFormat="1"/>
    <xf numFmtId="0" fontId="0" fillId="0" borderId="0" xfId="0" applyAlignment="1">
      <alignment wrapText="1"/>
    </xf>
    <xf numFmtId="17" fontId="0" fillId="0" borderId="0" xfId="0" applyNumberFormat="1"/>
    <xf numFmtId="167" fontId="0" fillId="0" borderId="0" xfId="0" applyNumberFormat="1"/>
    <xf numFmtId="15" fontId="4" fillId="0" borderId="0" xfId="2" applyNumberFormat="1" applyFont="1" applyAlignment="1">
      <alignment horizontal="left" vertical="center"/>
    </xf>
    <xf numFmtId="2" fontId="5" fillId="0" borderId="0" xfId="3" applyNumberFormat="1" applyFont="1"/>
    <xf numFmtId="0" fontId="5" fillId="0" borderId="0" xfId="3" applyFont="1"/>
    <xf numFmtId="15" fontId="6" fillId="0" borderId="0" xfId="2" applyNumberFormat="1" applyFont="1" applyAlignment="1">
      <alignment horizontal="center" vertical="center"/>
    </xf>
    <xf numFmtId="15" fontId="7" fillId="0" borderId="0" xfId="2" applyNumberFormat="1" applyFont="1" applyAlignment="1">
      <alignment horizontal="left" vertical="center"/>
    </xf>
    <xf numFmtId="15" fontId="7" fillId="0" borderId="0" xfId="4" applyNumberFormat="1" applyFont="1" applyAlignment="1">
      <alignment horizontal="left"/>
    </xf>
    <xf numFmtId="2" fontId="8" fillId="0" borderId="1" xfId="5" applyNumberFormat="1" applyFont="1" applyBorder="1" applyAlignment="1">
      <alignment horizontal="center" vertical="center" wrapText="1"/>
    </xf>
    <xf numFmtId="15" fontId="8" fillId="0" borderId="1" xfId="5" applyNumberFormat="1" applyFont="1" applyBorder="1" applyAlignment="1">
      <alignment horizontal="center" vertical="center" wrapText="1"/>
    </xf>
    <xf numFmtId="2" fontId="8" fillId="0" borderId="1" xfId="5" applyNumberFormat="1" applyFont="1" applyBorder="1" applyAlignment="1">
      <alignment horizontal="center" vertical="center" wrapText="1"/>
    </xf>
    <xf numFmtId="168" fontId="6" fillId="0" borderId="0" xfId="3" applyNumberFormat="1" applyFont="1" applyAlignment="1">
      <alignment horizontal="center"/>
    </xf>
    <xf numFmtId="167" fontId="6" fillId="0" borderId="0" xfId="3" applyNumberFormat="1" applyFont="1" applyAlignment="1">
      <alignment horizontal="center"/>
    </xf>
  </cellXfs>
  <cellStyles count="6">
    <cellStyle name="Hyperlink" xfId="1" builtinId="8"/>
    <cellStyle name="Normal" xfId="0" builtinId="0"/>
    <cellStyle name="Normal 4 2 2" xfId="3" xr:uid="{FBFB4B32-B2ED-477D-9E23-EA147D2E0755}"/>
    <cellStyle name="Normal_Chart 1.1 - Bank Rate and one day forward curves (updated)" xfId="4" xr:uid="{A0584227-1CC9-45EA-9C5F-39BE2597AEAA}"/>
    <cellStyle name="Normal_Section 1 Data for the web  " xfId="5" xr:uid="{DFD37F62-B0C9-4580-BF19-5066AAA12F03}"/>
    <cellStyle name="Normal_Sheet1 2" xfId="2" xr:uid="{E20AB362-7691-4194-940C-E582B4D6F999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chartsheet" Target="chartsheets/sheet2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1.xml"/><Relationship Id="rId1" Type="http://schemas.openxmlformats.org/officeDocument/2006/relationships/chartsheet" Target="chart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2.xml"/></Relationships>
</file>

<file path=xl/charts/_rels/chart1.xml.rels><?xml version="1.0" encoding="UTF-8" standalone="yes"?>
<Relationships xmlns="http://schemas.openxmlformats.org/package/2006/relationships"><Relationship Id="rId2" Type="http://schemas.openxmlformats.org/officeDocument/2006/relationships/chartUserShapes" Target="../drawings/drawing2.xml"/><Relationship Id="rId1" Type="http://schemas.openxmlformats.org/officeDocument/2006/relationships/themeOverride" Target="../theme/themeOverride1.xml"/></Relationships>
</file>

<file path=xl/charts/_rels/chart2.xml.rels><?xml version="1.0" encoding="UTF-8" standalone="yes"?>
<Relationships xmlns="http://schemas.openxmlformats.org/package/2006/relationships"><Relationship Id="rId2" Type="http://schemas.openxmlformats.org/officeDocument/2006/relationships/chartUserShapes" Target="../drawings/drawing4.xml"/><Relationship Id="rId1" Type="http://schemas.openxmlformats.org/officeDocument/2006/relationships/themeOverride" Target="../theme/themeOverride2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lrMapOvr bg1="lt1" tx1="dk1" bg2="lt2" tx2="dk2" accent1="accent1" accent2="accent2" accent3="accent3" accent4="accent4" accent5="accent5" accent6="accent6" hlink="hlink" folHlink="folHlink"/>
  <c:chart>
    <c:autoTitleDeleted val="1"/>
    <c:plotArea>
      <c:layout>
        <c:manualLayout>
          <c:layoutTarget val="inner"/>
          <c:xMode val="edge"/>
          <c:yMode val="edge"/>
          <c:x val="6.3381432524554346E-2"/>
          <c:y val="0.16809118378161145"/>
          <c:w val="0.87856854431657605"/>
          <c:h val="0.69116577110280875"/>
        </c:manualLayout>
      </c:layout>
      <c:lineChart>
        <c:grouping val="standard"/>
        <c:varyColors val="0"/>
        <c:ser>
          <c:idx val="0"/>
          <c:order val="0"/>
          <c:tx>
            <c:strRef>
              <c:f>'Haver Q'!$H$9</c:f>
              <c:strCache>
                <c:ptCount val="1"/>
                <c:pt idx="0">
                  <c:v>Aug-24</c:v>
                </c:pt>
              </c:strCache>
            </c:strRef>
          </c:tx>
          <c:spPr>
            <a:ln w="38100">
              <a:solidFill>
                <a:srgbClr val="BD1B21"/>
              </a:solidFill>
            </a:ln>
          </c:spPr>
          <c:marker>
            <c:symbol val="none"/>
          </c:marker>
          <c:cat>
            <c:strRef>
              <c:f>'Haver Q'!$G$10:$G$44</c:f>
              <c:strCache>
                <c:ptCount val="35"/>
                <c:pt idx="0">
                  <c:v>2019</c:v>
                </c:pt>
                <c:pt idx="1">
                  <c:v>2019</c:v>
                </c:pt>
                <c:pt idx="2">
                  <c:v>2019</c:v>
                </c:pt>
                <c:pt idx="3">
                  <c:v>2019</c:v>
                </c:pt>
                <c:pt idx="4">
                  <c:v>2020</c:v>
                </c:pt>
                <c:pt idx="5">
                  <c:v>2020</c:v>
                </c:pt>
                <c:pt idx="6">
                  <c:v>2020</c:v>
                </c:pt>
                <c:pt idx="7">
                  <c:v>2020</c:v>
                </c:pt>
                <c:pt idx="8">
                  <c:v>2021</c:v>
                </c:pt>
                <c:pt idx="9">
                  <c:v>2021</c:v>
                </c:pt>
                <c:pt idx="10">
                  <c:v>2021</c:v>
                </c:pt>
                <c:pt idx="11">
                  <c:v>2021</c:v>
                </c:pt>
                <c:pt idx="12">
                  <c:v>2022</c:v>
                </c:pt>
                <c:pt idx="13">
                  <c:v>2022</c:v>
                </c:pt>
                <c:pt idx="14">
                  <c:v>2022</c:v>
                </c:pt>
                <c:pt idx="15">
                  <c:v>2022</c:v>
                </c:pt>
                <c:pt idx="16">
                  <c:v>2023</c:v>
                </c:pt>
                <c:pt idx="17">
                  <c:v>2023</c:v>
                </c:pt>
                <c:pt idx="18">
                  <c:v>2023</c:v>
                </c:pt>
                <c:pt idx="19">
                  <c:v>2023</c:v>
                </c:pt>
                <c:pt idx="20">
                  <c:v>2024</c:v>
                </c:pt>
                <c:pt idx="21">
                  <c:v>2024</c:v>
                </c:pt>
                <c:pt idx="22">
                  <c:v>2024</c:v>
                </c:pt>
                <c:pt idx="23">
                  <c:v>2024</c:v>
                </c:pt>
                <c:pt idx="24">
                  <c:v>2025</c:v>
                </c:pt>
                <c:pt idx="25">
                  <c:v>2025</c:v>
                </c:pt>
                <c:pt idx="26">
                  <c:v>2025</c:v>
                </c:pt>
                <c:pt idx="27">
                  <c:v>2025</c:v>
                </c:pt>
                <c:pt idx="28">
                  <c:v>2026</c:v>
                </c:pt>
                <c:pt idx="29">
                  <c:v>2026</c:v>
                </c:pt>
                <c:pt idx="30">
                  <c:v>2026</c:v>
                </c:pt>
                <c:pt idx="31">
                  <c:v>2026</c:v>
                </c:pt>
                <c:pt idx="32">
                  <c:v>2027</c:v>
                </c:pt>
                <c:pt idx="33">
                  <c:v>2027</c:v>
                </c:pt>
                <c:pt idx="34">
                  <c:v>2027</c:v>
                </c:pt>
              </c:strCache>
            </c:strRef>
          </c:cat>
          <c:val>
            <c:numRef>
              <c:f>'Haver Q'!$H$10:$H$44</c:f>
              <c:numCache>
                <c:formatCode>General</c:formatCode>
                <c:ptCount val="35"/>
                <c:pt idx="0">
                  <c:v>#N/A</c:v>
                </c:pt>
                <c:pt idx="1">
                  <c:v>#N/A</c:v>
                </c:pt>
                <c:pt idx="2">
                  <c:v>#N/A</c:v>
                </c:pt>
                <c:pt idx="3">
                  <c:v>#N/A</c:v>
                </c:pt>
                <c:pt idx="4">
                  <c:v>#N/A</c:v>
                </c:pt>
                <c:pt idx="5">
                  <c:v>#N/A</c:v>
                </c:pt>
                <c:pt idx="6">
                  <c:v>#N/A</c:v>
                </c:pt>
                <c:pt idx="7">
                  <c:v>#N/A</c:v>
                </c:pt>
                <c:pt idx="8">
                  <c:v>#N/A</c:v>
                </c:pt>
                <c:pt idx="9">
                  <c:v>#N/A</c:v>
                </c:pt>
                <c:pt idx="10">
                  <c:v>#N/A</c:v>
                </c:pt>
                <c:pt idx="11">
                  <c:v>#N/A</c:v>
                </c:pt>
                <c:pt idx="12">
                  <c:v>#N/A</c:v>
                </c:pt>
                <c:pt idx="13">
                  <c:v>#N/A</c:v>
                </c:pt>
                <c:pt idx="14">
                  <c:v>#N/A</c:v>
                </c:pt>
                <c:pt idx="15">
                  <c:v>#N/A</c:v>
                </c:pt>
                <c:pt idx="16">
                  <c:v>#N/A</c:v>
                </c:pt>
                <c:pt idx="17">
                  <c:v>#N/A</c:v>
                </c:pt>
                <c:pt idx="18">
                  <c:v>#N/A</c:v>
                </c:pt>
                <c:pt idx="19">
                  <c:v>#N/A</c:v>
                </c:pt>
                <c:pt idx="20">
                  <c:v>#N/A</c:v>
                </c:pt>
                <c:pt idx="21" formatCode="0.0">
                  <c:v>2.1108850457782102</c:v>
                </c:pt>
                <c:pt idx="22" formatCode="0.00">
                  <c:v>2.2999999999999998</c:v>
                </c:pt>
                <c:pt idx="23" formatCode="0.00">
                  <c:v>2.7</c:v>
                </c:pt>
                <c:pt idx="24" formatCode="0.00">
                  <c:v>2.7</c:v>
                </c:pt>
                <c:pt idx="25" formatCode="0.00">
                  <c:v>2.6</c:v>
                </c:pt>
                <c:pt idx="26" formatCode="0.00">
                  <c:v>2.4</c:v>
                </c:pt>
                <c:pt idx="27" formatCode="0.00">
                  <c:v>2.2000000000000002</c:v>
                </c:pt>
                <c:pt idx="28" formatCode="0.00">
                  <c:v>2</c:v>
                </c:pt>
                <c:pt idx="29" formatCode="0.00">
                  <c:v>1.7</c:v>
                </c:pt>
                <c:pt idx="30" formatCode="0.00">
                  <c:v>1.7</c:v>
                </c:pt>
                <c:pt idx="31" formatCode="0.00">
                  <c:v>1.6</c:v>
                </c:pt>
                <c:pt idx="32" formatCode="0.00">
                  <c:v>1.5</c:v>
                </c:pt>
                <c:pt idx="33" formatCode="0.00">
                  <c:v>1.5</c:v>
                </c:pt>
                <c:pt idx="34" formatCode="0.00">
                  <c:v>1.5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E850-417B-95DA-4ED900504230}"/>
            </c:ext>
          </c:extLst>
        </c:ser>
        <c:ser>
          <c:idx val="1"/>
          <c:order val="1"/>
          <c:tx>
            <c:strRef>
              <c:f>'Haver Q'!$I$9</c:f>
              <c:strCache>
                <c:ptCount val="1"/>
                <c:pt idx="0">
                  <c:v>May-24</c:v>
                </c:pt>
              </c:strCache>
            </c:strRef>
          </c:tx>
          <c:spPr>
            <a:ln w="38100">
              <a:solidFill>
                <a:srgbClr val="003469"/>
              </a:solidFill>
            </a:ln>
          </c:spPr>
          <c:marker>
            <c:symbol val="none"/>
          </c:marker>
          <c:cat>
            <c:strRef>
              <c:f>'Haver Q'!$G$10:$G$44</c:f>
              <c:strCache>
                <c:ptCount val="35"/>
                <c:pt idx="0">
                  <c:v>2019</c:v>
                </c:pt>
                <c:pt idx="1">
                  <c:v>2019</c:v>
                </c:pt>
                <c:pt idx="2">
                  <c:v>2019</c:v>
                </c:pt>
                <c:pt idx="3">
                  <c:v>2019</c:v>
                </c:pt>
                <c:pt idx="4">
                  <c:v>2020</c:v>
                </c:pt>
                <c:pt idx="5">
                  <c:v>2020</c:v>
                </c:pt>
                <c:pt idx="6">
                  <c:v>2020</c:v>
                </c:pt>
                <c:pt idx="7">
                  <c:v>2020</c:v>
                </c:pt>
                <c:pt idx="8">
                  <c:v>2021</c:v>
                </c:pt>
                <c:pt idx="9">
                  <c:v>2021</c:v>
                </c:pt>
                <c:pt idx="10">
                  <c:v>2021</c:v>
                </c:pt>
                <c:pt idx="11">
                  <c:v>2021</c:v>
                </c:pt>
                <c:pt idx="12">
                  <c:v>2022</c:v>
                </c:pt>
                <c:pt idx="13">
                  <c:v>2022</c:v>
                </c:pt>
                <c:pt idx="14">
                  <c:v>2022</c:v>
                </c:pt>
                <c:pt idx="15">
                  <c:v>2022</c:v>
                </c:pt>
                <c:pt idx="16">
                  <c:v>2023</c:v>
                </c:pt>
                <c:pt idx="17">
                  <c:v>2023</c:v>
                </c:pt>
                <c:pt idx="18">
                  <c:v>2023</c:v>
                </c:pt>
                <c:pt idx="19">
                  <c:v>2023</c:v>
                </c:pt>
                <c:pt idx="20">
                  <c:v>2024</c:v>
                </c:pt>
                <c:pt idx="21">
                  <c:v>2024</c:v>
                </c:pt>
                <c:pt idx="22">
                  <c:v>2024</c:v>
                </c:pt>
                <c:pt idx="23">
                  <c:v>2024</c:v>
                </c:pt>
                <c:pt idx="24">
                  <c:v>2025</c:v>
                </c:pt>
                <c:pt idx="25">
                  <c:v>2025</c:v>
                </c:pt>
                <c:pt idx="26">
                  <c:v>2025</c:v>
                </c:pt>
                <c:pt idx="27">
                  <c:v>2025</c:v>
                </c:pt>
                <c:pt idx="28">
                  <c:v>2026</c:v>
                </c:pt>
                <c:pt idx="29">
                  <c:v>2026</c:v>
                </c:pt>
                <c:pt idx="30">
                  <c:v>2026</c:v>
                </c:pt>
                <c:pt idx="31">
                  <c:v>2026</c:v>
                </c:pt>
                <c:pt idx="32">
                  <c:v>2027</c:v>
                </c:pt>
                <c:pt idx="33">
                  <c:v>2027</c:v>
                </c:pt>
                <c:pt idx="34">
                  <c:v>2027</c:v>
                </c:pt>
              </c:strCache>
            </c:strRef>
          </c:cat>
          <c:val>
            <c:numRef>
              <c:f>'Haver Q'!$I$10:$I$44</c:f>
              <c:numCache>
                <c:formatCode>0.0</c:formatCode>
                <c:ptCount val="35"/>
                <c:pt idx="0">
                  <c:v>1.8453706649697699</c:v>
                </c:pt>
                <c:pt idx="1">
                  <c:v>2.018927444794949</c:v>
                </c:pt>
                <c:pt idx="2">
                  <c:v>1.8501097522734433</c:v>
                </c:pt>
                <c:pt idx="3">
                  <c:v>1.4027431421446579</c:v>
                </c:pt>
                <c:pt idx="4">
                  <c:v>1.6557325835676151</c:v>
                </c:pt>
                <c:pt idx="5">
                  <c:v>0.68027210884356037</c:v>
                </c:pt>
                <c:pt idx="6">
                  <c:v>0.61576354679802048</c:v>
                </c:pt>
                <c:pt idx="7">
                  <c:v>0.58407623731939751</c:v>
                </c:pt>
                <c:pt idx="8">
                  <c:v>0.64535955746773954</c:v>
                </c:pt>
                <c:pt idx="9">
                  <c:v>2.0270270270270174</c:v>
                </c:pt>
                <c:pt idx="10">
                  <c:v>2.7539779681762466</c:v>
                </c:pt>
                <c:pt idx="11">
                  <c:v>4.8899755501222497</c:v>
                </c:pt>
                <c:pt idx="12">
                  <c:v>6.1984732824427402</c:v>
                </c:pt>
                <c:pt idx="13">
                  <c:v>9.1511137868753867</c:v>
                </c:pt>
                <c:pt idx="14">
                  <c:v>10.005955926146527</c:v>
                </c:pt>
                <c:pt idx="15">
                  <c:v>10.751748251748271</c:v>
                </c:pt>
                <c:pt idx="16">
                  <c:v>10.178263369752759</c:v>
                </c:pt>
                <c:pt idx="17">
                  <c:v>8.4390512961941777</c:v>
                </c:pt>
                <c:pt idx="18">
                  <c:v>6.7135896047644916</c:v>
                </c:pt>
                <c:pt idx="19">
                  <c:v>4.1568008418837232</c:v>
                </c:pt>
                <c:pt idx="20">
                  <c:v>3.5490605427974886</c:v>
                </c:pt>
                <c:pt idx="21">
                  <c:v>2</c:v>
                </c:pt>
                <c:pt idx="22">
                  <c:v>2.2000000000000002</c:v>
                </c:pt>
                <c:pt idx="23">
                  <c:v>2.6</c:v>
                </c:pt>
                <c:pt idx="24">
                  <c:v>2.6</c:v>
                </c:pt>
                <c:pt idx="25">
                  <c:v>2.6</c:v>
                </c:pt>
                <c:pt idx="26">
                  <c:v>2.5</c:v>
                </c:pt>
                <c:pt idx="27">
                  <c:v>2.2999999999999998</c:v>
                </c:pt>
                <c:pt idx="28">
                  <c:v>2.1</c:v>
                </c:pt>
                <c:pt idx="29">
                  <c:v>1.9</c:v>
                </c:pt>
                <c:pt idx="30">
                  <c:v>1.8</c:v>
                </c:pt>
                <c:pt idx="31">
                  <c:v>1.6</c:v>
                </c:pt>
                <c:pt idx="32">
                  <c:v>1.5</c:v>
                </c:pt>
                <c:pt idx="33">
                  <c:v>1.6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E850-417B-95DA-4ED900504230}"/>
            </c:ext>
          </c:extLst>
        </c:ser>
        <c:ser>
          <c:idx val="2"/>
          <c:order val="2"/>
          <c:tx>
            <c:strRef>
              <c:f>'Haver Q'!$J$9</c:f>
              <c:strCache>
                <c:ptCount val="1"/>
                <c:pt idx="0">
                  <c:v>2% line</c:v>
                </c:pt>
              </c:strCache>
            </c:strRef>
          </c:tx>
          <c:spPr>
            <a:ln w="19050">
              <a:solidFill>
                <a:sysClr val="windowText" lastClr="000000"/>
              </a:solidFill>
              <a:prstDash val="dash"/>
            </a:ln>
          </c:spPr>
          <c:marker>
            <c:symbol val="none"/>
          </c:marker>
          <c:cat>
            <c:strRef>
              <c:f>'Haver Q'!$G$10:$G$44</c:f>
              <c:strCache>
                <c:ptCount val="35"/>
                <c:pt idx="0">
                  <c:v>2019</c:v>
                </c:pt>
                <c:pt idx="1">
                  <c:v>2019</c:v>
                </c:pt>
                <c:pt idx="2">
                  <c:v>2019</c:v>
                </c:pt>
                <c:pt idx="3">
                  <c:v>2019</c:v>
                </c:pt>
                <c:pt idx="4">
                  <c:v>2020</c:v>
                </c:pt>
                <c:pt idx="5">
                  <c:v>2020</c:v>
                </c:pt>
                <c:pt idx="6">
                  <c:v>2020</c:v>
                </c:pt>
                <c:pt idx="7">
                  <c:v>2020</c:v>
                </c:pt>
                <c:pt idx="8">
                  <c:v>2021</c:v>
                </c:pt>
                <c:pt idx="9">
                  <c:v>2021</c:v>
                </c:pt>
                <c:pt idx="10">
                  <c:v>2021</c:v>
                </c:pt>
                <c:pt idx="11">
                  <c:v>2021</c:v>
                </c:pt>
                <c:pt idx="12">
                  <c:v>2022</c:v>
                </c:pt>
                <c:pt idx="13">
                  <c:v>2022</c:v>
                </c:pt>
                <c:pt idx="14">
                  <c:v>2022</c:v>
                </c:pt>
                <c:pt idx="15">
                  <c:v>2022</c:v>
                </c:pt>
                <c:pt idx="16">
                  <c:v>2023</c:v>
                </c:pt>
                <c:pt idx="17">
                  <c:v>2023</c:v>
                </c:pt>
                <c:pt idx="18">
                  <c:v>2023</c:v>
                </c:pt>
                <c:pt idx="19">
                  <c:v>2023</c:v>
                </c:pt>
                <c:pt idx="20">
                  <c:v>2024</c:v>
                </c:pt>
                <c:pt idx="21">
                  <c:v>2024</c:v>
                </c:pt>
                <c:pt idx="22">
                  <c:v>2024</c:v>
                </c:pt>
                <c:pt idx="23">
                  <c:v>2024</c:v>
                </c:pt>
                <c:pt idx="24">
                  <c:v>2025</c:v>
                </c:pt>
                <c:pt idx="25">
                  <c:v>2025</c:v>
                </c:pt>
                <c:pt idx="26">
                  <c:v>2025</c:v>
                </c:pt>
                <c:pt idx="27">
                  <c:v>2025</c:v>
                </c:pt>
                <c:pt idx="28">
                  <c:v>2026</c:v>
                </c:pt>
                <c:pt idx="29">
                  <c:v>2026</c:v>
                </c:pt>
                <c:pt idx="30">
                  <c:v>2026</c:v>
                </c:pt>
                <c:pt idx="31">
                  <c:v>2026</c:v>
                </c:pt>
                <c:pt idx="32">
                  <c:v>2027</c:v>
                </c:pt>
                <c:pt idx="33">
                  <c:v>2027</c:v>
                </c:pt>
                <c:pt idx="34">
                  <c:v>2027</c:v>
                </c:pt>
              </c:strCache>
            </c:strRef>
          </c:cat>
          <c:val>
            <c:numRef>
              <c:f>'Haver Q'!$J$10:$J$44</c:f>
              <c:numCache>
                <c:formatCode>General</c:formatCode>
                <c:ptCount val="35"/>
                <c:pt idx="0">
                  <c:v>2</c:v>
                </c:pt>
                <c:pt idx="1">
                  <c:v>2</c:v>
                </c:pt>
                <c:pt idx="2">
                  <c:v>2</c:v>
                </c:pt>
                <c:pt idx="3">
                  <c:v>2</c:v>
                </c:pt>
                <c:pt idx="4">
                  <c:v>2</c:v>
                </c:pt>
                <c:pt idx="5">
                  <c:v>2</c:v>
                </c:pt>
                <c:pt idx="6">
                  <c:v>2</c:v>
                </c:pt>
                <c:pt idx="7">
                  <c:v>2</c:v>
                </c:pt>
                <c:pt idx="8">
                  <c:v>2</c:v>
                </c:pt>
                <c:pt idx="9">
                  <c:v>2</c:v>
                </c:pt>
                <c:pt idx="10">
                  <c:v>2</c:v>
                </c:pt>
                <c:pt idx="11">
                  <c:v>2</c:v>
                </c:pt>
                <c:pt idx="12">
                  <c:v>2</c:v>
                </c:pt>
                <c:pt idx="13">
                  <c:v>2</c:v>
                </c:pt>
                <c:pt idx="14">
                  <c:v>2</c:v>
                </c:pt>
                <c:pt idx="15">
                  <c:v>2</c:v>
                </c:pt>
                <c:pt idx="16">
                  <c:v>2</c:v>
                </c:pt>
                <c:pt idx="17">
                  <c:v>2</c:v>
                </c:pt>
                <c:pt idx="18">
                  <c:v>2</c:v>
                </c:pt>
                <c:pt idx="19">
                  <c:v>2</c:v>
                </c:pt>
                <c:pt idx="20">
                  <c:v>2</c:v>
                </c:pt>
                <c:pt idx="21">
                  <c:v>2</c:v>
                </c:pt>
                <c:pt idx="22">
                  <c:v>2</c:v>
                </c:pt>
                <c:pt idx="23">
                  <c:v>2</c:v>
                </c:pt>
                <c:pt idx="24">
                  <c:v>2</c:v>
                </c:pt>
                <c:pt idx="25">
                  <c:v>2</c:v>
                </c:pt>
                <c:pt idx="26">
                  <c:v>2</c:v>
                </c:pt>
                <c:pt idx="27">
                  <c:v>2</c:v>
                </c:pt>
                <c:pt idx="28">
                  <c:v>2</c:v>
                </c:pt>
                <c:pt idx="29">
                  <c:v>2</c:v>
                </c:pt>
                <c:pt idx="30">
                  <c:v>2</c:v>
                </c:pt>
                <c:pt idx="31">
                  <c:v>2</c:v>
                </c:pt>
                <c:pt idx="32">
                  <c:v>2</c:v>
                </c:pt>
                <c:pt idx="33">
                  <c:v>2</c:v>
                </c:pt>
                <c:pt idx="34">
                  <c:v>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2D-8196-4DF4-93A7-281A6553246C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263607040"/>
        <c:axId val="263608576"/>
      </c:lineChart>
      <c:catAx>
        <c:axId val="263607040"/>
        <c:scaling>
          <c:orientation val="minMax"/>
        </c:scaling>
        <c:delete val="0"/>
        <c:axPos val="b"/>
        <c:numFmt formatCode="General" sourceLinked="0"/>
        <c:majorTickMark val="out"/>
        <c:minorTickMark val="none"/>
        <c:tickLblPos val="low"/>
        <c:spPr>
          <a:ln>
            <a:solidFill>
              <a:srgbClr val="495057"/>
            </a:solidFill>
          </a:ln>
        </c:spPr>
        <c:txPr>
          <a:bodyPr rot="0" vert="horz"/>
          <a:lstStyle/>
          <a:p>
            <a:pPr>
              <a:defRPr sz="1800" b="0" i="0" u="none" strike="noStrike" baseline="0">
                <a:solidFill>
                  <a:srgbClr val="495057"/>
                </a:solidFill>
                <a:latin typeface="Segoe UI"/>
                <a:ea typeface="Segoe UI"/>
                <a:cs typeface="Segoe UI"/>
              </a:defRPr>
            </a:pPr>
            <a:endParaRPr lang="en-US"/>
          </a:p>
        </c:txPr>
        <c:crossAx val="263608576"/>
        <c:crossesAt val="-5000000"/>
        <c:auto val="1"/>
        <c:lblAlgn val="ctr"/>
        <c:lblOffset val="100"/>
        <c:tickLblSkip val="4"/>
        <c:tickMarkSkip val="4"/>
        <c:noMultiLvlLbl val="0"/>
      </c:catAx>
      <c:valAx>
        <c:axId val="263608576"/>
        <c:scaling>
          <c:orientation val="minMax"/>
        </c:scaling>
        <c:delete val="0"/>
        <c:axPos val="l"/>
        <c:numFmt formatCode="General" sourceLinked="0"/>
        <c:majorTickMark val="out"/>
        <c:minorTickMark val="none"/>
        <c:tickLblPos val="nextTo"/>
        <c:spPr>
          <a:ln>
            <a:solidFill>
              <a:srgbClr val="495057"/>
            </a:solidFill>
          </a:ln>
        </c:spPr>
        <c:txPr>
          <a:bodyPr rot="0" vert="horz"/>
          <a:lstStyle/>
          <a:p>
            <a:pPr>
              <a:defRPr sz="1800" b="0" i="0" u="none" strike="noStrike" baseline="0">
                <a:solidFill>
                  <a:srgbClr val="495057"/>
                </a:solidFill>
                <a:latin typeface="Segoe UI"/>
                <a:ea typeface="Segoe UI"/>
                <a:cs typeface="Segoe UI"/>
              </a:defRPr>
            </a:pPr>
            <a:endParaRPr lang="en-US"/>
          </a:p>
        </c:txPr>
        <c:crossAx val="263607040"/>
        <c:crosses val="autoZero"/>
        <c:crossBetween val="midCat"/>
      </c:valAx>
      <c:spPr>
        <a:noFill/>
        <a:ln w="25400">
          <a:noFill/>
        </a:ln>
      </c:spPr>
    </c:plotArea>
    <c:legend>
      <c:legendPos val="t"/>
      <c:legendEntry>
        <c:idx val="2"/>
        <c:delete val="1"/>
      </c:legendEntry>
      <c:layout>
        <c:manualLayout>
          <c:xMode val="edge"/>
          <c:yMode val="edge"/>
          <c:x val="9.9872923124428428E-2"/>
          <c:y val="0.23951267433725792"/>
          <c:w val="0.21595812401277892"/>
          <c:h val="0.1525624041796288"/>
        </c:manualLayout>
      </c:layout>
      <c:overlay val="1"/>
      <c:txPr>
        <a:bodyPr/>
        <a:lstStyle/>
        <a:p>
          <a:pPr>
            <a:defRPr sz="1800">
              <a:solidFill>
                <a:srgbClr val="495057"/>
              </a:solidFill>
              <a:latin typeface="Segoe UI"/>
              <a:ea typeface="Segoe UI"/>
              <a:cs typeface="Segoe UI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rgbClr val="FFFFFF"/>
    </a:solidFill>
    <a:ln w="28575">
      <a:noFill/>
    </a:ln>
  </c:spPr>
  <c:txPr>
    <a:bodyPr/>
    <a:lstStyle/>
    <a:p>
      <a:pPr>
        <a:defRPr sz="2000" b="0" i="0" u="none" strike="noStrike" baseline="0">
          <a:solidFill>
            <a:srgbClr val="000000"/>
          </a:solidFill>
          <a:latin typeface="Arial"/>
          <a:ea typeface="Arial"/>
          <a:cs typeface="Arial"/>
        </a:defRPr>
      </a:pPr>
      <a:endParaRPr lang="en-US"/>
    </a:p>
  </c:txPr>
  <c:userShapes r:id="rId2"/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lrMapOvr bg1="lt1" tx1="dk1" bg2="lt2" tx2="dk2" accent1="accent1" accent2="accent2" accent3="accent3" accent4="accent4" accent5="accent5" accent6="accent6" hlink="hlink" folHlink="folHlink"/>
  <c:chart>
    <c:autoTitleDeleted val="1"/>
    <c:plotArea>
      <c:layout>
        <c:manualLayout>
          <c:layoutTarget val="inner"/>
          <c:xMode val="edge"/>
          <c:yMode val="edge"/>
          <c:x val="5.9361607472630938E-2"/>
          <c:y val="0.18717602171266928"/>
          <c:w val="0.90231327389108718"/>
          <c:h val="0.67446051146762143"/>
        </c:manualLayout>
      </c:layout>
      <c:lineChart>
        <c:grouping val="standard"/>
        <c:varyColors val="0"/>
        <c:ser>
          <c:idx val="0"/>
          <c:order val="0"/>
          <c:tx>
            <c:strRef>
              <c:f>'BoE Aug24 MPR C2.19'!$B$6</c:f>
              <c:strCache>
                <c:ptCount val="1"/>
                <c:pt idx="0">
                  <c:v>Services</c:v>
                </c:pt>
              </c:strCache>
            </c:strRef>
          </c:tx>
          <c:spPr>
            <a:ln w="38100">
              <a:solidFill>
                <a:srgbClr val="BD1B21"/>
              </a:solidFill>
            </a:ln>
          </c:spPr>
          <c:marker>
            <c:symbol val="none"/>
          </c:marker>
          <c:cat>
            <c:numRef>
              <c:f>'BoE Aug24 MPR C2.19'!$A$7:$A$84</c:f>
              <c:numCache>
                <c:formatCode>mmm\ yyyy</c:formatCode>
                <c:ptCount val="78"/>
                <c:pt idx="0">
                  <c:v>43101</c:v>
                </c:pt>
                <c:pt idx="1">
                  <c:v>43132</c:v>
                </c:pt>
                <c:pt idx="2">
                  <c:v>43160</c:v>
                </c:pt>
                <c:pt idx="3">
                  <c:v>43191</c:v>
                </c:pt>
                <c:pt idx="4">
                  <c:v>43221</c:v>
                </c:pt>
                <c:pt idx="5">
                  <c:v>43252</c:v>
                </c:pt>
                <c:pt idx="6">
                  <c:v>43282</c:v>
                </c:pt>
                <c:pt idx="7">
                  <c:v>43313</c:v>
                </c:pt>
                <c:pt idx="8">
                  <c:v>43344</c:v>
                </c:pt>
                <c:pt idx="9">
                  <c:v>43374</c:v>
                </c:pt>
                <c:pt idx="10">
                  <c:v>43405</c:v>
                </c:pt>
                <c:pt idx="11">
                  <c:v>43435</c:v>
                </c:pt>
                <c:pt idx="12">
                  <c:v>43466</c:v>
                </c:pt>
                <c:pt idx="13">
                  <c:v>43497</c:v>
                </c:pt>
                <c:pt idx="14">
                  <c:v>43525</c:v>
                </c:pt>
                <c:pt idx="15">
                  <c:v>43556</c:v>
                </c:pt>
                <c:pt idx="16">
                  <c:v>43586</c:v>
                </c:pt>
                <c:pt idx="17">
                  <c:v>43617</c:v>
                </c:pt>
                <c:pt idx="18">
                  <c:v>43647</c:v>
                </c:pt>
                <c:pt idx="19">
                  <c:v>43678</c:v>
                </c:pt>
                <c:pt idx="20">
                  <c:v>43709</c:v>
                </c:pt>
                <c:pt idx="21">
                  <c:v>43739</c:v>
                </c:pt>
                <c:pt idx="22">
                  <c:v>43770</c:v>
                </c:pt>
                <c:pt idx="23">
                  <c:v>43800</c:v>
                </c:pt>
                <c:pt idx="24">
                  <c:v>43831</c:v>
                </c:pt>
                <c:pt idx="25">
                  <c:v>43862</c:v>
                </c:pt>
                <c:pt idx="26">
                  <c:v>43891</c:v>
                </c:pt>
                <c:pt idx="27">
                  <c:v>43922</c:v>
                </c:pt>
                <c:pt idx="28">
                  <c:v>43952</c:v>
                </c:pt>
                <c:pt idx="29">
                  <c:v>43983</c:v>
                </c:pt>
                <c:pt idx="30">
                  <c:v>44013</c:v>
                </c:pt>
                <c:pt idx="31">
                  <c:v>44044</c:v>
                </c:pt>
                <c:pt idx="32">
                  <c:v>44075</c:v>
                </c:pt>
                <c:pt idx="33">
                  <c:v>44105</c:v>
                </c:pt>
                <c:pt idx="34">
                  <c:v>44136</c:v>
                </c:pt>
                <c:pt idx="35">
                  <c:v>44166</c:v>
                </c:pt>
                <c:pt idx="36">
                  <c:v>44197</c:v>
                </c:pt>
                <c:pt idx="37">
                  <c:v>44228</c:v>
                </c:pt>
                <c:pt idx="38">
                  <c:v>44256</c:v>
                </c:pt>
                <c:pt idx="39">
                  <c:v>44287</c:v>
                </c:pt>
                <c:pt idx="40">
                  <c:v>44317</c:v>
                </c:pt>
                <c:pt idx="41">
                  <c:v>44348</c:v>
                </c:pt>
                <c:pt idx="42">
                  <c:v>44378</c:v>
                </c:pt>
                <c:pt idx="43">
                  <c:v>44409</c:v>
                </c:pt>
                <c:pt idx="44">
                  <c:v>44440</c:v>
                </c:pt>
                <c:pt idx="45">
                  <c:v>44470</c:v>
                </c:pt>
                <c:pt idx="46">
                  <c:v>44501</c:v>
                </c:pt>
                <c:pt idx="47">
                  <c:v>44531</c:v>
                </c:pt>
                <c:pt idx="48">
                  <c:v>44562</c:v>
                </c:pt>
                <c:pt idx="49">
                  <c:v>44593</c:v>
                </c:pt>
                <c:pt idx="50">
                  <c:v>44621</c:v>
                </c:pt>
                <c:pt idx="51">
                  <c:v>44652</c:v>
                </c:pt>
                <c:pt idx="52">
                  <c:v>44682</c:v>
                </c:pt>
                <c:pt idx="53">
                  <c:v>44713</c:v>
                </c:pt>
                <c:pt idx="54">
                  <c:v>44743</c:v>
                </c:pt>
                <c:pt idx="55">
                  <c:v>44774</c:v>
                </c:pt>
                <c:pt idx="56">
                  <c:v>44805</c:v>
                </c:pt>
                <c:pt idx="57">
                  <c:v>44835</c:v>
                </c:pt>
                <c:pt idx="58">
                  <c:v>44866</c:v>
                </c:pt>
                <c:pt idx="59">
                  <c:v>44896</c:v>
                </c:pt>
                <c:pt idx="60">
                  <c:v>44927</c:v>
                </c:pt>
                <c:pt idx="61">
                  <c:v>44958</c:v>
                </c:pt>
                <c:pt idx="62">
                  <c:v>44986</c:v>
                </c:pt>
                <c:pt idx="63">
                  <c:v>45017</c:v>
                </c:pt>
                <c:pt idx="64">
                  <c:v>45047</c:v>
                </c:pt>
                <c:pt idx="65">
                  <c:v>45078</c:v>
                </c:pt>
                <c:pt idx="66">
                  <c:v>45108</c:v>
                </c:pt>
                <c:pt idx="67">
                  <c:v>45139</c:v>
                </c:pt>
                <c:pt idx="68">
                  <c:v>45170</c:v>
                </c:pt>
                <c:pt idx="69">
                  <c:v>45200</c:v>
                </c:pt>
                <c:pt idx="70">
                  <c:v>45231</c:v>
                </c:pt>
                <c:pt idx="71">
                  <c:v>45261</c:v>
                </c:pt>
                <c:pt idx="72">
                  <c:v>45292</c:v>
                </c:pt>
                <c:pt idx="73">
                  <c:v>45323</c:v>
                </c:pt>
                <c:pt idx="74">
                  <c:v>45352</c:v>
                </c:pt>
                <c:pt idx="75">
                  <c:v>45383</c:v>
                </c:pt>
                <c:pt idx="76">
                  <c:v>45413</c:v>
                </c:pt>
                <c:pt idx="77">
                  <c:v>45444</c:v>
                </c:pt>
              </c:numCache>
            </c:numRef>
          </c:cat>
          <c:val>
            <c:numRef>
              <c:f>'BoE Aug24 MPR C2.19'!$B$7:$B$84</c:f>
              <c:numCache>
                <c:formatCode>0.0</c:formatCode>
                <c:ptCount val="78"/>
                <c:pt idx="0">
                  <c:v>2.8</c:v>
                </c:pt>
                <c:pt idx="1">
                  <c:v>2.4</c:v>
                </c:pt>
                <c:pt idx="2">
                  <c:v>1.7</c:v>
                </c:pt>
                <c:pt idx="3">
                  <c:v>1.3</c:v>
                </c:pt>
                <c:pt idx="4">
                  <c:v>2.4</c:v>
                </c:pt>
                <c:pt idx="5">
                  <c:v>2.8</c:v>
                </c:pt>
                <c:pt idx="6">
                  <c:v>3.4</c:v>
                </c:pt>
                <c:pt idx="7">
                  <c:v>3.7</c:v>
                </c:pt>
                <c:pt idx="8">
                  <c:v>2.5</c:v>
                </c:pt>
                <c:pt idx="9">
                  <c:v>2.2999999999999998</c:v>
                </c:pt>
                <c:pt idx="10">
                  <c:v>1.4</c:v>
                </c:pt>
                <c:pt idx="11">
                  <c:v>2.9</c:v>
                </c:pt>
                <c:pt idx="12">
                  <c:v>2.9</c:v>
                </c:pt>
                <c:pt idx="13">
                  <c:v>2.2999999999999998</c:v>
                </c:pt>
                <c:pt idx="14">
                  <c:v>1.8</c:v>
                </c:pt>
                <c:pt idx="15">
                  <c:v>2.9</c:v>
                </c:pt>
                <c:pt idx="16">
                  <c:v>2.7</c:v>
                </c:pt>
                <c:pt idx="17">
                  <c:v>2.8</c:v>
                </c:pt>
                <c:pt idx="18">
                  <c:v>1.9</c:v>
                </c:pt>
                <c:pt idx="19">
                  <c:v>2.6</c:v>
                </c:pt>
                <c:pt idx="20">
                  <c:v>2.5</c:v>
                </c:pt>
                <c:pt idx="21">
                  <c:v>2.4</c:v>
                </c:pt>
                <c:pt idx="22">
                  <c:v>2</c:v>
                </c:pt>
                <c:pt idx="23">
                  <c:v>1.5</c:v>
                </c:pt>
                <c:pt idx="24">
                  <c:v>2.1</c:v>
                </c:pt>
                <c:pt idx="25">
                  <c:v>2.8</c:v>
                </c:pt>
                <c:pt idx="26">
                  <c:v>3.4</c:v>
                </c:pt>
                <c:pt idx="27">
                  <c:v>1.7</c:v>
                </c:pt>
                <c:pt idx="28">
                  <c:v>0.2</c:v>
                </c:pt>
                <c:pt idx="29">
                  <c:v>-0.3</c:v>
                </c:pt>
                <c:pt idx="30">
                  <c:v>2.4</c:v>
                </c:pt>
                <c:pt idx="31">
                  <c:v>-2.1</c:v>
                </c:pt>
                <c:pt idx="32">
                  <c:v>1.3</c:v>
                </c:pt>
                <c:pt idx="33">
                  <c:v>-0.9</c:v>
                </c:pt>
                <c:pt idx="34">
                  <c:v>4.9000000000000004</c:v>
                </c:pt>
                <c:pt idx="35">
                  <c:v>1.9</c:v>
                </c:pt>
                <c:pt idx="36">
                  <c:v>4</c:v>
                </c:pt>
                <c:pt idx="37">
                  <c:v>3.4</c:v>
                </c:pt>
                <c:pt idx="38">
                  <c:v>3.2</c:v>
                </c:pt>
                <c:pt idx="39">
                  <c:v>0.8</c:v>
                </c:pt>
                <c:pt idx="40">
                  <c:v>1.6</c:v>
                </c:pt>
                <c:pt idx="41">
                  <c:v>2.1</c:v>
                </c:pt>
                <c:pt idx="42">
                  <c:v>2.6</c:v>
                </c:pt>
                <c:pt idx="43">
                  <c:v>2.6</c:v>
                </c:pt>
                <c:pt idx="44">
                  <c:v>3.2</c:v>
                </c:pt>
                <c:pt idx="45">
                  <c:v>5.3</c:v>
                </c:pt>
                <c:pt idx="46">
                  <c:v>5.7</c:v>
                </c:pt>
                <c:pt idx="47">
                  <c:v>5.4</c:v>
                </c:pt>
                <c:pt idx="48">
                  <c:v>4.5</c:v>
                </c:pt>
                <c:pt idx="49">
                  <c:v>4.4000000000000004</c:v>
                </c:pt>
                <c:pt idx="50">
                  <c:v>5.7</c:v>
                </c:pt>
                <c:pt idx="51">
                  <c:v>6.5</c:v>
                </c:pt>
                <c:pt idx="52">
                  <c:v>6.6</c:v>
                </c:pt>
                <c:pt idx="53">
                  <c:v>6.6</c:v>
                </c:pt>
                <c:pt idx="54">
                  <c:v>6.5</c:v>
                </c:pt>
                <c:pt idx="55">
                  <c:v>7.2</c:v>
                </c:pt>
                <c:pt idx="56">
                  <c:v>6.9</c:v>
                </c:pt>
                <c:pt idx="57">
                  <c:v>7.4</c:v>
                </c:pt>
                <c:pt idx="58">
                  <c:v>7.1</c:v>
                </c:pt>
                <c:pt idx="59">
                  <c:v>8.1</c:v>
                </c:pt>
                <c:pt idx="60">
                  <c:v>3.7</c:v>
                </c:pt>
                <c:pt idx="61">
                  <c:v>5.7</c:v>
                </c:pt>
                <c:pt idx="62">
                  <c:v>5.2</c:v>
                </c:pt>
                <c:pt idx="63">
                  <c:v>10.3</c:v>
                </c:pt>
                <c:pt idx="64">
                  <c:v>9.3000000000000007</c:v>
                </c:pt>
                <c:pt idx="65">
                  <c:v>8.5</c:v>
                </c:pt>
                <c:pt idx="66">
                  <c:v>8.5</c:v>
                </c:pt>
                <c:pt idx="67">
                  <c:v>5.3</c:v>
                </c:pt>
                <c:pt idx="68">
                  <c:v>5.9</c:v>
                </c:pt>
                <c:pt idx="69">
                  <c:v>3.8</c:v>
                </c:pt>
                <c:pt idx="70">
                  <c:v>4.8</c:v>
                </c:pt>
                <c:pt idx="71">
                  <c:v>6</c:v>
                </c:pt>
                <c:pt idx="72">
                  <c:v>3.9</c:v>
                </c:pt>
                <c:pt idx="73">
                  <c:v>5.2</c:v>
                </c:pt>
                <c:pt idx="74">
                  <c:v>3.7</c:v>
                </c:pt>
                <c:pt idx="75">
                  <c:v>7.4</c:v>
                </c:pt>
                <c:pt idx="76">
                  <c:v>7.4</c:v>
                </c:pt>
                <c:pt idx="77">
                  <c:v>7.3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E850-417B-95DA-4ED900504230}"/>
            </c:ext>
          </c:extLst>
        </c:ser>
        <c:ser>
          <c:idx val="1"/>
          <c:order val="1"/>
          <c:tx>
            <c:strRef>
              <c:f>'BoE Aug24 MPR C2.19'!$C$6</c:f>
              <c:strCache>
                <c:ptCount val="1"/>
                <c:pt idx="0">
                  <c:v>Indexed and regulated services</c:v>
                </c:pt>
              </c:strCache>
            </c:strRef>
          </c:tx>
          <c:spPr>
            <a:ln w="38100">
              <a:solidFill>
                <a:srgbClr val="003469"/>
              </a:solidFill>
            </a:ln>
          </c:spPr>
          <c:marker>
            <c:symbol val="none"/>
          </c:marker>
          <c:cat>
            <c:numRef>
              <c:f>'BoE Aug24 MPR C2.19'!$A$7:$A$84</c:f>
              <c:numCache>
                <c:formatCode>mmm\ yyyy</c:formatCode>
                <c:ptCount val="78"/>
                <c:pt idx="0">
                  <c:v>43101</c:v>
                </c:pt>
                <c:pt idx="1">
                  <c:v>43132</c:v>
                </c:pt>
                <c:pt idx="2">
                  <c:v>43160</c:v>
                </c:pt>
                <c:pt idx="3">
                  <c:v>43191</c:v>
                </c:pt>
                <c:pt idx="4">
                  <c:v>43221</c:v>
                </c:pt>
                <c:pt idx="5">
                  <c:v>43252</c:v>
                </c:pt>
                <c:pt idx="6">
                  <c:v>43282</c:v>
                </c:pt>
                <c:pt idx="7">
                  <c:v>43313</c:v>
                </c:pt>
                <c:pt idx="8">
                  <c:v>43344</c:v>
                </c:pt>
                <c:pt idx="9">
                  <c:v>43374</c:v>
                </c:pt>
                <c:pt idx="10">
                  <c:v>43405</c:v>
                </c:pt>
                <c:pt idx="11">
                  <c:v>43435</c:v>
                </c:pt>
                <c:pt idx="12">
                  <c:v>43466</c:v>
                </c:pt>
                <c:pt idx="13">
                  <c:v>43497</c:v>
                </c:pt>
                <c:pt idx="14">
                  <c:v>43525</c:v>
                </c:pt>
                <c:pt idx="15">
                  <c:v>43556</c:v>
                </c:pt>
                <c:pt idx="16">
                  <c:v>43586</c:v>
                </c:pt>
                <c:pt idx="17">
                  <c:v>43617</c:v>
                </c:pt>
                <c:pt idx="18">
                  <c:v>43647</c:v>
                </c:pt>
                <c:pt idx="19">
                  <c:v>43678</c:v>
                </c:pt>
                <c:pt idx="20">
                  <c:v>43709</c:v>
                </c:pt>
                <c:pt idx="21">
                  <c:v>43739</c:v>
                </c:pt>
                <c:pt idx="22">
                  <c:v>43770</c:v>
                </c:pt>
                <c:pt idx="23">
                  <c:v>43800</c:v>
                </c:pt>
                <c:pt idx="24">
                  <c:v>43831</c:v>
                </c:pt>
                <c:pt idx="25">
                  <c:v>43862</c:v>
                </c:pt>
                <c:pt idx="26">
                  <c:v>43891</c:v>
                </c:pt>
                <c:pt idx="27">
                  <c:v>43922</c:v>
                </c:pt>
                <c:pt idx="28">
                  <c:v>43952</c:v>
                </c:pt>
                <c:pt idx="29">
                  <c:v>43983</c:v>
                </c:pt>
                <c:pt idx="30">
                  <c:v>44013</c:v>
                </c:pt>
                <c:pt idx="31">
                  <c:v>44044</c:v>
                </c:pt>
                <c:pt idx="32">
                  <c:v>44075</c:v>
                </c:pt>
                <c:pt idx="33">
                  <c:v>44105</c:v>
                </c:pt>
                <c:pt idx="34">
                  <c:v>44136</c:v>
                </c:pt>
                <c:pt idx="35">
                  <c:v>44166</c:v>
                </c:pt>
                <c:pt idx="36">
                  <c:v>44197</c:v>
                </c:pt>
                <c:pt idx="37">
                  <c:v>44228</c:v>
                </c:pt>
                <c:pt idx="38">
                  <c:v>44256</c:v>
                </c:pt>
                <c:pt idx="39">
                  <c:v>44287</c:v>
                </c:pt>
                <c:pt idx="40">
                  <c:v>44317</c:v>
                </c:pt>
                <c:pt idx="41">
                  <c:v>44348</c:v>
                </c:pt>
                <c:pt idx="42">
                  <c:v>44378</c:v>
                </c:pt>
                <c:pt idx="43">
                  <c:v>44409</c:v>
                </c:pt>
                <c:pt idx="44">
                  <c:v>44440</c:v>
                </c:pt>
                <c:pt idx="45">
                  <c:v>44470</c:v>
                </c:pt>
                <c:pt idx="46">
                  <c:v>44501</c:v>
                </c:pt>
                <c:pt idx="47">
                  <c:v>44531</c:v>
                </c:pt>
                <c:pt idx="48">
                  <c:v>44562</c:v>
                </c:pt>
                <c:pt idx="49">
                  <c:v>44593</c:v>
                </c:pt>
                <c:pt idx="50">
                  <c:v>44621</c:v>
                </c:pt>
                <c:pt idx="51">
                  <c:v>44652</c:v>
                </c:pt>
                <c:pt idx="52">
                  <c:v>44682</c:v>
                </c:pt>
                <c:pt idx="53">
                  <c:v>44713</c:v>
                </c:pt>
                <c:pt idx="54">
                  <c:v>44743</c:v>
                </c:pt>
                <c:pt idx="55">
                  <c:v>44774</c:v>
                </c:pt>
                <c:pt idx="56">
                  <c:v>44805</c:v>
                </c:pt>
                <c:pt idx="57">
                  <c:v>44835</c:v>
                </c:pt>
                <c:pt idx="58">
                  <c:v>44866</c:v>
                </c:pt>
                <c:pt idx="59">
                  <c:v>44896</c:v>
                </c:pt>
                <c:pt idx="60">
                  <c:v>44927</c:v>
                </c:pt>
                <c:pt idx="61">
                  <c:v>44958</c:v>
                </c:pt>
                <c:pt idx="62">
                  <c:v>44986</c:v>
                </c:pt>
                <c:pt idx="63">
                  <c:v>45017</c:v>
                </c:pt>
                <c:pt idx="64">
                  <c:v>45047</c:v>
                </c:pt>
                <c:pt idx="65">
                  <c:v>45078</c:v>
                </c:pt>
                <c:pt idx="66">
                  <c:v>45108</c:v>
                </c:pt>
                <c:pt idx="67">
                  <c:v>45139</c:v>
                </c:pt>
                <c:pt idx="68">
                  <c:v>45170</c:v>
                </c:pt>
                <c:pt idx="69">
                  <c:v>45200</c:v>
                </c:pt>
                <c:pt idx="70">
                  <c:v>45231</c:v>
                </c:pt>
                <c:pt idx="71">
                  <c:v>45261</c:v>
                </c:pt>
                <c:pt idx="72">
                  <c:v>45292</c:v>
                </c:pt>
                <c:pt idx="73">
                  <c:v>45323</c:v>
                </c:pt>
                <c:pt idx="74">
                  <c:v>45352</c:v>
                </c:pt>
                <c:pt idx="75">
                  <c:v>45383</c:v>
                </c:pt>
                <c:pt idx="76">
                  <c:v>45413</c:v>
                </c:pt>
                <c:pt idx="77">
                  <c:v>45444</c:v>
                </c:pt>
              </c:numCache>
            </c:numRef>
          </c:cat>
          <c:val>
            <c:numRef>
              <c:f>'BoE Aug24 MPR C2.19'!$C$7:$C$84</c:f>
              <c:numCache>
                <c:formatCode>0.0</c:formatCode>
                <c:ptCount val="78"/>
                <c:pt idx="0">
                  <c:v>1.3</c:v>
                </c:pt>
                <c:pt idx="1">
                  <c:v>0.9</c:v>
                </c:pt>
                <c:pt idx="2">
                  <c:v>1.9</c:v>
                </c:pt>
                <c:pt idx="3">
                  <c:v>2.2000000000000002</c:v>
                </c:pt>
                <c:pt idx="4">
                  <c:v>2.4</c:v>
                </c:pt>
                <c:pt idx="5">
                  <c:v>2.8</c:v>
                </c:pt>
                <c:pt idx="6">
                  <c:v>2.6</c:v>
                </c:pt>
                <c:pt idx="7">
                  <c:v>2.9</c:v>
                </c:pt>
                <c:pt idx="8">
                  <c:v>2.1</c:v>
                </c:pt>
                <c:pt idx="9">
                  <c:v>2.9</c:v>
                </c:pt>
                <c:pt idx="10">
                  <c:v>2.8</c:v>
                </c:pt>
                <c:pt idx="11">
                  <c:v>3.2</c:v>
                </c:pt>
                <c:pt idx="12">
                  <c:v>2.2000000000000002</c:v>
                </c:pt>
                <c:pt idx="13">
                  <c:v>2.2000000000000002</c:v>
                </c:pt>
                <c:pt idx="14">
                  <c:v>2.1</c:v>
                </c:pt>
                <c:pt idx="15">
                  <c:v>2.7</c:v>
                </c:pt>
                <c:pt idx="16">
                  <c:v>3.2</c:v>
                </c:pt>
                <c:pt idx="17">
                  <c:v>2.8</c:v>
                </c:pt>
                <c:pt idx="18">
                  <c:v>1.5</c:v>
                </c:pt>
                <c:pt idx="19">
                  <c:v>1.4</c:v>
                </c:pt>
                <c:pt idx="20">
                  <c:v>1.8</c:v>
                </c:pt>
                <c:pt idx="21">
                  <c:v>2.1</c:v>
                </c:pt>
                <c:pt idx="22">
                  <c:v>2.1</c:v>
                </c:pt>
                <c:pt idx="23">
                  <c:v>2.8</c:v>
                </c:pt>
                <c:pt idx="24">
                  <c:v>3.5</c:v>
                </c:pt>
                <c:pt idx="25">
                  <c:v>3.7</c:v>
                </c:pt>
                <c:pt idx="26">
                  <c:v>3</c:v>
                </c:pt>
                <c:pt idx="27">
                  <c:v>1.7</c:v>
                </c:pt>
                <c:pt idx="28">
                  <c:v>1.1000000000000001</c:v>
                </c:pt>
                <c:pt idx="29">
                  <c:v>0.7</c:v>
                </c:pt>
                <c:pt idx="30">
                  <c:v>2.9</c:v>
                </c:pt>
                <c:pt idx="31">
                  <c:v>2.9</c:v>
                </c:pt>
                <c:pt idx="32">
                  <c:v>2.4</c:v>
                </c:pt>
                <c:pt idx="33">
                  <c:v>0.8</c:v>
                </c:pt>
                <c:pt idx="34">
                  <c:v>1.4</c:v>
                </c:pt>
                <c:pt idx="35">
                  <c:v>2.2000000000000002</c:v>
                </c:pt>
                <c:pt idx="36">
                  <c:v>3.2</c:v>
                </c:pt>
                <c:pt idx="37">
                  <c:v>2.8</c:v>
                </c:pt>
                <c:pt idx="38">
                  <c:v>2.6</c:v>
                </c:pt>
                <c:pt idx="39">
                  <c:v>1.5</c:v>
                </c:pt>
                <c:pt idx="40">
                  <c:v>1</c:v>
                </c:pt>
                <c:pt idx="41">
                  <c:v>1.2</c:v>
                </c:pt>
                <c:pt idx="42">
                  <c:v>1.1000000000000001</c:v>
                </c:pt>
                <c:pt idx="43">
                  <c:v>1.8</c:v>
                </c:pt>
                <c:pt idx="44">
                  <c:v>2.5</c:v>
                </c:pt>
                <c:pt idx="45">
                  <c:v>5.4</c:v>
                </c:pt>
                <c:pt idx="46">
                  <c:v>5.6</c:v>
                </c:pt>
                <c:pt idx="47">
                  <c:v>5.0999999999999996</c:v>
                </c:pt>
                <c:pt idx="48">
                  <c:v>3.7</c:v>
                </c:pt>
                <c:pt idx="49">
                  <c:v>3.6</c:v>
                </c:pt>
                <c:pt idx="50">
                  <c:v>2.8</c:v>
                </c:pt>
                <c:pt idx="51">
                  <c:v>4.8</c:v>
                </c:pt>
                <c:pt idx="52">
                  <c:v>3.7</c:v>
                </c:pt>
                <c:pt idx="53">
                  <c:v>4.7</c:v>
                </c:pt>
                <c:pt idx="54">
                  <c:v>2.2000000000000002</c:v>
                </c:pt>
                <c:pt idx="55">
                  <c:v>3.5</c:v>
                </c:pt>
                <c:pt idx="56">
                  <c:v>3.1</c:v>
                </c:pt>
                <c:pt idx="57">
                  <c:v>3.5</c:v>
                </c:pt>
                <c:pt idx="58">
                  <c:v>3.7</c:v>
                </c:pt>
                <c:pt idx="59">
                  <c:v>4.2</c:v>
                </c:pt>
                <c:pt idx="60">
                  <c:v>4.2</c:v>
                </c:pt>
                <c:pt idx="61">
                  <c:v>4</c:v>
                </c:pt>
                <c:pt idx="62">
                  <c:v>2.8</c:v>
                </c:pt>
                <c:pt idx="63">
                  <c:v>13.9</c:v>
                </c:pt>
                <c:pt idx="64">
                  <c:v>12.2</c:v>
                </c:pt>
                <c:pt idx="65">
                  <c:v>13.7</c:v>
                </c:pt>
                <c:pt idx="66">
                  <c:v>4.9000000000000004</c:v>
                </c:pt>
                <c:pt idx="67">
                  <c:v>6.7</c:v>
                </c:pt>
                <c:pt idx="68">
                  <c:v>7</c:v>
                </c:pt>
                <c:pt idx="69">
                  <c:v>4.9000000000000004</c:v>
                </c:pt>
                <c:pt idx="70">
                  <c:v>5</c:v>
                </c:pt>
                <c:pt idx="71">
                  <c:v>4.4000000000000004</c:v>
                </c:pt>
                <c:pt idx="72">
                  <c:v>4.7</c:v>
                </c:pt>
                <c:pt idx="73">
                  <c:v>4.2</c:v>
                </c:pt>
                <c:pt idx="74">
                  <c:v>3.4</c:v>
                </c:pt>
                <c:pt idx="75">
                  <c:v>10.1</c:v>
                </c:pt>
                <c:pt idx="76">
                  <c:v>8.4</c:v>
                </c:pt>
                <c:pt idx="77">
                  <c:v>10.1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E850-417B-95DA-4ED900504230}"/>
            </c:ext>
          </c:extLst>
        </c:ser>
        <c:ser>
          <c:idx val="2"/>
          <c:order val="2"/>
          <c:tx>
            <c:strRef>
              <c:f>'BoE Aug24 MPR C2.19'!$D$6</c:f>
              <c:strCache>
                <c:ptCount val="1"/>
                <c:pt idx="0">
                  <c:v>Services excluding indexed and volatile components, rents and foreign holidays</c:v>
                </c:pt>
              </c:strCache>
            </c:strRef>
          </c:tx>
          <c:spPr>
            <a:ln w="38100">
              <a:solidFill>
                <a:srgbClr val="D1A21E"/>
              </a:solidFill>
            </a:ln>
          </c:spPr>
          <c:marker>
            <c:symbol val="none"/>
          </c:marker>
          <c:cat>
            <c:numRef>
              <c:f>'BoE Aug24 MPR C2.19'!$A$7:$A$84</c:f>
              <c:numCache>
                <c:formatCode>mmm\ yyyy</c:formatCode>
                <c:ptCount val="78"/>
                <c:pt idx="0">
                  <c:v>43101</c:v>
                </c:pt>
                <c:pt idx="1">
                  <c:v>43132</c:v>
                </c:pt>
                <c:pt idx="2">
                  <c:v>43160</c:v>
                </c:pt>
                <c:pt idx="3">
                  <c:v>43191</c:v>
                </c:pt>
                <c:pt idx="4">
                  <c:v>43221</c:v>
                </c:pt>
                <c:pt idx="5">
                  <c:v>43252</c:v>
                </c:pt>
                <c:pt idx="6">
                  <c:v>43282</c:v>
                </c:pt>
                <c:pt idx="7">
                  <c:v>43313</c:v>
                </c:pt>
                <c:pt idx="8">
                  <c:v>43344</c:v>
                </c:pt>
                <c:pt idx="9">
                  <c:v>43374</c:v>
                </c:pt>
                <c:pt idx="10">
                  <c:v>43405</c:v>
                </c:pt>
                <c:pt idx="11">
                  <c:v>43435</c:v>
                </c:pt>
                <c:pt idx="12">
                  <c:v>43466</c:v>
                </c:pt>
                <c:pt idx="13">
                  <c:v>43497</c:v>
                </c:pt>
                <c:pt idx="14">
                  <c:v>43525</c:v>
                </c:pt>
                <c:pt idx="15">
                  <c:v>43556</c:v>
                </c:pt>
                <c:pt idx="16">
                  <c:v>43586</c:v>
                </c:pt>
                <c:pt idx="17">
                  <c:v>43617</c:v>
                </c:pt>
                <c:pt idx="18">
                  <c:v>43647</c:v>
                </c:pt>
                <c:pt idx="19">
                  <c:v>43678</c:v>
                </c:pt>
                <c:pt idx="20">
                  <c:v>43709</c:v>
                </c:pt>
                <c:pt idx="21">
                  <c:v>43739</c:v>
                </c:pt>
                <c:pt idx="22">
                  <c:v>43770</c:v>
                </c:pt>
                <c:pt idx="23">
                  <c:v>43800</c:v>
                </c:pt>
                <c:pt idx="24">
                  <c:v>43831</c:v>
                </c:pt>
                <c:pt idx="25">
                  <c:v>43862</c:v>
                </c:pt>
                <c:pt idx="26">
                  <c:v>43891</c:v>
                </c:pt>
                <c:pt idx="27">
                  <c:v>43922</c:v>
                </c:pt>
                <c:pt idx="28">
                  <c:v>43952</c:v>
                </c:pt>
                <c:pt idx="29">
                  <c:v>43983</c:v>
                </c:pt>
                <c:pt idx="30">
                  <c:v>44013</c:v>
                </c:pt>
                <c:pt idx="31">
                  <c:v>44044</c:v>
                </c:pt>
                <c:pt idx="32">
                  <c:v>44075</c:v>
                </c:pt>
                <c:pt idx="33">
                  <c:v>44105</c:v>
                </c:pt>
                <c:pt idx="34">
                  <c:v>44136</c:v>
                </c:pt>
                <c:pt idx="35">
                  <c:v>44166</c:v>
                </c:pt>
                <c:pt idx="36">
                  <c:v>44197</c:v>
                </c:pt>
                <c:pt idx="37">
                  <c:v>44228</c:v>
                </c:pt>
                <c:pt idx="38">
                  <c:v>44256</c:v>
                </c:pt>
                <c:pt idx="39">
                  <c:v>44287</c:v>
                </c:pt>
                <c:pt idx="40">
                  <c:v>44317</c:v>
                </c:pt>
                <c:pt idx="41">
                  <c:v>44348</c:v>
                </c:pt>
                <c:pt idx="42">
                  <c:v>44378</c:v>
                </c:pt>
                <c:pt idx="43">
                  <c:v>44409</c:v>
                </c:pt>
                <c:pt idx="44">
                  <c:v>44440</c:v>
                </c:pt>
                <c:pt idx="45">
                  <c:v>44470</c:v>
                </c:pt>
                <c:pt idx="46">
                  <c:v>44501</c:v>
                </c:pt>
                <c:pt idx="47">
                  <c:v>44531</c:v>
                </c:pt>
                <c:pt idx="48">
                  <c:v>44562</c:v>
                </c:pt>
                <c:pt idx="49">
                  <c:v>44593</c:v>
                </c:pt>
                <c:pt idx="50">
                  <c:v>44621</c:v>
                </c:pt>
                <c:pt idx="51">
                  <c:v>44652</c:v>
                </c:pt>
                <c:pt idx="52">
                  <c:v>44682</c:v>
                </c:pt>
                <c:pt idx="53">
                  <c:v>44713</c:v>
                </c:pt>
                <c:pt idx="54">
                  <c:v>44743</c:v>
                </c:pt>
                <c:pt idx="55">
                  <c:v>44774</c:v>
                </c:pt>
                <c:pt idx="56">
                  <c:v>44805</c:v>
                </c:pt>
                <c:pt idx="57">
                  <c:v>44835</c:v>
                </c:pt>
                <c:pt idx="58">
                  <c:v>44866</c:v>
                </c:pt>
                <c:pt idx="59">
                  <c:v>44896</c:v>
                </c:pt>
                <c:pt idx="60">
                  <c:v>44927</c:v>
                </c:pt>
                <c:pt idx="61">
                  <c:v>44958</c:v>
                </c:pt>
                <c:pt idx="62">
                  <c:v>44986</c:v>
                </c:pt>
                <c:pt idx="63">
                  <c:v>45017</c:v>
                </c:pt>
                <c:pt idx="64">
                  <c:v>45047</c:v>
                </c:pt>
                <c:pt idx="65">
                  <c:v>45078</c:v>
                </c:pt>
                <c:pt idx="66">
                  <c:v>45108</c:v>
                </c:pt>
                <c:pt idx="67">
                  <c:v>45139</c:v>
                </c:pt>
                <c:pt idx="68">
                  <c:v>45170</c:v>
                </c:pt>
                <c:pt idx="69">
                  <c:v>45200</c:v>
                </c:pt>
                <c:pt idx="70">
                  <c:v>45231</c:v>
                </c:pt>
                <c:pt idx="71">
                  <c:v>45261</c:v>
                </c:pt>
                <c:pt idx="72">
                  <c:v>45292</c:v>
                </c:pt>
                <c:pt idx="73">
                  <c:v>45323</c:v>
                </c:pt>
                <c:pt idx="74">
                  <c:v>45352</c:v>
                </c:pt>
                <c:pt idx="75">
                  <c:v>45383</c:v>
                </c:pt>
                <c:pt idx="76">
                  <c:v>45413</c:v>
                </c:pt>
                <c:pt idx="77">
                  <c:v>45444</c:v>
                </c:pt>
              </c:numCache>
            </c:numRef>
          </c:cat>
          <c:val>
            <c:numRef>
              <c:f>'BoE Aug24 MPR C2.19'!$D$7:$D$84</c:f>
              <c:numCache>
                <c:formatCode>0.0</c:formatCode>
                <c:ptCount val="78"/>
                <c:pt idx="0">
                  <c:v>3</c:v>
                </c:pt>
                <c:pt idx="1">
                  <c:v>3.1</c:v>
                </c:pt>
                <c:pt idx="2">
                  <c:v>2.6</c:v>
                </c:pt>
                <c:pt idx="3">
                  <c:v>2.2000000000000002</c:v>
                </c:pt>
                <c:pt idx="4">
                  <c:v>2.5</c:v>
                </c:pt>
                <c:pt idx="5">
                  <c:v>2.6</c:v>
                </c:pt>
                <c:pt idx="6">
                  <c:v>2.7</c:v>
                </c:pt>
                <c:pt idx="7">
                  <c:v>3.3</c:v>
                </c:pt>
                <c:pt idx="8">
                  <c:v>2.9</c:v>
                </c:pt>
                <c:pt idx="9">
                  <c:v>2.5</c:v>
                </c:pt>
                <c:pt idx="10">
                  <c:v>1.1000000000000001</c:v>
                </c:pt>
                <c:pt idx="11">
                  <c:v>1.7</c:v>
                </c:pt>
                <c:pt idx="12">
                  <c:v>2.5</c:v>
                </c:pt>
                <c:pt idx="13">
                  <c:v>2.5</c:v>
                </c:pt>
                <c:pt idx="14">
                  <c:v>2.7</c:v>
                </c:pt>
                <c:pt idx="15">
                  <c:v>3.6</c:v>
                </c:pt>
                <c:pt idx="16">
                  <c:v>2.7</c:v>
                </c:pt>
                <c:pt idx="17">
                  <c:v>3.1</c:v>
                </c:pt>
                <c:pt idx="18">
                  <c:v>1.8</c:v>
                </c:pt>
                <c:pt idx="19">
                  <c:v>3.1</c:v>
                </c:pt>
                <c:pt idx="20">
                  <c:v>3</c:v>
                </c:pt>
                <c:pt idx="21">
                  <c:v>2.5</c:v>
                </c:pt>
                <c:pt idx="22">
                  <c:v>2.6</c:v>
                </c:pt>
                <c:pt idx="23">
                  <c:v>1.9</c:v>
                </c:pt>
                <c:pt idx="24">
                  <c:v>2.5</c:v>
                </c:pt>
                <c:pt idx="25">
                  <c:v>2.7</c:v>
                </c:pt>
                <c:pt idx="26">
                  <c:v>2.6</c:v>
                </c:pt>
                <c:pt idx="27">
                  <c:v>1.3</c:v>
                </c:pt>
                <c:pt idx="28">
                  <c:v>-0.2</c:v>
                </c:pt>
                <c:pt idx="29">
                  <c:v>-0.6</c:v>
                </c:pt>
                <c:pt idx="30">
                  <c:v>3.1</c:v>
                </c:pt>
                <c:pt idx="31">
                  <c:v>-4.2</c:v>
                </c:pt>
                <c:pt idx="32">
                  <c:v>3</c:v>
                </c:pt>
                <c:pt idx="33">
                  <c:v>-0.2</c:v>
                </c:pt>
                <c:pt idx="34">
                  <c:v>7.2</c:v>
                </c:pt>
                <c:pt idx="35">
                  <c:v>2.1</c:v>
                </c:pt>
                <c:pt idx="36">
                  <c:v>3</c:v>
                </c:pt>
                <c:pt idx="37">
                  <c:v>3.9</c:v>
                </c:pt>
                <c:pt idx="38">
                  <c:v>1.9</c:v>
                </c:pt>
                <c:pt idx="39">
                  <c:v>0.6</c:v>
                </c:pt>
                <c:pt idx="40">
                  <c:v>2</c:v>
                </c:pt>
                <c:pt idx="41">
                  <c:v>3</c:v>
                </c:pt>
                <c:pt idx="42">
                  <c:v>4.9000000000000004</c:v>
                </c:pt>
                <c:pt idx="43">
                  <c:v>4.2</c:v>
                </c:pt>
                <c:pt idx="44">
                  <c:v>4.4000000000000004</c:v>
                </c:pt>
                <c:pt idx="45">
                  <c:v>4.2</c:v>
                </c:pt>
                <c:pt idx="46">
                  <c:v>4.5</c:v>
                </c:pt>
                <c:pt idx="47">
                  <c:v>3.9</c:v>
                </c:pt>
                <c:pt idx="48">
                  <c:v>3.7</c:v>
                </c:pt>
                <c:pt idx="49">
                  <c:v>4</c:v>
                </c:pt>
                <c:pt idx="50">
                  <c:v>6</c:v>
                </c:pt>
                <c:pt idx="51">
                  <c:v>8</c:v>
                </c:pt>
                <c:pt idx="52">
                  <c:v>8.4</c:v>
                </c:pt>
                <c:pt idx="53">
                  <c:v>7.4</c:v>
                </c:pt>
                <c:pt idx="54">
                  <c:v>6.7</c:v>
                </c:pt>
                <c:pt idx="55">
                  <c:v>7.3</c:v>
                </c:pt>
                <c:pt idx="56">
                  <c:v>6.6</c:v>
                </c:pt>
                <c:pt idx="57">
                  <c:v>6.5</c:v>
                </c:pt>
                <c:pt idx="58">
                  <c:v>7.2</c:v>
                </c:pt>
                <c:pt idx="59">
                  <c:v>7.8</c:v>
                </c:pt>
                <c:pt idx="60">
                  <c:v>4.2</c:v>
                </c:pt>
                <c:pt idx="61">
                  <c:v>7</c:v>
                </c:pt>
                <c:pt idx="62">
                  <c:v>7</c:v>
                </c:pt>
                <c:pt idx="63">
                  <c:v>10.4</c:v>
                </c:pt>
                <c:pt idx="64">
                  <c:v>6.9</c:v>
                </c:pt>
                <c:pt idx="65">
                  <c:v>6.7</c:v>
                </c:pt>
                <c:pt idx="66">
                  <c:v>5.7</c:v>
                </c:pt>
                <c:pt idx="67">
                  <c:v>4.5999999999999996</c:v>
                </c:pt>
                <c:pt idx="68">
                  <c:v>4.7</c:v>
                </c:pt>
                <c:pt idx="69">
                  <c:v>5.3</c:v>
                </c:pt>
                <c:pt idx="70">
                  <c:v>4.4000000000000004</c:v>
                </c:pt>
                <c:pt idx="71">
                  <c:v>4.4000000000000004</c:v>
                </c:pt>
                <c:pt idx="72">
                  <c:v>4.3</c:v>
                </c:pt>
                <c:pt idx="73">
                  <c:v>5.5</c:v>
                </c:pt>
                <c:pt idx="74">
                  <c:v>4.9000000000000004</c:v>
                </c:pt>
                <c:pt idx="75">
                  <c:v>5.3</c:v>
                </c:pt>
                <c:pt idx="76">
                  <c:v>5.2</c:v>
                </c:pt>
                <c:pt idx="77">
                  <c:v>4.9000000000000004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E850-417B-95DA-4ED900504230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263607040"/>
        <c:axId val="263608576"/>
      </c:lineChart>
      <c:dateAx>
        <c:axId val="263607040"/>
        <c:scaling>
          <c:orientation val="minMax"/>
        </c:scaling>
        <c:delete val="0"/>
        <c:axPos val="b"/>
        <c:numFmt formatCode="yyyy" sourceLinked="0"/>
        <c:majorTickMark val="out"/>
        <c:minorTickMark val="none"/>
        <c:tickLblPos val="low"/>
        <c:spPr>
          <a:ln>
            <a:solidFill>
              <a:srgbClr val="495057"/>
            </a:solidFill>
          </a:ln>
        </c:spPr>
        <c:txPr>
          <a:bodyPr rot="0" vert="horz"/>
          <a:lstStyle/>
          <a:p>
            <a:pPr>
              <a:defRPr sz="1800" b="0" i="0" u="none" strike="noStrike" baseline="0">
                <a:solidFill>
                  <a:srgbClr val="495057"/>
                </a:solidFill>
                <a:latin typeface="Segoe UI"/>
                <a:ea typeface="Segoe UI"/>
                <a:cs typeface="Segoe UI"/>
              </a:defRPr>
            </a:pPr>
            <a:endParaRPr lang="en-US"/>
          </a:p>
        </c:txPr>
        <c:crossAx val="263608576"/>
        <c:crossesAt val="-5000000"/>
        <c:auto val="1"/>
        <c:lblOffset val="100"/>
        <c:baseTimeUnit val="months"/>
        <c:majorUnit val="12"/>
        <c:majorTimeUnit val="months"/>
      </c:dateAx>
      <c:valAx>
        <c:axId val="263608576"/>
        <c:scaling>
          <c:orientation val="minMax"/>
        </c:scaling>
        <c:delete val="0"/>
        <c:axPos val="l"/>
        <c:numFmt formatCode="General" sourceLinked="0"/>
        <c:majorTickMark val="out"/>
        <c:minorTickMark val="none"/>
        <c:tickLblPos val="nextTo"/>
        <c:spPr>
          <a:ln>
            <a:solidFill>
              <a:srgbClr val="495057"/>
            </a:solidFill>
          </a:ln>
        </c:spPr>
        <c:txPr>
          <a:bodyPr rot="0" vert="horz"/>
          <a:lstStyle/>
          <a:p>
            <a:pPr>
              <a:defRPr sz="1800" b="0" i="0" u="none" strike="noStrike" baseline="0">
                <a:solidFill>
                  <a:srgbClr val="495057"/>
                </a:solidFill>
                <a:latin typeface="Segoe UI"/>
                <a:ea typeface="Segoe UI"/>
                <a:cs typeface="Segoe UI"/>
              </a:defRPr>
            </a:pPr>
            <a:endParaRPr lang="en-US"/>
          </a:p>
        </c:txPr>
        <c:crossAx val="263607040"/>
        <c:crosses val="autoZero"/>
        <c:crossBetween val="midCat"/>
      </c:valAx>
      <c:spPr>
        <a:noFill/>
        <a:ln w="25400">
          <a:noFill/>
        </a:ln>
      </c:spPr>
    </c:plotArea>
    <c:legend>
      <c:legendPos val="t"/>
      <c:layout>
        <c:manualLayout>
          <c:xMode val="edge"/>
          <c:yMode val="edge"/>
          <c:x val="8.5327033300816563E-2"/>
          <c:y val="0.17100245974069525"/>
          <c:w val="0.54971880962543485"/>
          <c:h val="0.25536301799670069"/>
        </c:manualLayout>
      </c:layout>
      <c:overlay val="1"/>
      <c:txPr>
        <a:bodyPr/>
        <a:lstStyle/>
        <a:p>
          <a:pPr>
            <a:defRPr sz="1800">
              <a:solidFill>
                <a:srgbClr val="495057"/>
              </a:solidFill>
              <a:latin typeface="Segoe UI"/>
              <a:ea typeface="Segoe UI"/>
              <a:cs typeface="Segoe UI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rgbClr val="FFFFFF"/>
    </a:solidFill>
    <a:ln w="28575">
      <a:noFill/>
    </a:ln>
  </c:spPr>
  <c:txPr>
    <a:bodyPr/>
    <a:lstStyle/>
    <a:p>
      <a:pPr>
        <a:defRPr sz="2000" b="0" i="0" u="none" strike="noStrike" baseline="0">
          <a:solidFill>
            <a:srgbClr val="000000"/>
          </a:solidFill>
          <a:latin typeface="Arial"/>
          <a:ea typeface="Arial"/>
          <a:cs typeface="Arial"/>
        </a:defRPr>
      </a:pPr>
      <a:endParaRPr lang="en-US"/>
    </a:p>
  </c:txPr>
  <c:userShapes r:id="rId2"/>
</c:chartSpace>
</file>

<file path=xl/chart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chart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3.xml"/><Relationship Id="rId1" Type="http://schemas.openxmlformats.org/officeDocument/2006/relationships/printerSettings" Target="../printerSettings/printerSettings2.bin"/></Relationships>
</file>

<file path=xl/chartsheets/sheet1.xml><?xml version="1.0" encoding="utf-8"?>
<chartsheet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xmlns:xr3="http://schemas.microsoft.com/office/spreadsheetml/2016/revision3" mc:Ignorable="xr xr3" xr:uid="{31CF047A-F941-49C9-B105-B56EA0B55967}">
  <sheetPr/>
  <sheetViews>
    <sheetView zoomScale="70" workbookViewId="0"/>
  </sheetViews>
  <pageMargins left="1.1811023622047201" right="1.1811023622047201" top="0.39370078740157499" bottom="0.39370078740157499" header="0.78740157480314998" footer="0.78740157480314998"/>
  <pageSetup paperSize="9" orientation="landscape" r:id="rId1"/>
  <drawing r:id="rId2"/>
</chartsheet>
</file>

<file path=xl/chartsheets/sheet2.xml><?xml version="1.0" encoding="utf-8"?>
<chartsheet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xmlns:xr3="http://schemas.microsoft.com/office/spreadsheetml/2016/revision3" mc:Ignorable="xr xr3" xr:uid="{269AE1AE-2050-4284-BF62-2BEFCD326B40}">
  <sheetPr/>
  <sheetViews>
    <sheetView tabSelected="1" zoomScale="70" workbookViewId="0"/>
  </sheetViews>
  <pageMargins left="1.1811023622047201" right="1.1811023622047201" top="0.39370078740157499" bottom="0.39370078740157499" header="0.78740157480314998" footer="0.78740157480314998"/>
  <pageSetup paperSize="9" orientation="landscape" r:id="rId1"/>
  <drawing r:id="rId2"/>
</chartsheet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chart" Target="../charts/chart2.xml"/></Relationships>
</file>

<file path=xl/drawings/drawing1.xml><?xml version="1.0" encoding="utf-8"?>
<xdr:wsDr xmlns:xdr="http://schemas.openxmlformats.org/drawingml/2006/spreadsheetDrawing" xmlns:a="http://schemas.openxmlformats.org/drawingml/2006/main">
  <xdr:absoluteAnchor>
    <xdr:pos x="0" y="0"/>
    <xdr:ext cx="8420100" cy="6718300"/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3055E9EA-7A44-D063-5AEF-2CE288CCBDC3}"/>
            </a:ext>
          </a:extLst>
        </xdr:cNvPr>
        <xdr:cNvGraphicFramePr>
          <a:graphicFrameLocks noGrp="1"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absoluteAnchor>
</xdr:wsDr>
</file>

<file path=xl/drawings/drawing2.xml><?xml version="1.0" encoding="utf-8"?>
<c:userShapes xmlns:c="http://schemas.openxmlformats.org/drawingml/2006/chart">
  <cdr:relSizeAnchor xmlns:cdr="http://schemas.openxmlformats.org/drawingml/2006/chartDrawing">
    <cdr:from>
      <cdr:x>0.00392</cdr:x>
      <cdr:y>0.0054</cdr:y>
    </cdr:from>
    <cdr:to>
      <cdr:x>0.68915</cdr:x>
      <cdr:y>0.07696</cdr:y>
    </cdr:to>
    <cdr:sp macro="" textlink="">
      <cdr:nvSpPr>
        <cdr:cNvPr id="2" name="TextBox 1">
          <a:extLst xmlns:a="http://schemas.openxmlformats.org/drawingml/2006/main">
            <a:ext uri="{FF2B5EF4-FFF2-40B4-BE49-F238E27FC236}">
              <a16:creationId xmlns:a16="http://schemas.microsoft.com/office/drawing/2014/main" id="{B0074F80-915E-D04C-C8AB-A34777BBAF96}"/>
            </a:ext>
          </a:extLst>
        </cdr:cNvPr>
        <cdr:cNvSpPr txBox="1"/>
      </cdr:nvSpPr>
      <cdr:spPr>
        <a:xfrm xmlns:a="http://schemas.openxmlformats.org/drawingml/2006/main">
          <a:off x="32970" y="36269"/>
          <a:ext cx="5769722" cy="480802"/>
        </a:xfrm>
        <a:prstGeom xmlns:a="http://schemas.openxmlformats.org/drawingml/2006/main" prst="rect">
          <a:avLst/>
        </a:prstGeom>
      </cdr:spPr>
      <cdr:txBody>
        <a:bodyPr xmlns:a="http://schemas.openxmlformats.org/drawingml/2006/main" vertOverflow="clip" vert="horz" rtlCol="0"/>
        <a:lstStyle xmlns:a="http://schemas.openxmlformats.org/drawingml/2006/main"/>
        <a:p xmlns:a="http://schemas.openxmlformats.org/drawingml/2006/main">
          <a:pPr indent="0"/>
          <a:r>
            <a:rPr lang="en-GB" sz="2400" b="0">
              <a:solidFill>
                <a:srgbClr val="495057"/>
              </a:solidFill>
              <a:latin typeface="Segoe UI" panose="020B0502040204020203" pitchFamily="34" charset="0"/>
              <a:cs typeface="Segoe UI" panose="020B0502040204020203" pitchFamily="34" charset="0"/>
            </a:rPr>
            <a:t>UK: BoE forecasts for CPI inflation*</a:t>
          </a:r>
        </a:p>
      </cdr:txBody>
    </cdr:sp>
  </cdr:relSizeAnchor>
  <cdr:relSizeAnchor xmlns:cdr="http://schemas.openxmlformats.org/drawingml/2006/chartDrawing">
    <cdr:from>
      <cdr:x>0</cdr:x>
      <cdr:y>0.93989</cdr:y>
    </cdr:from>
    <cdr:to>
      <cdr:x>0.68523</cdr:x>
      <cdr:y>1</cdr:y>
    </cdr:to>
    <cdr:sp macro="" textlink="">
      <cdr:nvSpPr>
        <cdr:cNvPr id="3" name="Rectangle 2">
          <a:extLst xmlns:a="http://schemas.openxmlformats.org/drawingml/2006/main">
            <a:ext uri="{FF2B5EF4-FFF2-40B4-BE49-F238E27FC236}">
              <a16:creationId xmlns:a16="http://schemas.microsoft.com/office/drawing/2014/main" id="{63110983-FA02-091C-189C-FD552FCCB3DA}"/>
            </a:ext>
          </a:extLst>
        </cdr:cNvPr>
        <cdr:cNvSpPr/>
      </cdr:nvSpPr>
      <cdr:spPr>
        <a:xfrm xmlns:a="http://schemas.openxmlformats.org/drawingml/2006/main">
          <a:off x="0" y="6314479"/>
          <a:ext cx="5769722" cy="403821"/>
        </a:xfrm>
        <a:prstGeom xmlns:a="http://schemas.openxmlformats.org/drawingml/2006/main" prst="rect">
          <a:avLst/>
        </a:prstGeom>
        <a:noFill xmlns:a="http://schemas.openxmlformats.org/drawingml/2006/main"/>
        <a:ln xmlns:a="http://schemas.openxmlformats.org/drawingml/2006/main" w="25400" cap="flat" cmpd="sng" algn="ctr">
          <a:noFill/>
          <a:prstDash val="solid"/>
        </a:ln>
        <a:effectLst xmlns:a="http://schemas.openxmlformats.org/drawingml/2006/main"/>
        <a:extLst xmlns:a="http://schemas.openxmlformats.org/drawingml/2006/main">
          <a:ext uri="{909E8E84-426E-40DD-AFC4-6F175D3DCCD1}">
            <a14:hiddenFill xmlns:a14="http://schemas.microsoft.com/office/drawing/2010/main">
              <a:solidFill>
                <a:schemeClr val="accent1"/>
              </a:solidFill>
            </a14:hiddenFill>
          </a:ext>
          <a:ext uri="{91240B29-F687-4F45-9708-019B960494DF}">
            <a14:hiddenLine xmlns:a14="http://schemas.microsoft.com/office/drawing/2010/main" w="25400" cap="flat" cmpd="sng" algn="ctr">
              <a:solidFill>
                <a:schemeClr val="accent1">
                  <a:shade val="15000"/>
                </a:schemeClr>
              </a:solidFill>
              <a:prstDash val="solid"/>
            </a14:hiddenLine>
          </a:ext>
        </a:extLst>
      </cdr:spPr>
      <cdr:style>
        <a:lnRef xmlns:a="http://schemas.openxmlformats.org/drawingml/2006/main" idx="2">
          <a:schemeClr val="accent1">
            <a:shade val="15000"/>
          </a:schemeClr>
        </a:lnRef>
        <a:fillRef xmlns:a="http://schemas.openxmlformats.org/drawingml/2006/main" idx="1">
          <a:schemeClr val="accent1"/>
        </a:fillRef>
        <a:effectRef xmlns:a="http://schemas.openxmlformats.org/drawingml/2006/main" idx="0">
          <a:schemeClr val="accent1"/>
        </a:effectRef>
        <a:fontRef xmlns:a="http://schemas.openxmlformats.org/drawingml/2006/main" idx="minor">
          <a:schemeClr val="lt1"/>
        </a:fontRef>
      </cdr:style>
      <cdr:txBody>
        <a:bodyPr xmlns:a="http://schemas.openxmlformats.org/drawingml/2006/main" vertOverflow="clip"/>
        <a:lstStyle xmlns:a="http://schemas.openxmlformats.org/drawingml/2006/main"/>
        <a:p xmlns:a="http://schemas.openxmlformats.org/drawingml/2006/main">
          <a:pPr algn="l"/>
          <a:r>
            <a:rPr lang="en-US" sz="1600" b="0" i="0" u="none" strike="noStrike" baseline="0">
              <a:solidFill>
                <a:srgbClr val="495057"/>
              </a:solidFill>
              <a:latin typeface="Segoe UI" panose="020B0502040204020203" pitchFamily="34" charset="0"/>
            </a:rPr>
            <a:t>Source: Bank of England Monetary Policy Report</a:t>
          </a:r>
        </a:p>
      </cdr:txBody>
    </cdr:sp>
  </cdr:relSizeAnchor>
  <cdr:relSizeAnchor xmlns:cdr="http://schemas.openxmlformats.org/drawingml/2006/chartDrawing">
    <cdr:from>
      <cdr:x>0.17453</cdr:x>
      <cdr:y>0.08068</cdr:y>
    </cdr:from>
    <cdr:to>
      <cdr:x>0.95777</cdr:x>
      <cdr:y>0.15393</cdr:y>
    </cdr:to>
    <cdr:sp macro="" textlink="">
      <cdr:nvSpPr>
        <cdr:cNvPr id="5" name="TextBox 4">
          <a:extLst xmlns:a="http://schemas.openxmlformats.org/drawingml/2006/main">
            <a:ext uri="{FF2B5EF4-FFF2-40B4-BE49-F238E27FC236}">
              <a16:creationId xmlns:a16="http://schemas.microsoft.com/office/drawing/2014/main" id="{423CC5F4-EA77-CC7A-F835-102C93BBCE72}"/>
            </a:ext>
          </a:extLst>
        </cdr:cNvPr>
        <cdr:cNvSpPr txBox="1"/>
      </cdr:nvSpPr>
      <cdr:spPr>
        <a:xfrm xmlns:a="http://schemas.openxmlformats.org/drawingml/2006/main">
          <a:off x="1469572" y="542009"/>
          <a:ext cx="6594928" cy="492133"/>
        </a:xfrm>
        <a:prstGeom xmlns:a="http://schemas.openxmlformats.org/drawingml/2006/main" prst="rect">
          <a:avLst/>
        </a:prstGeom>
      </cdr:spPr>
      <cdr:txBody>
        <a:bodyPr xmlns:a="http://schemas.openxmlformats.org/drawingml/2006/main" vertOverflow="clip" vert="horz" rtlCol="0"/>
        <a:lstStyle xmlns:a="http://schemas.openxmlformats.org/drawingml/2006/main"/>
        <a:p xmlns:a="http://schemas.openxmlformats.org/drawingml/2006/main">
          <a:r>
            <a:rPr lang="en-GB" sz="1800">
              <a:solidFill>
                <a:srgbClr val="495057"/>
              </a:solidFill>
              <a:latin typeface="Segoe UI" panose="020B0502040204020203" pitchFamily="34" charset="0"/>
            </a:rPr>
            <a:t>* BoE model forecast based on market interest rate expections</a:t>
          </a:r>
        </a:p>
      </cdr:txBody>
    </cdr:sp>
  </cdr:relSizeAnchor>
  <cdr:relSizeAnchor xmlns:cdr="http://schemas.openxmlformats.org/drawingml/2006/chartDrawing">
    <cdr:from>
      <cdr:x>0</cdr:x>
      <cdr:y>0.08141</cdr:y>
    </cdr:from>
    <cdr:to>
      <cdr:x>0.70326</cdr:x>
      <cdr:y>0.13368</cdr:y>
    </cdr:to>
    <cdr:sp macro="" textlink="">
      <cdr:nvSpPr>
        <cdr:cNvPr id="6" name="TextBox 5">
          <a:extLst xmlns:a="http://schemas.openxmlformats.org/drawingml/2006/main">
            <a:ext uri="{FF2B5EF4-FFF2-40B4-BE49-F238E27FC236}">
              <a16:creationId xmlns:a16="http://schemas.microsoft.com/office/drawing/2014/main" id="{3541C6F0-0DA4-D622-084D-2940088B8078}"/>
            </a:ext>
          </a:extLst>
        </cdr:cNvPr>
        <cdr:cNvSpPr txBox="1"/>
      </cdr:nvSpPr>
      <cdr:spPr>
        <a:xfrm xmlns:a="http://schemas.openxmlformats.org/drawingml/2006/main">
          <a:off x="0" y="546906"/>
          <a:ext cx="5921484" cy="351165"/>
        </a:xfrm>
        <a:prstGeom xmlns:a="http://schemas.openxmlformats.org/drawingml/2006/main" prst="rect">
          <a:avLst/>
        </a:prstGeom>
      </cdr:spPr>
      <cdr:txBody>
        <a:bodyPr xmlns:a="http://schemas.openxmlformats.org/drawingml/2006/main" vertOverflow="clip" vert="horz" rtlCol="0"/>
        <a:lstStyle xmlns:a="http://schemas.openxmlformats.org/drawingml/2006/main"/>
        <a:p xmlns:a="http://schemas.openxmlformats.org/drawingml/2006/main">
          <a:pPr indent="0"/>
          <a:r>
            <a:rPr lang="en-GB" sz="1800" b="0">
              <a:solidFill>
                <a:srgbClr val="495057"/>
              </a:solidFill>
              <a:latin typeface="Segoe UI" panose="020B0502040204020203" pitchFamily="34" charset="0"/>
              <a:cs typeface="Segoe UI" panose="020B0502040204020203" pitchFamily="34" charset="0"/>
            </a:rPr>
            <a:t>% year</a:t>
          </a:r>
        </a:p>
      </cdr:txBody>
    </cdr:sp>
  </cdr:relSizeAnchor>
  <cdr:relSizeAnchor xmlns:cdr="http://schemas.openxmlformats.org/drawingml/2006/chartDrawing">
    <cdr:from>
      <cdr:x>0.13101</cdr:x>
      <cdr:y>0.67459</cdr:y>
    </cdr:from>
    <cdr:to>
      <cdr:x>0.27615</cdr:x>
      <cdr:y>0.74514</cdr:y>
    </cdr:to>
    <cdr:sp macro="" textlink="">
      <cdr:nvSpPr>
        <cdr:cNvPr id="7" name="TextBox 1">
          <a:extLst xmlns:a="http://schemas.openxmlformats.org/drawingml/2006/main">
            <a:ext uri="{FF2B5EF4-FFF2-40B4-BE49-F238E27FC236}">
              <a16:creationId xmlns:a16="http://schemas.microsoft.com/office/drawing/2014/main" id="{86762937-65D6-3501-0CBF-C8FAEF5FE731}"/>
            </a:ext>
          </a:extLst>
        </cdr:cNvPr>
        <cdr:cNvSpPr txBox="1"/>
      </cdr:nvSpPr>
      <cdr:spPr>
        <a:xfrm xmlns:a="http://schemas.openxmlformats.org/drawingml/2006/main">
          <a:off x="1103086" y="4532086"/>
          <a:ext cx="1222129" cy="473990"/>
        </a:xfrm>
        <a:prstGeom xmlns:a="http://schemas.openxmlformats.org/drawingml/2006/main" prst="rect">
          <a:avLst/>
        </a:prstGeom>
      </cdr:spPr>
      <cdr:txBody>
        <a:bodyPr xmlns:a="http://schemas.openxmlformats.org/drawingml/2006/main" vert="horz" rtlCol="0"/>
        <a:lstStyle xmlns:a="http://schemas.openxmlformats.org/drawingml/2006/main"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 xmlns:a="http://schemas.openxmlformats.org/drawingml/2006/main">
          <a:r>
            <a:rPr lang="en-GB" sz="1800">
              <a:solidFill>
                <a:srgbClr val="495057"/>
              </a:solidFill>
              <a:latin typeface="Segoe UI" panose="020B0502040204020203" pitchFamily="34" charset="0"/>
            </a:rPr>
            <a:t>2% target</a:t>
          </a:r>
        </a:p>
      </cdr:txBody>
    </cdr:sp>
  </cdr:relSizeAnchor>
</c:userShapes>
</file>

<file path=xl/drawings/drawing3.xml><?xml version="1.0" encoding="utf-8"?>
<xdr:wsDr xmlns:xdr="http://schemas.openxmlformats.org/drawingml/2006/spreadsheetDrawing" xmlns:a="http://schemas.openxmlformats.org/drawingml/2006/main">
  <xdr:absoluteAnchor>
    <xdr:pos x="0" y="0"/>
    <xdr:ext cx="8420274" cy="6715342"/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A5355DAD-75F9-789B-6373-3365E4BE8072}"/>
            </a:ext>
          </a:extLst>
        </xdr:cNvPr>
        <xdr:cNvGraphicFramePr>
          <a:graphicFrameLocks noGrp="1"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absoluteAnchor>
</xdr:wsDr>
</file>

<file path=xl/drawings/drawing4.xml><?xml version="1.0" encoding="utf-8"?>
<c:userShapes xmlns:c="http://schemas.openxmlformats.org/drawingml/2006/chart">
  <cdr:relSizeAnchor xmlns:cdr="http://schemas.openxmlformats.org/drawingml/2006/chartDrawing">
    <cdr:from>
      <cdr:x>0</cdr:x>
      <cdr:y>0.00807</cdr:y>
    </cdr:from>
    <cdr:to>
      <cdr:x>1</cdr:x>
      <cdr:y>0.08881</cdr:y>
    </cdr:to>
    <cdr:sp macro="" textlink="">
      <cdr:nvSpPr>
        <cdr:cNvPr id="2" name="TextBox 1">
          <a:extLst xmlns:a="http://schemas.openxmlformats.org/drawingml/2006/main">
            <a:ext uri="{FF2B5EF4-FFF2-40B4-BE49-F238E27FC236}">
              <a16:creationId xmlns:a16="http://schemas.microsoft.com/office/drawing/2014/main" id="{FE2C82E6-62BB-4295-96A0-330F5927273A}"/>
            </a:ext>
          </a:extLst>
        </cdr:cNvPr>
        <cdr:cNvSpPr txBox="1"/>
      </cdr:nvSpPr>
      <cdr:spPr>
        <a:xfrm xmlns:a="http://schemas.openxmlformats.org/drawingml/2006/main">
          <a:off x="50800" y="50800"/>
          <a:ext cx="8890000" cy="508000"/>
        </a:xfrm>
        <a:prstGeom xmlns:a="http://schemas.openxmlformats.org/drawingml/2006/main" prst="rect">
          <a:avLst/>
        </a:prstGeom>
      </cdr:spPr>
      <cdr:txBody>
        <a:bodyPr xmlns:a="http://schemas.openxmlformats.org/drawingml/2006/main" vertOverflow="clip" vert="horz" rtlCol="0"/>
        <a:lstStyle xmlns:a="http://schemas.openxmlformats.org/drawingml/2006/main"/>
        <a:p xmlns:a="http://schemas.openxmlformats.org/drawingml/2006/main">
          <a:pPr indent="0"/>
          <a:r>
            <a:rPr lang="en-GB" sz="2400" b="0">
              <a:solidFill>
                <a:srgbClr val="495057"/>
              </a:solidFill>
              <a:latin typeface="Segoe UI" panose="020B0502040204020203" pitchFamily="34" charset="0"/>
              <a:cs typeface="Segoe UI" panose="020B0502040204020203" pitchFamily="34" charset="0"/>
            </a:rPr>
            <a:t>UK: Measures of services inflation</a:t>
          </a:r>
        </a:p>
      </cdr:txBody>
    </cdr:sp>
  </cdr:relSizeAnchor>
  <cdr:relSizeAnchor xmlns:cdr="http://schemas.openxmlformats.org/drawingml/2006/chartDrawing">
    <cdr:from>
      <cdr:x>2.25514E-17</cdr:x>
      <cdr:y>0.93925</cdr:y>
    </cdr:from>
    <cdr:to>
      <cdr:x>1</cdr:x>
      <cdr:y>1</cdr:y>
    </cdr:to>
    <cdr:sp macro="" textlink="">
      <cdr:nvSpPr>
        <cdr:cNvPr id="3" name="Rectangle 2">
          <a:extLst xmlns:a="http://schemas.openxmlformats.org/drawingml/2006/main">
            <a:ext uri="{FF2B5EF4-FFF2-40B4-BE49-F238E27FC236}">
              <a16:creationId xmlns:a16="http://schemas.microsoft.com/office/drawing/2014/main" id="{7FB2D794-EEC4-0EC1-189D-58C06FF61C1A}"/>
            </a:ext>
          </a:extLst>
        </cdr:cNvPr>
        <cdr:cNvSpPr/>
      </cdr:nvSpPr>
      <cdr:spPr>
        <a:xfrm xmlns:a="http://schemas.openxmlformats.org/drawingml/2006/main">
          <a:off x="50800" y="5910003"/>
          <a:ext cx="8667338" cy="382270"/>
        </a:xfrm>
        <a:prstGeom xmlns:a="http://schemas.openxmlformats.org/drawingml/2006/main" prst="rect">
          <a:avLst/>
        </a:prstGeom>
        <a:noFill xmlns:a="http://schemas.openxmlformats.org/drawingml/2006/main"/>
        <a:ln xmlns:a="http://schemas.openxmlformats.org/drawingml/2006/main" w="25400" cap="flat" cmpd="sng" algn="ctr">
          <a:noFill/>
          <a:prstDash val="solid"/>
        </a:ln>
        <a:effectLst xmlns:a="http://schemas.openxmlformats.org/drawingml/2006/main"/>
        <a:extLst xmlns:a="http://schemas.openxmlformats.org/drawingml/2006/main">
          <a:ext uri="{909E8E84-426E-40DD-AFC4-6F175D3DCCD1}">
            <a14:hiddenFill xmlns:a14="http://schemas.microsoft.com/office/drawing/2010/main">
              <a:solidFill>
                <a:schemeClr val="accent1"/>
              </a:solidFill>
            </a14:hiddenFill>
          </a:ext>
          <a:ext uri="{91240B29-F687-4F45-9708-019B960494DF}">
            <a14:hiddenLine xmlns:a14="http://schemas.microsoft.com/office/drawing/2010/main" w="25400" cap="flat" cmpd="sng" algn="ctr">
              <a:solidFill>
                <a:schemeClr val="accent1">
                  <a:shade val="15000"/>
                </a:schemeClr>
              </a:solidFill>
              <a:prstDash val="solid"/>
            </a14:hiddenLine>
          </a:ext>
        </a:extLst>
      </cdr:spPr>
      <cdr:style>
        <a:lnRef xmlns:a="http://schemas.openxmlformats.org/drawingml/2006/main" idx="2">
          <a:schemeClr val="accent1">
            <a:shade val="15000"/>
          </a:schemeClr>
        </a:lnRef>
        <a:fillRef xmlns:a="http://schemas.openxmlformats.org/drawingml/2006/main" idx="1">
          <a:schemeClr val="accent1"/>
        </a:fillRef>
        <a:effectRef xmlns:a="http://schemas.openxmlformats.org/drawingml/2006/main" idx="0">
          <a:schemeClr val="accent1"/>
        </a:effectRef>
        <a:fontRef xmlns:a="http://schemas.openxmlformats.org/drawingml/2006/main" idx="minor">
          <a:schemeClr val="lt1"/>
        </a:fontRef>
      </cdr:style>
      <cdr:txBody>
        <a:bodyPr xmlns:a="http://schemas.openxmlformats.org/drawingml/2006/main" vertOverflow="clip"/>
        <a:lstStyle xmlns:a="http://schemas.openxmlformats.org/drawingml/2006/main"/>
        <a:p xmlns:a="http://schemas.openxmlformats.org/drawingml/2006/main">
          <a:pPr algn="l"/>
          <a:r>
            <a:rPr lang="en-US" sz="1600" b="0" i="0" u="none" strike="noStrike" baseline="0">
              <a:solidFill>
                <a:srgbClr val="495057"/>
              </a:solidFill>
              <a:latin typeface="Segoe UI" panose="020B0502040204020203" pitchFamily="34" charset="0"/>
            </a:rPr>
            <a:t>Source: Bank of England Monetary Policy Report</a:t>
          </a:r>
        </a:p>
      </cdr:txBody>
    </cdr:sp>
  </cdr:relSizeAnchor>
  <cdr:relSizeAnchor xmlns:cdr="http://schemas.openxmlformats.org/drawingml/2006/chartDrawing">
    <cdr:from>
      <cdr:x>0</cdr:x>
      <cdr:y>0.08645</cdr:y>
    </cdr:from>
    <cdr:to>
      <cdr:x>1</cdr:x>
      <cdr:y>0.13752</cdr:y>
    </cdr:to>
    <cdr:sp macro="" textlink="">
      <cdr:nvSpPr>
        <cdr:cNvPr id="6" name="TextBox 5">
          <a:extLst xmlns:a="http://schemas.openxmlformats.org/drawingml/2006/main">
            <a:ext uri="{FF2B5EF4-FFF2-40B4-BE49-F238E27FC236}">
              <a16:creationId xmlns:a16="http://schemas.microsoft.com/office/drawing/2014/main" id="{88A41D6B-80BC-2B8B-A601-A7AF203301F9}"/>
            </a:ext>
          </a:extLst>
        </cdr:cNvPr>
        <cdr:cNvSpPr txBox="1"/>
      </cdr:nvSpPr>
      <cdr:spPr>
        <a:xfrm xmlns:a="http://schemas.openxmlformats.org/drawingml/2006/main">
          <a:off x="0" y="580571"/>
          <a:ext cx="8420274" cy="342900"/>
        </a:xfrm>
        <a:prstGeom xmlns:a="http://schemas.openxmlformats.org/drawingml/2006/main" prst="rect">
          <a:avLst/>
        </a:prstGeom>
      </cdr:spPr>
      <cdr:txBody>
        <a:bodyPr xmlns:a="http://schemas.openxmlformats.org/drawingml/2006/main" vertOverflow="clip" vert="horz" rtlCol="0"/>
        <a:lstStyle xmlns:a="http://schemas.openxmlformats.org/drawingml/2006/main"/>
        <a:p xmlns:a="http://schemas.openxmlformats.org/drawingml/2006/main">
          <a:pPr indent="0"/>
          <a:r>
            <a:rPr lang="en-GB" sz="1800" b="0">
              <a:solidFill>
                <a:srgbClr val="495057"/>
              </a:solidFill>
              <a:latin typeface="Segoe UI" panose="020B0502040204020203" pitchFamily="34" charset="0"/>
              <a:cs typeface="Segoe UI" panose="020B0502040204020203" pitchFamily="34" charset="0"/>
            </a:rPr>
            <a:t>%, 3m</a:t>
          </a:r>
          <a:r>
            <a:rPr lang="en-GB" sz="1800" b="0" baseline="0">
              <a:solidFill>
                <a:srgbClr val="495057"/>
              </a:solidFill>
              <a:latin typeface="Segoe UI" panose="020B0502040204020203" pitchFamily="34" charset="0"/>
              <a:cs typeface="Segoe UI" panose="020B0502040204020203" pitchFamily="34" charset="0"/>
            </a:rPr>
            <a:t> average of monthly annualised inflation</a:t>
          </a:r>
          <a:endParaRPr lang="en-GB" sz="1800" b="0">
            <a:solidFill>
              <a:srgbClr val="495057"/>
            </a:solidFill>
            <a:latin typeface="Segoe UI" panose="020B0502040204020203" pitchFamily="34" charset="0"/>
            <a:cs typeface="Segoe UI" panose="020B0502040204020203" pitchFamily="34" charset="0"/>
          </a:endParaRPr>
        </a:p>
      </cdr:txBody>
    </cdr:sp>
  </cdr:relSizeAnchor>
</c:userShape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theme/themeOverride1.xml><?xml version="1.0" encoding="utf-8"?>
<a:themeOverride xmlns:a="http://schemas.openxmlformats.org/drawingml/2006/main">
  <a:clrScheme name="Stein Brothers">
    <a:dk1>
      <a:sysClr val="windowText" lastClr="000000"/>
    </a:dk1>
    <a:lt1>
      <a:sysClr val="window" lastClr="FFFFFF"/>
    </a:lt1>
    <a:dk2>
      <a:srgbClr val="0A3E7A"/>
    </a:dk2>
    <a:lt2>
      <a:srgbClr val="707173"/>
    </a:lt2>
    <a:accent1>
      <a:srgbClr val="4F81BD"/>
    </a:accent1>
    <a:accent2>
      <a:srgbClr val="8A2529"/>
    </a:accent2>
    <a:accent3>
      <a:srgbClr val="9BBB59"/>
    </a:accent3>
    <a:accent4>
      <a:srgbClr val="8064A2"/>
    </a:accent4>
    <a:accent5>
      <a:srgbClr val="4BACC6"/>
    </a:accent5>
    <a:accent6>
      <a:srgbClr val="F79646"/>
    </a:accent6>
    <a:hlink>
      <a:srgbClr val="0000FF"/>
    </a:hlink>
    <a:folHlink>
      <a:srgbClr val="800080"/>
    </a:folHlink>
  </a:clrScheme>
  <a:fontScheme name="Stein Brothers">
    <a:majorFont>
      <a:latin typeface="Arial"/>
      <a:ea typeface=""/>
      <a:cs typeface=""/>
    </a:majorFont>
    <a:minorFont>
      <a:latin typeface="Arial"/>
      <a:ea typeface=""/>
      <a:cs typeface=""/>
    </a:minorFont>
  </a:fontScheme>
  <a:fmtScheme name="Office">
    <a:fillStyleLst>
      <a:solidFill>
        <a:schemeClr val="phClr"/>
      </a:solidFill>
      <a:gradFill rotWithShape="1">
        <a:gsLst>
          <a:gs pos="0">
            <a:schemeClr val="phClr">
              <a:tint val="50000"/>
              <a:satMod val="300000"/>
            </a:schemeClr>
          </a:gs>
          <a:gs pos="35000">
            <a:schemeClr val="phClr">
              <a:tint val="37000"/>
              <a:satMod val="300000"/>
            </a:schemeClr>
          </a:gs>
          <a:gs pos="100000">
            <a:schemeClr val="phClr">
              <a:tint val="15000"/>
              <a:satMod val="350000"/>
            </a:schemeClr>
          </a:gs>
        </a:gsLst>
        <a:lin ang="16200000" scaled="1"/>
      </a:gradFill>
      <a:gradFill rotWithShape="1">
        <a:gsLst>
          <a:gs pos="0">
            <a:schemeClr val="phClr">
              <a:shade val="51000"/>
              <a:satMod val="130000"/>
            </a:schemeClr>
          </a:gs>
          <a:gs pos="80000">
            <a:schemeClr val="phClr">
              <a:shade val="93000"/>
              <a:satMod val="130000"/>
            </a:schemeClr>
          </a:gs>
          <a:gs pos="100000">
            <a:schemeClr val="phClr">
              <a:shade val="94000"/>
              <a:satMod val="135000"/>
            </a:schemeClr>
          </a:gs>
        </a:gsLst>
        <a:lin ang="16200000" scaled="0"/>
      </a:gradFill>
    </a:fillStyleLst>
    <a:lnStyleLst>
      <a:ln w="9525" cap="flat" cmpd="sng" algn="ctr">
        <a:solidFill>
          <a:schemeClr val="phClr">
            <a:shade val="95000"/>
            <a:satMod val="105000"/>
          </a:schemeClr>
        </a:solidFill>
        <a:prstDash val="solid"/>
      </a:ln>
      <a:ln w="25400" cap="flat" cmpd="sng" algn="ctr">
        <a:solidFill>
          <a:schemeClr val="phClr"/>
        </a:solidFill>
        <a:prstDash val="solid"/>
      </a:ln>
      <a:ln w="38100" cap="flat" cmpd="sng" algn="ctr">
        <a:solidFill>
          <a:schemeClr val="phClr"/>
        </a:solidFill>
        <a:prstDash val="solid"/>
      </a:ln>
    </a:lnStyleLst>
    <a:effectStyleLst>
      <a:effectStyle>
        <a:effectLst>
          <a:outerShdw blurRad="40000" dist="20000" dir="5400000" rotWithShape="0">
            <a:srgbClr val="000000">
              <a:alpha val="38000"/>
            </a:srgbClr>
          </a:outerShdw>
        </a:effectLst>
      </a:effectStyle>
      <a:effectStyle>
        <a:effectLst>
          <a:outerShdw blurRad="40000" dist="23000" dir="5400000" rotWithShape="0">
            <a:srgbClr val="000000">
              <a:alpha val="35000"/>
            </a:srgbClr>
          </a:outerShdw>
        </a:effectLst>
      </a:effectStyle>
      <a:effectStyle>
        <a:effectLst>
          <a:outerShdw blurRad="40000" dist="23000" dir="5400000" rotWithShape="0">
            <a:srgbClr val="000000">
              <a:alpha val="35000"/>
            </a:srgbClr>
          </a:outerShdw>
        </a:effectLst>
        <a:scene3d>
          <a:camera prst="orthographicFront">
            <a:rot lat="0" lon="0" rev="0"/>
          </a:camera>
          <a:lightRig rig="threePt" dir="t">
            <a:rot lat="0" lon="0" rev="1200000"/>
          </a:lightRig>
        </a:scene3d>
        <a:sp3d>
          <a:bevelT w="63500" h="25400"/>
        </a:sp3d>
      </a:effectStyle>
    </a:effectStyleLst>
    <a:bgFillStyleLst>
      <a:solidFill>
        <a:schemeClr val="phClr"/>
      </a:solidFill>
      <a:gradFill rotWithShape="1">
        <a:gsLst>
          <a:gs pos="0">
            <a:schemeClr val="phClr">
              <a:tint val="40000"/>
              <a:satMod val="350000"/>
            </a:schemeClr>
          </a:gs>
          <a:gs pos="40000">
            <a:schemeClr val="phClr">
              <a:tint val="45000"/>
              <a:shade val="99000"/>
              <a:satMod val="350000"/>
            </a:schemeClr>
          </a:gs>
          <a:gs pos="100000">
            <a:schemeClr val="phClr">
              <a:shade val="20000"/>
              <a:satMod val="255000"/>
            </a:schemeClr>
          </a:gs>
        </a:gsLst>
        <a:path path="circle">
          <a:fillToRect l="50000" t="-80000" r="50000" b="180000"/>
        </a:path>
      </a:gradFill>
      <a:gradFill rotWithShape="1">
        <a:gsLst>
          <a:gs pos="0">
            <a:schemeClr val="phClr">
              <a:tint val="80000"/>
              <a:satMod val="300000"/>
            </a:schemeClr>
          </a:gs>
          <a:gs pos="100000">
            <a:schemeClr val="phClr">
              <a:shade val="30000"/>
              <a:satMod val="200000"/>
            </a:schemeClr>
          </a:gs>
        </a:gsLst>
        <a:path path="circle">
          <a:fillToRect l="50000" t="50000" r="50000" b="50000"/>
        </a:path>
      </a:gradFill>
    </a:bgFillStyleLst>
  </a:fmtScheme>
</a:themeOverride>
</file>

<file path=xl/theme/themeOverride2.xml><?xml version="1.0" encoding="utf-8"?>
<a:themeOverride xmlns:a="http://schemas.openxmlformats.org/drawingml/2006/main">
  <a:clrScheme name="Stein Brothers">
    <a:dk1>
      <a:sysClr val="windowText" lastClr="000000"/>
    </a:dk1>
    <a:lt1>
      <a:sysClr val="window" lastClr="FFFFFF"/>
    </a:lt1>
    <a:dk2>
      <a:srgbClr val="0A3E7A"/>
    </a:dk2>
    <a:lt2>
      <a:srgbClr val="707173"/>
    </a:lt2>
    <a:accent1>
      <a:srgbClr val="4F81BD"/>
    </a:accent1>
    <a:accent2>
      <a:srgbClr val="8A2529"/>
    </a:accent2>
    <a:accent3>
      <a:srgbClr val="9BBB59"/>
    </a:accent3>
    <a:accent4>
      <a:srgbClr val="8064A2"/>
    </a:accent4>
    <a:accent5>
      <a:srgbClr val="4BACC6"/>
    </a:accent5>
    <a:accent6>
      <a:srgbClr val="F79646"/>
    </a:accent6>
    <a:hlink>
      <a:srgbClr val="0000FF"/>
    </a:hlink>
    <a:folHlink>
      <a:srgbClr val="800080"/>
    </a:folHlink>
  </a:clrScheme>
  <a:fontScheme name="Stein Brothers">
    <a:majorFont>
      <a:latin typeface="Arial"/>
      <a:ea typeface=""/>
      <a:cs typeface=""/>
    </a:majorFont>
    <a:minorFont>
      <a:latin typeface="Arial"/>
      <a:ea typeface=""/>
      <a:cs typeface=""/>
    </a:minorFont>
  </a:fontScheme>
  <a:fmtScheme name="Office">
    <a:fillStyleLst>
      <a:solidFill>
        <a:schemeClr val="phClr"/>
      </a:solidFill>
      <a:gradFill rotWithShape="1">
        <a:gsLst>
          <a:gs pos="0">
            <a:schemeClr val="phClr">
              <a:tint val="50000"/>
              <a:satMod val="300000"/>
            </a:schemeClr>
          </a:gs>
          <a:gs pos="35000">
            <a:schemeClr val="phClr">
              <a:tint val="37000"/>
              <a:satMod val="300000"/>
            </a:schemeClr>
          </a:gs>
          <a:gs pos="100000">
            <a:schemeClr val="phClr">
              <a:tint val="15000"/>
              <a:satMod val="350000"/>
            </a:schemeClr>
          </a:gs>
        </a:gsLst>
        <a:lin ang="16200000" scaled="1"/>
      </a:gradFill>
      <a:gradFill rotWithShape="1">
        <a:gsLst>
          <a:gs pos="0">
            <a:schemeClr val="phClr">
              <a:shade val="51000"/>
              <a:satMod val="130000"/>
            </a:schemeClr>
          </a:gs>
          <a:gs pos="80000">
            <a:schemeClr val="phClr">
              <a:shade val="93000"/>
              <a:satMod val="130000"/>
            </a:schemeClr>
          </a:gs>
          <a:gs pos="100000">
            <a:schemeClr val="phClr">
              <a:shade val="94000"/>
              <a:satMod val="135000"/>
            </a:schemeClr>
          </a:gs>
        </a:gsLst>
        <a:lin ang="16200000" scaled="0"/>
      </a:gradFill>
    </a:fillStyleLst>
    <a:lnStyleLst>
      <a:ln w="9525" cap="flat" cmpd="sng" algn="ctr">
        <a:solidFill>
          <a:schemeClr val="phClr">
            <a:shade val="95000"/>
            <a:satMod val="105000"/>
          </a:schemeClr>
        </a:solidFill>
        <a:prstDash val="solid"/>
      </a:ln>
      <a:ln w="25400" cap="flat" cmpd="sng" algn="ctr">
        <a:solidFill>
          <a:schemeClr val="phClr"/>
        </a:solidFill>
        <a:prstDash val="solid"/>
      </a:ln>
      <a:ln w="38100" cap="flat" cmpd="sng" algn="ctr">
        <a:solidFill>
          <a:schemeClr val="phClr"/>
        </a:solidFill>
        <a:prstDash val="solid"/>
      </a:ln>
    </a:lnStyleLst>
    <a:effectStyleLst>
      <a:effectStyle>
        <a:effectLst>
          <a:outerShdw blurRad="40000" dist="20000" dir="5400000" rotWithShape="0">
            <a:srgbClr val="000000">
              <a:alpha val="38000"/>
            </a:srgbClr>
          </a:outerShdw>
        </a:effectLst>
      </a:effectStyle>
      <a:effectStyle>
        <a:effectLst>
          <a:outerShdw blurRad="40000" dist="23000" dir="5400000" rotWithShape="0">
            <a:srgbClr val="000000">
              <a:alpha val="35000"/>
            </a:srgbClr>
          </a:outerShdw>
        </a:effectLst>
      </a:effectStyle>
      <a:effectStyle>
        <a:effectLst>
          <a:outerShdw blurRad="40000" dist="23000" dir="5400000" rotWithShape="0">
            <a:srgbClr val="000000">
              <a:alpha val="35000"/>
            </a:srgbClr>
          </a:outerShdw>
        </a:effectLst>
        <a:scene3d>
          <a:camera prst="orthographicFront">
            <a:rot lat="0" lon="0" rev="0"/>
          </a:camera>
          <a:lightRig rig="threePt" dir="t">
            <a:rot lat="0" lon="0" rev="1200000"/>
          </a:lightRig>
        </a:scene3d>
        <a:sp3d>
          <a:bevelT w="63500" h="25400"/>
        </a:sp3d>
      </a:effectStyle>
    </a:effectStyleLst>
    <a:bgFillStyleLst>
      <a:solidFill>
        <a:schemeClr val="phClr"/>
      </a:solidFill>
      <a:gradFill rotWithShape="1">
        <a:gsLst>
          <a:gs pos="0">
            <a:schemeClr val="phClr">
              <a:tint val="40000"/>
              <a:satMod val="350000"/>
            </a:schemeClr>
          </a:gs>
          <a:gs pos="40000">
            <a:schemeClr val="phClr">
              <a:tint val="45000"/>
              <a:shade val="99000"/>
              <a:satMod val="350000"/>
            </a:schemeClr>
          </a:gs>
          <a:gs pos="100000">
            <a:schemeClr val="phClr">
              <a:shade val="20000"/>
              <a:satMod val="255000"/>
            </a:schemeClr>
          </a:gs>
        </a:gsLst>
        <a:path path="circle">
          <a:fillToRect l="50000" t="-80000" r="50000" b="180000"/>
        </a:path>
      </a:gradFill>
      <a:gradFill rotWithShape="1">
        <a:gsLst>
          <a:gs pos="0">
            <a:schemeClr val="phClr">
              <a:tint val="80000"/>
              <a:satMod val="300000"/>
            </a:schemeClr>
          </a:gs>
          <a:gs pos="100000">
            <a:schemeClr val="phClr">
              <a:shade val="30000"/>
              <a:satMod val="200000"/>
            </a:schemeClr>
          </a:gs>
        </a:gsLst>
        <a:path path="circle">
          <a:fillToRect l="50000" t="50000" r="50000" b="50000"/>
        </a:path>
      </a:gradFill>
    </a:bgFillStyleLst>
  </a:fmtScheme>
</a:themeOverrid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hyperlink" Target="mailto:UNPD242@UK" TargetMode="External"/><Relationship Id="rId1" Type="http://schemas.openxmlformats.org/officeDocument/2006/relationships/hyperlink" Target="mailto:UNPD@UK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EDDC174-C8B5-41BA-87F2-C773060CBAF5}">
  <dimension ref="A4:J48"/>
  <sheetViews>
    <sheetView topLeftCell="A2" workbookViewId="0">
      <selection activeCell="M13" sqref="M13"/>
    </sheetView>
  </sheetViews>
  <sheetFormatPr defaultRowHeight="14.5" x14ac:dyDescent="0.35"/>
  <cols>
    <col min="2" max="4" width="20.26953125" customWidth="1"/>
    <col min="5" max="5" width="4.453125" customWidth="1"/>
    <col min="6" max="6" width="3.81640625" customWidth="1"/>
  </cols>
  <sheetData>
    <row r="4" spans="1:10" x14ac:dyDescent="0.35">
      <c r="A4" s="2" t="s">
        <v>3</v>
      </c>
      <c r="B4" s="1" t="s">
        <v>0</v>
      </c>
      <c r="C4" s="1" t="s">
        <v>1</v>
      </c>
      <c r="D4" t="s">
        <v>2</v>
      </c>
    </row>
    <row r="5" spans="1:10" s="5" customFormat="1" ht="69" customHeight="1" x14ac:dyDescent="0.35">
      <c r="A5" s="5" t="s">
        <v>9</v>
      </c>
      <c r="B5" s="5" t="s">
        <v>14</v>
      </c>
      <c r="C5" s="5" t="s">
        <v>19</v>
      </c>
      <c r="D5" s="5" t="s">
        <v>24</v>
      </c>
    </row>
    <row r="6" spans="1:10" hidden="1" x14ac:dyDescent="0.35">
      <c r="A6" t="s">
        <v>8</v>
      </c>
      <c r="B6" t="s">
        <v>13</v>
      </c>
      <c r="C6" t="s">
        <v>18</v>
      </c>
      <c r="D6" t="s">
        <v>23</v>
      </c>
    </row>
    <row r="7" spans="1:10" ht="1.5" customHeight="1" x14ac:dyDescent="0.35">
      <c r="A7" t="s">
        <v>7</v>
      </c>
      <c r="B7" t="s">
        <v>12</v>
      </c>
      <c r="C7" t="s">
        <v>17</v>
      </c>
      <c r="D7" t="s">
        <v>22</v>
      </c>
    </row>
    <row r="8" spans="1:10" ht="1.5" customHeight="1" x14ac:dyDescent="0.35">
      <c r="A8" t="s">
        <v>6</v>
      </c>
      <c r="B8" t="s">
        <v>11</v>
      </c>
      <c r="C8" t="s">
        <v>16</v>
      </c>
      <c r="D8" t="s">
        <v>21</v>
      </c>
    </row>
    <row r="9" spans="1:10" ht="14.5" customHeight="1" x14ac:dyDescent="0.35">
      <c r="A9" t="s">
        <v>5</v>
      </c>
      <c r="B9" t="s">
        <v>10</v>
      </c>
      <c r="C9" t="s">
        <v>15</v>
      </c>
      <c r="D9" t="s">
        <v>20</v>
      </c>
      <c r="G9" t="s">
        <v>63</v>
      </c>
      <c r="H9" s="6">
        <v>45505</v>
      </c>
      <c r="I9" s="6">
        <v>45413</v>
      </c>
      <c r="J9" t="s">
        <v>64</v>
      </c>
    </row>
    <row r="10" spans="1:10" x14ac:dyDescent="0.35">
      <c r="A10" t="s">
        <v>4</v>
      </c>
      <c r="B10" s="3" t="e">
        <v>#N/A</v>
      </c>
      <c r="C10" s="3" t="e">
        <v>#N/A</v>
      </c>
      <c r="D10" s="4">
        <v>2.7124183006535851E-2</v>
      </c>
      <c r="G10" t="str">
        <f>LEFT(A14,4)</f>
        <v>2019</v>
      </c>
      <c r="H10" t="e">
        <f>NA()</f>
        <v>#N/A</v>
      </c>
      <c r="I10" s="7">
        <f>D14*100</f>
        <v>1.8453706649697699</v>
      </c>
      <c r="J10">
        <v>2</v>
      </c>
    </row>
    <row r="11" spans="1:10" x14ac:dyDescent="0.35">
      <c r="A11" t="s">
        <v>25</v>
      </c>
      <c r="B11" s="3" t="e">
        <v>#N/A</v>
      </c>
      <c r="C11" s="3" t="e">
        <v>#N/A</v>
      </c>
      <c r="D11" s="4">
        <v>2.4232633279483107E-2</v>
      </c>
      <c r="G11" t="str">
        <f t="shared" ref="G11:G51" si="0">LEFT(A15,4)</f>
        <v>2019</v>
      </c>
      <c r="H11" t="e">
        <f>NA()</f>
        <v>#N/A</v>
      </c>
      <c r="I11" s="7">
        <f t="shared" ref="H11:I31" si="1">D15*100</f>
        <v>2.018927444794949</v>
      </c>
      <c r="J11">
        <v>2</v>
      </c>
    </row>
    <row r="12" spans="1:10" x14ac:dyDescent="0.35">
      <c r="A12" t="s">
        <v>26</v>
      </c>
      <c r="B12" s="3" t="e">
        <v>#N/A</v>
      </c>
      <c r="C12" s="3" t="e">
        <v>#N/A</v>
      </c>
      <c r="D12" s="4">
        <v>2.5072324011571778E-2</v>
      </c>
      <c r="G12" t="str">
        <f t="shared" si="0"/>
        <v>2019</v>
      </c>
      <c r="H12" t="e">
        <f>NA()</f>
        <v>#N/A</v>
      </c>
      <c r="I12" s="7">
        <f t="shared" si="1"/>
        <v>1.8501097522734433</v>
      </c>
      <c r="J12">
        <v>2</v>
      </c>
    </row>
    <row r="13" spans="1:10" x14ac:dyDescent="0.35">
      <c r="A13" t="s">
        <v>27</v>
      </c>
      <c r="B13" s="3" t="e">
        <v>#N/A</v>
      </c>
      <c r="C13" s="3" t="e">
        <v>#N/A</v>
      </c>
      <c r="D13" s="4">
        <v>2.2633088938476043E-2</v>
      </c>
      <c r="G13" t="str">
        <f t="shared" si="0"/>
        <v>2019</v>
      </c>
      <c r="H13" t="e">
        <f>NA()</f>
        <v>#N/A</v>
      </c>
      <c r="I13" s="7">
        <f t="shared" si="1"/>
        <v>1.4027431421446579</v>
      </c>
      <c r="J13">
        <v>2</v>
      </c>
    </row>
    <row r="14" spans="1:10" x14ac:dyDescent="0.35">
      <c r="A14" t="s">
        <v>28</v>
      </c>
      <c r="B14" s="3" t="e">
        <v>#N/A</v>
      </c>
      <c r="C14" s="3" t="e">
        <v>#N/A</v>
      </c>
      <c r="D14" s="4">
        <v>1.8453706649697699E-2</v>
      </c>
      <c r="G14" t="str">
        <f t="shared" si="0"/>
        <v>2020</v>
      </c>
      <c r="H14" t="e">
        <f>NA()</f>
        <v>#N/A</v>
      </c>
      <c r="I14" s="7">
        <f t="shared" si="1"/>
        <v>1.6557325835676151</v>
      </c>
      <c r="J14">
        <v>2</v>
      </c>
    </row>
    <row r="15" spans="1:10" x14ac:dyDescent="0.35">
      <c r="A15" t="s">
        <v>29</v>
      </c>
      <c r="B15" s="3" t="e">
        <v>#N/A</v>
      </c>
      <c r="C15" s="3" t="e">
        <v>#N/A</v>
      </c>
      <c r="D15" s="4">
        <v>2.018927444794949E-2</v>
      </c>
      <c r="G15" t="str">
        <f t="shared" si="0"/>
        <v>2020</v>
      </c>
      <c r="H15" t="e">
        <f>NA()</f>
        <v>#N/A</v>
      </c>
      <c r="I15" s="7">
        <f t="shared" si="1"/>
        <v>0.68027210884356037</v>
      </c>
      <c r="J15">
        <v>2</v>
      </c>
    </row>
    <row r="16" spans="1:10" x14ac:dyDescent="0.35">
      <c r="A16" t="s">
        <v>30</v>
      </c>
      <c r="B16" s="3" t="e">
        <v>#N/A</v>
      </c>
      <c r="C16" s="3" t="e">
        <v>#N/A</v>
      </c>
      <c r="D16" s="4">
        <v>1.8501097522734433E-2</v>
      </c>
      <c r="G16" t="str">
        <f t="shared" si="0"/>
        <v>2020</v>
      </c>
      <c r="H16" t="e">
        <f>NA()</f>
        <v>#N/A</v>
      </c>
      <c r="I16" s="7">
        <f t="shared" si="1"/>
        <v>0.61576354679802048</v>
      </c>
      <c r="J16">
        <v>2</v>
      </c>
    </row>
    <row r="17" spans="1:10" x14ac:dyDescent="0.35">
      <c r="A17" t="s">
        <v>31</v>
      </c>
      <c r="B17" s="3" t="e">
        <v>#N/A</v>
      </c>
      <c r="C17" s="3" t="e">
        <v>#N/A</v>
      </c>
      <c r="D17" s="4">
        <v>1.4027431421446579E-2</v>
      </c>
      <c r="G17" t="str">
        <f t="shared" si="0"/>
        <v>2020</v>
      </c>
      <c r="H17" t="e">
        <f>NA()</f>
        <v>#N/A</v>
      </c>
      <c r="I17" s="7">
        <f t="shared" si="1"/>
        <v>0.58407623731939751</v>
      </c>
      <c r="J17">
        <v>2</v>
      </c>
    </row>
    <row r="18" spans="1:10" x14ac:dyDescent="0.35">
      <c r="A18" t="s">
        <v>32</v>
      </c>
      <c r="B18" s="3" t="e">
        <v>#N/A</v>
      </c>
      <c r="C18" s="3" t="e">
        <v>#N/A</v>
      </c>
      <c r="D18" s="4">
        <v>1.6557325835676151E-2</v>
      </c>
      <c r="G18" t="str">
        <f t="shared" si="0"/>
        <v>2021</v>
      </c>
      <c r="H18" t="e">
        <f>NA()</f>
        <v>#N/A</v>
      </c>
      <c r="I18" s="7">
        <f t="shared" si="1"/>
        <v>0.64535955746773954</v>
      </c>
      <c r="J18">
        <v>2</v>
      </c>
    </row>
    <row r="19" spans="1:10" x14ac:dyDescent="0.35">
      <c r="A19" t="s">
        <v>33</v>
      </c>
      <c r="B19" s="3" t="e">
        <v>#N/A</v>
      </c>
      <c r="C19" s="3" t="e">
        <v>#N/A</v>
      </c>
      <c r="D19" s="4">
        <v>6.8027210884356037E-3</v>
      </c>
      <c r="G19" t="str">
        <f t="shared" si="0"/>
        <v>2021</v>
      </c>
      <c r="H19" t="e">
        <f>NA()</f>
        <v>#N/A</v>
      </c>
      <c r="I19" s="7">
        <f t="shared" si="1"/>
        <v>2.0270270270270174</v>
      </c>
      <c r="J19">
        <v>2</v>
      </c>
    </row>
    <row r="20" spans="1:10" x14ac:dyDescent="0.35">
      <c r="A20" t="s">
        <v>34</v>
      </c>
      <c r="B20" s="3" t="e">
        <v>#N/A</v>
      </c>
      <c r="C20" s="3" t="e">
        <v>#N/A</v>
      </c>
      <c r="D20" s="4">
        <v>6.1576354679802048E-3</v>
      </c>
      <c r="G20" t="str">
        <f t="shared" si="0"/>
        <v>2021</v>
      </c>
      <c r="H20" t="e">
        <f>NA()</f>
        <v>#N/A</v>
      </c>
      <c r="I20" s="7">
        <f t="shared" si="1"/>
        <v>2.7539779681762466</v>
      </c>
      <c r="J20">
        <v>2</v>
      </c>
    </row>
    <row r="21" spans="1:10" x14ac:dyDescent="0.35">
      <c r="A21" t="s">
        <v>35</v>
      </c>
      <c r="B21" s="3" t="e">
        <v>#N/A</v>
      </c>
      <c r="C21" s="3" t="e">
        <v>#N/A</v>
      </c>
      <c r="D21" s="4">
        <v>5.8407623731939751E-3</v>
      </c>
      <c r="G21" t="str">
        <f t="shared" si="0"/>
        <v>2021</v>
      </c>
      <c r="H21" t="e">
        <f>NA()</f>
        <v>#N/A</v>
      </c>
      <c r="I21" s="7">
        <f t="shared" si="1"/>
        <v>4.8899755501222497</v>
      </c>
      <c r="J21">
        <v>2</v>
      </c>
    </row>
    <row r="22" spans="1:10" x14ac:dyDescent="0.35">
      <c r="A22" t="s">
        <v>36</v>
      </c>
      <c r="B22" s="3" t="e">
        <v>#N/A</v>
      </c>
      <c r="C22" s="3" t="e">
        <v>#N/A</v>
      </c>
      <c r="D22" s="4">
        <v>6.4535955746773954E-3</v>
      </c>
      <c r="G22" t="str">
        <f t="shared" si="0"/>
        <v>2022</v>
      </c>
      <c r="H22" t="e">
        <f>NA()</f>
        <v>#N/A</v>
      </c>
      <c r="I22" s="7">
        <f t="shared" si="1"/>
        <v>6.1984732824427402</v>
      </c>
      <c r="J22">
        <v>2</v>
      </c>
    </row>
    <row r="23" spans="1:10" x14ac:dyDescent="0.35">
      <c r="A23" t="s">
        <v>37</v>
      </c>
      <c r="B23" s="3" t="e">
        <v>#N/A</v>
      </c>
      <c r="C23" s="3" t="e">
        <v>#N/A</v>
      </c>
      <c r="D23" s="4">
        <v>2.0270270270270174E-2</v>
      </c>
      <c r="G23" t="str">
        <f t="shared" si="0"/>
        <v>2022</v>
      </c>
      <c r="H23" t="e">
        <f>NA()</f>
        <v>#N/A</v>
      </c>
      <c r="I23" s="7">
        <f t="shared" si="1"/>
        <v>9.1511137868753867</v>
      </c>
      <c r="J23">
        <v>2</v>
      </c>
    </row>
    <row r="24" spans="1:10" x14ac:dyDescent="0.35">
      <c r="A24" t="s">
        <v>38</v>
      </c>
      <c r="B24" s="3" t="e">
        <v>#N/A</v>
      </c>
      <c r="C24" s="3" t="e">
        <v>#N/A</v>
      </c>
      <c r="D24" s="4">
        <v>2.7539779681762466E-2</v>
      </c>
      <c r="G24" t="str">
        <f t="shared" si="0"/>
        <v>2022</v>
      </c>
      <c r="H24" t="e">
        <f>NA()</f>
        <v>#N/A</v>
      </c>
      <c r="I24" s="7">
        <f t="shared" si="1"/>
        <v>10.005955926146527</v>
      </c>
      <c r="J24">
        <v>2</v>
      </c>
    </row>
    <row r="25" spans="1:10" x14ac:dyDescent="0.35">
      <c r="A25" t="s">
        <v>39</v>
      </c>
      <c r="B25" s="3" t="e">
        <v>#N/A</v>
      </c>
      <c r="C25" s="3" t="e">
        <v>#N/A</v>
      </c>
      <c r="D25" s="4">
        <v>4.8899755501222497E-2</v>
      </c>
      <c r="G25" t="str">
        <f t="shared" si="0"/>
        <v>2022</v>
      </c>
      <c r="H25" t="e">
        <f>NA()</f>
        <v>#N/A</v>
      </c>
      <c r="I25" s="7">
        <f t="shared" si="1"/>
        <v>10.751748251748271</v>
      </c>
      <c r="J25">
        <v>2</v>
      </c>
    </row>
    <row r="26" spans="1:10" x14ac:dyDescent="0.35">
      <c r="A26" t="s">
        <v>40</v>
      </c>
      <c r="B26" s="3" t="e">
        <v>#N/A</v>
      </c>
      <c r="C26" s="3" t="e">
        <v>#N/A</v>
      </c>
      <c r="D26" s="4">
        <v>6.1984732824427402E-2</v>
      </c>
      <c r="G26" t="str">
        <f t="shared" si="0"/>
        <v>2023</v>
      </c>
      <c r="H26" t="e">
        <f>NA()</f>
        <v>#N/A</v>
      </c>
      <c r="I26" s="7">
        <f t="shared" si="1"/>
        <v>10.178263369752759</v>
      </c>
      <c r="J26">
        <v>2</v>
      </c>
    </row>
    <row r="27" spans="1:10" x14ac:dyDescent="0.35">
      <c r="A27" t="s">
        <v>41</v>
      </c>
      <c r="B27" s="3" t="e">
        <v>#N/A</v>
      </c>
      <c r="C27" s="3" t="e">
        <v>#N/A</v>
      </c>
      <c r="D27" s="4">
        <v>9.1511137868753867E-2</v>
      </c>
      <c r="G27" t="str">
        <f t="shared" si="0"/>
        <v>2023</v>
      </c>
      <c r="H27" t="e">
        <f>NA()</f>
        <v>#N/A</v>
      </c>
      <c r="I27" s="7">
        <f t="shared" si="1"/>
        <v>8.4390512961941777</v>
      </c>
      <c r="J27">
        <v>2</v>
      </c>
    </row>
    <row r="28" spans="1:10" x14ac:dyDescent="0.35">
      <c r="A28" t="s">
        <v>42</v>
      </c>
      <c r="B28" s="3" t="e">
        <v>#N/A</v>
      </c>
      <c r="C28" s="3" t="e">
        <v>#N/A</v>
      </c>
      <c r="D28" s="4">
        <v>0.10005955926146527</v>
      </c>
      <c r="G28" t="str">
        <f t="shared" si="0"/>
        <v>2023</v>
      </c>
      <c r="H28" t="e">
        <f>NA()</f>
        <v>#N/A</v>
      </c>
      <c r="I28" s="7">
        <f t="shared" si="1"/>
        <v>6.7135896047644916</v>
      </c>
      <c r="J28">
        <v>2</v>
      </c>
    </row>
    <row r="29" spans="1:10" x14ac:dyDescent="0.35">
      <c r="A29" t="s">
        <v>43</v>
      </c>
      <c r="B29" s="3" t="e">
        <v>#N/A</v>
      </c>
      <c r="C29" s="3" t="e">
        <v>#N/A</v>
      </c>
      <c r="D29" s="4">
        <v>0.10751748251748271</v>
      </c>
      <c r="G29" t="str">
        <f t="shared" si="0"/>
        <v>2023</v>
      </c>
      <c r="H29" t="e">
        <f>NA()</f>
        <v>#N/A</v>
      </c>
      <c r="I29" s="7">
        <f t="shared" si="1"/>
        <v>4.1568008418837232</v>
      </c>
      <c r="J29">
        <v>2</v>
      </c>
    </row>
    <row r="30" spans="1:10" x14ac:dyDescent="0.35">
      <c r="A30" t="s">
        <v>44</v>
      </c>
      <c r="B30" s="3" t="e">
        <v>#N/A</v>
      </c>
      <c r="C30" s="3" t="e">
        <v>#N/A</v>
      </c>
      <c r="D30" s="4">
        <v>0.10178263369752759</v>
      </c>
      <c r="G30" t="str">
        <f t="shared" si="0"/>
        <v>2024</v>
      </c>
      <c r="H30" t="e">
        <f>NA()</f>
        <v>#N/A</v>
      </c>
      <c r="I30" s="7">
        <f t="shared" si="1"/>
        <v>3.5490605427974886</v>
      </c>
      <c r="J30">
        <v>2</v>
      </c>
    </row>
    <row r="31" spans="1:10" x14ac:dyDescent="0.35">
      <c r="A31" t="s">
        <v>45</v>
      </c>
      <c r="B31" s="3" t="e">
        <v>#N/A</v>
      </c>
      <c r="C31" s="3" t="e">
        <v>#N/A</v>
      </c>
      <c r="D31" s="4">
        <v>8.4390512961941777E-2</v>
      </c>
      <c r="G31" t="str">
        <f t="shared" si="0"/>
        <v>2024</v>
      </c>
      <c r="H31" s="7">
        <f>D35*100</f>
        <v>2.1108850457782102</v>
      </c>
      <c r="I31" s="7">
        <f>C35</f>
        <v>2</v>
      </c>
      <c r="J31">
        <v>2</v>
      </c>
    </row>
    <row r="32" spans="1:10" x14ac:dyDescent="0.35">
      <c r="A32" t="s">
        <v>46</v>
      </c>
      <c r="B32" s="3" t="e">
        <v>#N/A</v>
      </c>
      <c r="C32" s="3" t="e">
        <v>#N/A</v>
      </c>
      <c r="D32" s="4">
        <v>6.7135896047644916E-2</v>
      </c>
      <c r="G32" t="str">
        <f t="shared" si="0"/>
        <v>2024</v>
      </c>
      <c r="H32" s="3">
        <f>B36</f>
        <v>2.2999999999999998</v>
      </c>
      <c r="I32" s="7">
        <f t="shared" ref="I32:I44" si="2">C36</f>
        <v>2.2000000000000002</v>
      </c>
      <c r="J32">
        <v>2</v>
      </c>
    </row>
    <row r="33" spans="1:10" x14ac:dyDescent="0.35">
      <c r="A33" t="s">
        <v>47</v>
      </c>
      <c r="B33" s="3" t="e">
        <v>#N/A</v>
      </c>
      <c r="C33" s="3" t="e">
        <v>#N/A</v>
      </c>
      <c r="D33" s="4">
        <v>4.1568008418837232E-2</v>
      </c>
      <c r="G33" t="str">
        <f t="shared" si="0"/>
        <v>2024</v>
      </c>
      <c r="H33" s="3">
        <f t="shared" ref="H33:H46" si="3">B37</f>
        <v>2.7</v>
      </c>
      <c r="I33" s="7">
        <f t="shared" si="2"/>
        <v>2.6</v>
      </c>
      <c r="J33">
        <v>2</v>
      </c>
    </row>
    <row r="34" spans="1:10" x14ac:dyDescent="0.35">
      <c r="A34" t="s">
        <v>48</v>
      </c>
      <c r="B34" s="3" t="e">
        <v>#N/A</v>
      </c>
      <c r="C34" s="3" t="e">
        <v>#N/A</v>
      </c>
      <c r="D34" s="4">
        <v>3.5490605427974886E-2</v>
      </c>
      <c r="G34" t="str">
        <f t="shared" si="0"/>
        <v>2025</v>
      </c>
      <c r="H34" s="3">
        <f t="shared" si="3"/>
        <v>2.7</v>
      </c>
      <c r="I34" s="7">
        <f t="shared" si="2"/>
        <v>2.6</v>
      </c>
      <c r="J34">
        <v>2</v>
      </c>
    </row>
    <row r="35" spans="1:10" x14ac:dyDescent="0.35">
      <c r="A35" t="s">
        <v>49</v>
      </c>
      <c r="B35" s="3" t="e">
        <v>#N/A</v>
      </c>
      <c r="C35" s="3">
        <v>2</v>
      </c>
      <c r="D35" s="4">
        <v>2.1108850457782102E-2</v>
      </c>
      <c r="G35" t="str">
        <f t="shared" si="0"/>
        <v>2025</v>
      </c>
      <c r="H35" s="3">
        <f t="shared" si="3"/>
        <v>2.6</v>
      </c>
      <c r="I35" s="7">
        <f t="shared" si="2"/>
        <v>2.6</v>
      </c>
      <c r="J35">
        <v>2</v>
      </c>
    </row>
    <row r="36" spans="1:10" x14ac:dyDescent="0.35">
      <c r="A36" t="s">
        <v>50</v>
      </c>
      <c r="B36" s="3">
        <v>2.2999999999999998</v>
      </c>
      <c r="C36" s="3">
        <v>2.2000000000000002</v>
      </c>
      <c r="G36" t="str">
        <f t="shared" si="0"/>
        <v>2025</v>
      </c>
      <c r="H36" s="3">
        <f t="shared" si="3"/>
        <v>2.4</v>
      </c>
      <c r="I36" s="7">
        <f t="shared" si="2"/>
        <v>2.5</v>
      </c>
      <c r="J36">
        <v>2</v>
      </c>
    </row>
    <row r="37" spans="1:10" x14ac:dyDescent="0.35">
      <c r="A37" t="s">
        <v>51</v>
      </c>
      <c r="B37" s="3">
        <v>2.7</v>
      </c>
      <c r="C37" s="3">
        <v>2.6</v>
      </c>
      <c r="G37" t="str">
        <f t="shared" si="0"/>
        <v>2025</v>
      </c>
      <c r="H37" s="3">
        <f t="shared" si="3"/>
        <v>2.2000000000000002</v>
      </c>
      <c r="I37" s="7">
        <f t="shared" si="2"/>
        <v>2.2999999999999998</v>
      </c>
      <c r="J37">
        <v>2</v>
      </c>
    </row>
    <row r="38" spans="1:10" x14ac:dyDescent="0.35">
      <c r="A38" t="s">
        <v>52</v>
      </c>
      <c r="B38" s="3">
        <v>2.7</v>
      </c>
      <c r="C38" s="3">
        <v>2.6</v>
      </c>
      <c r="G38" t="str">
        <f t="shared" si="0"/>
        <v>2026</v>
      </c>
      <c r="H38" s="3">
        <f t="shared" si="3"/>
        <v>2</v>
      </c>
      <c r="I38" s="7">
        <f t="shared" si="2"/>
        <v>2.1</v>
      </c>
      <c r="J38">
        <v>2</v>
      </c>
    </row>
    <row r="39" spans="1:10" x14ac:dyDescent="0.35">
      <c r="A39" t="s">
        <v>53</v>
      </c>
      <c r="B39" s="3">
        <v>2.6</v>
      </c>
      <c r="C39" s="3">
        <v>2.6</v>
      </c>
      <c r="G39" t="str">
        <f t="shared" si="0"/>
        <v>2026</v>
      </c>
      <c r="H39" s="3">
        <f t="shared" si="3"/>
        <v>1.7</v>
      </c>
      <c r="I39" s="7">
        <f t="shared" si="2"/>
        <v>1.9</v>
      </c>
      <c r="J39">
        <v>2</v>
      </c>
    </row>
    <row r="40" spans="1:10" x14ac:dyDescent="0.35">
      <c r="A40" t="s">
        <v>54</v>
      </c>
      <c r="B40" s="3">
        <v>2.4</v>
      </c>
      <c r="C40" s="3">
        <v>2.5</v>
      </c>
      <c r="G40" t="str">
        <f t="shared" si="0"/>
        <v>2026</v>
      </c>
      <c r="H40" s="3">
        <f t="shared" si="3"/>
        <v>1.7</v>
      </c>
      <c r="I40" s="7">
        <f t="shared" si="2"/>
        <v>1.8</v>
      </c>
      <c r="J40">
        <v>2</v>
      </c>
    </row>
    <row r="41" spans="1:10" x14ac:dyDescent="0.35">
      <c r="A41" t="s">
        <v>55</v>
      </c>
      <c r="B41" s="3">
        <v>2.2000000000000002</v>
      </c>
      <c r="C41" s="3">
        <v>2.2999999999999998</v>
      </c>
      <c r="G41" t="str">
        <f t="shared" si="0"/>
        <v>2026</v>
      </c>
      <c r="H41" s="3">
        <f t="shared" si="3"/>
        <v>1.6</v>
      </c>
      <c r="I41" s="7">
        <f t="shared" si="2"/>
        <v>1.6</v>
      </c>
      <c r="J41">
        <v>2</v>
      </c>
    </row>
    <row r="42" spans="1:10" x14ac:dyDescent="0.35">
      <c r="A42" t="s">
        <v>56</v>
      </c>
      <c r="B42" s="3">
        <v>2</v>
      </c>
      <c r="C42" s="3">
        <v>2.1</v>
      </c>
      <c r="G42" t="str">
        <f t="shared" si="0"/>
        <v>2027</v>
      </c>
      <c r="H42" s="3">
        <f t="shared" si="3"/>
        <v>1.5</v>
      </c>
      <c r="I42" s="7">
        <f t="shared" si="2"/>
        <v>1.5</v>
      </c>
      <c r="J42">
        <v>2</v>
      </c>
    </row>
    <row r="43" spans="1:10" x14ac:dyDescent="0.35">
      <c r="A43" t="s">
        <v>57</v>
      </c>
      <c r="B43" s="3">
        <v>1.7</v>
      </c>
      <c r="C43" s="3">
        <v>1.9</v>
      </c>
      <c r="G43" t="str">
        <f t="shared" si="0"/>
        <v>2027</v>
      </c>
      <c r="H43" s="3">
        <f t="shared" si="3"/>
        <v>1.5</v>
      </c>
      <c r="I43" s="7">
        <f t="shared" si="2"/>
        <v>1.6</v>
      </c>
      <c r="J43">
        <v>2</v>
      </c>
    </row>
    <row r="44" spans="1:10" x14ac:dyDescent="0.35">
      <c r="A44" t="s">
        <v>58</v>
      </c>
      <c r="B44" s="3">
        <v>1.7</v>
      </c>
      <c r="C44" s="3">
        <v>1.8</v>
      </c>
      <c r="G44" t="str">
        <f t="shared" si="0"/>
        <v>2027</v>
      </c>
      <c r="H44" s="3">
        <f t="shared" si="3"/>
        <v>1.5</v>
      </c>
      <c r="I44" s="7"/>
      <c r="J44">
        <v>2</v>
      </c>
    </row>
    <row r="45" spans="1:10" x14ac:dyDescent="0.35">
      <c r="A45" t="s">
        <v>59</v>
      </c>
      <c r="B45" s="3">
        <v>1.6</v>
      </c>
      <c r="C45" s="3">
        <v>1.6</v>
      </c>
      <c r="H45" s="3"/>
    </row>
    <row r="46" spans="1:10" x14ac:dyDescent="0.35">
      <c r="A46" t="s">
        <v>60</v>
      </c>
      <c r="B46" s="3">
        <v>1.5</v>
      </c>
      <c r="C46" s="3">
        <v>1.5</v>
      </c>
      <c r="H46" s="3"/>
    </row>
    <row r="47" spans="1:10" x14ac:dyDescent="0.35">
      <c r="A47" t="s">
        <v>61</v>
      </c>
      <c r="B47" s="3">
        <v>1.5</v>
      </c>
      <c r="C47" s="3">
        <v>1.6</v>
      </c>
    </row>
    <row r="48" spans="1:10" x14ac:dyDescent="0.35">
      <c r="A48" t="s">
        <v>62</v>
      </c>
      <c r="B48" s="3">
        <v>1.5</v>
      </c>
    </row>
  </sheetData>
  <hyperlinks>
    <hyperlink ref="B4" r:id="rId1" xr:uid="{B0A2897C-5DAB-4D06-BDBA-C3EAED4406EA}"/>
    <hyperlink ref="C4" r:id="rId2" xr:uid="{3DD6B548-4F3C-410A-A78D-9552B0DE8FA3}"/>
  </hyperlink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C3635C7-FE21-4386-89A6-002791AAAEBE}">
  <dimension ref="A1:D87"/>
  <sheetViews>
    <sheetView topLeftCell="A59" workbookViewId="0">
      <selection activeCell="A6" sqref="A6:D84"/>
    </sheetView>
  </sheetViews>
  <sheetFormatPr defaultColWidth="9.81640625" defaultRowHeight="14" x14ac:dyDescent="0.3"/>
  <cols>
    <col min="1" max="1" width="15.453125" style="10" customWidth="1"/>
    <col min="2" max="4" width="21.81640625" style="10" customWidth="1"/>
    <col min="5" max="5" width="10" style="10" customWidth="1"/>
    <col min="6" max="16384" width="9.81640625" style="10"/>
  </cols>
  <sheetData>
    <row r="1" spans="1:4" x14ac:dyDescent="0.3">
      <c r="A1" s="8" t="s">
        <v>65</v>
      </c>
      <c r="B1" s="9"/>
    </row>
    <row r="2" spans="1:4" x14ac:dyDescent="0.3">
      <c r="A2" s="11"/>
      <c r="B2" s="9"/>
    </row>
    <row r="3" spans="1:4" x14ac:dyDescent="0.3">
      <c r="A3" s="12" t="s">
        <v>66</v>
      </c>
      <c r="B3" s="9"/>
    </row>
    <row r="4" spans="1:4" x14ac:dyDescent="0.3">
      <c r="A4" s="13"/>
      <c r="B4" s="9"/>
    </row>
    <row r="5" spans="1:4" ht="34.5" customHeight="1" x14ac:dyDescent="0.3">
      <c r="B5" s="14" t="s">
        <v>67</v>
      </c>
      <c r="C5" s="14"/>
      <c r="D5" s="14"/>
    </row>
    <row r="6" spans="1:4" ht="63.75" customHeight="1" x14ac:dyDescent="0.3">
      <c r="A6" s="15" t="s">
        <v>63</v>
      </c>
      <c r="B6" s="16" t="s">
        <v>68</v>
      </c>
      <c r="C6" s="16" t="s">
        <v>69</v>
      </c>
      <c r="D6" s="16" t="s">
        <v>70</v>
      </c>
    </row>
    <row r="7" spans="1:4" x14ac:dyDescent="0.3">
      <c r="A7" s="17">
        <v>43101</v>
      </c>
      <c r="B7" s="18">
        <v>2.8</v>
      </c>
      <c r="C7" s="18">
        <v>1.3</v>
      </c>
      <c r="D7" s="18">
        <v>3</v>
      </c>
    </row>
    <row r="8" spans="1:4" x14ac:dyDescent="0.3">
      <c r="A8" s="17">
        <v>43132</v>
      </c>
      <c r="B8" s="18">
        <v>2.4</v>
      </c>
      <c r="C8" s="18">
        <v>0.9</v>
      </c>
      <c r="D8" s="18">
        <v>3.1</v>
      </c>
    </row>
    <row r="9" spans="1:4" x14ac:dyDescent="0.3">
      <c r="A9" s="17">
        <v>43160</v>
      </c>
      <c r="B9" s="18">
        <v>1.7</v>
      </c>
      <c r="C9" s="18">
        <v>1.9</v>
      </c>
      <c r="D9" s="18">
        <v>2.6</v>
      </c>
    </row>
    <row r="10" spans="1:4" x14ac:dyDescent="0.3">
      <c r="A10" s="17">
        <v>43191</v>
      </c>
      <c r="B10" s="18">
        <v>1.3</v>
      </c>
      <c r="C10" s="18">
        <v>2.2000000000000002</v>
      </c>
      <c r="D10" s="18">
        <v>2.2000000000000002</v>
      </c>
    </row>
    <row r="11" spans="1:4" x14ac:dyDescent="0.3">
      <c r="A11" s="17">
        <v>43221</v>
      </c>
      <c r="B11" s="18">
        <v>2.4</v>
      </c>
      <c r="C11" s="18">
        <v>2.4</v>
      </c>
      <c r="D11" s="18">
        <v>2.5</v>
      </c>
    </row>
    <row r="12" spans="1:4" x14ac:dyDescent="0.3">
      <c r="A12" s="17">
        <v>43252</v>
      </c>
      <c r="B12" s="18">
        <v>2.8</v>
      </c>
      <c r="C12" s="18">
        <v>2.8</v>
      </c>
      <c r="D12" s="18">
        <v>2.6</v>
      </c>
    </row>
    <row r="13" spans="1:4" x14ac:dyDescent="0.3">
      <c r="A13" s="17">
        <v>43282</v>
      </c>
      <c r="B13" s="18">
        <v>3.4</v>
      </c>
      <c r="C13" s="18">
        <v>2.6</v>
      </c>
      <c r="D13" s="18">
        <v>2.7</v>
      </c>
    </row>
    <row r="14" spans="1:4" x14ac:dyDescent="0.3">
      <c r="A14" s="17">
        <v>43313</v>
      </c>
      <c r="B14" s="18">
        <v>3.7</v>
      </c>
      <c r="C14" s="18">
        <v>2.9</v>
      </c>
      <c r="D14" s="18">
        <v>3.3</v>
      </c>
    </row>
    <row r="15" spans="1:4" x14ac:dyDescent="0.3">
      <c r="A15" s="17">
        <v>43344</v>
      </c>
      <c r="B15" s="18">
        <v>2.5</v>
      </c>
      <c r="C15" s="18">
        <v>2.1</v>
      </c>
      <c r="D15" s="18">
        <v>2.9</v>
      </c>
    </row>
    <row r="16" spans="1:4" x14ac:dyDescent="0.3">
      <c r="A16" s="17">
        <v>43374</v>
      </c>
      <c r="B16" s="18">
        <v>2.2999999999999998</v>
      </c>
      <c r="C16" s="18">
        <v>2.9</v>
      </c>
      <c r="D16" s="18">
        <v>2.5</v>
      </c>
    </row>
    <row r="17" spans="1:4" x14ac:dyDescent="0.3">
      <c r="A17" s="17">
        <v>43405</v>
      </c>
      <c r="B17" s="18">
        <v>1.4</v>
      </c>
      <c r="C17" s="18">
        <v>2.8</v>
      </c>
      <c r="D17" s="18">
        <v>1.1000000000000001</v>
      </c>
    </row>
    <row r="18" spans="1:4" x14ac:dyDescent="0.3">
      <c r="A18" s="17">
        <v>43435</v>
      </c>
      <c r="B18" s="18">
        <v>2.9</v>
      </c>
      <c r="C18" s="18">
        <v>3.2</v>
      </c>
      <c r="D18" s="18">
        <v>1.7</v>
      </c>
    </row>
    <row r="19" spans="1:4" x14ac:dyDescent="0.3">
      <c r="A19" s="17">
        <v>43466</v>
      </c>
      <c r="B19" s="18">
        <v>2.9</v>
      </c>
      <c r="C19" s="18">
        <v>2.2000000000000002</v>
      </c>
      <c r="D19" s="18">
        <v>2.5</v>
      </c>
    </row>
    <row r="20" spans="1:4" x14ac:dyDescent="0.3">
      <c r="A20" s="17">
        <v>43497</v>
      </c>
      <c r="B20" s="18">
        <v>2.2999999999999998</v>
      </c>
      <c r="C20" s="18">
        <v>2.2000000000000002</v>
      </c>
      <c r="D20" s="18">
        <v>2.5</v>
      </c>
    </row>
    <row r="21" spans="1:4" x14ac:dyDescent="0.3">
      <c r="A21" s="17">
        <v>43525</v>
      </c>
      <c r="B21" s="18">
        <v>1.8</v>
      </c>
      <c r="C21" s="18">
        <v>2.1</v>
      </c>
      <c r="D21" s="18">
        <v>2.7</v>
      </c>
    </row>
    <row r="22" spans="1:4" x14ac:dyDescent="0.3">
      <c r="A22" s="17">
        <v>43556</v>
      </c>
      <c r="B22" s="18">
        <v>2.9</v>
      </c>
      <c r="C22" s="18">
        <v>2.7</v>
      </c>
      <c r="D22" s="18">
        <v>3.6</v>
      </c>
    </row>
    <row r="23" spans="1:4" x14ac:dyDescent="0.3">
      <c r="A23" s="17">
        <v>43586</v>
      </c>
      <c r="B23" s="18">
        <v>2.7</v>
      </c>
      <c r="C23" s="18">
        <v>3.2</v>
      </c>
      <c r="D23" s="18">
        <v>2.7</v>
      </c>
    </row>
    <row r="24" spans="1:4" x14ac:dyDescent="0.3">
      <c r="A24" s="17">
        <v>43617</v>
      </c>
      <c r="B24" s="18">
        <v>2.8</v>
      </c>
      <c r="C24" s="18">
        <v>2.8</v>
      </c>
      <c r="D24" s="18">
        <v>3.1</v>
      </c>
    </row>
    <row r="25" spans="1:4" x14ac:dyDescent="0.3">
      <c r="A25" s="17">
        <v>43647</v>
      </c>
      <c r="B25" s="18">
        <v>1.9</v>
      </c>
      <c r="C25" s="18">
        <v>1.5</v>
      </c>
      <c r="D25" s="18">
        <v>1.8</v>
      </c>
    </row>
    <row r="26" spans="1:4" x14ac:dyDescent="0.3">
      <c r="A26" s="17">
        <v>43678</v>
      </c>
      <c r="B26" s="18">
        <v>2.6</v>
      </c>
      <c r="C26" s="18">
        <v>1.4</v>
      </c>
      <c r="D26" s="18">
        <v>3.1</v>
      </c>
    </row>
    <row r="27" spans="1:4" x14ac:dyDescent="0.3">
      <c r="A27" s="17">
        <v>43709</v>
      </c>
      <c r="B27" s="18">
        <v>2.5</v>
      </c>
      <c r="C27" s="18">
        <v>1.8</v>
      </c>
      <c r="D27" s="18">
        <v>3</v>
      </c>
    </row>
    <row r="28" spans="1:4" x14ac:dyDescent="0.3">
      <c r="A28" s="17">
        <v>43739</v>
      </c>
      <c r="B28" s="18">
        <v>2.4</v>
      </c>
      <c r="C28" s="18">
        <v>2.1</v>
      </c>
      <c r="D28" s="18">
        <v>2.5</v>
      </c>
    </row>
    <row r="29" spans="1:4" x14ac:dyDescent="0.3">
      <c r="A29" s="17">
        <v>43770</v>
      </c>
      <c r="B29" s="18">
        <v>2</v>
      </c>
      <c r="C29" s="18">
        <v>2.1</v>
      </c>
      <c r="D29" s="18">
        <v>2.6</v>
      </c>
    </row>
    <row r="30" spans="1:4" x14ac:dyDescent="0.3">
      <c r="A30" s="17">
        <v>43800</v>
      </c>
      <c r="B30" s="18">
        <v>1.5</v>
      </c>
      <c r="C30" s="18">
        <v>2.8</v>
      </c>
      <c r="D30" s="18">
        <v>1.9</v>
      </c>
    </row>
    <row r="31" spans="1:4" x14ac:dyDescent="0.3">
      <c r="A31" s="17">
        <v>43831</v>
      </c>
      <c r="B31" s="18">
        <v>2.1</v>
      </c>
      <c r="C31" s="18">
        <v>3.5</v>
      </c>
      <c r="D31" s="18">
        <v>2.5</v>
      </c>
    </row>
    <row r="32" spans="1:4" x14ac:dyDescent="0.3">
      <c r="A32" s="17">
        <v>43862</v>
      </c>
      <c r="B32" s="18">
        <v>2.8</v>
      </c>
      <c r="C32" s="18">
        <v>3.7</v>
      </c>
      <c r="D32" s="18">
        <v>2.7</v>
      </c>
    </row>
    <row r="33" spans="1:4" x14ac:dyDescent="0.3">
      <c r="A33" s="17">
        <v>43891</v>
      </c>
      <c r="B33" s="18">
        <v>3.4</v>
      </c>
      <c r="C33" s="18">
        <v>3</v>
      </c>
      <c r="D33" s="18">
        <v>2.6</v>
      </c>
    </row>
    <row r="34" spans="1:4" x14ac:dyDescent="0.3">
      <c r="A34" s="17">
        <v>43922</v>
      </c>
      <c r="B34" s="18">
        <v>1.7</v>
      </c>
      <c r="C34" s="18">
        <v>1.7</v>
      </c>
      <c r="D34" s="18">
        <v>1.3</v>
      </c>
    </row>
    <row r="35" spans="1:4" x14ac:dyDescent="0.3">
      <c r="A35" s="17">
        <v>43952</v>
      </c>
      <c r="B35" s="18">
        <v>0.2</v>
      </c>
      <c r="C35" s="18">
        <v>1.1000000000000001</v>
      </c>
      <c r="D35" s="18">
        <v>-0.2</v>
      </c>
    </row>
    <row r="36" spans="1:4" x14ac:dyDescent="0.3">
      <c r="A36" s="17">
        <v>43983</v>
      </c>
      <c r="B36" s="18">
        <v>-0.3</v>
      </c>
      <c r="C36" s="18">
        <v>0.7</v>
      </c>
      <c r="D36" s="18">
        <v>-0.6</v>
      </c>
    </row>
    <row r="37" spans="1:4" x14ac:dyDescent="0.3">
      <c r="A37" s="17">
        <v>44013</v>
      </c>
      <c r="B37" s="18">
        <v>2.4</v>
      </c>
      <c r="C37" s="18">
        <v>2.9</v>
      </c>
      <c r="D37" s="18">
        <v>3.1</v>
      </c>
    </row>
    <row r="38" spans="1:4" x14ac:dyDescent="0.3">
      <c r="A38" s="17">
        <v>44044</v>
      </c>
      <c r="B38" s="18">
        <v>-2.1</v>
      </c>
      <c r="C38" s="18">
        <v>2.9</v>
      </c>
      <c r="D38" s="18">
        <v>-4.2</v>
      </c>
    </row>
    <row r="39" spans="1:4" x14ac:dyDescent="0.3">
      <c r="A39" s="17">
        <v>44075</v>
      </c>
      <c r="B39" s="18">
        <v>1.3</v>
      </c>
      <c r="C39" s="18">
        <v>2.4</v>
      </c>
      <c r="D39" s="18">
        <v>3</v>
      </c>
    </row>
    <row r="40" spans="1:4" x14ac:dyDescent="0.3">
      <c r="A40" s="17">
        <v>44105</v>
      </c>
      <c r="B40" s="18">
        <v>-0.9</v>
      </c>
      <c r="C40" s="18">
        <v>0.8</v>
      </c>
      <c r="D40" s="18">
        <v>-0.2</v>
      </c>
    </row>
    <row r="41" spans="1:4" x14ac:dyDescent="0.3">
      <c r="A41" s="17">
        <v>44136</v>
      </c>
      <c r="B41" s="18">
        <v>4.9000000000000004</v>
      </c>
      <c r="C41" s="18">
        <v>1.4</v>
      </c>
      <c r="D41" s="18">
        <v>7.2</v>
      </c>
    </row>
    <row r="42" spans="1:4" x14ac:dyDescent="0.3">
      <c r="A42" s="17">
        <v>44166</v>
      </c>
      <c r="B42" s="18">
        <v>1.9</v>
      </c>
      <c r="C42" s="18">
        <v>2.2000000000000002</v>
      </c>
      <c r="D42" s="18">
        <v>2.1</v>
      </c>
    </row>
    <row r="43" spans="1:4" x14ac:dyDescent="0.3">
      <c r="A43" s="17">
        <v>44197</v>
      </c>
      <c r="B43" s="18">
        <v>4</v>
      </c>
      <c r="C43" s="18">
        <v>3.2</v>
      </c>
      <c r="D43" s="18">
        <v>3</v>
      </c>
    </row>
    <row r="44" spans="1:4" x14ac:dyDescent="0.3">
      <c r="A44" s="17">
        <v>44228</v>
      </c>
      <c r="B44" s="18">
        <v>3.4</v>
      </c>
      <c r="C44" s="18">
        <v>2.8</v>
      </c>
      <c r="D44" s="18">
        <v>3.9</v>
      </c>
    </row>
    <row r="45" spans="1:4" x14ac:dyDescent="0.3">
      <c r="A45" s="17">
        <v>44256</v>
      </c>
      <c r="B45" s="18">
        <v>3.2</v>
      </c>
      <c r="C45" s="18">
        <v>2.6</v>
      </c>
      <c r="D45" s="18">
        <v>1.9</v>
      </c>
    </row>
    <row r="46" spans="1:4" x14ac:dyDescent="0.3">
      <c r="A46" s="17">
        <v>44287</v>
      </c>
      <c r="B46" s="18">
        <v>0.8</v>
      </c>
      <c r="C46" s="18">
        <v>1.5</v>
      </c>
      <c r="D46" s="18">
        <v>0.6</v>
      </c>
    </row>
    <row r="47" spans="1:4" x14ac:dyDescent="0.3">
      <c r="A47" s="17">
        <v>44317</v>
      </c>
      <c r="B47" s="18">
        <v>1.6</v>
      </c>
      <c r="C47" s="18">
        <v>1</v>
      </c>
      <c r="D47" s="18">
        <v>2</v>
      </c>
    </row>
    <row r="48" spans="1:4" x14ac:dyDescent="0.3">
      <c r="A48" s="17">
        <v>44348</v>
      </c>
      <c r="B48" s="18">
        <v>2.1</v>
      </c>
      <c r="C48" s="18">
        <v>1.2</v>
      </c>
      <c r="D48" s="18">
        <v>3</v>
      </c>
    </row>
    <row r="49" spans="1:4" x14ac:dyDescent="0.3">
      <c r="A49" s="17">
        <v>44378</v>
      </c>
      <c r="B49" s="18">
        <v>2.6</v>
      </c>
      <c r="C49" s="18">
        <v>1.1000000000000001</v>
      </c>
      <c r="D49" s="18">
        <v>4.9000000000000004</v>
      </c>
    </row>
    <row r="50" spans="1:4" x14ac:dyDescent="0.3">
      <c r="A50" s="17">
        <v>44409</v>
      </c>
      <c r="B50" s="18">
        <v>2.6</v>
      </c>
      <c r="C50" s="18">
        <v>1.8</v>
      </c>
      <c r="D50" s="18">
        <v>4.2</v>
      </c>
    </row>
    <row r="51" spans="1:4" x14ac:dyDescent="0.3">
      <c r="A51" s="17">
        <v>44440</v>
      </c>
      <c r="B51" s="18">
        <v>3.2</v>
      </c>
      <c r="C51" s="18">
        <v>2.5</v>
      </c>
      <c r="D51" s="18">
        <v>4.4000000000000004</v>
      </c>
    </row>
    <row r="52" spans="1:4" x14ac:dyDescent="0.3">
      <c r="A52" s="17">
        <v>44470</v>
      </c>
      <c r="B52" s="18">
        <v>5.3</v>
      </c>
      <c r="C52" s="18">
        <v>5.4</v>
      </c>
      <c r="D52" s="18">
        <v>4.2</v>
      </c>
    </row>
    <row r="53" spans="1:4" x14ac:dyDescent="0.3">
      <c r="A53" s="17">
        <v>44501</v>
      </c>
      <c r="B53" s="18">
        <v>5.7</v>
      </c>
      <c r="C53" s="18">
        <v>5.6</v>
      </c>
      <c r="D53" s="18">
        <v>4.5</v>
      </c>
    </row>
    <row r="54" spans="1:4" x14ac:dyDescent="0.3">
      <c r="A54" s="17">
        <v>44531</v>
      </c>
      <c r="B54" s="18">
        <v>5.4</v>
      </c>
      <c r="C54" s="18">
        <v>5.0999999999999996</v>
      </c>
      <c r="D54" s="18">
        <v>3.9</v>
      </c>
    </row>
    <row r="55" spans="1:4" x14ac:dyDescent="0.3">
      <c r="A55" s="17">
        <v>44562</v>
      </c>
      <c r="B55" s="18">
        <v>4.5</v>
      </c>
      <c r="C55" s="18">
        <v>3.7</v>
      </c>
      <c r="D55" s="18">
        <v>3.7</v>
      </c>
    </row>
    <row r="56" spans="1:4" x14ac:dyDescent="0.3">
      <c r="A56" s="17">
        <v>44593</v>
      </c>
      <c r="B56" s="18">
        <v>4.4000000000000004</v>
      </c>
      <c r="C56" s="18">
        <v>3.6</v>
      </c>
      <c r="D56" s="18">
        <v>4</v>
      </c>
    </row>
    <row r="57" spans="1:4" x14ac:dyDescent="0.3">
      <c r="A57" s="17">
        <v>44621</v>
      </c>
      <c r="B57" s="18">
        <v>5.7</v>
      </c>
      <c r="C57" s="18">
        <v>2.8</v>
      </c>
      <c r="D57" s="18">
        <v>6</v>
      </c>
    </row>
    <row r="58" spans="1:4" x14ac:dyDescent="0.3">
      <c r="A58" s="17">
        <v>44652</v>
      </c>
      <c r="B58" s="18">
        <v>6.5</v>
      </c>
      <c r="C58" s="18">
        <v>4.8</v>
      </c>
      <c r="D58" s="18">
        <v>8</v>
      </c>
    </row>
    <row r="59" spans="1:4" x14ac:dyDescent="0.3">
      <c r="A59" s="17">
        <v>44682</v>
      </c>
      <c r="B59" s="18">
        <v>6.6</v>
      </c>
      <c r="C59" s="18">
        <v>3.7</v>
      </c>
      <c r="D59" s="18">
        <v>8.4</v>
      </c>
    </row>
    <row r="60" spans="1:4" x14ac:dyDescent="0.3">
      <c r="A60" s="17">
        <v>44713</v>
      </c>
      <c r="B60" s="18">
        <v>6.6</v>
      </c>
      <c r="C60" s="18">
        <v>4.7</v>
      </c>
      <c r="D60" s="18">
        <v>7.4</v>
      </c>
    </row>
    <row r="61" spans="1:4" x14ac:dyDescent="0.3">
      <c r="A61" s="17">
        <v>44743</v>
      </c>
      <c r="B61" s="18">
        <v>6.5</v>
      </c>
      <c r="C61" s="18">
        <v>2.2000000000000002</v>
      </c>
      <c r="D61" s="18">
        <v>6.7</v>
      </c>
    </row>
    <row r="62" spans="1:4" x14ac:dyDescent="0.3">
      <c r="A62" s="17">
        <v>44774</v>
      </c>
      <c r="B62" s="18">
        <v>7.2</v>
      </c>
      <c r="C62" s="18">
        <v>3.5</v>
      </c>
      <c r="D62" s="18">
        <v>7.3</v>
      </c>
    </row>
    <row r="63" spans="1:4" x14ac:dyDescent="0.3">
      <c r="A63" s="17">
        <v>44805</v>
      </c>
      <c r="B63" s="18">
        <v>6.9</v>
      </c>
      <c r="C63" s="18">
        <v>3.1</v>
      </c>
      <c r="D63" s="18">
        <v>6.6</v>
      </c>
    </row>
    <row r="64" spans="1:4" x14ac:dyDescent="0.3">
      <c r="A64" s="17">
        <v>44835</v>
      </c>
      <c r="B64" s="18">
        <v>7.4</v>
      </c>
      <c r="C64" s="18">
        <v>3.5</v>
      </c>
      <c r="D64" s="18">
        <v>6.5</v>
      </c>
    </row>
    <row r="65" spans="1:4" x14ac:dyDescent="0.3">
      <c r="A65" s="17">
        <v>44866</v>
      </c>
      <c r="B65" s="18">
        <v>7.1</v>
      </c>
      <c r="C65" s="18">
        <v>3.7</v>
      </c>
      <c r="D65" s="18">
        <v>7.2</v>
      </c>
    </row>
    <row r="66" spans="1:4" x14ac:dyDescent="0.3">
      <c r="A66" s="17">
        <v>44896</v>
      </c>
      <c r="B66" s="18">
        <v>8.1</v>
      </c>
      <c r="C66" s="18">
        <v>4.2</v>
      </c>
      <c r="D66" s="18">
        <v>7.8</v>
      </c>
    </row>
    <row r="67" spans="1:4" x14ac:dyDescent="0.3">
      <c r="A67" s="17">
        <v>44927</v>
      </c>
      <c r="B67" s="18">
        <v>3.7</v>
      </c>
      <c r="C67" s="18">
        <v>4.2</v>
      </c>
      <c r="D67" s="18">
        <v>4.2</v>
      </c>
    </row>
    <row r="68" spans="1:4" x14ac:dyDescent="0.3">
      <c r="A68" s="17">
        <v>44958</v>
      </c>
      <c r="B68" s="18">
        <v>5.7</v>
      </c>
      <c r="C68" s="18">
        <v>4</v>
      </c>
      <c r="D68" s="18">
        <v>7</v>
      </c>
    </row>
    <row r="69" spans="1:4" x14ac:dyDescent="0.3">
      <c r="A69" s="17">
        <v>44986</v>
      </c>
      <c r="B69" s="18">
        <v>5.2</v>
      </c>
      <c r="C69" s="18">
        <v>2.8</v>
      </c>
      <c r="D69" s="18">
        <v>7</v>
      </c>
    </row>
    <row r="70" spans="1:4" x14ac:dyDescent="0.3">
      <c r="A70" s="17">
        <v>45017</v>
      </c>
      <c r="B70" s="18">
        <v>10.3</v>
      </c>
      <c r="C70" s="18">
        <v>13.9</v>
      </c>
      <c r="D70" s="18">
        <v>10.4</v>
      </c>
    </row>
    <row r="71" spans="1:4" x14ac:dyDescent="0.3">
      <c r="A71" s="17">
        <v>45047</v>
      </c>
      <c r="B71" s="18">
        <v>9.3000000000000007</v>
      </c>
      <c r="C71" s="18">
        <v>12.2</v>
      </c>
      <c r="D71" s="18">
        <v>6.9</v>
      </c>
    </row>
    <row r="72" spans="1:4" x14ac:dyDescent="0.3">
      <c r="A72" s="17">
        <v>45078</v>
      </c>
      <c r="B72" s="18">
        <v>8.5</v>
      </c>
      <c r="C72" s="18">
        <v>13.7</v>
      </c>
      <c r="D72" s="18">
        <v>6.7</v>
      </c>
    </row>
    <row r="73" spans="1:4" x14ac:dyDescent="0.3">
      <c r="A73" s="17">
        <v>45108</v>
      </c>
      <c r="B73" s="18">
        <v>8.5</v>
      </c>
      <c r="C73" s="18">
        <v>4.9000000000000004</v>
      </c>
      <c r="D73" s="18">
        <v>5.7</v>
      </c>
    </row>
    <row r="74" spans="1:4" x14ac:dyDescent="0.3">
      <c r="A74" s="17">
        <v>45139</v>
      </c>
      <c r="B74" s="18">
        <v>5.3</v>
      </c>
      <c r="C74" s="18">
        <v>6.7</v>
      </c>
      <c r="D74" s="18">
        <v>4.5999999999999996</v>
      </c>
    </row>
    <row r="75" spans="1:4" x14ac:dyDescent="0.3">
      <c r="A75" s="17">
        <v>45170</v>
      </c>
      <c r="B75" s="18">
        <v>5.9</v>
      </c>
      <c r="C75" s="18">
        <v>7</v>
      </c>
      <c r="D75" s="18">
        <v>4.7</v>
      </c>
    </row>
    <row r="76" spans="1:4" x14ac:dyDescent="0.3">
      <c r="A76" s="17">
        <v>45200</v>
      </c>
      <c r="B76" s="18">
        <v>3.8</v>
      </c>
      <c r="C76" s="18">
        <v>4.9000000000000004</v>
      </c>
      <c r="D76" s="18">
        <v>5.3</v>
      </c>
    </row>
    <row r="77" spans="1:4" x14ac:dyDescent="0.3">
      <c r="A77" s="17">
        <v>45231</v>
      </c>
      <c r="B77" s="18">
        <v>4.8</v>
      </c>
      <c r="C77" s="18">
        <v>5</v>
      </c>
      <c r="D77" s="18">
        <v>4.4000000000000004</v>
      </c>
    </row>
    <row r="78" spans="1:4" x14ac:dyDescent="0.3">
      <c r="A78" s="17">
        <v>45261</v>
      </c>
      <c r="B78" s="18">
        <v>6</v>
      </c>
      <c r="C78" s="18">
        <v>4.4000000000000004</v>
      </c>
      <c r="D78" s="18">
        <v>4.4000000000000004</v>
      </c>
    </row>
    <row r="79" spans="1:4" x14ac:dyDescent="0.3">
      <c r="A79" s="17">
        <v>45292</v>
      </c>
      <c r="B79" s="18">
        <v>3.9</v>
      </c>
      <c r="C79" s="18">
        <v>4.7</v>
      </c>
      <c r="D79" s="18">
        <v>4.3</v>
      </c>
    </row>
    <row r="80" spans="1:4" x14ac:dyDescent="0.3">
      <c r="A80" s="17">
        <v>45323</v>
      </c>
      <c r="B80" s="18">
        <v>5.2</v>
      </c>
      <c r="C80" s="18">
        <v>4.2</v>
      </c>
      <c r="D80" s="18">
        <v>5.5</v>
      </c>
    </row>
    <row r="81" spans="1:4" x14ac:dyDescent="0.3">
      <c r="A81" s="17">
        <v>45352</v>
      </c>
      <c r="B81" s="18">
        <v>3.7</v>
      </c>
      <c r="C81" s="18">
        <v>3.4</v>
      </c>
      <c r="D81" s="18">
        <v>4.9000000000000004</v>
      </c>
    </row>
    <row r="82" spans="1:4" x14ac:dyDescent="0.3">
      <c r="A82" s="17">
        <v>45383</v>
      </c>
      <c r="B82" s="18">
        <v>7.4</v>
      </c>
      <c r="C82" s="18">
        <v>10.1</v>
      </c>
      <c r="D82" s="18">
        <v>5.3</v>
      </c>
    </row>
    <row r="83" spans="1:4" x14ac:dyDescent="0.3">
      <c r="A83" s="17">
        <v>45413</v>
      </c>
      <c r="B83" s="18">
        <v>7.4</v>
      </c>
      <c r="C83" s="18">
        <v>8.4</v>
      </c>
      <c r="D83" s="18">
        <v>5.2</v>
      </c>
    </row>
    <row r="84" spans="1:4" x14ac:dyDescent="0.3">
      <c r="A84" s="17">
        <v>45444</v>
      </c>
      <c r="B84" s="18">
        <v>7.3</v>
      </c>
      <c r="C84" s="18">
        <v>10.1</v>
      </c>
      <c r="D84" s="18">
        <v>4.9000000000000004</v>
      </c>
    </row>
    <row r="85" spans="1:4" x14ac:dyDescent="0.3">
      <c r="A85" s="17"/>
    </row>
    <row r="86" spans="1:4" x14ac:dyDescent="0.3">
      <c r="A86" s="17"/>
    </row>
    <row r="87" spans="1:4" x14ac:dyDescent="0.3">
      <c r="A87" s="17"/>
    </row>
  </sheetData>
  <mergeCells count="1">
    <mergeCell ref="B5:D5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6" baseType="variant">
      <vt:variant>
        <vt:lpstr>Worksheets</vt:lpstr>
      </vt:variant>
      <vt:variant>
        <vt:i4>2</vt:i4>
      </vt:variant>
      <vt:variant>
        <vt:lpstr>Charts</vt:lpstr>
      </vt:variant>
      <vt:variant>
        <vt:i4>2</vt:i4>
      </vt:variant>
      <vt:variant>
        <vt:lpstr>Named Ranges</vt:lpstr>
      </vt:variant>
      <vt:variant>
        <vt:i4>1</vt:i4>
      </vt:variant>
    </vt:vector>
  </HeadingPairs>
  <TitlesOfParts>
    <vt:vector size="5" baseType="lpstr">
      <vt:lpstr>Haver Q</vt:lpstr>
      <vt:lpstr>BoE Aug24 MPR C2.19</vt:lpstr>
      <vt:lpstr>Chart1</vt:lpstr>
      <vt:lpstr>Chart2</vt:lpstr>
      <vt:lpstr>_DLX1.INC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Edward Allenby</dc:creator>
  <cp:lastModifiedBy>Edward Allenby</cp:lastModifiedBy>
  <dcterms:created xsi:type="dcterms:W3CDTF">2024-08-01T22:32:05Z</dcterms:created>
  <dcterms:modified xsi:type="dcterms:W3CDTF">2024-08-02T10:57:39Z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3b83b38b-8e91-4f17-8371-95d3d41e26c0_Enabled">
    <vt:lpwstr>true</vt:lpwstr>
  </property>
  <property fmtid="{D5CDD505-2E9C-101B-9397-08002B2CF9AE}" pid="3" name="MSIP_Label_3b83b38b-8e91-4f17-8371-95d3d41e26c0_SetDate">
    <vt:lpwstr>2024-08-01T22:43:09Z</vt:lpwstr>
  </property>
  <property fmtid="{D5CDD505-2E9C-101B-9397-08002B2CF9AE}" pid="4" name="MSIP_Label_3b83b38b-8e91-4f17-8371-95d3d41e26c0_Method">
    <vt:lpwstr>Privileged</vt:lpwstr>
  </property>
  <property fmtid="{D5CDD505-2E9C-101B-9397-08002B2CF9AE}" pid="5" name="MSIP_Label_3b83b38b-8e91-4f17-8371-95d3d41e26c0_Name">
    <vt:lpwstr>Internal</vt:lpwstr>
  </property>
  <property fmtid="{D5CDD505-2E9C-101B-9397-08002B2CF9AE}" pid="6" name="MSIP_Label_3b83b38b-8e91-4f17-8371-95d3d41e26c0_SiteId">
    <vt:lpwstr>2c277f63-6743-4f98-ac15-4851e55c0cc7</vt:lpwstr>
  </property>
  <property fmtid="{D5CDD505-2E9C-101B-9397-08002B2CF9AE}" pid="7" name="MSIP_Label_3b83b38b-8e91-4f17-8371-95d3d41e26c0_ActionId">
    <vt:lpwstr>b59776d9-ae5f-4591-bc81-36ab493d429c</vt:lpwstr>
  </property>
  <property fmtid="{D5CDD505-2E9C-101B-9397-08002B2CF9AE}" pid="8" name="MSIP_Label_3b83b38b-8e91-4f17-8371-95d3d41e26c0_ContentBits">
    <vt:lpwstr>0</vt:lpwstr>
  </property>
</Properties>
</file>